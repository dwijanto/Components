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45" yWindow="45" windowWidth="19830" windowHeight="8775"/>
  </bookViews>
  <sheets>
    <sheet name="KPI Graph" sheetId="17" r:id="rId1"/>
    <sheet name="KPI Graph Pivot Table" sheetId="20" r:id="rId2"/>
    <sheet name="Comment Codes New and Old" sheetId="48" r:id="rId3"/>
    <sheet name="Db" sheetId="49" r:id="rId4"/>
  </sheets>
  <externalReferences>
    <externalReference r:id="rId5"/>
  </externalReferences>
  <definedNames>
    <definedName name="AverageFCR" localSheetId="0">OFFSET(#REF!,0,0,COUNTA(#REF!)-2,1)</definedName>
    <definedName name="AverageFCR" localSheetId="1">OFFSET(#REF!,0,0,COUNTA(#REF!)-2,1)</definedName>
    <definedName name="AverageFCR">OFFSET(#REF!,0,0,COUNTA(#REF!)-2,1)</definedName>
    <definedName name="AverageOfSASL" localSheetId="0">OFFSET(#REF!,0,0,COUNTA(#REF!)-1,1)</definedName>
    <definedName name="AverageOfSASL" localSheetId="1">OFFSET(#REF!,0,0,COUNTA(#REF!)-1,1)</definedName>
    <definedName name="AverageOfSASL">OFFSET(#REF!,0,0,COUNTA(#REF!)-1,1)</definedName>
    <definedName name="AverageOfSASL1stETD" localSheetId="0">OFFSET(#REF!,0,0,COUNTA(#REF!)-1,1)</definedName>
    <definedName name="AverageOfSASL1stETD" localSheetId="1">OFFSET(#REF!,0,0,COUNTA(#REF!)-1,1)</definedName>
    <definedName name="AverageOfSASL1stETD">OFFSET(#REF!,0,0,COUNTA(#REF!)-1,1)</definedName>
    <definedName name="AverNbofDays" localSheetId="0">OFFSET(#REF!,0,0,COUNTA(#REF!)-2)</definedName>
    <definedName name="AverNbofDays" localSheetId="1">OFFSET(#REF!,0,0,COUNTA(#REF!)-2)</definedName>
    <definedName name="AverNbofDays">OFFSET(#REF!,0,0,COUNTA(#REF!)-2)</definedName>
    <definedName name="commentcode">'Comment Codes New and Old'!$B$4:$C$83</definedName>
    <definedName name="DBRange" localSheetId="1">OFFSET([1]DATA!$B$1,0,0,COUNTA([1]DATA!$B:$B),COUNTA([1]DATA!$1:$1))</definedName>
    <definedName name="DBRangeNew">OFFSET(#REF!,0,0,COUNTA(#REF!),COUNTA(#REF!))</definedName>
    <definedName name="NbOfShipmentLinesFCR" localSheetId="0">OFFSET(#REF!,0,0,COUNTA(#REF!)-2,1)</definedName>
    <definedName name="NbOfShipmentLinesFCR" localSheetId="1">OFFSET(#REF!,0,0,COUNTA(#REF!)-2,1)</definedName>
    <definedName name="NbOfShipmentLinesFCR">OFFSET(#REF!,0,0,COUNTA(#REF!)-2,1)</definedName>
    <definedName name="NbOfShipmentLinesOTD" localSheetId="0">OFFSET(#REF!,0,0,COUNTA(#REF!)-1,1)</definedName>
    <definedName name="NbOfShipmentLinesOTD" localSheetId="1">OFFSET(#REF!,0,0,COUNTA(#REF!)-1,1)</definedName>
    <definedName name="NbOfShipmentLinesOTD">OFFSET(#REF!,0,0,COUNTA(#REF!)-1,1)</definedName>
    <definedName name="NbOfShipmentLinesSASL" localSheetId="0">OFFSET(#REF!,0,0,COUNTA(#REF!)-1,1)</definedName>
    <definedName name="NbOfShipmentLinesSASL" localSheetId="1">OFFSET(#REF!,0,0,COUNTA(#REF!)-1,1)</definedName>
    <definedName name="NbOfShipmentLinesSASL">OFFSET(#REF!,0,0,COUNTA(#REF!)-1,1)</definedName>
    <definedName name="NbOfShipmentLinesWeek" localSheetId="0">OFFSET(#REF!,0,0,COUNTA(#REF!)-2)</definedName>
    <definedName name="NbOfShipmentLinesWeek" localSheetId="1">OFFSET(#REF!,0,0,COUNTA(#REF!)-2)</definedName>
    <definedName name="NbOfShipmentLinesWeek">OFFSET(#REF!,0,0,COUNTA(#REF!)-2)</definedName>
    <definedName name="PCTFCR" localSheetId="0">OFFSET(#REF!,0,0,COUNTA(#REF!)-2,1)</definedName>
    <definedName name="PCTFCR" localSheetId="1">OFFSET(#REF!,0,0,COUNTA(#REF!)-2,1)</definedName>
    <definedName name="PCTFCR">OFFSET(#REF!,0,0,COUNTA(#REF!)-2,1)</definedName>
    <definedName name="PctOTDRange" localSheetId="0">OFFSET(#REF!,0,0,COUNTA(#REF!)-1,1)</definedName>
    <definedName name="PctOTDRange" localSheetId="1">OFFSET(#REF!,0,0,COUNTA(#REF!)-1,1)</definedName>
    <definedName name="PctOTDRange">OFFSET(#REF!,0,0,COUNTA(#REF!)-1,1)</definedName>
    <definedName name="PCTSASL" localSheetId="0">OFFSET(#REF!,0,0,COUNTA(#REF!)-1,1)</definedName>
    <definedName name="PCTSASL" localSheetId="1">OFFSET(#REF!,0,0,COUNTA(#REF!)-1,1)</definedName>
    <definedName name="PCTSASL">OFFSET(#REF!,0,0,COUNTA(#REF!)-1,1)</definedName>
    <definedName name="PCTSASL1stETD" localSheetId="0">OFFSET(#REF!,0,0,COUNTA(#REF!)-1,1)</definedName>
    <definedName name="PCTSASL1stETD" localSheetId="1">OFFSET(#REF!,0,0,COUNTA(#REF!)-1,1)</definedName>
    <definedName name="PCTSASL1stETD">OFFSET(#REF!,0,0,COUNTA(#REF!)-1,1)</definedName>
    <definedName name="PCTSASLLE7" localSheetId="0">OFFSET(#REF!,0,0,COUNTA(#REF!)-2)</definedName>
    <definedName name="PCTSASLLE7" localSheetId="1">OFFSET(#REF!,0,0,COUNTA(#REF!)-2)</definedName>
    <definedName name="PCTSASLLE7">OFFSET(#REF!,0,0,COUNTA(#REF!)-2)</definedName>
    <definedName name="_xlnm.Print_Titles" localSheetId="1">'KPI Graph Pivot Table'!$1:$24</definedName>
    <definedName name="Target" localSheetId="0">OFFSET(#REF!,0,0,COUNTA(#REF!)-2)</definedName>
    <definedName name="Target" localSheetId="1">OFFSET(#REF!,0,0,COUNTA(#REF!)-2)</definedName>
    <definedName name="Target">OFFSET(#REF!,0,0,COUNTA(#REF!)-2)</definedName>
    <definedName name="TargetFCR" localSheetId="0">OFFSET(#REF!,0,0,COUNTA(#REF!)-2,1)</definedName>
    <definedName name="TargetFCR" localSheetId="1">OFFSET(#REF!,0,0,COUNTA(#REF!)-2,1)</definedName>
    <definedName name="TargetFCR">OFFSET(#REF!,0,0,COUNTA(#REF!)-2,1)</definedName>
    <definedName name="TargetOTDRange" localSheetId="0">OFFSET(#REF!,0,0,COUNTA(#REF!)-1,1)</definedName>
    <definedName name="TargetOTDRange" localSheetId="1">OFFSET(#REF!,0,0,COUNTA(#REF!)-1,1)</definedName>
    <definedName name="TargetOTDRange">OFFSET(#REF!,0,0,COUNTA(#REF!)-1,1)</definedName>
    <definedName name="TargetSASL" localSheetId="0">OFFSET(#REF!,0,0,COUNTA(#REF!)-1,1)</definedName>
    <definedName name="TargetSASL" localSheetId="1">OFFSET(#REF!,0,0,COUNTA(#REF!)-1,1)</definedName>
    <definedName name="TargetSASL">OFFSET(#REF!,0,0,COUNTA(#REF!)-1,1)</definedName>
    <definedName name="TimeRange" localSheetId="0">OFFSET(#REF!,0,0,COUNTA(#REF!)-1,2)</definedName>
    <definedName name="TimeRange" localSheetId="1">OFFSET(#REF!,0,0,COUNTA(#REF!)-1,2)</definedName>
    <definedName name="TimeRange">OFFSET(#REF!,0,0,COUNTA(#REF!)-1,2)</definedName>
    <definedName name="WeeklyCategoryAxis" localSheetId="0">OFFSET(#REF!,0,0,COUNTA(#REF!)-1)</definedName>
    <definedName name="WeeklyCategoryAxis" localSheetId="1">OFFSET(#REF!,0,0,COUNTA(#REF!)-1)</definedName>
    <definedName name="WeeklyCategoryAxis">OFFSET(#REF!,0,0,COUNTA(#REF!)-1)</definedName>
  </definedNames>
  <calcPr calcId="125725"/>
  <pivotCaches>
    <pivotCache cacheId="0" r:id="rId6"/>
  </pivotCaches>
</workbook>
</file>

<file path=xl/calcChain.xml><?xml version="1.0" encoding="utf-8"?>
<calcChain xmlns="http://schemas.openxmlformats.org/spreadsheetml/2006/main">
  <c r="O57" i="17"/>
  <c r="AF57"/>
  <c r="AF56"/>
  <c r="AH56" s="1"/>
  <c r="AF53"/>
  <c r="AF52"/>
  <c r="AH52" s="1"/>
  <c r="O53"/>
  <c r="O56"/>
  <c r="Q56" s="1"/>
  <c r="O52"/>
  <c r="Q52" s="1"/>
  <c r="L28"/>
  <c r="C25"/>
  <c r="W38"/>
  <c r="AA43"/>
  <c r="J43"/>
  <c r="J33"/>
  <c r="O40" l="1"/>
  <c r="F38"/>
  <c r="F57" l="1"/>
  <c r="F56"/>
  <c r="H56" s="1"/>
  <c r="F53"/>
  <c r="F52"/>
  <c r="H52" s="1"/>
  <c r="F48"/>
  <c r="H48" s="1"/>
  <c r="F49"/>
  <c r="AA33"/>
  <c r="F16" l="1"/>
  <c r="AF49"/>
  <c r="AF48"/>
  <c r="AH48" s="1"/>
  <c r="AF45"/>
  <c r="AF43"/>
  <c r="AH43" s="1"/>
  <c r="AF40"/>
  <c r="AF38"/>
  <c r="AH38" s="1"/>
  <c r="O49"/>
  <c r="O48"/>
  <c r="Q48" s="1"/>
  <c r="O45"/>
  <c r="O43"/>
  <c r="Q43" s="1"/>
  <c r="O38"/>
  <c r="Q38" s="1"/>
  <c r="O16"/>
  <c r="U25"/>
  <c r="F17"/>
  <c r="C27" l="1"/>
  <c r="H25"/>
  <c r="J45" s="1"/>
  <c r="W57"/>
  <c r="W53"/>
  <c r="W49"/>
  <c r="W48"/>
  <c r="Y48" s="1"/>
  <c r="W56"/>
  <c r="Y56" s="1"/>
  <c r="W52"/>
  <c r="Y52" s="1"/>
  <c r="Q7"/>
  <c r="W17"/>
  <c r="AA12"/>
  <c r="A5" l="1"/>
  <c r="AF58"/>
  <c r="O54"/>
  <c r="AF54"/>
  <c r="O58"/>
  <c r="AA44"/>
  <c r="J44"/>
  <c r="W39"/>
  <c r="F39"/>
  <c r="F51"/>
  <c r="F40"/>
  <c r="W51"/>
  <c r="F55"/>
  <c r="F59"/>
  <c r="J35"/>
  <c r="AF46"/>
  <c r="O46"/>
  <c r="AF50"/>
  <c r="AF41"/>
  <c r="O50"/>
  <c r="O41"/>
  <c r="W19"/>
  <c r="U27"/>
  <c r="H27"/>
  <c r="Y25"/>
  <c r="U26"/>
  <c r="H26"/>
  <c r="AA34"/>
  <c r="F54"/>
  <c r="F50"/>
  <c r="W58"/>
  <c r="W54"/>
  <c r="F58"/>
  <c r="W50"/>
  <c r="J12"/>
  <c r="F19" s="1"/>
  <c r="J34"/>
  <c r="AB25"/>
  <c r="K25"/>
  <c r="F61" l="1"/>
  <c r="A33"/>
  <c r="A43"/>
  <c r="A38"/>
  <c r="W40"/>
  <c r="AA45"/>
  <c r="W59"/>
  <c r="W55"/>
  <c r="AA35"/>
  <c r="Y27"/>
  <c r="AA13"/>
  <c r="AF17"/>
  <c r="C26"/>
  <c r="A23" s="1"/>
  <c r="W18"/>
  <c r="Y26"/>
  <c r="O17"/>
  <c r="J13"/>
  <c r="A9" s="1"/>
  <c r="F18"/>
  <c r="R17"/>
  <c r="AI17"/>
  <c r="A48" l="1"/>
  <c r="A30"/>
  <c r="A21"/>
  <c r="A15"/>
  <c r="W61"/>
  <c r="AF55"/>
  <c r="AF59"/>
  <c r="O59"/>
  <c r="O55"/>
  <c r="O47"/>
  <c r="O51"/>
  <c r="O42"/>
  <c r="AF47"/>
  <c r="AF51"/>
  <c r="AF42"/>
  <c r="O18"/>
  <c r="O19"/>
  <c r="AF18"/>
  <c r="AF19"/>
  <c r="O61" l="1"/>
  <c r="AF61"/>
</calcChain>
</file>

<file path=xl/sharedStrings.xml><?xml version="1.0" encoding="utf-8"?>
<sst xmlns="http://schemas.openxmlformats.org/spreadsheetml/2006/main" count="657" uniqueCount="412">
  <si>
    <t>Grand Total</t>
  </si>
  <si>
    <t>L1: success in 1st confirmed ETD VS 1st Inquiry ETD and success in ship date VS current inquiry ETD</t>
  </si>
  <si>
    <t>L2: success in 1st confirmed ETD VS 1st Inquiry ETD and failure in ship date VS current inquiry ETD</t>
  </si>
  <si>
    <t>L3: failure in 1st confirmed ETD VS 1st Inquiry ETD and success in ship date VS current inquiry ETD</t>
  </si>
  <si>
    <t>Suppliers</t>
  </si>
  <si>
    <t>CO WIN GLOBAL Ltd</t>
  </si>
  <si>
    <t>CONAN ELECTRIC MANUFACTURING LTD</t>
  </si>
  <si>
    <t>CRASTAL TRADING LIMITED</t>
  </si>
  <si>
    <t>DCH SUPPLY CHAIN MANAGEMENT</t>
  </si>
  <si>
    <t>DICKSON INDUSTRIAL CO LTD</t>
  </si>
  <si>
    <t>EASTERN SOURCES HOUSEWARES HK LTD</t>
  </si>
  <si>
    <t>EASYNET INTERNATIONAL CORPORATION</t>
  </si>
  <si>
    <t>ELEC TECH INTER HK CO LTD</t>
  </si>
  <si>
    <t>ELECTRICAL &amp; ELECTRONICS LTD</t>
  </si>
  <si>
    <t>EMPEROR LIMITED</t>
  </si>
  <si>
    <t>ENTECH PRODUCTS HONG KONG LTD</t>
  </si>
  <si>
    <t>ETERNAL GUANGDONG ELECTRIC</t>
  </si>
  <si>
    <t>FAIRFORM</t>
  </si>
  <si>
    <t>FATIA INDUSTRIAL CO LTD</t>
  </si>
  <si>
    <t>FLYING DRAGON ELECTRONIC CO LTD</t>
  </si>
  <si>
    <t>FOSHAN CITY SHUNDE DISTRICT</t>
  </si>
  <si>
    <t>FOSHAN MD DOMESTIC ELECTRIC</t>
  </si>
  <si>
    <t>GEW CORPORATION LIMITED</t>
  </si>
  <si>
    <t>GUANG DONG XINBAO</t>
  </si>
  <si>
    <t>GUANGDONG  ELECPRO ELE APP CO</t>
  </si>
  <si>
    <t>GUANGDONG FUXIN ELECTRONIC TECH LTD</t>
  </si>
  <si>
    <t>GUANGDONG G TOP IMPORT AND EXPORT</t>
  </si>
  <si>
    <t>HIFACER CO LTD</t>
  </si>
  <si>
    <t>HOMEWELL CORPORATION LTD</t>
  </si>
  <si>
    <t>HOMEZEST ELECTRICAL MFG CO LTD</t>
  </si>
  <si>
    <t>HONOR BEST LTD</t>
  </si>
  <si>
    <t>HUBDIC CO LTD</t>
  </si>
  <si>
    <t>HUBEI AISHIDA ELE EQUIPMENT CO LTD</t>
  </si>
  <si>
    <t>IBL PRODUCTS CO LTD</t>
  </si>
  <si>
    <t>Jack Pot Manufacturer Corp</t>
  </si>
  <si>
    <t>JOIN STAR INDUSTRIAL LIMITED</t>
  </si>
  <si>
    <t>JUNJIA HK ELECTRIC MANFUCTURING CO</t>
  </si>
  <si>
    <t>KARAN ELECTRIC MANUFACTURING LTD</t>
  </si>
  <si>
    <t>KEEN HING INDUSTRIES LIMITED</t>
  </si>
  <si>
    <t>KENFORD INDUSTRIAL CO LTD</t>
  </si>
  <si>
    <t>KINGCLEAN ELECTRIC CO LTD</t>
  </si>
  <si>
    <t>KJI Ind. Ltd</t>
  </si>
  <si>
    <t>KWONNIE ELECTRICAL PRODUCTS LTD</t>
  </si>
  <si>
    <t>LIANTEK ELECTRICAL APP SZ CO LTD</t>
  </si>
  <si>
    <t>LINKFAIR HONG KONG  LIMITED</t>
  </si>
  <si>
    <t>LOMAK</t>
  </si>
  <si>
    <t>MAIN POWER ELECTRICAL FACTORY</t>
  </si>
  <si>
    <t>METROPOLITAN ELECTRICAL APP MFG LTD</t>
  </si>
  <si>
    <t>MINGLE INSTRUMENT LIMITED</t>
  </si>
  <si>
    <t>MOTOR ELECTRIC MFG CO LTD</t>
  </si>
  <si>
    <t>NEW LEAF (HK) LTD</t>
  </si>
  <si>
    <t>NINGBO HEIGER ELECTRICAL</t>
  </si>
  <si>
    <t>NINGBO HONGYI MANU ELECT CO LTD</t>
  </si>
  <si>
    <t>NINGBO HUANHAI ELECTRIC APPLIANCES</t>
  </si>
  <si>
    <t>NY HANG MANUFACTURING CO LTD</t>
  </si>
  <si>
    <t>PAYER INTERNATIONAL TECH GMBH</t>
  </si>
  <si>
    <t>PEARL SUMMIT LIMITED</t>
  </si>
  <si>
    <t>PT MASPION</t>
  </si>
  <si>
    <t>PT MITRA CITRA MAKMUR</t>
  </si>
  <si>
    <t>RISHENG ENTERPRISE INTL CO</t>
  </si>
  <si>
    <t>SAGEM COMMUNICATIONS</t>
  </si>
  <si>
    <t>SEMCO CO Ltd</t>
  </si>
  <si>
    <t>SHANGHAI SEB ELECTRICAL APPLIANCES</t>
  </si>
  <si>
    <t>SHAOXING SUPOR ELECTRICAL APP LTD</t>
  </si>
  <si>
    <t>SHEN ZHEN PRODOO ELE  APP CO LTD</t>
  </si>
  <si>
    <t>SIMATELEX MANUFACTORY CO</t>
  </si>
  <si>
    <t>SMART TECH INDUSTRIAL LIMITED</t>
  </si>
  <si>
    <t>SPECIALIFE INDUSTRIES LTD</t>
  </si>
  <si>
    <t>SUN LUEN ELECTRICAL MANUFACTUR</t>
  </si>
  <si>
    <t>SUPOR VIETNAM CO LTD</t>
  </si>
  <si>
    <t>SUZHOU DELUXE ELECTRIC CO LTD</t>
  </si>
  <si>
    <t>SUZHOU EUP ELECTRIC CO LTD</t>
  </si>
  <si>
    <t>TEAM CONCEPT HK INDUSTRY LIMITED</t>
  </si>
  <si>
    <t>TRANWO TECHNOLOGY CO LTD</t>
  </si>
  <si>
    <t>TSANN KUEN ENTERPRISE CO LTD</t>
  </si>
  <si>
    <t>TSANN KUEN ZHANGZHOU  ENTREPRISE</t>
  </si>
  <si>
    <t>Uni-Splendor Corporation</t>
  </si>
  <si>
    <t>WAH HING FAI INDUSTRIAL COMPANY LTD</t>
  </si>
  <si>
    <t>WAON Development Ltd.</t>
  </si>
  <si>
    <t>WIK FAR EAST LTD</t>
  </si>
  <si>
    <t>WINNINGTON METAL &amp; PLASTIC M.CO LTD</t>
  </si>
  <si>
    <t>X J GROUP LIMITED</t>
  </si>
  <si>
    <t>YORKWELL INDUSTRIES LIMITED</t>
  </si>
  <si>
    <t>YOUNG AN WING</t>
  </si>
  <si>
    <t>ZHANJIANG HALLSMART ELECTRICAL APP</t>
  </si>
  <si>
    <t>ZHEINAG KINGWANG INDUSTIAL CO LTD</t>
  </si>
  <si>
    <t>ZHEJIANG CUORI ELECTRICAL</t>
  </si>
  <si>
    <t>ZHEJIANG SUPOR CO LTD</t>
  </si>
  <si>
    <t>ZHEJIANG SUPOR ELECTRICAL</t>
  </si>
  <si>
    <t>ZHEJIANG TAIZHOU AISHIDA</t>
  </si>
  <si>
    <t>ZHEJIANG YUELI ELECTRICAL CO LTD</t>
  </si>
  <si>
    <t>ZHONGSHAN GALANZ HOUSEHOLD APP CO</t>
  </si>
  <si>
    <t>GROUPE SEB USA</t>
  </si>
  <si>
    <t>GROUPE SEB FRANCE SAS (GSF)</t>
  </si>
  <si>
    <t>SEB ASIA LTD</t>
  </si>
  <si>
    <t>GROUPE SEB EXPORT</t>
  </si>
  <si>
    <t>GROUPE SEB CENTRAL EUROPE KFT.</t>
  </si>
  <si>
    <t>GRUPO SEB DO BRASIL</t>
  </si>
  <si>
    <t>GROUPE SEB SINGAPORE PTE LTD</t>
  </si>
  <si>
    <t>ZAO "GROUPE SEB VOSTOK"</t>
  </si>
  <si>
    <t>GROUPE SEB IBERICA</t>
  </si>
  <si>
    <t>GROUPE SEB ISTANBUL EV ALETLERI</t>
  </si>
  <si>
    <t>LAGOSTINA S.P.A.</t>
  </si>
  <si>
    <t>GROUPE SEB UK LTD</t>
  </si>
  <si>
    <t>GROUPE SEB DEUTSCHLAND</t>
  </si>
  <si>
    <t>GROUPE SEB CHILE</t>
  </si>
  <si>
    <t>GROUPE SEB KOREA</t>
  </si>
  <si>
    <t>GROUPE SEB ARGENTINA SA</t>
  </si>
  <si>
    <t>GROUPE SEB ITALIA S.p.a</t>
  </si>
  <si>
    <t>GROUPE SEB VENEZUELA SA</t>
  </si>
  <si>
    <t>GROUPE SEB JAPAN CO LTD</t>
  </si>
  <si>
    <t>SEB ASIA Ltd  TAIWAN BRANCH</t>
  </si>
  <si>
    <t>KRUPS GmbH &amp; Co. KG</t>
  </si>
  <si>
    <t>GROUPE SEB POLSKA SP. ZO.O</t>
  </si>
  <si>
    <t>GROUPE SEB NEDERLAND BV</t>
  </si>
  <si>
    <t>GROUPE SEB CANADA INC.</t>
  </si>
  <si>
    <t>GROUPE SEB COLOMBIA</t>
  </si>
  <si>
    <t>SEB GROUPE HELLADOS S.A.</t>
  </si>
  <si>
    <t>GROUPE SEB SCHWEIZ GmbH</t>
  </si>
  <si>
    <t>TEFAL SAS</t>
  </si>
  <si>
    <t>GROUPE SEB MOULINEX SAS</t>
  </si>
  <si>
    <t>Sold To Party Name</t>
  </si>
  <si>
    <t>KRELL PRECISION COMPANY LTD</t>
  </si>
  <si>
    <t>SAS SEB</t>
  </si>
  <si>
    <t>SEB OSTERREICH HANDELS GmbH</t>
  </si>
  <si>
    <t>Groupe Seb Peru S.R.L.</t>
  </si>
  <si>
    <t>GS COLOMBIA S.A. SUCURSAL PANAMA</t>
  </si>
  <si>
    <t>GROUPE SEB MALAYSIA SDN BDH</t>
  </si>
  <si>
    <t>FOSHAN SHUNDE GALANZ</t>
  </si>
  <si>
    <t>FU TIAN INDUSTRIAL CO LTD</t>
  </si>
  <si>
    <t>DONG AH INDUSTRIAL CO., LTD</t>
  </si>
  <si>
    <t>DONGJIN TABLEWARE CO LTD</t>
  </si>
  <si>
    <t>KWONG TAI INDUSTRIAL CO LTD</t>
  </si>
  <si>
    <t>OXYGEN ELECTRICAL LTD</t>
  </si>
  <si>
    <t>STAR COMGISTIC CAPITAL CO LTD</t>
  </si>
  <si>
    <t>VOLUME TABLEWARE LTD</t>
  </si>
  <si>
    <t>WUHAN CWH SUPOR CO LTD</t>
  </si>
  <si>
    <t>Ya Horng Electronic Co., Ltd.</t>
  </si>
  <si>
    <t>GEW INTERNATIONAL CORPORATION LTD</t>
  </si>
  <si>
    <t>HOP SHING METAL &amp; PLASTIC MGY LTD</t>
  </si>
  <si>
    <t>WISEFAME INTERNATIONAL LTD</t>
  </si>
  <si>
    <t>Ya Horng Electronic Co. Ltd.</t>
  </si>
  <si>
    <t>SCR</t>
  </si>
  <si>
    <t>SASL</t>
  </si>
  <si>
    <t xml:space="preserve">Estimation based on ETD (instead of ETA) </t>
  </si>
  <si>
    <t>SSL</t>
  </si>
  <si>
    <t>L3 U L4</t>
  </si>
  <si>
    <t>L1 U L2</t>
  </si>
  <si>
    <t>1st conf failure</t>
  </si>
  <si>
    <t>1st conf success</t>
  </si>
  <si>
    <t>SP-PRIOR</t>
  </si>
  <si>
    <t>SP-CONFPOSTP-REQST</t>
  </si>
  <si>
    <t>FORWARDER-PROB</t>
  </si>
  <si>
    <t>CONS-SHIPT</t>
  </si>
  <si>
    <t>INSP-FAILED</t>
  </si>
  <si>
    <t>SP-RECONF-ORDCHG</t>
  </si>
  <si>
    <t>SP-CONF-CHANGE</t>
  </si>
  <si>
    <t>PULLIN-CONF-SP</t>
  </si>
  <si>
    <t>SAILING-SCHED-UPDATE</t>
  </si>
  <si>
    <t>SP-MTL</t>
  </si>
  <si>
    <t>SP-OVERCAP2</t>
  </si>
  <si>
    <t>SP-HOLIDAY</t>
  </si>
  <si>
    <t>C-LC</t>
  </si>
  <si>
    <t>C-PULLIN-CONF</t>
  </si>
  <si>
    <t>NW-ETDTEMP</t>
  </si>
  <si>
    <t>SP-QLY</t>
  </si>
  <si>
    <t>SP-PRODUCTION</t>
  </si>
  <si>
    <t>SP-TECH</t>
  </si>
  <si>
    <t>MATSPEC-CHG</t>
  </si>
  <si>
    <t>SP-TOOLING</t>
  </si>
  <si>
    <t>SP-INT-ISSUE</t>
  </si>
  <si>
    <t>C-POST-NEG</t>
  </si>
  <si>
    <t>SP-SOP</t>
  </si>
  <si>
    <t>SP-OVERCAP1</t>
  </si>
  <si>
    <t>C-PULLIN-REJ</t>
  </si>
  <si>
    <t>SP-PX</t>
  </si>
  <si>
    <t>C-POST-CONF</t>
  </si>
  <si>
    <t>SP-PROD-ISSUE</t>
  </si>
  <si>
    <t>CUSTS-DETENTION</t>
  </si>
  <si>
    <t>C-POST-REJ</t>
  </si>
  <si>
    <t>MISSDATA</t>
  </si>
  <si>
    <t>PARTIAL- SHIP</t>
  </si>
  <si>
    <t>Month</t>
  </si>
  <si>
    <t>vendorname</t>
  </si>
  <si>
    <t>vendorcode</t>
  </si>
  <si>
    <t>Sum of CLASSL1</t>
  </si>
  <si>
    <t>Values</t>
  </si>
  <si>
    <t>(All)</t>
  </si>
  <si>
    <t>Sum of CLASSL3</t>
  </si>
  <si>
    <t>FCR (First Confirmation Reliability)</t>
  </si>
  <si>
    <t>Caption</t>
  </si>
  <si>
    <t>Nbr of shipments</t>
  </si>
  <si>
    <t>Count of key</t>
  </si>
  <si>
    <t>Manager</t>
  </si>
  <si>
    <t>SP Current</t>
  </si>
  <si>
    <t>rchan</t>
  </si>
  <si>
    <t>qng</t>
  </si>
  <si>
    <t>scheung</t>
  </si>
  <si>
    <t xml:space="preserve">KPI Analysis </t>
  </si>
  <si>
    <t>Sum of fail1stconf</t>
  </si>
  <si>
    <t>Sum of L2 and sasl adjust</t>
  </si>
  <si>
    <t xml:space="preserve">Sum of L4 and sasl adjust </t>
  </si>
  <si>
    <t>Sum of saslscoreboard</t>
  </si>
  <si>
    <t>Shipvs1stietd</t>
  </si>
  <si>
    <t>SP-CONT-BOOKING</t>
  </si>
  <si>
    <t>Sum of L1 + L2 adjust</t>
  </si>
  <si>
    <t>Sum of L3 + L4 adjust</t>
  </si>
  <si>
    <t>BU-ETD-TEMP</t>
  </si>
  <si>
    <t>C-PULLIN-NEG</t>
  </si>
  <si>
    <t>NEWREQ-CUSTOMS</t>
  </si>
  <si>
    <t>SP-WRONGSHIP</t>
  </si>
  <si>
    <t>SP-OVERCAP</t>
  </si>
  <si>
    <t>% out of Total</t>
  </si>
  <si>
    <t>Total shipment</t>
  </si>
  <si>
    <t>% out of previous level</t>
  </si>
  <si>
    <t>C-CLX-REJ</t>
  </si>
  <si>
    <t>L4 - sasl adjust</t>
  </si>
  <si>
    <t>Sum of L4 - sasl adjust</t>
  </si>
  <si>
    <t>L2 - sasl adjust</t>
  </si>
  <si>
    <t>Sum of L2 - sasl adjust</t>
  </si>
  <si>
    <t>Time Frame:</t>
  </si>
  <si>
    <t>Parameters / Scope</t>
  </si>
  <si>
    <t>SP-NO-FORECAST</t>
  </si>
  <si>
    <t>C-SHORTL/T</t>
  </si>
  <si>
    <t>C-CLX-CONF</t>
  </si>
  <si>
    <t>C-ETD-TEMP</t>
  </si>
  <si>
    <t>SP-BOTTLENECK</t>
  </si>
  <si>
    <t>SP-LABOR</t>
  </si>
  <si>
    <t>SP-INSP-FAILED</t>
  </si>
  <si>
    <t>SP-INSP-BOOKING</t>
  </si>
  <si>
    <t>REWORK-REPLACE</t>
  </si>
  <si>
    <t>SSL: |Ship date - 1st IETD| &lt;= 7 days</t>
  </si>
  <si>
    <t>SSL: 
|Ship date - 1st IETD| &lt;= 7 days</t>
  </si>
  <si>
    <t>|Ship date - 1st IETD| &gt; 7 days</t>
  </si>
  <si>
    <t>|Ship date - 1st IETD | &gt; 7 days</t>
  </si>
  <si>
    <t>L3:  |Ship date -CIETD| &lt;=7 days</t>
  </si>
  <si>
    <t>L4:  |Ship date - CIETD| &gt; 7 days</t>
  </si>
  <si>
    <t>SEB INTERNATIONAL SERVICE SAS</t>
  </si>
  <si>
    <t>PT STAR COMGISTIC INDONESIA</t>
  </si>
  <si>
    <t>Comment Code</t>
  </si>
  <si>
    <t>NEW ITEM</t>
  </si>
  <si>
    <t>CUSTOMER REQUEST</t>
  </si>
  <si>
    <t xml:space="preserve">CUSTOMER REQUEST </t>
  </si>
  <si>
    <t xml:space="preserve">NEW ITEM </t>
  </si>
  <si>
    <t>CONSOLIDATED SHIPT</t>
  </si>
  <si>
    <t>TOP 5 REASONS for SASL FAILED</t>
  </si>
  <si>
    <t>SUPPLIER / FW</t>
  </si>
  <si>
    <t xml:space="preserve">of which </t>
  </si>
  <si>
    <t>were Short LT orders</t>
  </si>
  <si>
    <t>of shipments represented</t>
  </si>
  <si>
    <t xml:space="preserve">Customer Request : </t>
  </si>
  <si>
    <t>New Item:</t>
  </si>
  <si>
    <t>Consolidation:</t>
  </si>
  <si>
    <t xml:space="preserve">Others (Supplier / Forwarder/ Customs): </t>
  </si>
  <si>
    <t>ETERNAL TECH GROUP (HONG KONG) Ltd</t>
  </si>
  <si>
    <t>SUN CUPID INDUSTRIES LTD</t>
  </si>
  <si>
    <t>Sum of Count key</t>
  </si>
  <si>
    <t>L3 + L4 and sasl adjust</t>
  </si>
  <si>
    <t>L1 + L2 and sasl adjust</t>
  </si>
  <si>
    <t>Gap SSL SASL</t>
  </si>
  <si>
    <t>99011700</t>
  </si>
  <si>
    <t>99011000</t>
  </si>
  <si>
    <t>99012100</t>
  </si>
  <si>
    <t>99001700</t>
  </si>
  <si>
    <t>99011100</t>
  </si>
  <si>
    <t>99011400</t>
  </si>
  <si>
    <t xml:space="preserve">Supplier: </t>
  </si>
  <si>
    <t>YTD July 15th 2012</t>
  </si>
  <si>
    <t>SUPPLIER/FW</t>
  </si>
  <si>
    <t>REASONS for SASL FAILED</t>
  </si>
  <si>
    <t>Years</t>
  </si>
  <si>
    <t>2012</t>
  </si>
  <si>
    <t>Jan</t>
  </si>
  <si>
    <t>(blank)</t>
  </si>
  <si>
    <t>Sum of L4  - sasl adjust</t>
  </si>
  <si>
    <t xml:space="preserve">SEB ASIA COMMENT CODES LIST </t>
  </si>
  <si>
    <t>CATEGORY</t>
  </si>
  <si>
    <t xml:space="preserve">CODES </t>
  </si>
  <si>
    <t xml:space="preserve">DESCRIPTION </t>
  </si>
  <si>
    <t>NOTES</t>
  </si>
  <si>
    <t xml:space="preserve">Who Inputs comment code? </t>
  </si>
  <si>
    <t>Ranking</t>
  </si>
  <si>
    <t>NEW LIST</t>
  </si>
  <si>
    <t>SUPPLIER ISSUE (S)</t>
  </si>
  <si>
    <t>ORDER +20% OVER OF THE COMMITTED CAPACITY</t>
  </si>
  <si>
    <t>MPS PROCESS: SMOOTHING REQUIRED DUE TO FORECAST OVER SUPPLY PLAN</t>
  </si>
  <si>
    <t>Supplier</t>
  </si>
  <si>
    <t xml:space="preserve"> MATERIAL SHORTAGE BECAUSE PO WITH INSUFFICIENT FORECAST</t>
  </si>
  <si>
    <t>REVISE CIETD ONLY IF LONG LEAD TIME COMPONENT SHORTAGE</t>
  </si>
  <si>
    <t>SUPPLIER IN HOLIDAY (CNY-LABOUR HOLIDAY, GOLDEN WEEK, PLANNED FACTORY CLOSING)</t>
  </si>
  <si>
    <t xml:space="preserve">CAREFUL NOT TO OVERUSE THIS CODE  </t>
  </si>
  <si>
    <t>CUSTOMER ISSUE (S)</t>
  </si>
  <si>
    <t>C-SHORTLT</t>
  </si>
  <si>
    <t xml:space="preserve"> PO IN FROZEN PERIOD</t>
  </si>
  <si>
    <t>ORDER SHOULD BE RELEASED 60 DAYS BEFORE CIETD</t>
  </si>
  <si>
    <t>SAO</t>
  </si>
  <si>
    <t>C-SHORTL</t>
  </si>
  <si>
    <t>POSTPONEMENT REQUESTED BY MARKET AND CONFIRMED BY SUPPLIER</t>
  </si>
  <si>
    <t>CANCELLATION REQUESTED BY MARKET AND CONFIRMED BY SUPPLIER</t>
  </si>
  <si>
    <t>PULL-IN REQUESTED BY MARKET AND CONFIRMED BY SUPPLIER</t>
  </si>
  <si>
    <t xml:space="preserve">C-LCL-SHIPT </t>
  </si>
  <si>
    <t>MARKET REQUESTS LCL SHIPMENT</t>
  </si>
  <si>
    <t xml:space="preserve">WAITING FOR LC FROM CUSTOMER </t>
  </si>
  <si>
    <t>APPLIED ONLY TO NON GROUP CUSTOMERS</t>
  </si>
  <si>
    <t>C-FINALCUSTOMER-REQ</t>
  </si>
  <si>
    <t>SUPOR / LINKFAIR ONLY_DIRECT ORDERS_FINAL CUSTOMER REQUEST</t>
  </si>
  <si>
    <t>TEMP ETD DUE TO MISSING PACKAGING, CERTIFICATE, CB, LABEL, HAND TAG, SAMPLE VALIDATION</t>
  </si>
  <si>
    <t>GROUPE SEB ISSUES (INTERNAL ISSUES)</t>
  </si>
  <si>
    <r>
      <t xml:space="preserve">TEMP ETD DUE TO MISSING TECH DATA, PRODUCT FILE, MTL CONF, SAMPLE VALIDATION, </t>
    </r>
    <r>
      <rPr>
        <sz val="9"/>
        <rFont val="Calibri"/>
        <family val="2"/>
      </rPr>
      <t xml:space="preserve">PRODUCTION NOT RELEASED </t>
    </r>
  </si>
  <si>
    <t>MATERIAL SPECIFICATION CHANGE ON MATURE ITEMS REQUESTED BY SEB</t>
  </si>
  <si>
    <t>NEW CIETD SHOULD BE WITHIN 7 DAYS AFTER CIETD OF LAST PO</t>
  </si>
  <si>
    <t>CONSOLIDATION SHIPMENT ARRANGED BY SEB ASIA</t>
  </si>
  <si>
    <t>SP-MIX-CONT</t>
  </si>
  <si>
    <t>2 SHIPMENTS MIXED INTO 1 CONTAINER BY SUPPLIER</t>
  </si>
  <si>
    <t>ORDERS OVER PROCESS BOTTLENECK</t>
  </si>
  <si>
    <t>PRODUCTION ISSUE (POWER SHORTAGE, EARTHQUKE, FLOODING…)</t>
  </si>
  <si>
    <t>WORKERS, STRIKE</t>
  </si>
  <si>
    <t>TECHNICAL PROB</t>
  </si>
  <si>
    <t xml:space="preserve">MATERIAL SHORTAGE </t>
  </si>
  <si>
    <t>MOLD,TOOLING ISSUE</t>
  </si>
  <si>
    <t>ITEM QUALITY ISSUE</t>
  </si>
  <si>
    <t>QUALITY INSPECTION FAILURE</t>
  </si>
  <si>
    <t>CONTAINER SHOULD BE BOOKED 14 DAYS BEFORE ETD</t>
  </si>
  <si>
    <t>WRONG SHIPMENT</t>
  </si>
  <si>
    <t>LATE BOOKING OF CONTAINER TO FORWARDER</t>
  </si>
  <si>
    <t>PRICE ISSUE</t>
  </si>
  <si>
    <t>LATE INSPECTION SCHEDULE</t>
  </si>
  <si>
    <t xml:space="preserve">IF MAJOR IMPACT, CIETD CAN BE REVISED WITH MANAGEMENT APPROVAL </t>
  </si>
  <si>
    <t>FORWARDER ISSUE</t>
  </si>
  <si>
    <t>NO SPACE, CONTAINER OVERLOAD.</t>
  </si>
  <si>
    <t>MAINLY REFERS TO SYST LIMITATION &amp; BIG  PROMOTION ORDERS</t>
  </si>
  <si>
    <t>REQUIRED UPDATE OF SAILING SCHEDULE DUE TO WEATHER CONDITION, OMIT THE PORT, OR UPDATE CCETD BASED ON SO ETD</t>
  </si>
  <si>
    <t>SAO TO INFORM MARKET
CHANGE CIETD UNDER SP ADVISE</t>
  </si>
  <si>
    <t>CUSTOMS</t>
  </si>
  <si>
    <t>SHIPMENT DELAYED DUE TO ADDITIONAL INFO .WAITING FOR GOV DOC, CHANGE ON  REGULATIONS, LEGISLATION ,NEW SPEC, TESTINGS,CERTIFICATE, CUSTOM DETENTION</t>
  </si>
  <si>
    <t xml:space="preserve">INTERNAL INDICATIONS 
</t>
  </si>
  <si>
    <r>
      <t>PARTIAL- SHIP</t>
    </r>
    <r>
      <rPr>
        <sz val="9"/>
        <color indexed="10"/>
        <rFont val="Calibri"/>
        <family val="2"/>
      </rPr>
      <t xml:space="preserve"> </t>
    </r>
  </si>
  <si>
    <t>PARTIAL SHIPMENT ISSUE</t>
  </si>
  <si>
    <t>REPLACE-PO</t>
  </si>
  <si>
    <t xml:space="preserve">ORDER REWORK OR REPLACEMENT </t>
  </si>
  <si>
    <r>
      <t>SPAREPART-EOL</t>
    </r>
    <r>
      <rPr>
        <sz val="9"/>
        <color indexed="10"/>
        <rFont val="Calibri"/>
        <family val="2"/>
      </rPr>
      <t xml:space="preserve"> </t>
    </r>
  </si>
  <si>
    <t>LATE CONFIRMATION DUE TO END OF LIFE MODEL ( EOL)</t>
  </si>
  <si>
    <t>OLD LIST</t>
  </si>
  <si>
    <t>NO MORE CAPACITY BUT SOP COMMITTED CAPACITY NOT YET FULFILLED</t>
  </si>
  <si>
    <t>ORDER OVER THE COMMITTED CAP OF SOP</t>
  </si>
  <si>
    <t xml:space="preserve">ETD BASED ON SBU PRIORITY </t>
  </si>
  <si>
    <t>NO OR INSUFFICIENT SOP OR FORECAST QTY</t>
  </si>
  <si>
    <t xml:space="preserve">PRODUCTION LINE ISSUE </t>
  </si>
  <si>
    <t>INTERN UNEXPECTED ISSUE ( FINANCE, MANAGNT PROB,STRIKE, WORKERS,FLODING,EARTHQUAKE,POWER SHORTAGE …)</t>
  </si>
  <si>
    <t>SP-LONG-LEADTIME</t>
  </si>
  <si>
    <t>LONG LEAD TIME ITEMS (i.e: LAGOSTINA ITEMS)</t>
  </si>
  <si>
    <t xml:space="preserve">SAO TO CHGE CIETD  UNDER SP-ADVISE </t>
  </si>
  <si>
    <t>CUSTOMERS ISSUE (S)</t>
  </si>
  <si>
    <t>ETD POSTPONEMENT UNDER NEGOTIATION</t>
  </si>
  <si>
    <t>POSTPONEMENT CONFIRMATION BY SUPPLIER</t>
  </si>
  <si>
    <t>POSTPONEMENT REJECTED BY SUPPLIER</t>
  </si>
  <si>
    <t>C-CLX-NEG</t>
  </si>
  <si>
    <t>CANCELLATION UNDER NEGOTIATION</t>
  </si>
  <si>
    <t>CANCELLATION CONFIRMED ACCECPTED BY SUPPLIER</t>
  </si>
  <si>
    <t>CANCELLATION REJECTED BY SUPPLIER</t>
  </si>
  <si>
    <t>PULL IN UNDER NEGOTIATION</t>
  </si>
  <si>
    <t>PULL-IN CONFIRMED ACCEPTED  BY SUPPLIER</t>
  </si>
  <si>
    <t>PULL-IN REJECTED BY SUPPLIER</t>
  </si>
  <si>
    <t xml:space="preserve">C-LCL-SHIPMENT </t>
  </si>
  <si>
    <t>MARKET ORDER SHORT LEAD TIME</t>
  </si>
  <si>
    <t>SAO TO EXTEND L/T (+40 DAYS), CHANGE CIETD AND RELEASE ORDER TO SUPPLIER. EXCEPT ORDERS UNDER SUPOR BRAND TO STH EAST ASIA AND USA)</t>
  </si>
  <si>
    <t>GROUPE SEB ISSUES
(INTERNAL ISSUES)</t>
  </si>
  <si>
    <t>ETD-CONFIMED</t>
  </si>
  <si>
    <t>NEW ETD CONFIRMED</t>
  </si>
  <si>
    <t>TEMPORARY ETD AS NEW ITEM, INCOMPLETE INFO, PRODUCTION NOT RELASED</t>
  </si>
  <si>
    <t>SAO TO CHANGE CCETD.
CIETD CHANGE ONLY UNDER SP AVDISE.
TO INFORM MARKETS</t>
  </si>
  <si>
    <t>MATERIAL SPECIFICATION CHANGE ON MATURE ITEMS</t>
  </si>
  <si>
    <t>TEMPORARY ETD: MATURE ITEM WAITING FOR TECHNICAL DATA, PRODUCT FILE, MATERIAL CONF.I.E LABEL, -PACKAGING-SAMPLE NOT APPROVED</t>
  </si>
  <si>
    <t>NOECO6</t>
  </si>
  <si>
    <t xml:space="preserve">SHIPMENT HOLD DUE TO ECO6 MISSING </t>
  </si>
  <si>
    <t>SAMP-APPROV-SBU</t>
  </si>
  <si>
    <t>SAMPLE APPROVED BY SBU, WAITING FOR MARKETING APPROVAL</t>
  </si>
  <si>
    <t>MISCELLANEOUS</t>
  </si>
  <si>
    <t>SHIPDELAY -ADDREQUIREMENTS</t>
  </si>
  <si>
    <t>SHIPMENT DELAYED DUE TO ADDITIONAL INFO .WAITING FOR GOV DOC, CHANGE ON  REGULATIONS, LEGISLATION ,NEW SPEC, TESTINGS,CERTIFICATE</t>
  </si>
  <si>
    <t>CUSTOMS DETENTION</t>
  </si>
  <si>
    <t>INSPECTION FAILURE OR BOOKING INSPECTION DELAYED</t>
  </si>
  <si>
    <t xml:space="preserve">SPECIFIC CATEGORIES </t>
  </si>
  <si>
    <t xml:space="preserve">WAITING LC FROM CUSTOMER </t>
  </si>
  <si>
    <t xml:space="preserve">WHOUSESTOCK
</t>
  </si>
  <si>
    <t xml:space="preserve">DELIVERY SCHEDULE CHANGED DUE TO STOCK TAKEN IN WAREHOUSE </t>
  </si>
  <si>
    <t>ONLY FOR GSE PLATFORM</t>
  </si>
  <si>
    <t>SHIPUNLOADINGDATE</t>
  </si>
  <si>
    <t>GOODS DELIVERED, ON BOARD (ETD +10 DAYS INCLUDE UNLOADING)</t>
  </si>
  <si>
    <t>SPACEWHOUSE</t>
  </si>
  <si>
    <t>DELAYED DELIVERY DUE TO LIMITED WAREHOUSE SPACE IN YANTIAN PLATFORM</t>
  </si>
  <si>
    <t>SPAREPART-EOL</t>
  </si>
  <si>
    <t>ONLY  USED BY  SSEAC</t>
  </si>
  <si>
    <t>NO SPACE, VESSEL SCHEDULE CHANGED</t>
  </si>
  <si>
    <t>QCDATE</t>
  </si>
  <si>
    <t xml:space="preserve">QC INSPECTION DATE  </t>
  </si>
  <si>
    <t>i.e. QC JAN 1, 09</t>
  </si>
  <si>
    <t>SHIPPED+ ONBOARD-DATE</t>
  </si>
  <si>
    <t>GOODS DELIVERED ,ON BOARD BUT WAITING FOR DOCUMENTATION</t>
  </si>
  <si>
    <t>i.e. SHIPPED16SEPT</t>
  </si>
  <si>
    <t xml:space="preserve">RECONFIRMATION ACCEPTING SEB ORDER CHANGE </t>
  </si>
  <si>
    <t>ITEM LEVEL</t>
  </si>
  <si>
    <t xml:space="preserve"> ORDER PULL IN CONFIRMATION </t>
  </si>
  <si>
    <t>SCHEDULE LEVEL</t>
  </si>
  <si>
    <t xml:space="preserve">SP-SPAREPARTS-ADV_DEL </t>
  </si>
  <si>
    <t>SPARE PARTS ADVANCE DELIVERY</t>
  </si>
  <si>
    <t>SP-QTYVAR.PACK</t>
  </si>
  <si>
    <t>QTY VARIANCE BECAUSE OF PACKING</t>
  </si>
  <si>
    <t xml:space="preserve">NOPRODSCHED </t>
  </si>
  <si>
    <t>NO PRODUCTION SCHEDULE -SIS ORDER</t>
  </si>
  <si>
    <t>CONFIRMED ETD CHANGE AFTER FIRST CONFIRMATION</t>
  </si>
  <si>
    <t>POSTPONEMENT REQUEST CONFIRMED ACCEPTED BY THE SUPPLIER</t>
  </si>
</sst>
</file>

<file path=xl/styles.xml><?xml version="1.0" encoding="utf-8"?>
<styleSheet xmlns="http://schemas.openxmlformats.org/spreadsheetml/2006/main">
  <numFmts count="1">
    <numFmt numFmtId="164" formatCode="0.0%"/>
  </numFmts>
  <fonts count="45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6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8"/>
      <name val="Calibri"/>
      <family val="2"/>
      <scheme val="minor"/>
    </font>
    <font>
      <b/>
      <sz val="11"/>
      <color theme="1"/>
      <name val="Arial"/>
      <family val="2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8"/>
      <color theme="1"/>
      <name val="Arial"/>
      <family val="2"/>
    </font>
    <font>
      <i/>
      <sz val="7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Arial"/>
      <family val="2"/>
    </font>
    <font>
      <sz val="8"/>
      <name val="Calibri"/>
      <family val="2"/>
    </font>
    <font>
      <b/>
      <sz val="8"/>
      <color theme="1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name val="Calibri"/>
      <family val="2"/>
    </font>
    <font>
      <sz val="9"/>
      <color indexed="10"/>
      <name val="Calibri"/>
      <family val="2"/>
    </font>
    <font>
      <sz val="7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AFAA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DAE6F6"/>
        <bgColor indexed="64"/>
      </patternFill>
    </fill>
    <fill>
      <patternFill patternType="solid">
        <fgColor rgb="FFBFD5E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79D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theme="8" tint="0.59999389629810485"/>
        <bgColor indexed="64"/>
      </patternFill>
    </fill>
  </fills>
  <borders count="6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dotted">
        <color theme="4"/>
      </bottom>
      <diagonal/>
    </border>
    <border>
      <left/>
      <right/>
      <top style="dotted">
        <color theme="4"/>
      </top>
      <bottom/>
      <diagonal/>
    </border>
    <border>
      <left style="dotted">
        <color theme="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ashDotDot">
        <color theme="4"/>
      </bottom>
      <diagonal/>
    </border>
    <border>
      <left style="dotted">
        <color theme="4"/>
      </left>
      <right/>
      <top/>
      <bottom style="dashDotDot">
        <color theme="4"/>
      </bottom>
      <diagonal/>
    </border>
    <border>
      <left/>
      <right/>
      <top style="dashDotDot">
        <color theme="4"/>
      </top>
      <bottom/>
      <diagonal/>
    </border>
    <border>
      <left/>
      <right style="dashDotDot">
        <color theme="4"/>
      </right>
      <top style="dashDotDot">
        <color theme="4"/>
      </top>
      <bottom/>
      <diagonal/>
    </border>
    <border>
      <left/>
      <right style="dashDotDot">
        <color theme="4"/>
      </right>
      <top/>
      <bottom/>
      <diagonal/>
    </border>
    <border>
      <left/>
      <right style="dashDotDot">
        <color theme="4"/>
      </right>
      <top/>
      <bottom style="dashDotDot">
        <color theme="4"/>
      </bottom>
      <diagonal/>
    </border>
    <border>
      <left/>
      <right style="dashDotDot">
        <color theme="4"/>
      </right>
      <top style="medium">
        <color auto="1"/>
      </top>
      <bottom/>
      <diagonal/>
    </border>
    <border>
      <left style="dashDotDot">
        <color theme="4"/>
      </left>
      <right style="dashDotDot">
        <color theme="4"/>
      </right>
      <top style="dashDotDot">
        <color theme="4"/>
      </top>
      <bottom/>
      <diagonal/>
    </border>
    <border>
      <left style="dashDotDot">
        <color theme="4"/>
      </left>
      <right style="dashDotDot">
        <color theme="4"/>
      </right>
      <top/>
      <bottom/>
      <diagonal/>
    </border>
    <border>
      <left style="dashDotDot">
        <color theme="4"/>
      </left>
      <right style="dashDotDot">
        <color theme="4"/>
      </right>
      <top/>
      <bottom style="dashDotDot">
        <color theme="4"/>
      </bottom>
      <diagonal/>
    </border>
    <border>
      <left style="dotted">
        <color theme="4"/>
      </left>
      <right/>
      <top style="dashDotDot">
        <color theme="4"/>
      </top>
      <bottom/>
      <diagonal/>
    </border>
    <border>
      <left/>
      <right style="medium">
        <color indexed="64"/>
      </right>
      <top/>
      <bottom style="dashDotDot">
        <color theme="4"/>
      </bottom>
      <diagonal/>
    </border>
    <border>
      <left/>
      <right/>
      <top style="medium">
        <color indexed="64"/>
      </top>
      <bottom style="dashDotDot">
        <color theme="4"/>
      </bottom>
      <diagonal/>
    </border>
    <border>
      <left/>
      <right/>
      <top style="dashDotDot">
        <color theme="4"/>
      </top>
      <bottom style="dashDotDot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8" fillId="0" borderId="0"/>
    <xf numFmtId="9" fontId="8" fillId="0" borderId="0" applyFont="0" applyFill="0" applyBorder="0" applyAlignment="0" applyProtection="0"/>
  </cellStyleXfs>
  <cellXfs count="415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Border="1"/>
    <xf numFmtId="0" fontId="4" fillId="0" borderId="0" xfId="0" applyFont="1" applyBorder="1"/>
    <xf numFmtId="0" fontId="0" fillId="0" borderId="0" xfId="0" applyFill="1" applyBorder="1"/>
    <xf numFmtId="164" fontId="2" fillId="0" borderId="0" xfId="0" applyNumberFormat="1" applyFont="1" applyFill="1" applyBorder="1" applyAlignment="1">
      <alignment horizontal="center"/>
    </xf>
    <xf numFmtId="0" fontId="2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1" applyFont="1"/>
    <xf numFmtId="0" fontId="8" fillId="0" borderId="0" xfId="1"/>
    <xf numFmtId="0" fontId="9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pivotButton="1" applyFont="1"/>
    <xf numFmtId="0" fontId="9" fillId="0" borderId="0" xfId="0" applyFont="1" applyAlignment="1">
      <alignment horizontal="center" vertical="top" wrapText="1"/>
    </xf>
    <xf numFmtId="0" fontId="1" fillId="0" borderId="0" xfId="1" applyFont="1" applyAlignment="1">
      <alignment vertical="top" wrapText="1"/>
    </xf>
    <xf numFmtId="0" fontId="8" fillId="0" borderId="0" xfId="1" applyAlignment="1">
      <alignment vertical="top" wrapText="1"/>
    </xf>
    <xf numFmtId="0" fontId="2" fillId="0" borderId="0" xfId="0" applyNumberFormat="1" applyFont="1" applyFill="1" applyBorder="1" applyAlignment="1"/>
    <xf numFmtId="0" fontId="0" fillId="0" borderId="12" xfId="0" applyBorder="1"/>
    <xf numFmtId="0" fontId="4" fillId="0" borderId="13" xfId="0" applyFont="1" applyBorder="1"/>
    <xf numFmtId="0" fontId="4" fillId="0" borderId="17" xfId="0" applyFont="1" applyBorder="1"/>
    <xf numFmtId="0" fontId="4" fillId="0" borderId="15" xfId="0" applyFont="1" applyBorder="1"/>
    <xf numFmtId="0" fontId="0" fillId="0" borderId="14" xfId="0" applyBorder="1"/>
    <xf numFmtId="0" fontId="6" fillId="5" borderId="2" xfId="0" applyFont="1" applyFill="1" applyBorder="1"/>
    <xf numFmtId="0" fontId="6" fillId="0" borderId="0" xfId="0" applyFont="1" applyFill="1" applyBorder="1"/>
    <xf numFmtId="0" fontId="7" fillId="0" borderId="0" xfId="0" applyFont="1" applyFill="1" applyBorder="1"/>
    <xf numFmtId="0" fontId="1" fillId="0" borderId="0" xfId="1" applyFont="1" applyFill="1" applyBorder="1" applyAlignment="1">
      <alignment horizontal="center"/>
    </xf>
    <xf numFmtId="0" fontId="8" fillId="0" borderId="0" xfId="1" applyFill="1" applyBorder="1" applyAlignment="1">
      <alignment horizontal="center"/>
    </xf>
    <xf numFmtId="0" fontId="5" fillId="0" borderId="0" xfId="0" applyFont="1" applyFill="1" applyBorder="1" applyAlignment="1"/>
    <xf numFmtId="0" fontId="10" fillId="0" borderId="0" xfId="0" applyFont="1" applyFill="1" applyBorder="1"/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0" fillId="0" borderId="18" xfId="0" applyFont="1" applyFill="1" applyBorder="1"/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164" fontId="1" fillId="0" borderId="19" xfId="0" applyNumberFormat="1" applyFont="1" applyBorder="1" applyAlignment="1">
      <alignment horizontal="center"/>
    </xf>
    <xf numFmtId="0" fontId="10" fillId="0" borderId="19" xfId="0" applyFont="1" applyFill="1" applyBorder="1"/>
    <xf numFmtId="164" fontId="1" fillId="0" borderId="18" xfId="0" applyNumberFormat="1" applyFont="1" applyBorder="1" applyAlignment="1">
      <alignment horizontal="center"/>
    </xf>
    <xf numFmtId="0" fontId="0" fillId="0" borderId="16" xfId="0" applyBorder="1"/>
    <xf numFmtId="0" fontId="0" fillId="0" borderId="21" xfId="0" applyBorder="1"/>
    <xf numFmtId="0" fontId="4" fillId="0" borderId="22" xfId="0" applyFont="1" applyBorder="1"/>
    <xf numFmtId="0" fontId="0" fillId="0" borderId="0" xfId="0" applyBorder="1" applyAlignment="1"/>
    <xf numFmtId="0" fontId="0" fillId="0" borderId="0" xfId="0" applyFill="1" applyBorder="1" applyAlignment="1"/>
    <xf numFmtId="0" fontId="0" fillId="0" borderId="0" xfId="0" applyBorder="1" applyAlignment="1">
      <alignment horizontal="center"/>
    </xf>
    <xf numFmtId="0" fontId="0" fillId="0" borderId="23" xfId="0" applyBorder="1"/>
    <xf numFmtId="0" fontId="6" fillId="5" borderId="0" xfId="0" applyFont="1" applyFill="1" applyBorder="1" applyAlignment="1"/>
    <xf numFmtId="0" fontId="21" fillId="5" borderId="10" xfId="0" applyFont="1" applyFill="1" applyBorder="1" applyAlignment="1"/>
    <xf numFmtId="0" fontId="21" fillId="5" borderId="9" xfId="0" applyFont="1" applyFill="1" applyBorder="1" applyAlignment="1"/>
    <xf numFmtId="0" fontId="20" fillId="5" borderId="8" xfId="0" applyFont="1" applyFill="1" applyBorder="1" applyAlignment="1"/>
    <xf numFmtId="0" fontId="6" fillId="5" borderId="6" xfId="0" applyFont="1" applyFill="1" applyBorder="1" applyAlignment="1"/>
    <xf numFmtId="0" fontId="0" fillId="0" borderId="0" xfId="0" applyFont="1"/>
    <xf numFmtId="0" fontId="0" fillId="5" borderId="2" xfId="0" applyFont="1" applyFill="1" applyBorder="1"/>
    <xf numFmtId="0" fontId="0" fillId="5" borderId="0" xfId="0" applyFont="1" applyFill="1" applyBorder="1" applyAlignment="1"/>
    <xf numFmtId="0" fontId="0" fillId="0" borderId="0" xfId="0" applyFont="1" applyAlignment="1">
      <alignment horizontal="left"/>
    </xf>
    <xf numFmtId="0" fontId="0" fillId="0" borderId="0" xfId="0" applyFont="1" applyFill="1" applyBorder="1"/>
    <xf numFmtId="0" fontId="0" fillId="0" borderId="0" xfId="0" applyFont="1" applyBorder="1"/>
    <xf numFmtId="0" fontId="22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9" fillId="0" borderId="1" xfId="0" pivotButton="1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" xfId="0" applyFont="1" applyBorder="1" applyAlignment="1">
      <alignment horizontal="center" vertical="top" wrapText="1"/>
    </xf>
    <xf numFmtId="0" fontId="9" fillId="0" borderId="4" xfId="0" applyFont="1" applyBorder="1"/>
    <xf numFmtId="0" fontId="9" fillId="0" borderId="0" xfId="0" applyFont="1" applyBorder="1"/>
    <xf numFmtId="0" fontId="9" fillId="0" borderId="5" xfId="0" applyFont="1" applyBorder="1"/>
    <xf numFmtId="0" fontId="9" fillId="0" borderId="8" xfId="0" applyNumberFormat="1" applyFont="1" applyBorder="1" applyAlignment="1">
      <alignment horizontal="left"/>
    </xf>
    <xf numFmtId="0" fontId="9" fillId="0" borderId="6" xfId="0" applyNumberFormat="1" applyFont="1" applyBorder="1" applyAlignment="1">
      <alignment horizontal="center"/>
    </xf>
    <xf numFmtId="0" fontId="9" fillId="0" borderId="7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center"/>
    </xf>
    <xf numFmtId="0" fontId="2" fillId="0" borderId="0" xfId="0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0" fontId="9" fillId="0" borderId="11" xfId="0" pivotButton="1" applyFont="1" applyBorder="1"/>
    <xf numFmtId="0" fontId="9" fillId="0" borderId="9" xfId="0" applyFont="1" applyBorder="1"/>
    <xf numFmtId="0" fontId="9" fillId="0" borderId="9" xfId="0" applyFont="1" applyBorder="1" applyAlignment="1">
      <alignment horizontal="left"/>
    </xf>
    <xf numFmtId="0" fontId="22" fillId="0" borderId="0" xfId="0" applyFont="1" applyBorder="1" applyAlignment="1">
      <alignment vertical="center" wrapText="1"/>
    </xf>
    <xf numFmtId="0" fontId="0" fillId="0" borderId="0" xfId="0" applyFill="1" applyBorder="1" applyAlignment="1">
      <alignment wrapText="1"/>
    </xf>
    <xf numFmtId="164" fontId="2" fillId="0" borderId="0" xfId="0" applyNumberFormat="1" applyFont="1" applyFill="1" applyBorder="1" applyAlignment="1"/>
    <xf numFmtId="0" fontId="22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horizontal="center"/>
    </xf>
    <xf numFmtId="164" fontId="23" fillId="0" borderId="0" xfId="0" applyNumberFormat="1" applyFont="1" applyFill="1" applyBorder="1" applyAlignment="1">
      <alignment wrapText="1"/>
    </xf>
    <xf numFmtId="0" fontId="0" fillId="0" borderId="5" xfId="0" applyBorder="1"/>
    <xf numFmtId="0" fontId="0" fillId="0" borderId="29" xfId="0" applyBorder="1"/>
    <xf numFmtId="0" fontId="4" fillId="0" borderId="29" xfId="0" applyFont="1" applyBorder="1"/>
    <xf numFmtId="0" fontId="2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0" fontId="0" fillId="13" borderId="0" xfId="0" applyFill="1" applyBorder="1"/>
    <xf numFmtId="0" fontId="24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vertical="center" textRotation="90"/>
    </xf>
    <xf numFmtId="0" fontId="0" fillId="0" borderId="0" xfId="0" applyFill="1" applyBorder="1" applyAlignment="1">
      <alignment horizontal="center" wrapText="1"/>
    </xf>
    <xf numFmtId="0" fontId="25" fillId="0" borderId="0" xfId="0" applyNumberFormat="1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25" fillId="0" borderId="0" xfId="0" applyNumberFormat="1" applyFont="1" applyFill="1" applyBorder="1" applyAlignment="1"/>
    <xf numFmtId="164" fontId="2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164" fontId="3" fillId="0" borderId="0" xfId="0" applyNumberFormat="1" applyFont="1" applyBorder="1"/>
    <xf numFmtId="0" fontId="0" fillId="0" borderId="5" xfId="0" applyFill="1" applyBorder="1"/>
    <xf numFmtId="164" fontId="2" fillId="0" borderId="0" xfId="0" applyNumberFormat="1" applyFont="1" applyFill="1" applyBorder="1" applyAlignment="1">
      <alignment horizontal="left"/>
    </xf>
    <xf numFmtId="0" fontId="4" fillId="0" borderId="30" xfId="0" applyFont="1" applyFill="1" applyBorder="1"/>
    <xf numFmtId="0" fontId="14" fillId="0" borderId="0" xfId="0" applyFont="1" applyFill="1" applyBorder="1" applyAlignment="1">
      <alignment horizontal="center" vertical="center" wrapText="1"/>
    </xf>
    <xf numFmtId="0" fontId="0" fillId="0" borderId="26" xfId="0" applyBorder="1"/>
    <xf numFmtId="0" fontId="4" fillId="0" borderId="30" xfId="0" applyFont="1" applyBorder="1"/>
    <xf numFmtId="0" fontId="0" fillId="0" borderId="31" xfId="0" applyBorder="1" applyAlignment="1">
      <alignment horizontal="center"/>
    </xf>
    <xf numFmtId="0" fontId="0" fillId="0" borderId="6" xfId="0" applyBorder="1" applyAlignment="1">
      <alignment horizontal="center"/>
    </xf>
    <xf numFmtId="0" fontId="6" fillId="5" borderId="0" xfId="0" applyFont="1" applyFill="1" applyBorder="1"/>
    <xf numFmtId="0" fontId="0" fillId="5" borderId="0" xfId="0" applyFont="1" applyFill="1" applyBorder="1"/>
    <xf numFmtId="0" fontId="10" fillId="0" borderId="33" xfId="0" applyFont="1" applyFill="1" applyBorder="1"/>
    <xf numFmtId="0" fontId="7" fillId="0" borderId="33" xfId="0" applyFont="1" applyFill="1" applyBorder="1"/>
    <xf numFmtId="0" fontId="6" fillId="0" borderId="33" xfId="0" applyFont="1" applyFill="1" applyBorder="1"/>
    <xf numFmtId="0" fontId="0" fillId="0" borderId="33" xfId="0" applyFont="1" applyFill="1" applyBorder="1"/>
    <xf numFmtId="0" fontId="0" fillId="0" borderId="33" xfId="0" applyFont="1" applyBorder="1" applyAlignment="1">
      <alignment horizontal="left"/>
    </xf>
    <xf numFmtId="0" fontId="0" fillId="0" borderId="34" xfId="0" applyFont="1" applyBorder="1"/>
    <xf numFmtId="0" fontId="0" fillId="0" borderId="0" xfId="0" applyFont="1" applyBorder="1" applyAlignment="1">
      <alignment horizontal="left"/>
    </xf>
    <xf numFmtId="0" fontId="0" fillId="0" borderId="35" xfId="0" applyFont="1" applyBorder="1"/>
    <xf numFmtId="0" fontId="10" fillId="0" borderId="31" xfId="0" applyFont="1" applyFill="1" applyBorder="1"/>
    <xf numFmtId="0" fontId="0" fillId="0" borderId="31" xfId="0" applyBorder="1"/>
    <xf numFmtId="0" fontId="2" fillId="0" borderId="31" xfId="0" applyNumberFormat="1" applyFont="1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1" xfId="0" applyFont="1" applyBorder="1"/>
    <xf numFmtId="0" fontId="0" fillId="0" borderId="31" xfId="0" applyFont="1" applyBorder="1" applyAlignment="1">
      <alignment horizontal="left"/>
    </xf>
    <xf numFmtId="0" fontId="0" fillId="0" borderId="36" xfId="0" applyFont="1" applyBorder="1"/>
    <xf numFmtId="0" fontId="0" fillId="0" borderId="35" xfId="0" applyBorder="1"/>
    <xf numFmtId="0" fontId="0" fillId="5" borderId="37" xfId="0" applyFont="1" applyFill="1" applyBorder="1"/>
    <xf numFmtId="0" fontId="0" fillId="5" borderId="35" xfId="0" applyFont="1" applyFill="1" applyBorder="1" applyAlignment="1"/>
    <xf numFmtId="0" fontId="0" fillId="5" borderId="35" xfId="0" applyFont="1" applyFill="1" applyBorder="1"/>
    <xf numFmtId="0" fontId="0" fillId="0" borderId="33" xfId="0" applyBorder="1" applyAlignment="1">
      <alignment horizontal="center"/>
    </xf>
    <xf numFmtId="0" fontId="12" fillId="0" borderId="33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12" fillId="0" borderId="0" xfId="0" applyFont="1" applyFill="1" applyBorder="1" applyAlignment="1">
      <alignment vertical="center"/>
    </xf>
    <xf numFmtId="0" fontId="12" fillId="0" borderId="31" xfId="0" applyFont="1" applyFill="1" applyBorder="1" applyAlignment="1">
      <alignment horizontal="center" vertical="center"/>
    </xf>
    <xf numFmtId="0" fontId="4" fillId="0" borderId="31" xfId="0" applyFont="1" applyBorder="1"/>
    <xf numFmtId="0" fontId="0" fillId="0" borderId="42" xfId="0" applyBorder="1"/>
    <xf numFmtId="0" fontId="0" fillId="0" borderId="33" xfId="0" applyBorder="1"/>
    <xf numFmtId="164" fontId="2" fillId="0" borderId="35" xfId="0" applyNumberFormat="1" applyFont="1" applyFill="1" applyBorder="1" applyAlignment="1">
      <alignment horizontal="left"/>
    </xf>
    <xf numFmtId="0" fontId="0" fillId="0" borderId="36" xfId="0" applyBorder="1"/>
    <xf numFmtId="0" fontId="0" fillId="0" borderId="6" xfId="0" applyBorder="1"/>
    <xf numFmtId="0" fontId="14" fillId="0" borderId="31" xfId="0" applyFont="1" applyFill="1" applyBorder="1" applyAlignment="1">
      <alignment horizontal="center" vertical="center" wrapText="1"/>
    </xf>
    <xf numFmtId="0" fontId="0" fillId="0" borderId="31" xfId="0" applyBorder="1" applyAlignment="1">
      <alignment horizontal="left"/>
    </xf>
    <xf numFmtId="0" fontId="0" fillId="0" borderId="43" xfId="0" applyBorder="1" applyAlignment="1">
      <alignment horizontal="center"/>
    </xf>
    <xf numFmtId="0" fontId="0" fillId="0" borderId="35" xfId="0" applyBorder="1" applyAlignment="1">
      <alignment horizontal="left"/>
    </xf>
    <xf numFmtId="0" fontId="0" fillId="0" borderId="35" xfId="0" applyFill="1" applyBorder="1"/>
    <xf numFmtId="0" fontId="0" fillId="0" borderId="35" xfId="0" applyFill="1" applyBorder="1" applyAlignment="1">
      <alignment vertical="center" wrapText="1"/>
    </xf>
    <xf numFmtId="0" fontId="2" fillId="0" borderId="35" xfId="0" applyNumberFormat="1" applyFont="1" applyFill="1" applyBorder="1" applyAlignment="1"/>
    <xf numFmtId="164" fontId="2" fillId="0" borderId="35" xfId="0" applyNumberFormat="1" applyFont="1" applyFill="1" applyBorder="1" applyAlignment="1"/>
    <xf numFmtId="0" fontId="0" fillId="13" borderId="31" xfId="0" applyFill="1" applyBorder="1"/>
    <xf numFmtId="0" fontId="0" fillId="0" borderId="31" xfId="0" applyFill="1" applyBorder="1"/>
    <xf numFmtId="164" fontId="3" fillId="0" borderId="31" xfId="0" applyNumberFormat="1" applyFont="1" applyBorder="1"/>
    <xf numFmtId="0" fontId="0" fillId="0" borderId="31" xfId="0" applyFill="1" applyBorder="1" applyAlignment="1"/>
    <xf numFmtId="0" fontId="0" fillId="0" borderId="36" xfId="0" applyFill="1" applyBorder="1"/>
    <xf numFmtId="0" fontId="11" fillId="13" borderId="0" xfId="0" applyFont="1" applyFill="1" applyBorder="1" applyAlignment="1">
      <alignment vertical="center" wrapText="1"/>
    </xf>
    <xf numFmtId="0" fontId="11" fillId="13" borderId="31" xfId="0" applyFont="1" applyFill="1" applyBorder="1" applyAlignment="1">
      <alignment vertical="center" wrapText="1"/>
    </xf>
    <xf numFmtId="0" fontId="26" fillId="13" borderId="31" xfId="0" applyFont="1" applyFill="1" applyBorder="1" applyAlignment="1">
      <alignment vertical="center" wrapText="1"/>
    </xf>
    <xf numFmtId="164" fontId="5" fillId="13" borderId="0" xfId="0" applyNumberFormat="1" applyFont="1" applyFill="1" applyBorder="1" applyAlignment="1">
      <alignment vertical="center" wrapText="1"/>
    </xf>
    <xf numFmtId="0" fontId="0" fillId="13" borderId="0" xfId="0" applyFill="1"/>
    <xf numFmtId="0" fontId="2" fillId="0" borderId="33" xfId="0" applyNumberFormat="1" applyFont="1" applyFill="1" applyBorder="1" applyAlignment="1"/>
    <xf numFmtId="0" fontId="27" fillId="13" borderId="44" xfId="0" applyFont="1" applyFill="1" applyBorder="1" applyAlignment="1">
      <alignment horizontal="center" vertical="center" wrapText="1"/>
    </xf>
    <xf numFmtId="9" fontId="9" fillId="0" borderId="0" xfId="0" applyNumberFormat="1" applyFont="1" applyAlignment="1">
      <alignment horizontal="center"/>
    </xf>
    <xf numFmtId="0" fontId="9" fillId="6" borderId="0" xfId="0" applyFont="1" applyFill="1"/>
    <xf numFmtId="0" fontId="9" fillId="6" borderId="9" xfId="0" applyFont="1" applyFill="1" applyBorder="1"/>
    <xf numFmtId="0" fontId="9" fillId="6" borderId="0" xfId="0" applyFont="1" applyFill="1" applyAlignment="1">
      <alignment horizontal="left" wrapText="1"/>
    </xf>
    <xf numFmtId="0" fontId="9" fillId="6" borderId="11" xfId="0" applyFont="1" applyFill="1" applyBorder="1" applyAlignment="1">
      <alignment horizontal="left" wrapText="1"/>
    </xf>
    <xf numFmtId="17" fontId="21" fillId="5" borderId="10" xfId="0" applyNumberFormat="1" applyFont="1" applyFill="1" applyBorder="1" applyAlignment="1"/>
    <xf numFmtId="0" fontId="31" fillId="0" borderId="0" xfId="1" applyFont="1"/>
    <xf numFmtId="0" fontId="32" fillId="0" borderId="0" xfId="1" applyFont="1"/>
    <xf numFmtId="0" fontId="32" fillId="0" borderId="0" xfId="1" applyFont="1" applyAlignment="1">
      <alignment horizontal="left"/>
    </xf>
    <xf numFmtId="0" fontId="32" fillId="0" borderId="0" xfId="1" applyFont="1" applyAlignment="1">
      <alignment horizontal="center"/>
    </xf>
    <xf numFmtId="0" fontId="33" fillId="0" borderId="45" xfId="0" applyFont="1" applyBorder="1"/>
    <xf numFmtId="0" fontId="34" fillId="6" borderId="0" xfId="0" applyFont="1" applyFill="1"/>
    <xf numFmtId="0" fontId="35" fillId="0" borderId="0" xfId="1" applyFont="1" applyFill="1"/>
    <xf numFmtId="0" fontId="35" fillId="0" borderId="0" xfId="1" applyFont="1"/>
    <xf numFmtId="0" fontId="34" fillId="0" borderId="0" xfId="0" pivotButton="1" applyFont="1"/>
    <xf numFmtId="0" fontId="34" fillId="0" borderId="0" xfId="0" applyFont="1"/>
    <xf numFmtId="0" fontId="34" fillId="6" borderId="0" xfId="0" applyFont="1" applyFill="1" applyAlignment="1">
      <alignment horizontal="left" wrapText="1"/>
    </xf>
    <xf numFmtId="0" fontId="32" fillId="0" borderId="0" xfId="1" applyFont="1" applyFill="1" applyBorder="1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NumberFormat="1" applyFont="1" applyAlignment="1">
      <alignment horizontal="center"/>
    </xf>
    <xf numFmtId="0" fontId="32" fillId="0" borderId="0" xfId="1" applyFont="1" applyAlignment="1">
      <alignment vertical="top" wrapText="1"/>
    </xf>
    <xf numFmtId="0" fontId="32" fillId="0" borderId="0" xfId="1" applyFont="1" applyBorder="1"/>
    <xf numFmtId="0" fontId="32" fillId="0" borderId="0" xfId="1" applyFont="1" applyFill="1" applyBorder="1"/>
    <xf numFmtId="9" fontId="34" fillId="0" borderId="0" xfId="2" applyFont="1" applyFill="1" applyBorder="1"/>
    <xf numFmtId="9" fontId="34" fillId="0" borderId="0" xfId="2" applyFont="1"/>
    <xf numFmtId="0" fontId="34" fillId="0" borderId="0" xfId="0" applyFont="1" applyBorder="1"/>
    <xf numFmtId="0" fontId="34" fillId="0" borderId="0" xfId="0" applyFont="1" applyAlignment="1">
      <alignment horizontal="left" indent="1"/>
    </xf>
    <xf numFmtId="0" fontId="34" fillId="0" borderId="0" xfId="0" applyFont="1" applyAlignment="1">
      <alignment horizontal="left" indent="2"/>
    </xf>
    <xf numFmtId="0" fontId="34" fillId="0" borderId="0" xfId="0" applyFont="1" applyAlignment="1">
      <alignment horizontal="center" vertical="top" wrapText="1"/>
    </xf>
    <xf numFmtId="0" fontId="34" fillId="0" borderId="0" xfId="0" pivotButton="1" applyFont="1" applyAlignment="1">
      <alignment horizontal="center" vertical="top" wrapText="1"/>
    </xf>
    <xf numFmtId="14" fontId="34" fillId="0" borderId="0" xfId="0" applyNumberFormat="1" applyFont="1"/>
    <xf numFmtId="0" fontId="37" fillId="0" borderId="4" xfId="0" applyFont="1" applyFill="1" applyBorder="1" applyAlignment="1">
      <alignment horizontal="left" vertical="center"/>
    </xf>
    <xf numFmtId="0" fontId="37" fillId="0" borderId="0" xfId="0" applyFont="1" applyFill="1" applyBorder="1" applyAlignment="1">
      <alignment horizontal="center" vertical="center"/>
    </xf>
    <xf numFmtId="0" fontId="10" fillId="0" borderId="46" xfId="0" applyFont="1" applyBorder="1" applyAlignment="1">
      <alignment horizontal="center"/>
    </xf>
    <xf numFmtId="0" fontId="36" fillId="14" borderId="47" xfId="0" applyFont="1" applyFill="1" applyBorder="1" applyAlignment="1">
      <alignment horizontal="center" vertical="center"/>
    </xf>
    <xf numFmtId="0" fontId="36" fillId="14" borderId="26" xfId="0" applyFont="1" applyFill="1" applyBorder="1" applyAlignment="1">
      <alignment horizontal="center" vertical="center"/>
    </xf>
    <xf numFmtId="0" fontId="36" fillId="14" borderId="48" xfId="0" applyFont="1" applyFill="1" applyBorder="1" applyAlignment="1">
      <alignment vertical="center"/>
    </xf>
    <xf numFmtId="0" fontId="36" fillId="14" borderId="11" xfId="0" applyFont="1" applyFill="1" applyBorder="1" applyAlignment="1">
      <alignment horizontal="center" vertical="center" wrapText="1"/>
    </xf>
    <xf numFmtId="0" fontId="14" fillId="0" borderId="46" xfId="0" applyFont="1" applyFill="1" applyBorder="1" applyAlignment="1">
      <alignment horizontal="center" vertical="center" wrapText="1"/>
    </xf>
    <xf numFmtId="0" fontId="3" fillId="15" borderId="4" xfId="0" applyFont="1" applyFill="1" applyBorder="1" applyAlignment="1">
      <alignment horizontal="center" vertical="center" wrapText="1"/>
    </xf>
    <xf numFmtId="0" fontId="38" fillId="15" borderId="49" xfId="0" applyFont="1" applyFill="1" applyBorder="1" applyAlignment="1">
      <alignment horizontal="left" vertical="center"/>
    </xf>
    <xf numFmtId="0" fontId="38" fillId="15" borderId="50" xfId="0" applyFont="1" applyFill="1" applyBorder="1" applyAlignment="1">
      <alignment horizontal="right" vertical="center"/>
    </xf>
    <xf numFmtId="0" fontId="38" fillId="15" borderId="50" xfId="0" applyFont="1" applyFill="1" applyBorder="1" applyAlignment="1">
      <alignment horizontal="right" vertical="center" wrapText="1"/>
    </xf>
    <xf numFmtId="0" fontId="39" fillId="15" borderId="0" xfId="0" applyFont="1" applyFill="1" applyBorder="1" applyAlignment="1">
      <alignment horizontal="center" vertical="center"/>
    </xf>
    <xf numFmtId="0" fontId="10" fillId="15" borderId="46" xfId="0" applyFont="1" applyFill="1" applyBorder="1" applyAlignment="1">
      <alignment horizontal="center"/>
    </xf>
    <xf numFmtId="0" fontId="0" fillId="15" borderId="0" xfId="0" applyFill="1"/>
    <xf numFmtId="0" fontId="3" fillId="0" borderId="51" xfId="0" applyFont="1" applyFill="1" applyBorder="1" applyAlignment="1">
      <alignment vertical="center" wrapText="1"/>
    </xf>
    <xf numFmtId="0" fontId="38" fillId="16" borderId="48" xfId="0" applyFont="1" applyFill="1" applyBorder="1" applyAlignment="1">
      <alignment vertical="center"/>
    </xf>
    <xf numFmtId="0" fontId="38" fillId="0" borderId="52" xfId="0" applyFont="1" applyFill="1" applyBorder="1" applyAlignment="1">
      <alignment vertical="center" wrapText="1"/>
    </xf>
    <xf numFmtId="0" fontId="39" fillId="0" borderId="53" xfId="0" applyFont="1" applyFill="1" applyBorder="1" applyAlignment="1">
      <alignment vertical="center" wrapText="1"/>
    </xf>
    <xf numFmtId="0" fontId="38" fillId="17" borderId="53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vertical="center" wrapText="1"/>
    </xf>
    <xf numFmtId="0" fontId="38" fillId="0" borderId="54" xfId="0" applyFont="1" applyFill="1" applyBorder="1" applyAlignment="1">
      <alignment vertical="center"/>
    </xf>
    <xf numFmtId="0" fontId="38" fillId="0" borderId="55" xfId="0" applyFont="1" applyFill="1" applyBorder="1" applyAlignment="1">
      <alignment vertical="center" wrapText="1"/>
    </xf>
    <xf numFmtId="0" fontId="39" fillId="17" borderId="55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vertical="center" wrapText="1"/>
    </xf>
    <xf numFmtId="0" fontId="38" fillId="0" borderId="56" xfId="0" applyFont="1" applyBorder="1" applyAlignment="1">
      <alignment vertical="center" wrapText="1"/>
    </xf>
    <xf numFmtId="0" fontId="38" fillId="0" borderId="57" xfId="0" applyFont="1" applyFill="1" applyBorder="1" applyAlignment="1">
      <alignment vertical="center" wrapText="1"/>
    </xf>
    <xf numFmtId="0" fontId="39" fillId="17" borderId="27" xfId="0" applyFont="1" applyFill="1" applyBorder="1" applyAlignment="1">
      <alignment horizontal="center" vertical="center"/>
    </xf>
    <xf numFmtId="0" fontId="38" fillId="6" borderId="52" xfId="0" applyFont="1" applyFill="1" applyBorder="1" applyAlignment="1">
      <alignment vertical="center"/>
    </xf>
    <xf numFmtId="0" fontId="38" fillId="0" borderId="52" xfId="0" applyFont="1" applyBorder="1" applyAlignment="1">
      <alignment vertical="center"/>
    </xf>
    <xf numFmtId="0" fontId="39" fillId="18" borderId="52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8" fillId="6" borderId="58" xfId="0" applyFont="1" applyFill="1" applyBorder="1" applyAlignment="1">
      <alignment vertical="center"/>
    </xf>
    <xf numFmtId="0" fontId="38" fillId="0" borderId="58" xfId="0" applyFont="1" applyFill="1" applyBorder="1" applyAlignment="1">
      <alignment vertical="center" wrapText="1"/>
    </xf>
    <xf numFmtId="0" fontId="39" fillId="18" borderId="58" xfId="0" applyFont="1" applyFill="1" applyBorder="1" applyAlignment="1">
      <alignment horizontal="center" vertical="center"/>
    </xf>
    <xf numFmtId="0" fontId="38" fillId="6" borderId="54" xfId="0" applyFont="1" applyFill="1" applyBorder="1" applyAlignment="1">
      <alignment vertical="center"/>
    </xf>
    <xf numFmtId="0" fontId="38" fillId="0" borderId="54" xfId="0" applyFont="1" applyBorder="1" applyAlignment="1">
      <alignment vertical="center"/>
    </xf>
    <xf numFmtId="0" fontId="40" fillId="0" borderId="54" xfId="0" applyFont="1" applyFill="1" applyBorder="1" applyAlignment="1">
      <alignment vertical="center" wrapText="1"/>
    </xf>
    <xf numFmtId="0" fontId="39" fillId="18" borderId="54" xfId="0" applyFont="1" applyFill="1" applyBorder="1" applyAlignment="1">
      <alignment horizontal="center" vertical="center"/>
    </xf>
    <xf numFmtId="0" fontId="38" fillId="0" borderId="54" xfId="0" applyFont="1" applyFill="1" applyBorder="1" applyAlignment="1">
      <alignment vertical="center" wrapText="1"/>
    </xf>
    <xf numFmtId="0" fontId="38" fillId="18" borderId="54" xfId="0" applyFont="1" applyFill="1" applyBorder="1" applyAlignment="1">
      <alignment horizontal="center" vertical="center"/>
    </xf>
    <xf numFmtId="0" fontId="38" fillId="0" borderId="54" xfId="0" applyFont="1" applyBorder="1" applyAlignment="1">
      <alignment vertical="center" wrapText="1"/>
    </xf>
    <xf numFmtId="0" fontId="38" fillId="17" borderId="54" xfId="0" applyFont="1" applyFill="1" applyBorder="1" applyAlignment="1">
      <alignment horizontal="center" vertical="center"/>
    </xf>
    <xf numFmtId="0" fontId="38" fillId="19" borderId="54" xfId="0" applyFont="1" applyFill="1" applyBorder="1" applyAlignment="1">
      <alignment vertical="center"/>
    </xf>
    <xf numFmtId="0" fontId="38" fillId="0" borderId="56" xfId="0" applyFont="1" applyFill="1" applyBorder="1" applyAlignment="1">
      <alignment vertical="center" wrapText="1"/>
    </xf>
    <xf numFmtId="0" fontId="38" fillId="16" borderId="56" xfId="0" applyFont="1" applyFill="1" applyBorder="1" applyAlignment="1">
      <alignment vertical="center"/>
    </xf>
    <xf numFmtId="0" fontId="39" fillId="17" borderId="58" xfId="0" applyFont="1" applyFill="1" applyBorder="1" applyAlignment="1">
      <alignment horizontal="center" vertical="center"/>
    </xf>
    <xf numFmtId="0" fontId="3" fillId="0" borderId="59" xfId="0" applyFont="1" applyBorder="1" applyAlignment="1">
      <alignment vertical="center" wrapText="1"/>
    </xf>
    <xf numFmtId="0" fontId="38" fillId="16" borderId="53" xfId="0" applyFont="1" applyFill="1" applyBorder="1" applyAlignment="1">
      <alignment vertical="center"/>
    </xf>
    <xf numFmtId="0" fontId="39" fillId="0" borderId="52" xfId="0" applyFont="1" applyBorder="1" applyAlignment="1">
      <alignment vertical="center" wrapText="1"/>
    </xf>
    <xf numFmtId="0" fontId="38" fillId="0" borderId="60" xfId="0" applyFont="1" applyFill="1" applyBorder="1" applyAlignment="1">
      <alignment vertical="center" wrapText="1"/>
    </xf>
    <xf numFmtId="0" fontId="39" fillId="17" borderId="61" xfId="0" applyFont="1" applyFill="1" applyBorder="1" applyAlignment="1">
      <alignment horizontal="center" vertical="center"/>
    </xf>
    <xf numFmtId="0" fontId="3" fillId="0" borderId="62" xfId="0" applyFont="1" applyBorder="1" applyAlignment="1">
      <alignment vertical="center" wrapText="1"/>
    </xf>
    <xf numFmtId="0" fontId="38" fillId="16" borderId="55" xfId="0" applyFont="1" applyFill="1" applyBorder="1" applyAlignment="1">
      <alignment vertical="center"/>
    </xf>
    <xf numFmtId="0" fontId="39" fillId="0" borderId="56" xfId="0" applyFont="1" applyFill="1" applyBorder="1" applyAlignment="1">
      <alignment vertical="center" wrapText="1"/>
    </xf>
    <xf numFmtId="0" fontId="38" fillId="18" borderId="56" xfId="0" applyFont="1" applyFill="1" applyBorder="1" applyAlignment="1">
      <alignment horizontal="center" vertical="center" wrapText="1"/>
    </xf>
    <xf numFmtId="0" fontId="3" fillId="0" borderId="63" xfId="0" applyFont="1" applyBorder="1" applyAlignment="1">
      <alignment vertical="center" wrapText="1"/>
    </xf>
    <xf numFmtId="0" fontId="38" fillId="6" borderId="57" xfId="0" applyFont="1" applyFill="1" applyBorder="1" applyAlignment="1">
      <alignment vertical="center"/>
    </xf>
    <xf numFmtId="0" fontId="39" fillId="0" borderId="56" xfId="0" applyFont="1" applyFill="1" applyBorder="1" applyAlignment="1">
      <alignment vertical="center"/>
    </xf>
    <xf numFmtId="0" fontId="0" fillId="0" borderId="52" xfId="0" applyBorder="1" applyAlignment="1">
      <alignment vertical="center"/>
    </xf>
    <xf numFmtId="0" fontId="39" fillId="17" borderId="52" xfId="0" applyFont="1" applyFill="1" applyBorder="1" applyAlignment="1">
      <alignment horizontal="center" vertical="center"/>
    </xf>
    <xf numFmtId="0" fontId="3" fillId="0" borderId="59" xfId="0" applyFont="1" applyFill="1" applyBorder="1" applyAlignment="1">
      <alignment vertical="center" wrapText="1"/>
    </xf>
    <xf numFmtId="0" fontId="39" fillId="0" borderId="11" xfId="0" applyFont="1" applyFill="1" applyBorder="1" applyAlignment="1">
      <alignment vertical="center"/>
    </xf>
    <xf numFmtId="0" fontId="38" fillId="0" borderId="48" xfId="0" applyFont="1" applyFill="1" applyBorder="1" applyAlignment="1">
      <alignment vertical="center" wrapText="1"/>
    </xf>
    <xf numFmtId="0" fontId="40" fillId="0" borderId="54" xfId="0" applyFont="1" applyBorder="1" applyAlignment="1">
      <alignment vertical="center"/>
    </xf>
    <xf numFmtId="0" fontId="39" fillId="17" borderId="54" xfId="0" applyFont="1" applyFill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3" fillId="0" borderId="62" xfId="0" applyFont="1" applyFill="1" applyBorder="1" applyAlignment="1">
      <alignment vertical="center" wrapText="1"/>
    </xf>
    <xf numFmtId="0" fontId="39" fillId="0" borderId="53" xfId="0" applyFont="1" applyFill="1" applyBorder="1" applyAlignment="1">
      <alignment vertical="center"/>
    </xf>
    <xf numFmtId="0" fontId="38" fillId="0" borderId="52" xfId="0" applyFont="1" applyBorder="1" applyAlignment="1">
      <alignment vertical="center" wrapText="1"/>
    </xf>
    <xf numFmtId="0" fontId="39" fillId="0" borderId="55" xfId="0" applyFont="1" applyFill="1" applyBorder="1" applyAlignment="1">
      <alignment vertical="center"/>
    </xf>
    <xf numFmtId="0" fontId="39" fillId="0" borderId="54" xfId="0" applyFont="1" applyBorder="1" applyAlignment="1">
      <alignment vertical="center" wrapText="1"/>
    </xf>
    <xf numFmtId="0" fontId="38" fillId="0" borderId="55" xfId="0" applyFont="1" applyBorder="1" applyAlignment="1">
      <alignment vertical="center"/>
    </xf>
    <xf numFmtId="0" fontId="39" fillId="17" borderId="50" xfId="0" applyFont="1" applyFill="1" applyBorder="1" applyAlignment="1">
      <alignment horizontal="center" vertical="center"/>
    </xf>
    <xf numFmtId="0" fontId="38" fillId="0" borderId="55" xfId="0" applyFont="1" applyFill="1" applyBorder="1" applyAlignment="1">
      <alignment vertical="center"/>
    </xf>
    <xf numFmtId="0" fontId="39" fillId="0" borderId="56" xfId="0" applyFont="1" applyBorder="1" applyAlignment="1">
      <alignment vertical="center" wrapText="1"/>
    </xf>
    <xf numFmtId="0" fontId="3" fillId="0" borderId="63" xfId="0" applyFont="1" applyFill="1" applyBorder="1" applyAlignment="1">
      <alignment vertical="center" wrapText="1"/>
    </xf>
    <xf numFmtId="0" fontId="38" fillId="0" borderId="57" xfId="0" applyFont="1" applyBorder="1" applyAlignment="1">
      <alignment vertical="center"/>
    </xf>
    <xf numFmtId="0" fontId="38" fillId="0" borderId="56" xfId="0" applyFont="1" applyBorder="1" applyAlignment="1">
      <alignment vertical="center"/>
    </xf>
    <xf numFmtId="0" fontId="39" fillId="0" borderId="48" xfId="0" applyFont="1" applyBorder="1" applyAlignment="1">
      <alignment vertical="center" wrapText="1"/>
    </xf>
    <xf numFmtId="0" fontId="39" fillId="17" borderId="56" xfId="0" applyFont="1" applyFill="1" applyBorder="1" applyAlignment="1">
      <alignment horizontal="center" vertical="center"/>
    </xf>
    <xf numFmtId="0" fontId="38" fillId="0" borderId="53" xfId="0" applyFont="1" applyBorder="1" applyAlignment="1">
      <alignment vertical="center"/>
    </xf>
    <xf numFmtId="0" fontId="38" fillId="18" borderId="52" xfId="0" applyFont="1" applyFill="1" applyBorder="1" applyAlignment="1">
      <alignment horizontal="center" vertical="center" wrapText="1"/>
    </xf>
    <xf numFmtId="0" fontId="38" fillId="0" borderId="57" xfId="0" applyFont="1" applyFill="1" applyBorder="1" applyAlignment="1">
      <alignment vertical="center"/>
    </xf>
    <xf numFmtId="0" fontId="38" fillId="18" borderId="54" xfId="0" applyFont="1" applyFill="1" applyBorder="1" applyAlignment="1">
      <alignment horizontal="center" vertical="center" wrapText="1"/>
    </xf>
    <xf numFmtId="0" fontId="3" fillId="0" borderId="47" xfId="0" applyFont="1" applyFill="1" applyBorder="1" applyAlignment="1">
      <alignment horizontal="center" vertical="center"/>
    </xf>
    <xf numFmtId="0" fontId="38" fillId="16" borderId="11" xfId="0" applyFont="1" applyFill="1" applyBorder="1" applyAlignment="1">
      <alignment vertical="center"/>
    </xf>
    <xf numFmtId="0" fontId="38" fillId="0" borderId="53" xfId="0" applyFont="1" applyFill="1" applyBorder="1" applyAlignment="1">
      <alignment vertical="center"/>
    </xf>
    <xf numFmtId="0" fontId="38" fillId="0" borderId="50" xfId="0" applyFont="1" applyFill="1" applyBorder="1" applyAlignment="1">
      <alignment vertical="center" wrapText="1"/>
    </xf>
    <xf numFmtId="0" fontId="39" fillId="17" borderId="0" xfId="0" applyFont="1" applyFill="1" applyBorder="1" applyAlignment="1">
      <alignment horizontal="center" vertical="center"/>
    </xf>
    <xf numFmtId="0" fontId="38" fillId="0" borderId="56" xfId="0" applyFont="1" applyFill="1" applyBorder="1" applyAlignment="1">
      <alignment vertical="center"/>
    </xf>
    <xf numFmtId="0" fontId="14" fillId="15" borderId="46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 vertical="center"/>
    </xf>
    <xf numFmtId="0" fontId="38" fillId="0" borderId="54" xfId="0" applyFont="1" applyFill="1" applyBorder="1" applyAlignment="1">
      <alignment horizontal="left" vertical="center"/>
    </xf>
    <xf numFmtId="0" fontId="14" fillId="0" borderId="46" xfId="0" applyFont="1" applyBorder="1" applyAlignment="1">
      <alignment horizontal="center"/>
    </xf>
    <xf numFmtId="0" fontId="38" fillId="6" borderId="54" xfId="0" applyFont="1" applyFill="1" applyBorder="1" applyAlignment="1">
      <alignment horizontal="left" vertical="center"/>
    </xf>
    <xf numFmtId="0" fontId="38" fillId="0" borderId="54" xfId="0" applyFont="1" applyBorder="1" applyAlignment="1">
      <alignment horizontal="left" vertical="center"/>
    </xf>
    <xf numFmtId="0" fontId="39" fillId="0" borderId="54" xfId="0" applyFont="1" applyBorder="1" applyAlignment="1">
      <alignment horizontal="left" vertical="center"/>
    </xf>
    <xf numFmtId="0" fontId="39" fillId="0" borderId="54" xfId="0" applyFont="1" applyBorder="1" applyAlignment="1">
      <alignment vertical="center"/>
    </xf>
    <xf numFmtId="0" fontId="38" fillId="16" borderId="54" xfId="0" applyFont="1" applyFill="1" applyBorder="1" applyAlignment="1">
      <alignment horizontal="left" vertical="center"/>
    </xf>
    <xf numFmtId="0" fontId="9" fillId="16" borderId="54" xfId="0" applyFont="1" applyFill="1" applyBorder="1" applyAlignment="1">
      <alignment vertical="center" wrapText="1"/>
    </xf>
    <xf numFmtId="0" fontId="3" fillId="20" borderId="27" xfId="0" applyFont="1" applyFill="1" applyBorder="1" applyAlignment="1">
      <alignment horizontal="center" vertical="center"/>
    </xf>
    <xf numFmtId="0" fontId="3" fillId="20" borderId="4" xfId="0" applyFont="1" applyFill="1" applyBorder="1" applyAlignment="1">
      <alignment horizontal="center" vertical="center"/>
    </xf>
    <xf numFmtId="0" fontId="43" fillId="6" borderId="54" xfId="0" applyFont="1" applyFill="1" applyBorder="1" applyAlignment="1">
      <alignment vertical="center" wrapText="1"/>
    </xf>
    <xf numFmtId="0" fontId="3" fillId="0" borderId="27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8" fillId="16" borderId="54" xfId="0" applyFont="1" applyFill="1" applyBorder="1" applyAlignment="1">
      <alignment vertical="center" wrapText="1"/>
    </xf>
    <xf numFmtId="0" fontId="3" fillId="0" borderId="24" xfId="0" applyFont="1" applyBorder="1" applyAlignment="1">
      <alignment horizontal="center" vertical="center"/>
    </xf>
    <xf numFmtId="0" fontId="44" fillId="0" borderId="54" xfId="0" applyFont="1" applyBorder="1" applyAlignment="1">
      <alignment vertical="center" wrapText="1"/>
    </xf>
    <xf numFmtId="0" fontId="3" fillId="20" borderId="2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8" fillId="21" borderId="54" xfId="0" applyFont="1" applyFill="1" applyBorder="1" applyAlignment="1">
      <alignment horizontal="left" vertical="center"/>
    </xf>
    <xf numFmtId="0" fontId="38" fillId="21" borderId="54" xfId="0" applyFont="1" applyFill="1" applyBorder="1" applyAlignment="1">
      <alignment vertical="center"/>
    </xf>
    <xf numFmtId="0" fontId="3" fillId="20" borderId="55" xfId="0" applyFont="1" applyFill="1" applyBorder="1" applyAlignment="1">
      <alignment horizontal="center" vertical="center"/>
    </xf>
    <xf numFmtId="0" fontId="38" fillId="0" borderId="50" xfId="0" applyFont="1" applyBorder="1" applyAlignment="1">
      <alignment horizontal="left" vertical="center"/>
    </xf>
    <xf numFmtId="0" fontId="38" fillId="0" borderId="50" xfId="0" applyFont="1" applyBorder="1" applyAlignment="1">
      <alignment vertical="center"/>
    </xf>
    <xf numFmtId="0" fontId="0" fillId="0" borderId="50" xfId="0" applyBorder="1"/>
    <xf numFmtId="0" fontId="38" fillId="0" borderId="60" xfId="0" applyFont="1" applyFill="1" applyBorder="1" applyAlignment="1">
      <alignment vertical="center"/>
    </xf>
    <xf numFmtId="0" fontId="0" fillId="0" borderId="61" xfId="0" applyBorder="1"/>
    <xf numFmtId="0" fontId="38" fillId="22" borderId="54" xfId="0" applyFont="1" applyFill="1" applyBorder="1" applyAlignment="1">
      <alignment vertical="center"/>
    </xf>
    <xf numFmtId="0" fontId="38" fillId="22" borderId="54" xfId="0" applyFont="1" applyFill="1" applyBorder="1" applyAlignment="1">
      <alignment vertical="center" wrapText="1"/>
    </xf>
    <xf numFmtId="0" fontId="38" fillId="22" borderId="60" xfId="0" applyFont="1" applyFill="1" applyBorder="1" applyAlignment="1">
      <alignment vertical="center"/>
    </xf>
    <xf numFmtId="0" fontId="0" fillId="0" borderId="58" xfId="0" applyBorder="1"/>
    <xf numFmtId="0" fontId="10" fillId="0" borderId="0" xfId="0" applyFont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0" fillId="12" borderId="8" xfId="0" applyFill="1" applyBorder="1" applyAlignment="1">
      <alignment horizontal="center" vertical="center" wrapText="1"/>
    </xf>
    <xf numFmtId="0" fontId="0" fillId="12" borderId="7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12" borderId="27" xfId="0" applyFill="1" applyBorder="1" applyAlignment="1">
      <alignment horizontal="center" wrapText="1"/>
    </xf>
    <xf numFmtId="0" fontId="0" fillId="12" borderId="28" xfId="0" applyFill="1" applyBorder="1" applyAlignment="1">
      <alignment horizontal="center" wrapText="1"/>
    </xf>
    <xf numFmtId="0" fontId="0" fillId="12" borderId="4" xfId="0" applyFill="1" applyBorder="1" applyAlignment="1">
      <alignment horizontal="center" wrapText="1"/>
    </xf>
    <xf numFmtId="0" fontId="0" fillId="12" borderId="5" xfId="0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24" fillId="0" borderId="4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left" vertical="center" wrapText="1"/>
    </xf>
    <xf numFmtId="164" fontId="2" fillId="2" borderId="4" xfId="0" applyNumberFormat="1" applyFont="1" applyFill="1" applyBorder="1" applyAlignment="1">
      <alignment horizontal="center"/>
    </xf>
    <xf numFmtId="164" fontId="2" fillId="2" borderId="5" xfId="0" applyNumberFormat="1" applyFont="1" applyFill="1" applyBorder="1" applyAlignment="1">
      <alignment horizontal="center"/>
    </xf>
    <xf numFmtId="164" fontId="2" fillId="7" borderId="8" xfId="0" applyNumberFormat="1" applyFont="1" applyFill="1" applyBorder="1" applyAlignment="1">
      <alignment horizontal="center"/>
    </xf>
    <xf numFmtId="164" fontId="2" fillId="7" borderId="7" xfId="0" applyNumberFormat="1" applyFont="1" applyFill="1" applyBorder="1" applyAlignment="1">
      <alignment horizontal="center"/>
    </xf>
    <xf numFmtId="164" fontId="29" fillId="13" borderId="0" xfId="0" applyNumberFormat="1" applyFont="1" applyFill="1" applyBorder="1" applyAlignment="1">
      <alignment horizontal="center" vertical="center" wrapText="1"/>
    </xf>
    <xf numFmtId="0" fontId="28" fillId="13" borderId="33" xfId="0" applyFont="1" applyFill="1" applyBorder="1" applyAlignment="1">
      <alignment horizontal="left" vertical="center" wrapText="1"/>
    </xf>
    <xf numFmtId="0" fontId="28" fillId="13" borderId="0" xfId="0" applyFont="1" applyFill="1" applyBorder="1" applyAlignment="1">
      <alignment horizontal="left" vertical="center" wrapText="1"/>
    </xf>
    <xf numFmtId="0" fontId="29" fillId="13" borderId="33" xfId="0" applyFont="1" applyFill="1" applyBorder="1" applyAlignment="1">
      <alignment horizontal="left" vertical="center" wrapText="1"/>
    </xf>
    <xf numFmtId="0" fontId="29" fillId="13" borderId="0" xfId="0" applyFont="1" applyFill="1" applyBorder="1" applyAlignment="1">
      <alignment horizontal="left" vertical="center" wrapText="1"/>
    </xf>
    <xf numFmtId="0" fontId="2" fillId="4" borderId="4" xfId="0" applyNumberFormat="1" applyFont="1" applyFill="1" applyBorder="1" applyAlignment="1">
      <alignment horizontal="center"/>
    </xf>
    <xf numFmtId="0" fontId="2" fillId="4" borderId="5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164" fontId="2" fillId="7" borderId="24" xfId="0" applyNumberFormat="1" applyFont="1" applyFill="1" applyBorder="1" applyAlignment="1">
      <alignment horizontal="center"/>
    </xf>
    <xf numFmtId="164" fontId="2" fillId="7" borderId="25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4" borderId="1" xfId="0" applyNumberFormat="1" applyFont="1" applyFill="1" applyBorder="1" applyAlignment="1">
      <alignment horizontal="center"/>
    </xf>
    <xf numFmtId="0" fontId="2" fillId="4" borderId="3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0" fontId="0" fillId="12" borderId="1" xfId="0" applyFill="1" applyBorder="1" applyAlignment="1">
      <alignment horizontal="center" wrapText="1"/>
    </xf>
    <xf numFmtId="0" fontId="0" fillId="12" borderId="3" xfId="0" applyFill="1" applyBorder="1" applyAlignment="1">
      <alignment horizontal="center" wrapText="1"/>
    </xf>
    <xf numFmtId="0" fontId="0" fillId="0" borderId="5" xfId="0" applyBorder="1"/>
    <xf numFmtId="0" fontId="2" fillId="4" borderId="23" xfId="0" applyNumberFormat="1" applyFont="1" applyFill="1" applyBorder="1" applyAlignment="1">
      <alignment horizontal="center"/>
    </xf>
    <xf numFmtId="164" fontId="2" fillId="2" borderId="23" xfId="0" applyNumberFormat="1" applyFont="1" applyFill="1" applyBorder="1" applyAlignment="1">
      <alignment horizontal="center"/>
    </xf>
    <xf numFmtId="9" fontId="15" fillId="10" borderId="41" xfId="0" applyNumberFormat="1" applyFont="1" applyFill="1" applyBorder="1" applyAlignment="1">
      <alignment horizontal="left" vertical="center"/>
    </xf>
    <xf numFmtId="9" fontId="15" fillId="10" borderId="32" xfId="0" applyNumberFormat="1" applyFont="1" applyFill="1" applyBorder="1" applyAlignment="1">
      <alignment horizontal="left" vertical="center"/>
    </xf>
    <xf numFmtId="0" fontId="11" fillId="11" borderId="20" xfId="0" applyFont="1" applyFill="1" applyBorder="1" applyAlignment="1">
      <alignment horizontal="left" vertical="center"/>
    </xf>
    <xf numFmtId="0" fontId="0" fillId="11" borderId="20" xfId="0" applyFont="1" applyFill="1" applyBorder="1" applyAlignment="1">
      <alignment horizontal="center" vertical="center" wrapText="1"/>
    </xf>
    <xf numFmtId="0" fontId="0" fillId="11" borderId="32" xfId="0" applyFont="1" applyFill="1" applyBorder="1" applyAlignment="1">
      <alignment horizontal="center" vertical="center" wrapText="1"/>
    </xf>
    <xf numFmtId="0" fontId="0" fillId="0" borderId="3" xfId="0" applyFont="1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164" fontId="2" fillId="7" borderId="4" xfId="0" applyNumberFormat="1" applyFont="1" applyFill="1" applyBorder="1" applyAlignment="1">
      <alignment horizontal="center"/>
    </xf>
    <xf numFmtId="164" fontId="2" fillId="7" borderId="5" xfId="0" applyNumberFormat="1" applyFont="1" applyFill="1" applyBorder="1" applyAlignment="1">
      <alignment horizontal="center"/>
    </xf>
    <xf numFmtId="0" fontId="18" fillId="5" borderId="1" xfId="0" applyFont="1" applyFill="1" applyBorder="1" applyAlignment="1">
      <alignment horizontal="center" vertical="center"/>
    </xf>
    <xf numFmtId="0" fontId="18" fillId="5" borderId="4" xfId="0" applyFont="1" applyFill="1" applyBorder="1" applyAlignment="1">
      <alignment horizontal="center" vertical="center"/>
    </xf>
    <xf numFmtId="0" fontId="11" fillId="3" borderId="41" xfId="0" applyFont="1" applyFill="1" applyBorder="1" applyAlignment="1">
      <alignment horizontal="left" vertical="center"/>
    </xf>
    <xf numFmtId="0" fontId="11" fillId="3" borderId="20" xfId="0" applyFont="1" applyFill="1" applyBorder="1" applyAlignment="1">
      <alignment horizontal="left" vertical="center"/>
    </xf>
    <xf numFmtId="0" fontId="11" fillId="3" borderId="32" xfId="0" applyFont="1" applyFill="1" applyBorder="1" applyAlignment="1">
      <alignment horizontal="left" vertical="center"/>
    </xf>
    <xf numFmtId="0" fontId="16" fillId="9" borderId="38" xfId="0" applyFont="1" applyFill="1" applyBorder="1" applyAlignment="1">
      <alignment horizontal="left" vertical="center"/>
    </xf>
    <xf numFmtId="0" fontId="16" fillId="9" borderId="39" xfId="0" applyFont="1" applyFill="1" applyBorder="1" applyAlignment="1">
      <alignment horizontal="left" vertical="center"/>
    </xf>
    <xf numFmtId="0" fontId="16" fillId="9" borderId="40" xfId="0" applyFont="1" applyFill="1" applyBorder="1" applyAlignment="1">
      <alignment horizontal="left" vertical="center"/>
    </xf>
    <xf numFmtId="164" fontId="19" fillId="7" borderId="4" xfId="0" applyNumberFormat="1" applyFont="1" applyFill="1" applyBorder="1" applyAlignment="1">
      <alignment horizontal="center"/>
    </xf>
    <xf numFmtId="164" fontId="19" fillId="7" borderId="0" xfId="0" applyNumberFormat="1" applyFont="1" applyFill="1" applyBorder="1" applyAlignment="1">
      <alignment horizontal="center"/>
    </xf>
    <xf numFmtId="164" fontId="19" fillId="7" borderId="5" xfId="0" applyNumberFormat="1" applyFont="1" applyFill="1" applyBorder="1" applyAlignment="1">
      <alignment horizontal="center"/>
    </xf>
    <xf numFmtId="164" fontId="19" fillId="2" borderId="4" xfId="0" applyNumberFormat="1" applyFont="1" applyFill="1" applyBorder="1" applyAlignment="1">
      <alignment horizontal="center"/>
    </xf>
    <xf numFmtId="164" fontId="19" fillId="2" borderId="0" xfId="0" applyNumberFormat="1" applyFont="1" applyFill="1" applyBorder="1" applyAlignment="1">
      <alignment horizontal="center"/>
    </xf>
    <xf numFmtId="164" fontId="19" fillId="2" borderId="5" xfId="0" applyNumberFormat="1" applyFont="1" applyFill="1" applyBorder="1" applyAlignment="1">
      <alignment horizontal="center"/>
    </xf>
    <xf numFmtId="0" fontId="19" fillId="4" borderId="4" xfId="0" applyNumberFormat="1" applyFont="1" applyFill="1" applyBorder="1" applyAlignment="1">
      <alignment horizontal="center"/>
    </xf>
    <xf numFmtId="0" fontId="19" fillId="4" borderId="0" xfId="0" applyNumberFormat="1" applyFont="1" applyFill="1" applyBorder="1" applyAlignment="1">
      <alignment horizontal="center"/>
    </xf>
    <xf numFmtId="0" fontId="19" fillId="4" borderId="5" xfId="0" applyNumberFormat="1" applyFont="1" applyFill="1" applyBorder="1" applyAlignment="1">
      <alignment horizontal="center"/>
    </xf>
    <xf numFmtId="0" fontId="17" fillId="0" borderId="1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17" fillId="0" borderId="3" xfId="0" applyFont="1" applyFill="1" applyBorder="1" applyAlignment="1">
      <alignment horizontal="center"/>
    </xf>
    <xf numFmtId="0" fontId="11" fillId="8" borderId="20" xfId="0" applyFont="1" applyFill="1" applyBorder="1" applyAlignment="1">
      <alignment horizontal="left" vertical="center"/>
    </xf>
    <xf numFmtId="0" fontId="11" fillId="8" borderId="32" xfId="0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2" fillId="4" borderId="11" xfId="0" applyNumberFormat="1" applyFont="1" applyFill="1" applyBorder="1" applyAlignment="1">
      <alignment horizontal="center"/>
    </xf>
    <xf numFmtId="0" fontId="2" fillId="4" borderId="10" xfId="0" applyNumberFormat="1" applyFont="1" applyFill="1" applyBorder="1" applyAlignment="1">
      <alignment horizontal="center"/>
    </xf>
    <xf numFmtId="0" fontId="2" fillId="4" borderId="9" xfId="0" applyNumberFormat="1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7" fillId="0" borderId="10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20" fillId="5" borderId="1" xfId="0" applyFont="1" applyFill="1" applyBorder="1" applyAlignment="1">
      <alignment horizontal="left" vertical="center"/>
    </xf>
    <xf numFmtId="0" fontId="20" fillId="5" borderId="2" xfId="0" applyFont="1" applyFill="1" applyBorder="1" applyAlignment="1">
      <alignment horizontal="left" vertical="center"/>
    </xf>
    <xf numFmtId="0" fontId="20" fillId="5" borderId="8" xfId="0" applyFont="1" applyFill="1" applyBorder="1" applyAlignment="1">
      <alignment horizontal="left" vertical="center"/>
    </xf>
    <xf numFmtId="0" fontId="20" fillId="5" borderId="6" xfId="0" applyFont="1" applyFill="1" applyBorder="1" applyAlignment="1">
      <alignment horizontal="left" vertical="center"/>
    </xf>
    <xf numFmtId="0" fontId="30" fillId="5" borderId="2" xfId="0" applyFont="1" applyFill="1" applyBorder="1" applyAlignment="1">
      <alignment horizontal="left" vertical="center" wrapText="1"/>
    </xf>
    <xf numFmtId="0" fontId="30" fillId="5" borderId="3" xfId="0" applyFont="1" applyFill="1" applyBorder="1" applyAlignment="1">
      <alignment horizontal="left" vertical="center" wrapText="1"/>
    </xf>
    <xf numFmtId="0" fontId="30" fillId="5" borderId="6" xfId="0" applyFont="1" applyFill="1" applyBorder="1" applyAlignment="1">
      <alignment horizontal="left" vertical="center" wrapText="1"/>
    </xf>
    <xf numFmtId="0" fontId="30" fillId="5" borderId="7" xfId="0" applyFont="1" applyFill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4" xfId="0" applyFont="1" applyBorder="1" applyAlignment="1">
      <alignment horizontal="center" vertical="center" wrapText="1"/>
    </xf>
    <xf numFmtId="0" fontId="24" fillId="0" borderId="35" xfId="0" applyFont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0" fillId="0" borderId="27" xfId="0" applyBorder="1" applyAlignment="1">
      <alignment horizontal="center" wrapText="1"/>
    </xf>
    <xf numFmtId="0" fontId="0" fillId="0" borderId="28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7" xfId="0" applyBorder="1"/>
    <xf numFmtId="0" fontId="0" fillId="0" borderId="3" xfId="0" applyBorder="1"/>
    <xf numFmtId="0" fontId="3" fillId="0" borderId="59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</cellXfs>
  <cellStyles count="3">
    <cellStyle name="Normal" xfId="0" builtinId="0"/>
    <cellStyle name="Normal 2" xfId="1"/>
    <cellStyle name="Percent 2" xfId="2"/>
  </cellStyles>
  <dxfs count="109">
    <dxf>
      <alignment vertical="bottom" readingOrder="0"/>
    </dxf>
    <dxf>
      <alignment horizontal="left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readingOrder="0"/>
    </dxf>
    <dxf>
      <alignment vertical="top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top" wrapText="1" readingOrder="0"/>
    </dxf>
    <dxf>
      <alignment vertical="top" wrapText="1" readingOrder="0"/>
    </dxf>
    <dxf>
      <alignment vertical="top" wrapText="1" readingOrder="0"/>
    </dxf>
    <dxf>
      <font>
        <sz val="8"/>
      </font>
    </dxf>
    <dxf>
      <alignment vertical="bottom" readingOrder="0"/>
    </dxf>
    <dxf>
      <alignment horizontal="left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readingOrder="0"/>
    </dxf>
    <dxf>
      <alignment vertical="top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top" wrapText="1" readingOrder="0"/>
    </dxf>
    <dxf>
      <alignment vertical="top" wrapText="1" readingOrder="0"/>
    </dxf>
    <dxf>
      <alignment vertical="top" wrapText="1" readingOrder="0"/>
    </dxf>
    <dxf>
      <font>
        <sz val="8"/>
      </font>
    </dxf>
    <dxf>
      <alignment vertical="bottom" readingOrder="0"/>
    </dxf>
    <dxf>
      <alignment horizontal="left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left" readingOrder="0"/>
    </dxf>
    <dxf>
      <alignment vertical="top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top" wrapText="1" readingOrder="0"/>
    </dxf>
    <dxf>
      <alignment vertical="top" wrapText="1" readingOrder="0"/>
    </dxf>
    <dxf>
      <alignment vertical="top" wrapText="1" readingOrder="0"/>
    </dxf>
    <dxf>
      <font>
        <sz val="8"/>
      </font>
    </dxf>
    <dxf>
      <alignment vertical="bottom" readingOrder="0"/>
    </dxf>
    <dxf>
      <alignment horizontal="left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left" readingOrder="0"/>
    </dxf>
    <dxf>
      <alignment vertical="top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top" wrapText="1" readingOrder="0"/>
    </dxf>
    <dxf>
      <alignment vertical="top" wrapText="1" readingOrder="0"/>
    </dxf>
    <dxf>
      <alignment vertical="top" wrapText="1" readingOrder="0"/>
    </dxf>
    <dxf>
      <font>
        <sz val="8"/>
      </font>
    </dxf>
    <dxf>
      <alignment vertical="bottom" readingOrder="0"/>
    </dxf>
    <dxf>
      <alignment horizontal="left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left" readingOrder="0"/>
    </dxf>
    <dxf>
      <alignment vertical="top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top" wrapText="1" readingOrder="0"/>
    </dxf>
    <dxf>
      <alignment vertical="top" wrapText="1" readingOrder="0"/>
    </dxf>
    <dxf>
      <alignment vertical="top" wrapText="1" readingOrder="0"/>
    </dxf>
    <dxf>
      <font>
        <sz val="8"/>
      </font>
    </dxf>
    <dxf>
      <alignment vertical="bottom" readingOrder="0"/>
    </dxf>
    <dxf>
      <alignment horizontal="left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left" readingOrder="0"/>
    </dxf>
    <dxf>
      <alignment vertical="top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top" wrapText="1" readingOrder="0"/>
    </dxf>
    <dxf>
      <alignment vertical="top" wrapText="1" readingOrder="0"/>
    </dxf>
    <dxf>
      <alignment vertical="top" wrapText="1" readingOrder="0"/>
    </dxf>
    <dxf>
      <font>
        <sz val="8"/>
      </font>
    </dxf>
    <dxf>
      <font>
        <sz val="8"/>
      </font>
    </dxf>
    <dxf>
      <font>
        <name val="Calibri"/>
        <scheme val="none"/>
      </font>
    </dxf>
    <dxf>
      <alignment vertical="bottom" readingOrder="0"/>
    </dxf>
    <dxf>
      <alignment horizontal="left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left" readingOrder="0"/>
    </dxf>
    <dxf>
      <alignment vertical="top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top" wrapText="1" readingOrder="0"/>
    </dxf>
    <dxf>
      <alignment vertical="top" wrapText="1" readingOrder="0"/>
    </dxf>
    <dxf>
      <alignment vertical="top" wrapText="1" readingOrder="0"/>
    </dxf>
    <dxf>
      <font>
        <sz val="8"/>
      </font>
    </dxf>
  </dxfs>
  <tableStyles count="0" defaultTableStyle="TableStyleMedium9" defaultPivotStyle="PivotStyleLight16"/>
  <colors>
    <mruColors>
      <color rgb="FFEAF1FA"/>
      <color rgb="FFBFD5EF"/>
      <color rgb="FFDAE6F6"/>
      <color rgb="FFDDE9F7"/>
      <color rgb="FFFAFAA2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532754</xdr:colOff>
      <xdr:row>32</xdr:row>
      <xdr:rowOff>0</xdr:rowOff>
    </xdr:from>
    <xdr:to>
      <xdr:col>9</xdr:col>
      <xdr:colOff>8072</xdr:colOff>
      <xdr:row>32</xdr:row>
      <xdr:rowOff>0</xdr:rowOff>
    </xdr:to>
    <xdr:cxnSp macro="">
      <xdr:nvCxnSpPr>
        <xdr:cNvPr id="5" name="Straight Connector 4"/>
        <xdr:cNvCxnSpPr/>
      </xdr:nvCxnSpPr>
      <xdr:spPr>
        <a:xfrm flipH="1">
          <a:off x="6142818" y="9597648"/>
          <a:ext cx="573114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11015</xdr:colOff>
      <xdr:row>36</xdr:row>
      <xdr:rowOff>8230</xdr:rowOff>
    </xdr:from>
    <xdr:to>
      <xdr:col>24</xdr:col>
      <xdr:colOff>534890</xdr:colOff>
      <xdr:row>36</xdr:row>
      <xdr:rowOff>8230</xdr:rowOff>
    </xdr:to>
    <xdr:cxnSp macro="">
      <xdr:nvCxnSpPr>
        <xdr:cNvPr id="12" name="Straight Connector 11"/>
        <xdr:cNvCxnSpPr/>
      </xdr:nvCxnSpPr>
      <xdr:spPr>
        <a:xfrm flipH="1">
          <a:off x="16432115" y="11171530"/>
          <a:ext cx="5238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498765</xdr:colOff>
      <xdr:row>21</xdr:row>
      <xdr:rowOff>188554</xdr:rowOff>
    </xdr:from>
    <xdr:to>
      <xdr:col>7</xdr:col>
      <xdr:colOff>793750</xdr:colOff>
      <xdr:row>22</xdr:row>
      <xdr:rowOff>0</xdr:rowOff>
    </xdr:to>
    <xdr:cxnSp macro="">
      <xdr:nvCxnSpPr>
        <xdr:cNvPr id="16" name="Straight Connector 15"/>
        <xdr:cNvCxnSpPr/>
      </xdr:nvCxnSpPr>
      <xdr:spPr>
        <a:xfrm flipH="1" flipV="1">
          <a:off x="3324515" y="6840179"/>
          <a:ext cx="2882610" cy="194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781053</xdr:colOff>
      <xdr:row>14</xdr:row>
      <xdr:rowOff>0</xdr:rowOff>
    </xdr:from>
    <xdr:to>
      <xdr:col>14</xdr:col>
      <xdr:colOff>677335</xdr:colOff>
      <xdr:row>14</xdr:row>
      <xdr:rowOff>0</xdr:rowOff>
    </xdr:to>
    <xdr:cxnSp macro="">
      <xdr:nvCxnSpPr>
        <xdr:cNvPr id="17" name="Straight Connector 16"/>
        <xdr:cNvCxnSpPr/>
      </xdr:nvCxnSpPr>
      <xdr:spPr>
        <a:xfrm rot="10800000">
          <a:off x="5257803" y="4540250"/>
          <a:ext cx="581236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609320</xdr:colOff>
      <xdr:row>21</xdr:row>
      <xdr:rowOff>7003</xdr:rowOff>
    </xdr:from>
    <xdr:to>
      <xdr:col>5</xdr:col>
      <xdr:colOff>609320</xdr:colOff>
      <xdr:row>22</xdr:row>
      <xdr:rowOff>7003</xdr:rowOff>
    </xdr:to>
    <xdr:cxnSp macro="">
      <xdr:nvCxnSpPr>
        <xdr:cNvPr id="20" name="Straight Connector 19"/>
        <xdr:cNvCxnSpPr/>
      </xdr:nvCxnSpPr>
      <xdr:spPr>
        <a:xfrm rot="5400000">
          <a:off x="4990119" y="6285799"/>
          <a:ext cx="189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669776</xdr:colOff>
      <xdr:row>13</xdr:row>
      <xdr:rowOff>178777</xdr:rowOff>
    </xdr:from>
    <xdr:to>
      <xdr:col>14</xdr:col>
      <xdr:colOff>672706</xdr:colOff>
      <xdr:row>14</xdr:row>
      <xdr:rowOff>190362</xdr:rowOff>
    </xdr:to>
    <xdr:cxnSp macro="">
      <xdr:nvCxnSpPr>
        <xdr:cNvPr id="21" name="Straight Connector 20"/>
        <xdr:cNvCxnSpPr/>
      </xdr:nvCxnSpPr>
      <xdr:spPr>
        <a:xfrm rot="16200000" flipH="1">
          <a:off x="10963031" y="4628105"/>
          <a:ext cx="202085" cy="29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781681</xdr:colOff>
      <xdr:row>13</xdr:row>
      <xdr:rowOff>188245</xdr:rowOff>
    </xdr:from>
    <xdr:to>
      <xdr:col>5</xdr:col>
      <xdr:colOff>784611</xdr:colOff>
      <xdr:row>14</xdr:row>
      <xdr:rowOff>190806</xdr:rowOff>
    </xdr:to>
    <xdr:cxnSp macro="">
      <xdr:nvCxnSpPr>
        <xdr:cNvPr id="22" name="Straight Connector 21"/>
        <xdr:cNvCxnSpPr/>
      </xdr:nvCxnSpPr>
      <xdr:spPr>
        <a:xfrm rot="16200000" flipH="1">
          <a:off x="5611040" y="3264636"/>
          <a:ext cx="193061" cy="29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689672</xdr:colOff>
      <xdr:row>13</xdr:row>
      <xdr:rowOff>12030</xdr:rowOff>
    </xdr:from>
    <xdr:to>
      <xdr:col>9</xdr:col>
      <xdr:colOff>691673</xdr:colOff>
      <xdr:row>14</xdr:row>
      <xdr:rowOff>3</xdr:rowOff>
    </xdr:to>
    <xdr:cxnSp macro="">
      <xdr:nvCxnSpPr>
        <xdr:cNvPr id="23" name="Straight Connector 22"/>
        <xdr:cNvCxnSpPr/>
      </xdr:nvCxnSpPr>
      <xdr:spPr>
        <a:xfrm rot="5400000">
          <a:off x="5935436" y="3365980"/>
          <a:ext cx="178473" cy="200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413134</xdr:colOff>
      <xdr:row>8</xdr:row>
      <xdr:rowOff>5350</xdr:rowOff>
    </xdr:from>
    <xdr:to>
      <xdr:col>26</xdr:col>
      <xdr:colOff>615380</xdr:colOff>
      <xdr:row>8</xdr:row>
      <xdr:rowOff>6253</xdr:rowOff>
    </xdr:to>
    <xdr:cxnSp macro="">
      <xdr:nvCxnSpPr>
        <xdr:cNvPr id="24" name="Straight Connector 23"/>
        <xdr:cNvCxnSpPr/>
      </xdr:nvCxnSpPr>
      <xdr:spPr>
        <a:xfrm rot="10800000" flipV="1">
          <a:off x="8557544" y="1979915"/>
          <a:ext cx="8004184" cy="90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612164</xdr:colOff>
      <xdr:row>8</xdr:row>
      <xdr:rowOff>11658</xdr:rowOff>
    </xdr:from>
    <xdr:to>
      <xdr:col>26</xdr:col>
      <xdr:colOff>615094</xdr:colOff>
      <xdr:row>9</xdr:row>
      <xdr:rowOff>8869</xdr:rowOff>
    </xdr:to>
    <xdr:cxnSp macro="">
      <xdr:nvCxnSpPr>
        <xdr:cNvPr id="25" name="Straight Connector 24"/>
        <xdr:cNvCxnSpPr/>
      </xdr:nvCxnSpPr>
      <xdr:spPr>
        <a:xfrm rot="16200000" flipH="1">
          <a:off x="16462376" y="2082359"/>
          <a:ext cx="195202" cy="29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412036</xdr:colOff>
      <xdr:row>8</xdr:row>
      <xdr:rowOff>5351</xdr:rowOff>
    </xdr:from>
    <xdr:to>
      <xdr:col>9</xdr:col>
      <xdr:colOff>418869</xdr:colOff>
      <xdr:row>9</xdr:row>
      <xdr:rowOff>2</xdr:rowOff>
    </xdr:to>
    <xdr:cxnSp macro="">
      <xdr:nvCxnSpPr>
        <xdr:cNvPr id="26" name="Straight Connector 25"/>
        <xdr:cNvCxnSpPr/>
      </xdr:nvCxnSpPr>
      <xdr:spPr>
        <a:xfrm rot="16200000" flipH="1">
          <a:off x="8463542" y="2072820"/>
          <a:ext cx="192642" cy="683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1109123</xdr:colOff>
      <xdr:row>7</xdr:row>
      <xdr:rowOff>4457</xdr:rowOff>
    </xdr:from>
    <xdr:to>
      <xdr:col>18</xdr:col>
      <xdr:colOff>1109123</xdr:colOff>
      <xdr:row>8</xdr:row>
      <xdr:rowOff>451</xdr:rowOff>
    </xdr:to>
    <xdr:cxnSp macro="">
      <xdr:nvCxnSpPr>
        <xdr:cNvPr id="27" name="Straight Connector 26"/>
        <xdr:cNvCxnSpPr/>
      </xdr:nvCxnSpPr>
      <xdr:spPr>
        <a:xfrm rot="5400000">
          <a:off x="14231814" y="2074142"/>
          <a:ext cx="186494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573445</xdr:colOff>
      <xdr:row>22</xdr:row>
      <xdr:rowOff>0</xdr:rowOff>
    </xdr:from>
    <xdr:to>
      <xdr:col>24</xdr:col>
      <xdr:colOff>523875</xdr:colOff>
      <xdr:row>22</xdr:row>
      <xdr:rowOff>0</xdr:rowOff>
    </xdr:to>
    <xdr:cxnSp macro="">
      <xdr:nvCxnSpPr>
        <xdr:cNvPr id="28" name="Straight Connector 27"/>
        <xdr:cNvCxnSpPr/>
      </xdr:nvCxnSpPr>
      <xdr:spPr>
        <a:xfrm flipH="1">
          <a:off x="14432320" y="6842125"/>
          <a:ext cx="214118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645984</xdr:colOff>
      <xdr:row>20</xdr:row>
      <xdr:rowOff>4294</xdr:rowOff>
    </xdr:from>
    <xdr:to>
      <xdr:col>22</xdr:col>
      <xdr:colOff>646982</xdr:colOff>
      <xdr:row>21</xdr:row>
      <xdr:rowOff>188702</xdr:rowOff>
    </xdr:to>
    <xdr:cxnSp macro="">
      <xdr:nvCxnSpPr>
        <xdr:cNvPr id="31" name="Straight Connector 30"/>
        <xdr:cNvCxnSpPr/>
      </xdr:nvCxnSpPr>
      <xdr:spPr>
        <a:xfrm rot="16200000" flipH="1">
          <a:off x="16814172" y="6121011"/>
          <a:ext cx="373111" cy="99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626083</xdr:colOff>
      <xdr:row>14</xdr:row>
      <xdr:rowOff>-1</xdr:rowOff>
    </xdr:from>
    <xdr:to>
      <xdr:col>31</xdr:col>
      <xdr:colOff>639536</xdr:colOff>
      <xdr:row>14</xdr:row>
      <xdr:rowOff>0</xdr:rowOff>
    </xdr:to>
    <xdr:cxnSp macro="">
      <xdr:nvCxnSpPr>
        <xdr:cNvPr id="32" name="Straight Connector 31"/>
        <xdr:cNvCxnSpPr/>
      </xdr:nvCxnSpPr>
      <xdr:spPr>
        <a:xfrm rot="10800000" flipV="1">
          <a:off x="14968012" y="5197928"/>
          <a:ext cx="5197774" cy="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632492</xdr:colOff>
      <xdr:row>14</xdr:row>
      <xdr:rowOff>1061</xdr:rowOff>
    </xdr:from>
    <xdr:to>
      <xdr:col>31</xdr:col>
      <xdr:colOff>635422</xdr:colOff>
      <xdr:row>15</xdr:row>
      <xdr:rowOff>1853</xdr:rowOff>
    </xdr:to>
    <xdr:cxnSp macro="">
      <xdr:nvCxnSpPr>
        <xdr:cNvPr id="33" name="Straight Connector 32"/>
        <xdr:cNvCxnSpPr/>
      </xdr:nvCxnSpPr>
      <xdr:spPr>
        <a:xfrm rot="16200000" flipH="1">
          <a:off x="22556936" y="4640784"/>
          <a:ext cx="201875" cy="29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628626</xdr:colOff>
      <xdr:row>14</xdr:row>
      <xdr:rowOff>1968</xdr:rowOff>
    </xdr:from>
    <xdr:to>
      <xdr:col>22</xdr:col>
      <xdr:colOff>631556</xdr:colOff>
      <xdr:row>14</xdr:row>
      <xdr:rowOff>197170</xdr:rowOff>
    </xdr:to>
    <xdr:cxnSp macro="">
      <xdr:nvCxnSpPr>
        <xdr:cNvPr id="34" name="Straight Connector 33"/>
        <xdr:cNvCxnSpPr/>
      </xdr:nvCxnSpPr>
      <xdr:spPr>
        <a:xfrm rot="16200000" flipH="1">
          <a:off x="13937055" y="3249916"/>
          <a:ext cx="195202" cy="29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598715</xdr:colOff>
      <xdr:row>13</xdr:row>
      <xdr:rowOff>1</xdr:rowOff>
    </xdr:from>
    <xdr:to>
      <xdr:col>26</xdr:col>
      <xdr:colOff>599326</xdr:colOff>
      <xdr:row>13</xdr:row>
      <xdr:rowOff>187292</xdr:rowOff>
    </xdr:to>
    <xdr:cxnSp macro="">
      <xdr:nvCxnSpPr>
        <xdr:cNvPr id="35" name="Straight Connector 34"/>
        <xdr:cNvCxnSpPr/>
      </xdr:nvCxnSpPr>
      <xdr:spPr>
        <a:xfrm rot="16200000" flipH="1">
          <a:off x="16451723" y="3052512"/>
          <a:ext cx="187291" cy="61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483256</xdr:colOff>
      <xdr:row>22</xdr:row>
      <xdr:rowOff>1399</xdr:rowOff>
    </xdr:from>
    <xdr:to>
      <xdr:col>2</xdr:col>
      <xdr:colOff>485776</xdr:colOff>
      <xdr:row>22</xdr:row>
      <xdr:rowOff>196103</xdr:rowOff>
    </xdr:to>
    <xdr:cxnSp macro="">
      <xdr:nvCxnSpPr>
        <xdr:cNvPr id="62" name="Straight Connector 61"/>
        <xdr:cNvCxnSpPr/>
      </xdr:nvCxnSpPr>
      <xdr:spPr>
        <a:xfrm rot="5400000">
          <a:off x="3209646" y="6470837"/>
          <a:ext cx="194704" cy="25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767853</xdr:colOff>
      <xdr:row>22</xdr:row>
      <xdr:rowOff>0</xdr:rowOff>
    </xdr:from>
    <xdr:to>
      <xdr:col>7</xdr:col>
      <xdr:colOff>771526</xdr:colOff>
      <xdr:row>23</xdr:row>
      <xdr:rowOff>164</xdr:rowOff>
    </xdr:to>
    <xdr:cxnSp macro="">
      <xdr:nvCxnSpPr>
        <xdr:cNvPr id="63" name="Straight Connector 62"/>
        <xdr:cNvCxnSpPr/>
      </xdr:nvCxnSpPr>
      <xdr:spPr>
        <a:xfrm rot="5400000">
          <a:off x="6429045" y="6546683"/>
          <a:ext cx="206539" cy="367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576866</xdr:colOff>
      <xdr:row>22</xdr:row>
      <xdr:rowOff>6710</xdr:rowOff>
    </xdr:from>
    <xdr:to>
      <xdr:col>20</xdr:col>
      <xdr:colOff>581435</xdr:colOff>
      <xdr:row>23</xdr:row>
      <xdr:rowOff>317</xdr:rowOff>
    </xdr:to>
    <xdr:cxnSp macro="">
      <xdr:nvCxnSpPr>
        <xdr:cNvPr id="65" name="Straight Connector 64"/>
        <xdr:cNvCxnSpPr/>
      </xdr:nvCxnSpPr>
      <xdr:spPr>
        <a:xfrm rot="16200000" flipH="1">
          <a:off x="12683122" y="5159486"/>
          <a:ext cx="194839" cy="456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516121</xdr:colOff>
      <xdr:row>22</xdr:row>
      <xdr:rowOff>6708</xdr:rowOff>
    </xdr:from>
    <xdr:to>
      <xdr:col>24</xdr:col>
      <xdr:colOff>516497</xdr:colOff>
      <xdr:row>23</xdr:row>
      <xdr:rowOff>164</xdr:rowOff>
    </xdr:to>
    <xdr:cxnSp macro="">
      <xdr:nvCxnSpPr>
        <xdr:cNvPr id="66" name="Straight Connector 65"/>
        <xdr:cNvCxnSpPr/>
      </xdr:nvCxnSpPr>
      <xdr:spPr>
        <a:xfrm rot="5400000">
          <a:off x="15149176" y="5161505"/>
          <a:ext cx="194688" cy="37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492125</xdr:colOff>
      <xdr:row>28</xdr:row>
      <xdr:rowOff>0</xdr:rowOff>
    </xdr:from>
    <xdr:to>
      <xdr:col>7</xdr:col>
      <xdr:colOff>533402</xdr:colOff>
      <xdr:row>46</xdr:row>
      <xdr:rowOff>222250</xdr:rowOff>
    </xdr:to>
    <xdr:cxnSp macro="">
      <xdr:nvCxnSpPr>
        <xdr:cNvPr id="67" name="Straight Connector 66"/>
        <xdr:cNvCxnSpPr/>
      </xdr:nvCxnSpPr>
      <xdr:spPr>
        <a:xfrm flipH="1">
          <a:off x="6096000" y="8683625"/>
          <a:ext cx="41277" cy="43338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533401</xdr:colOff>
      <xdr:row>27</xdr:row>
      <xdr:rowOff>203200</xdr:rowOff>
    </xdr:from>
    <xdr:to>
      <xdr:col>24</xdr:col>
      <xdr:colOff>539750</xdr:colOff>
      <xdr:row>46</xdr:row>
      <xdr:rowOff>241300</xdr:rowOff>
    </xdr:to>
    <xdr:cxnSp macro="">
      <xdr:nvCxnSpPr>
        <xdr:cNvPr id="71" name="Straight Connector 70"/>
        <xdr:cNvCxnSpPr/>
      </xdr:nvCxnSpPr>
      <xdr:spPr>
        <a:xfrm>
          <a:off x="16954501" y="8794750"/>
          <a:ext cx="6349" cy="46672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604831</xdr:colOff>
      <xdr:row>20</xdr:row>
      <xdr:rowOff>180975</xdr:rowOff>
    </xdr:from>
    <xdr:to>
      <xdr:col>31</xdr:col>
      <xdr:colOff>628650</xdr:colOff>
      <xdr:row>35</xdr:row>
      <xdr:rowOff>19050</xdr:rowOff>
    </xdr:to>
    <xdr:cxnSp macro="">
      <xdr:nvCxnSpPr>
        <xdr:cNvPr id="72" name="Straight Connector 71"/>
        <xdr:cNvCxnSpPr/>
      </xdr:nvCxnSpPr>
      <xdr:spPr>
        <a:xfrm>
          <a:off x="21178831" y="6962775"/>
          <a:ext cx="23819" cy="34575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641803</xdr:colOff>
      <xdr:row>21</xdr:row>
      <xdr:rowOff>173567</xdr:rowOff>
    </xdr:from>
    <xdr:to>
      <xdr:col>14</xdr:col>
      <xdr:colOff>655111</xdr:colOff>
      <xdr:row>34</xdr:row>
      <xdr:rowOff>190500</xdr:rowOff>
    </xdr:to>
    <xdr:cxnSp macro="">
      <xdr:nvCxnSpPr>
        <xdr:cNvPr id="81" name="Straight Connector 80"/>
        <xdr:cNvCxnSpPr/>
      </xdr:nvCxnSpPr>
      <xdr:spPr>
        <a:xfrm flipH="1">
          <a:off x="10944678" y="7047442"/>
          <a:ext cx="13308" cy="319193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38</xdr:row>
      <xdr:rowOff>425222</xdr:rowOff>
    </xdr:from>
    <xdr:to>
      <xdr:col>7</xdr:col>
      <xdr:colOff>510268</xdr:colOff>
      <xdr:row>39</xdr:row>
      <xdr:rowOff>0</xdr:rowOff>
    </xdr:to>
    <xdr:cxnSp macro="">
      <xdr:nvCxnSpPr>
        <xdr:cNvPr id="53" name="Straight Connector 52"/>
        <xdr:cNvCxnSpPr/>
      </xdr:nvCxnSpPr>
      <xdr:spPr>
        <a:xfrm flipH="1">
          <a:off x="5603875" y="11315472"/>
          <a:ext cx="510268" cy="340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15875</xdr:colOff>
      <xdr:row>46</xdr:row>
      <xdr:rowOff>226784</xdr:rowOff>
    </xdr:from>
    <xdr:to>
      <xdr:col>7</xdr:col>
      <xdr:colOff>493260</xdr:colOff>
      <xdr:row>47</xdr:row>
      <xdr:rowOff>0</xdr:rowOff>
    </xdr:to>
    <xdr:cxnSp macro="">
      <xdr:nvCxnSpPr>
        <xdr:cNvPr id="90" name="Straight Connector 89"/>
        <xdr:cNvCxnSpPr/>
      </xdr:nvCxnSpPr>
      <xdr:spPr>
        <a:xfrm flipH="1">
          <a:off x="5619750" y="13022034"/>
          <a:ext cx="477385" cy="1134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500466</xdr:colOff>
      <xdr:row>44</xdr:row>
      <xdr:rowOff>7803</xdr:rowOff>
    </xdr:from>
    <xdr:to>
      <xdr:col>8</xdr:col>
      <xdr:colOff>234463</xdr:colOff>
      <xdr:row>44</xdr:row>
      <xdr:rowOff>8072</xdr:rowOff>
    </xdr:to>
    <xdr:cxnSp macro="">
      <xdr:nvCxnSpPr>
        <xdr:cNvPr id="91" name="Straight Connector 90"/>
        <xdr:cNvCxnSpPr/>
      </xdr:nvCxnSpPr>
      <xdr:spPr>
        <a:xfrm flipH="1">
          <a:off x="6104341" y="12326803"/>
          <a:ext cx="575372" cy="26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530020</xdr:colOff>
      <xdr:row>31</xdr:row>
      <xdr:rowOff>192036</xdr:rowOff>
    </xdr:from>
    <xdr:to>
      <xdr:col>26</xdr:col>
      <xdr:colOff>7682</xdr:colOff>
      <xdr:row>31</xdr:row>
      <xdr:rowOff>192036</xdr:rowOff>
    </xdr:to>
    <xdr:cxnSp macro="">
      <xdr:nvCxnSpPr>
        <xdr:cNvPr id="51" name="Straight Connector 50"/>
        <xdr:cNvCxnSpPr/>
      </xdr:nvCxnSpPr>
      <xdr:spPr>
        <a:xfrm flipH="1">
          <a:off x="16538165" y="9693992"/>
          <a:ext cx="568428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517529</xdr:colOff>
      <xdr:row>42</xdr:row>
      <xdr:rowOff>6352</xdr:rowOff>
    </xdr:from>
    <xdr:to>
      <xdr:col>26</xdr:col>
      <xdr:colOff>8504</xdr:colOff>
      <xdr:row>42</xdr:row>
      <xdr:rowOff>7597</xdr:rowOff>
    </xdr:to>
    <xdr:cxnSp macro="">
      <xdr:nvCxnSpPr>
        <xdr:cNvPr id="70" name="Straight Connector 69"/>
        <xdr:cNvCxnSpPr/>
      </xdr:nvCxnSpPr>
      <xdr:spPr>
        <a:xfrm flipH="1" flipV="1">
          <a:off x="16938629" y="12331702"/>
          <a:ext cx="595875" cy="124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46</xdr:row>
      <xdr:rowOff>232909</xdr:rowOff>
    </xdr:from>
    <xdr:to>
      <xdr:col>24</xdr:col>
      <xdr:colOff>533400</xdr:colOff>
      <xdr:row>47</xdr:row>
      <xdr:rowOff>1133</xdr:rowOff>
    </xdr:to>
    <xdr:cxnSp macro="">
      <xdr:nvCxnSpPr>
        <xdr:cNvPr id="74" name="Straight Connector 73"/>
        <xdr:cNvCxnSpPr/>
      </xdr:nvCxnSpPr>
      <xdr:spPr>
        <a:xfrm flipH="1">
          <a:off x="16064933" y="12674940"/>
          <a:ext cx="533400" cy="634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on11nt\Documents%20and%20Settings\mlechard\Application%20Data\Microsoft\Excel\FCR-FIXED-201110101-20110630-NEW%20(version%201)_2011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ffenders L1L3 short lt "/>
      <sheetName val="shortlt offenders"/>
      <sheetName val="Sheet2"/>
      <sheetName val="NEWFCRLTANA"/>
      <sheetName val="NEWFCR"/>
      <sheetName val="marketltanafor2011shipment"/>
      <sheetName val="overall"/>
      <sheetName val="DATA"/>
      <sheetName val="commentcode"/>
      <sheetName val="Sheet5"/>
      <sheetName val="NEWFCRLTANA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key</v>
          </cell>
          <cell r="B1" t="str">
            <v>ordertype</v>
          </cell>
          <cell r="C1" t="str">
            <v>customercode</v>
          </cell>
          <cell r="D1" t="str">
            <v>customername</v>
          </cell>
          <cell r="E1" t="str">
            <v>Sold To Party SAP Code</v>
          </cell>
          <cell r="F1" t="str">
            <v>Sold To Party Name</v>
          </cell>
          <cell r="G1" t="str">
            <v>salesofficer</v>
          </cell>
          <cell r="H1" t="str">
            <v>customerorderno</v>
          </cell>
          <cell r="I1" t="str">
            <v>sebasiasalesorder</v>
          </cell>
          <cell r="J1" t="str">
            <v>solineno</v>
          </cell>
          <cell r="K1" t="str">
            <v>vendorcode</v>
          </cell>
          <cell r="L1" t="str">
            <v>vendorname</v>
          </cell>
          <cell r="M1" t="str">
            <v>ssm</v>
          </cell>
          <cell r="N1" t="str">
            <v>rir</v>
          </cell>
          <cell r="O1" t="str">
            <v>cmmf</v>
          </cell>
          <cell r="P1" t="str">
            <v>createon</v>
          </cell>
          <cell r="Q1" t="str">
            <v>comfam</v>
          </cell>
          <cell r="R1" t="str">
            <v>familyname</v>
          </cell>
          <cell r="S1" t="str">
            <v>itemid</v>
          </cell>
          <cell r="T1" t="str">
            <v>materialdesc</v>
          </cell>
          <cell r="U1" t="str">
            <v>orderstatus</v>
          </cell>
          <cell r="V1" t="str">
            <v>latestupdate</v>
          </cell>
          <cell r="W1" t="str">
            <v>receptiondate</v>
          </cell>
          <cell r="X1" t="str">
            <v>inquiryetd</v>
          </cell>
          <cell r="Y1" t="str">
            <v>currentinquiryetd</v>
          </cell>
          <cell r="Z1" t="str">
            <v>confirmationstatus</v>
          </cell>
          <cell r="AA1" t="str">
            <v>1stconfirmedetd</v>
          </cell>
          <cell r="AB1" t="str">
            <v>1stconfirmedqty</v>
          </cell>
          <cell r="AC1" t="str">
            <v>currentconfirmedetd</v>
          </cell>
          <cell r="AD1" t="str">
            <v>deliveredqty</v>
          </cell>
          <cell r="AE1" t="str">
            <v>shipdate</v>
          </cell>
          <cell r="AF1" t="str">
            <v>osqty</v>
          </cell>
          <cell r="AG1" t="str">
            <v>sebasiapono</v>
          </cell>
          <cell r="AH1" t="str">
            <v>polineno</v>
          </cell>
          <cell r="AI1" t="str">
            <v>comments</v>
          </cell>
          <cell r="AJ1" t="str">
            <v>Standard Comments</v>
          </cell>
          <cell r="AK1" t="str">
            <v>status</v>
          </cell>
          <cell r="AL1" t="str">
            <v>FSL</v>
          </cell>
          <cell r="AM1" t="str">
            <v>FSL (OUTSIDE CRITERIA)</v>
          </cell>
          <cell r="AN1" t="str">
            <v>FSL (INSIDE CRITERIA)</v>
          </cell>
          <cell r="AO1" t="str">
            <v>lt2</v>
          </cell>
          <cell r="AP1" t="str">
            <v>LT2 CLASSIFICATION</v>
          </cell>
          <cell r="AQ1" t="str">
            <v>cmmfrir</v>
          </cell>
          <cell r="AR1" t="str">
            <v>sbu</v>
          </cell>
          <cell r="AS1" t="str">
            <v>bu</v>
          </cell>
          <cell r="AT1" t="str">
            <v>familysbu</v>
          </cell>
          <cell r="AU1" t="str">
            <v>YTD: ACTUAL SHPT - SUPPLIER CONFIRMED ETD</v>
          </cell>
          <cell r="AV1" t="str">
            <v>OTD-OLD INDEX</v>
          </cell>
          <cell r="AW1" t="str">
            <v>YTD: ACTUAL SHPT - CURRENT INQ ETD</v>
          </cell>
          <cell r="AX1" t="str">
            <v>OTD-NEW INDEX</v>
          </cell>
          <cell r="AY1" t="str">
            <v>LT FROM MARKET&lt;40 DAYS</v>
          </cell>
          <cell r="AZ1" t="str">
            <v>39&lt;LT FROM MARKET&lt;70 DAYS</v>
          </cell>
          <cell r="BA1" t="str">
            <v>Inquiry Lead Time by Market</v>
          </cell>
          <cell r="BB1" t="str">
            <v>Market Lead Time Bias</v>
          </cell>
          <cell r="BC1" t="str">
            <v>Supplier Lead Time Bias</v>
          </cell>
          <cell r="BD1" t="str">
            <v>Seb Asia Lead Time</v>
          </cell>
          <cell r="BE1" t="str">
            <v>Week</v>
          </cell>
          <cell r="BF1" t="str">
            <v>Year</v>
          </cell>
          <cell r="BG1" t="str">
            <v>Month</v>
          </cell>
          <cell r="BH1" t="str">
            <v>NB OTD</v>
          </cell>
          <cell r="BI1" t="str">
            <v>OTD(ONTIME)</v>
          </cell>
          <cell r="BJ1" t="str">
            <v>OTD(NOT ONTIME)</v>
          </cell>
          <cell r="BK1" t="str">
            <v>SLT(LT2)</v>
          </cell>
          <cell r="BL1" t="str">
            <v>FCR</v>
          </cell>
          <cell r="BM1" t="str">
            <v>FCR&lt;=7</v>
          </cell>
          <cell r="BN1" t="str">
            <v>SASL</v>
          </cell>
          <cell r="BO1" t="str">
            <v>-7&lt;=SASL&lt;=7</v>
          </cell>
          <cell r="BP1" t="str">
            <v>SASL1stInqETD</v>
          </cell>
          <cell r="BQ1" t="str">
            <v>NEW(-7&lt;=SASL&lt;=7)</v>
          </cell>
          <cell r="BR1" t="str">
            <v>countordertype</v>
          </cell>
          <cell r="BS1" t="str">
            <v>shipdateweekly</v>
          </cell>
          <cell r="BT1" t="str">
            <v>statusnewcmmf</v>
          </cell>
          <cell r="BU1" t="str">
            <v>commentdetails</v>
          </cell>
          <cell r="BV1" t="str">
            <v>traditionalsasl</v>
          </cell>
          <cell r="BW1" t="str">
            <v>1stcetdvs1stietd</v>
          </cell>
          <cell r="BX1" t="str">
            <v>fail1stconf</v>
          </cell>
          <cell r="BY1" t="str">
            <v>shipvscietd</v>
          </cell>
          <cell r="BZ1" t="str">
            <v>reliabliltyclass</v>
          </cell>
          <cell r="CA1" t="str">
            <v>weight1stconfsuccess</v>
          </cell>
          <cell r="CB1" t="str">
            <v>CLASSL1</v>
          </cell>
          <cell r="CC1" t="str">
            <v>CLASSL2</v>
          </cell>
          <cell r="CD1" t="str">
            <v>CLASSL3</v>
          </cell>
          <cell r="CE1" t="str">
            <v>CLASSL4</v>
          </cell>
          <cell r="CF1" t="str">
            <v>L1</v>
          </cell>
          <cell r="CG1" t="str">
            <v>L2</v>
          </cell>
          <cell r="CH1" t="str">
            <v>L3</v>
          </cell>
          <cell r="CI1" t="str">
            <v>L4</v>
          </cell>
          <cell r="CJ1" t="str">
            <v>reliabilityinitial</v>
          </cell>
          <cell r="CK1" t="str">
            <v>weightreliability</v>
          </cell>
          <cell r="CL1" t="str">
            <v>1stCIETDpostpone</v>
          </cell>
          <cell r="CM1" t="str">
            <v>1stCIETDpullin</v>
          </cell>
          <cell r="CN1" t="str">
            <v>1stcietdchange</v>
          </cell>
          <cell r="CO1" t="str">
            <v>weight1scietdchange</v>
          </cell>
          <cell r="CP1" t="str">
            <v>L1and1citedpostpone</v>
          </cell>
          <cell r="CQ1" t="str">
            <v>weight1stcietdpostoneL1</v>
          </cell>
          <cell r="CR1" t="str">
            <v>weight1stcietdpostponefromL1L2</v>
          </cell>
          <cell r="CS1" t="str">
            <v>L1and1stcietdchange</v>
          </cell>
          <cell r="CT1" t="str">
            <v>weightL1and1stcietdchange</v>
          </cell>
          <cell r="CU1" t="str">
            <v>L3and1stcietdchange</v>
          </cell>
          <cell r="CV1" t="str">
            <v>weightL3and1stcietdchange</v>
          </cell>
          <cell r="CW1" t="str">
            <v>L3and1stCIETDpostpone</v>
          </cell>
          <cell r="CX1" t="str">
            <v>weightL3and1stCIETDpostpone</v>
          </cell>
          <cell r="CY1" t="str">
            <v>shortltline</v>
          </cell>
          <cell r="CZ1" t="str">
            <v>weightshortLT</v>
          </cell>
          <cell r="DA1" t="str">
            <v>shortltlineandL3</v>
          </cell>
          <cell r="DB1" t="str">
            <v>weightshortltlineandL3</v>
          </cell>
          <cell r="DC1" t="str">
            <v>1stcietdchangebecauseshortlt</v>
          </cell>
          <cell r="DD1" t="str">
            <v>weight1stcietdchangeshortlt</v>
          </cell>
          <cell r="DE1" t="str">
            <v>weight1stcietdchange_shortlt_1stconfsuccess</v>
          </cell>
          <cell r="DF1" t="str">
            <v>weight1stcietdchange_shortlt_1stconffail</v>
          </cell>
          <cell r="DG1" t="str">
            <v>1stcietdchangeOrinalupgrade</v>
          </cell>
          <cell r="DH1" t="str">
            <v>saslscoreboard</v>
          </cell>
          <cell r="DI1" t="str">
            <v>sasladjust</v>
          </cell>
          <cell r="DJ1" t="str">
            <v>stcomment</v>
          </cell>
          <cell r="DK1" t="str">
            <v>stcommentgroup</v>
          </cell>
          <cell r="DL1" t="str">
            <v>issueclass</v>
          </cell>
          <cell r="DM1" t="str">
            <v>stdcommentexplain</v>
          </cell>
          <cell r="DN1" t="str">
            <v>TYPEOFREASON</v>
          </cell>
          <cell r="DO1" t="str">
            <v>casesl1l3</v>
          </cell>
          <cell r="DP1" t="str">
            <v>postponel1orl3</v>
          </cell>
          <cell r="DQ1" t="str">
            <v>postponel1l3andshortlt</v>
          </cell>
          <cell r="DR1" t="str">
            <v>postponeexplannable</v>
          </cell>
          <cell r="DS1" t="str">
            <v>postponel1l3notshortlt</v>
          </cell>
          <cell r="DT1" t="str">
            <v>grosssasl</v>
          </cell>
          <cell r="DU1" t="str">
            <v>orderyear</v>
          </cell>
          <cell r="DV1" t="str">
            <v>ordermonth</v>
          </cell>
          <cell r="DW1" t="str">
            <v>marketleadtimeclass</v>
          </cell>
        </row>
        <row r="2">
          <cell r="B2" t="str">
            <v>Shipment</v>
          </cell>
        </row>
        <row r="3">
          <cell r="B3" t="str">
            <v>Shipment</v>
          </cell>
        </row>
        <row r="4">
          <cell r="B4" t="str">
            <v>Shipment</v>
          </cell>
        </row>
        <row r="5">
          <cell r="B5" t="str">
            <v>Shipment</v>
          </cell>
        </row>
        <row r="6">
          <cell r="B6" t="str">
            <v>Shipment</v>
          </cell>
        </row>
        <row r="7">
          <cell r="B7" t="str">
            <v>Shipment</v>
          </cell>
        </row>
        <row r="8">
          <cell r="B8" t="str">
            <v>Shipment</v>
          </cell>
        </row>
        <row r="9">
          <cell r="B9" t="str">
            <v>Shipment</v>
          </cell>
        </row>
        <row r="10">
          <cell r="B10" t="str">
            <v>Shipment</v>
          </cell>
        </row>
        <row r="11">
          <cell r="B11" t="str">
            <v>Shipment</v>
          </cell>
        </row>
        <row r="12">
          <cell r="B12" t="str">
            <v>Shipment</v>
          </cell>
        </row>
        <row r="13">
          <cell r="B13" t="str">
            <v>Shipment</v>
          </cell>
        </row>
        <row r="14">
          <cell r="B14" t="str">
            <v>Shipment</v>
          </cell>
        </row>
        <row r="15">
          <cell r="B15" t="str">
            <v>Shipment</v>
          </cell>
        </row>
        <row r="16">
          <cell r="B16" t="str">
            <v>Shipment</v>
          </cell>
        </row>
        <row r="17">
          <cell r="B17" t="str">
            <v>Shipment</v>
          </cell>
        </row>
        <row r="18">
          <cell r="B18" t="str">
            <v>Shipment</v>
          </cell>
        </row>
        <row r="19">
          <cell r="B19" t="str">
            <v>Shipment</v>
          </cell>
        </row>
        <row r="20">
          <cell r="B20" t="str">
            <v>Shipment</v>
          </cell>
        </row>
        <row r="21">
          <cell r="B21" t="str">
            <v>Shipment</v>
          </cell>
        </row>
        <row r="22">
          <cell r="B22" t="str">
            <v>Shipment</v>
          </cell>
        </row>
        <row r="23">
          <cell r="B23" t="str">
            <v>Shipment</v>
          </cell>
        </row>
        <row r="24">
          <cell r="B24" t="str">
            <v>Shipment</v>
          </cell>
        </row>
        <row r="25">
          <cell r="B25" t="str">
            <v>Shipment</v>
          </cell>
        </row>
        <row r="26">
          <cell r="B26" t="str">
            <v>Shipment</v>
          </cell>
        </row>
        <row r="27">
          <cell r="B27" t="str">
            <v>Shipment</v>
          </cell>
        </row>
        <row r="28">
          <cell r="B28" t="str">
            <v>Shipment</v>
          </cell>
        </row>
        <row r="29">
          <cell r="B29" t="str">
            <v>Shipment</v>
          </cell>
        </row>
        <row r="30">
          <cell r="B30" t="str">
            <v>Shipment</v>
          </cell>
        </row>
        <row r="31">
          <cell r="B31" t="str">
            <v>Shipment</v>
          </cell>
        </row>
        <row r="32">
          <cell r="B32" t="str">
            <v>Shipment</v>
          </cell>
        </row>
        <row r="33">
          <cell r="B33" t="str">
            <v>Shipment</v>
          </cell>
        </row>
        <row r="34">
          <cell r="B34" t="str">
            <v>Shipment</v>
          </cell>
        </row>
        <row r="35">
          <cell r="B35" t="str">
            <v>Shipment</v>
          </cell>
        </row>
        <row r="36">
          <cell r="B36" t="str">
            <v>Shipment</v>
          </cell>
        </row>
        <row r="37">
          <cell r="B37" t="str">
            <v>Shipment</v>
          </cell>
        </row>
        <row r="38">
          <cell r="B38" t="str">
            <v>Shipment</v>
          </cell>
        </row>
        <row r="39">
          <cell r="B39" t="str">
            <v>Shipment</v>
          </cell>
        </row>
        <row r="40">
          <cell r="B40" t="str">
            <v>Shipment</v>
          </cell>
        </row>
        <row r="41">
          <cell r="B41" t="str">
            <v>Shipment</v>
          </cell>
        </row>
        <row r="42">
          <cell r="B42" t="str">
            <v>Shipment</v>
          </cell>
        </row>
        <row r="43">
          <cell r="B43" t="str">
            <v>Shipment</v>
          </cell>
        </row>
        <row r="44">
          <cell r="B44" t="str">
            <v>Shipment</v>
          </cell>
        </row>
        <row r="45">
          <cell r="B45" t="str">
            <v>Shipment</v>
          </cell>
        </row>
        <row r="46">
          <cell r="B46" t="str">
            <v>Shipment</v>
          </cell>
        </row>
        <row r="47">
          <cell r="B47" t="str">
            <v>Shipment</v>
          </cell>
        </row>
        <row r="48">
          <cell r="B48" t="str">
            <v>Shipment</v>
          </cell>
        </row>
        <row r="49">
          <cell r="B49" t="str">
            <v>Shipment</v>
          </cell>
        </row>
        <row r="50">
          <cell r="B50" t="str">
            <v>Shipment</v>
          </cell>
        </row>
        <row r="51">
          <cell r="B51" t="str">
            <v>Shipment</v>
          </cell>
        </row>
        <row r="52">
          <cell r="B52" t="str">
            <v>Shipment</v>
          </cell>
        </row>
        <row r="53">
          <cell r="B53" t="str">
            <v>Shipment</v>
          </cell>
        </row>
        <row r="54">
          <cell r="B54" t="str">
            <v>Shipment</v>
          </cell>
        </row>
        <row r="55">
          <cell r="B55" t="str">
            <v>Shipment</v>
          </cell>
        </row>
        <row r="56">
          <cell r="B56" t="str">
            <v>Shipment</v>
          </cell>
        </row>
        <row r="57">
          <cell r="B57" t="str">
            <v>Shipment</v>
          </cell>
        </row>
        <row r="58">
          <cell r="B58" t="str">
            <v>Shipment</v>
          </cell>
        </row>
        <row r="59">
          <cell r="B59" t="str">
            <v>Shipment</v>
          </cell>
        </row>
        <row r="60">
          <cell r="B60" t="str">
            <v>Shipment</v>
          </cell>
        </row>
        <row r="61">
          <cell r="B61" t="str">
            <v>Shipment</v>
          </cell>
        </row>
        <row r="62">
          <cell r="B62" t="str">
            <v>Shipment</v>
          </cell>
        </row>
        <row r="63">
          <cell r="B63" t="str">
            <v>Shipment</v>
          </cell>
        </row>
        <row r="64">
          <cell r="B64" t="str">
            <v>Shipment</v>
          </cell>
        </row>
        <row r="65">
          <cell r="B65" t="str">
            <v>Shipment</v>
          </cell>
        </row>
        <row r="66">
          <cell r="B66" t="str">
            <v>Shipment</v>
          </cell>
        </row>
        <row r="67">
          <cell r="B67" t="str">
            <v>Shipment</v>
          </cell>
        </row>
        <row r="68">
          <cell r="B68" t="str">
            <v>Shipment</v>
          </cell>
        </row>
        <row r="69">
          <cell r="B69" t="str">
            <v>Shipment</v>
          </cell>
        </row>
        <row r="70">
          <cell r="B70" t="str">
            <v>Shipment</v>
          </cell>
        </row>
        <row r="71">
          <cell r="B71" t="str">
            <v>Shipment</v>
          </cell>
        </row>
        <row r="72">
          <cell r="B72" t="str">
            <v>Shipment</v>
          </cell>
        </row>
        <row r="73">
          <cell r="B73" t="str">
            <v>Shipment</v>
          </cell>
        </row>
        <row r="74">
          <cell r="B74" t="str">
            <v>Shipment</v>
          </cell>
        </row>
        <row r="75">
          <cell r="B75" t="str">
            <v>Shipment</v>
          </cell>
        </row>
        <row r="76">
          <cell r="B76" t="str">
            <v>Shipment</v>
          </cell>
        </row>
        <row r="77">
          <cell r="B77" t="str">
            <v>Shipment</v>
          </cell>
        </row>
        <row r="78">
          <cell r="B78" t="str">
            <v>Shipment</v>
          </cell>
        </row>
        <row r="79">
          <cell r="B79" t="str">
            <v>Shipment</v>
          </cell>
        </row>
        <row r="80">
          <cell r="B80" t="str">
            <v>Shipment</v>
          </cell>
        </row>
        <row r="81">
          <cell r="B81" t="str">
            <v>Shipment</v>
          </cell>
        </row>
        <row r="82">
          <cell r="B82" t="str">
            <v>Shipment</v>
          </cell>
        </row>
        <row r="83">
          <cell r="B83" t="str">
            <v>Shipment</v>
          </cell>
        </row>
        <row r="84">
          <cell r="B84" t="str">
            <v>Shipment</v>
          </cell>
        </row>
        <row r="85">
          <cell r="B85" t="str">
            <v>Shipment</v>
          </cell>
        </row>
        <row r="86">
          <cell r="B86" t="str">
            <v>Shipment</v>
          </cell>
        </row>
        <row r="87">
          <cell r="B87" t="str">
            <v>Shipment</v>
          </cell>
        </row>
        <row r="88">
          <cell r="B88" t="str">
            <v>Shipment</v>
          </cell>
        </row>
        <row r="89">
          <cell r="B89" t="str">
            <v>Shipment</v>
          </cell>
        </row>
        <row r="90">
          <cell r="B90" t="str">
            <v>Shipment</v>
          </cell>
        </row>
        <row r="91">
          <cell r="B91" t="str">
            <v>Shipment</v>
          </cell>
        </row>
        <row r="92">
          <cell r="B92" t="str">
            <v>Shipment</v>
          </cell>
        </row>
        <row r="93">
          <cell r="B93" t="str">
            <v>Shipment</v>
          </cell>
        </row>
        <row r="94">
          <cell r="B94" t="str">
            <v>Shipment</v>
          </cell>
        </row>
        <row r="95">
          <cell r="B95" t="str">
            <v>Shipment</v>
          </cell>
        </row>
        <row r="96">
          <cell r="B96" t="str">
            <v>Shipment</v>
          </cell>
        </row>
        <row r="97">
          <cell r="B97" t="str">
            <v>Shipment</v>
          </cell>
        </row>
        <row r="98">
          <cell r="B98" t="str">
            <v>Shipment</v>
          </cell>
        </row>
        <row r="99">
          <cell r="B99" t="str">
            <v>Shipment</v>
          </cell>
        </row>
        <row r="100">
          <cell r="B100" t="str">
            <v>Shipment</v>
          </cell>
        </row>
        <row r="101">
          <cell r="B101" t="str">
            <v>Shipment</v>
          </cell>
        </row>
        <row r="102">
          <cell r="B102" t="str">
            <v>Shipment</v>
          </cell>
        </row>
        <row r="103">
          <cell r="B103" t="str">
            <v>Shipment</v>
          </cell>
        </row>
        <row r="104">
          <cell r="B104" t="str">
            <v>Shipment</v>
          </cell>
        </row>
        <row r="105">
          <cell r="B105" t="str">
            <v>Shipment</v>
          </cell>
        </row>
        <row r="106">
          <cell r="B106" t="str">
            <v>Shipment</v>
          </cell>
        </row>
        <row r="107">
          <cell r="B107" t="str">
            <v>Shipment</v>
          </cell>
        </row>
        <row r="108">
          <cell r="B108" t="str">
            <v>Shipment</v>
          </cell>
        </row>
        <row r="109">
          <cell r="B109" t="str">
            <v>Shipment</v>
          </cell>
        </row>
        <row r="110">
          <cell r="B110" t="str">
            <v>Shipment</v>
          </cell>
        </row>
        <row r="111">
          <cell r="B111" t="str">
            <v>Shipment</v>
          </cell>
        </row>
        <row r="112">
          <cell r="B112" t="str">
            <v>Shipment</v>
          </cell>
        </row>
        <row r="113">
          <cell r="B113" t="str">
            <v>Shipment</v>
          </cell>
        </row>
        <row r="114">
          <cell r="B114" t="str">
            <v>Shipment</v>
          </cell>
        </row>
        <row r="115">
          <cell r="B115" t="str">
            <v>Shipment</v>
          </cell>
        </row>
        <row r="116">
          <cell r="B116" t="str">
            <v>Shipment</v>
          </cell>
        </row>
        <row r="117">
          <cell r="B117" t="str">
            <v>Shipment</v>
          </cell>
        </row>
        <row r="118">
          <cell r="B118" t="str">
            <v>Shipment</v>
          </cell>
        </row>
        <row r="119">
          <cell r="B119" t="str">
            <v>Shipment</v>
          </cell>
        </row>
        <row r="120">
          <cell r="B120" t="str">
            <v>Shipment</v>
          </cell>
        </row>
        <row r="121">
          <cell r="B121" t="str">
            <v>Shipment</v>
          </cell>
        </row>
        <row r="122">
          <cell r="B122" t="str">
            <v>Shipment</v>
          </cell>
        </row>
        <row r="123">
          <cell r="B123" t="str">
            <v>Shipment</v>
          </cell>
        </row>
        <row r="124">
          <cell r="B124" t="str">
            <v>Shipment</v>
          </cell>
        </row>
        <row r="125">
          <cell r="B125" t="str">
            <v>Shipment</v>
          </cell>
        </row>
        <row r="126">
          <cell r="B126" t="str">
            <v>Shipment</v>
          </cell>
        </row>
        <row r="127">
          <cell r="B127" t="str">
            <v>Shipment</v>
          </cell>
        </row>
        <row r="128">
          <cell r="B128" t="str">
            <v>Shipment</v>
          </cell>
        </row>
        <row r="129">
          <cell r="B129" t="str">
            <v>Shipment</v>
          </cell>
        </row>
        <row r="130">
          <cell r="B130" t="str">
            <v>Shipment</v>
          </cell>
        </row>
        <row r="131">
          <cell r="B131" t="str">
            <v>Shipment</v>
          </cell>
        </row>
        <row r="132">
          <cell r="B132" t="str">
            <v>Shipment</v>
          </cell>
        </row>
        <row r="133">
          <cell r="B133" t="str">
            <v>Shipment</v>
          </cell>
        </row>
        <row r="134">
          <cell r="B134" t="str">
            <v>Shipment</v>
          </cell>
        </row>
        <row r="135">
          <cell r="B135" t="str">
            <v>Shipment</v>
          </cell>
        </row>
        <row r="136">
          <cell r="B136" t="str">
            <v>Shipment</v>
          </cell>
        </row>
        <row r="137">
          <cell r="B137" t="str">
            <v>Shipment</v>
          </cell>
        </row>
        <row r="138">
          <cell r="B138" t="str">
            <v>Shipment</v>
          </cell>
        </row>
        <row r="139">
          <cell r="B139" t="str">
            <v>Shipment</v>
          </cell>
        </row>
        <row r="140">
          <cell r="B140" t="str">
            <v>Shipment</v>
          </cell>
        </row>
        <row r="141">
          <cell r="B141" t="str">
            <v>Shipment</v>
          </cell>
        </row>
        <row r="142">
          <cell r="B142" t="str">
            <v>Shipment</v>
          </cell>
        </row>
        <row r="143">
          <cell r="B143" t="str">
            <v>Shipment</v>
          </cell>
        </row>
        <row r="144">
          <cell r="B144" t="str">
            <v>Shipment</v>
          </cell>
        </row>
        <row r="145">
          <cell r="B145" t="str">
            <v>Shipment</v>
          </cell>
        </row>
        <row r="146">
          <cell r="B146" t="str">
            <v>Shipment</v>
          </cell>
        </row>
        <row r="147">
          <cell r="B147" t="str">
            <v>Shipment</v>
          </cell>
        </row>
        <row r="148">
          <cell r="B148" t="str">
            <v>Shipment</v>
          </cell>
        </row>
        <row r="149">
          <cell r="B149" t="str">
            <v>Shipment</v>
          </cell>
        </row>
        <row r="150">
          <cell r="B150" t="str">
            <v>Shipment</v>
          </cell>
        </row>
        <row r="151">
          <cell r="B151" t="str">
            <v>Shipment</v>
          </cell>
        </row>
        <row r="152">
          <cell r="B152" t="str">
            <v>Shipment</v>
          </cell>
        </row>
        <row r="153">
          <cell r="B153" t="str">
            <v>Shipment</v>
          </cell>
        </row>
        <row r="154">
          <cell r="B154" t="str">
            <v>Shipment</v>
          </cell>
        </row>
        <row r="155">
          <cell r="B155" t="str">
            <v>Shipment</v>
          </cell>
        </row>
        <row r="156">
          <cell r="B156" t="str">
            <v>Shipment</v>
          </cell>
        </row>
        <row r="157">
          <cell r="B157" t="str">
            <v>Shipment</v>
          </cell>
        </row>
        <row r="158">
          <cell r="B158" t="str">
            <v>Shipment</v>
          </cell>
        </row>
        <row r="159">
          <cell r="B159" t="str">
            <v>Shipment</v>
          </cell>
        </row>
        <row r="160">
          <cell r="B160" t="str">
            <v>Shipment</v>
          </cell>
        </row>
        <row r="161">
          <cell r="B161" t="str">
            <v>Shipment</v>
          </cell>
        </row>
        <row r="162">
          <cell r="B162" t="str">
            <v>Shipment</v>
          </cell>
        </row>
        <row r="163">
          <cell r="B163" t="str">
            <v>Shipment</v>
          </cell>
        </row>
        <row r="164">
          <cell r="B164" t="str">
            <v>Shipment</v>
          </cell>
        </row>
        <row r="165">
          <cell r="B165" t="str">
            <v>Shipment</v>
          </cell>
        </row>
        <row r="166">
          <cell r="B166" t="str">
            <v>Shipment</v>
          </cell>
        </row>
        <row r="167">
          <cell r="B167" t="str">
            <v>Shipment</v>
          </cell>
        </row>
        <row r="168">
          <cell r="B168" t="str">
            <v>Shipment</v>
          </cell>
        </row>
        <row r="169">
          <cell r="B169" t="str">
            <v>Shipment</v>
          </cell>
        </row>
        <row r="170">
          <cell r="B170" t="str">
            <v>Shipment</v>
          </cell>
        </row>
        <row r="171">
          <cell r="B171" t="str">
            <v>Shipment</v>
          </cell>
        </row>
        <row r="172">
          <cell r="B172" t="str">
            <v>Shipment</v>
          </cell>
        </row>
        <row r="173">
          <cell r="B173" t="str">
            <v>Shipment</v>
          </cell>
        </row>
        <row r="174">
          <cell r="B174" t="str">
            <v>Shipment</v>
          </cell>
        </row>
        <row r="175">
          <cell r="B175" t="str">
            <v>Shipment</v>
          </cell>
        </row>
        <row r="176">
          <cell r="B176" t="str">
            <v>Shipment</v>
          </cell>
        </row>
        <row r="177">
          <cell r="B177" t="str">
            <v>Shipment</v>
          </cell>
        </row>
        <row r="178">
          <cell r="B178" t="str">
            <v>Shipment</v>
          </cell>
        </row>
        <row r="179">
          <cell r="B179" t="str">
            <v>Shipment</v>
          </cell>
        </row>
        <row r="180">
          <cell r="B180" t="str">
            <v>Shipment</v>
          </cell>
        </row>
        <row r="181">
          <cell r="B181" t="str">
            <v>Shipment</v>
          </cell>
        </row>
        <row r="182">
          <cell r="B182" t="str">
            <v>Shipment</v>
          </cell>
        </row>
        <row r="183">
          <cell r="B183" t="str">
            <v>Shipment</v>
          </cell>
        </row>
        <row r="184">
          <cell r="B184" t="str">
            <v>Shipment</v>
          </cell>
        </row>
        <row r="185">
          <cell r="B185" t="str">
            <v>Shipment</v>
          </cell>
        </row>
        <row r="186">
          <cell r="B186" t="str">
            <v>Shipment</v>
          </cell>
        </row>
        <row r="187">
          <cell r="B187" t="str">
            <v>Shipment</v>
          </cell>
        </row>
        <row r="188">
          <cell r="B188" t="str">
            <v>Shipment</v>
          </cell>
        </row>
        <row r="189">
          <cell r="B189" t="str">
            <v>Shipment</v>
          </cell>
        </row>
        <row r="190">
          <cell r="B190" t="str">
            <v>Shipment</v>
          </cell>
        </row>
        <row r="191">
          <cell r="B191" t="str">
            <v>Shipment</v>
          </cell>
        </row>
        <row r="192">
          <cell r="B192" t="str">
            <v>Shipment</v>
          </cell>
        </row>
        <row r="193">
          <cell r="B193" t="str">
            <v>Shipment</v>
          </cell>
        </row>
        <row r="194">
          <cell r="B194" t="str">
            <v>Shipment</v>
          </cell>
        </row>
        <row r="195">
          <cell r="B195" t="str">
            <v>Shipment</v>
          </cell>
        </row>
        <row r="196">
          <cell r="B196" t="str">
            <v>Shipment</v>
          </cell>
        </row>
        <row r="197">
          <cell r="B197" t="str">
            <v>Shipment</v>
          </cell>
        </row>
        <row r="198">
          <cell r="B198" t="str">
            <v>Shipment</v>
          </cell>
        </row>
        <row r="199">
          <cell r="B199" t="str">
            <v>Shipment</v>
          </cell>
        </row>
        <row r="200">
          <cell r="B200" t="str">
            <v>Shipment</v>
          </cell>
        </row>
        <row r="201">
          <cell r="B201" t="str">
            <v>Shipment</v>
          </cell>
        </row>
        <row r="202">
          <cell r="B202" t="str">
            <v>Shipment</v>
          </cell>
        </row>
        <row r="203">
          <cell r="B203" t="str">
            <v>Shipment</v>
          </cell>
        </row>
        <row r="204">
          <cell r="B204" t="str">
            <v>Shipment</v>
          </cell>
        </row>
        <row r="205">
          <cell r="B205" t="str">
            <v>Shipment</v>
          </cell>
        </row>
        <row r="206">
          <cell r="B206" t="str">
            <v>Shipment</v>
          </cell>
        </row>
        <row r="207">
          <cell r="B207" t="str">
            <v>Shipment</v>
          </cell>
        </row>
        <row r="208">
          <cell r="B208" t="str">
            <v>Shipment</v>
          </cell>
        </row>
        <row r="209">
          <cell r="B209" t="str">
            <v>Shipment</v>
          </cell>
        </row>
        <row r="210">
          <cell r="B210" t="str">
            <v>Shipment</v>
          </cell>
        </row>
        <row r="211">
          <cell r="B211" t="str">
            <v>Shipment</v>
          </cell>
        </row>
        <row r="212">
          <cell r="B212" t="str">
            <v>Shipment</v>
          </cell>
        </row>
        <row r="213">
          <cell r="B213" t="str">
            <v>Shipment</v>
          </cell>
        </row>
        <row r="214">
          <cell r="B214" t="str">
            <v>Shipment</v>
          </cell>
        </row>
        <row r="215">
          <cell r="B215" t="str">
            <v>Shipment</v>
          </cell>
        </row>
        <row r="216">
          <cell r="B216" t="str">
            <v>Shipment</v>
          </cell>
        </row>
        <row r="217">
          <cell r="B217" t="str">
            <v>Shipment</v>
          </cell>
        </row>
        <row r="218">
          <cell r="B218" t="str">
            <v>Shipment</v>
          </cell>
        </row>
        <row r="219">
          <cell r="B219" t="str">
            <v>Shipment</v>
          </cell>
        </row>
        <row r="220">
          <cell r="B220" t="str">
            <v>Shipment</v>
          </cell>
        </row>
        <row r="221">
          <cell r="B221" t="str">
            <v>Shipment</v>
          </cell>
        </row>
        <row r="222">
          <cell r="B222" t="str">
            <v>Shipment</v>
          </cell>
        </row>
        <row r="223">
          <cell r="B223" t="str">
            <v>Shipment</v>
          </cell>
        </row>
        <row r="224">
          <cell r="B224" t="str">
            <v>Shipment</v>
          </cell>
        </row>
        <row r="225">
          <cell r="B225" t="str">
            <v>Shipment</v>
          </cell>
        </row>
        <row r="226">
          <cell r="B226" t="str">
            <v>Shipment</v>
          </cell>
        </row>
        <row r="227">
          <cell r="B227" t="str">
            <v>Shipment</v>
          </cell>
        </row>
        <row r="228">
          <cell r="B228" t="str">
            <v>Shipment</v>
          </cell>
        </row>
        <row r="229">
          <cell r="B229" t="str">
            <v>Shipment</v>
          </cell>
        </row>
        <row r="230">
          <cell r="B230" t="str">
            <v>Shipment</v>
          </cell>
        </row>
        <row r="231">
          <cell r="B231" t="str">
            <v>Shipment</v>
          </cell>
        </row>
        <row r="232">
          <cell r="B232" t="str">
            <v>Shipment</v>
          </cell>
        </row>
        <row r="233">
          <cell r="B233" t="str">
            <v>Shipment</v>
          </cell>
        </row>
        <row r="234">
          <cell r="B234" t="str">
            <v>Shipment</v>
          </cell>
        </row>
        <row r="235">
          <cell r="B235" t="str">
            <v>Shipment</v>
          </cell>
        </row>
        <row r="236">
          <cell r="B236" t="str">
            <v>Shipment</v>
          </cell>
        </row>
        <row r="237">
          <cell r="B237" t="str">
            <v>Shipment</v>
          </cell>
        </row>
        <row r="238">
          <cell r="B238" t="str">
            <v>Shipment</v>
          </cell>
        </row>
        <row r="239">
          <cell r="B239" t="str">
            <v>Shipment</v>
          </cell>
        </row>
        <row r="240">
          <cell r="B240" t="str">
            <v>Shipment</v>
          </cell>
        </row>
        <row r="241">
          <cell r="B241" t="str">
            <v>Shipment</v>
          </cell>
        </row>
        <row r="242">
          <cell r="B242" t="str">
            <v>Shipment</v>
          </cell>
        </row>
        <row r="243">
          <cell r="B243" t="str">
            <v>Shipment</v>
          </cell>
        </row>
        <row r="244">
          <cell r="B244" t="str">
            <v>Shipment</v>
          </cell>
        </row>
        <row r="245">
          <cell r="B245" t="str">
            <v>Shipment</v>
          </cell>
        </row>
        <row r="246">
          <cell r="B246" t="str">
            <v>Shipment</v>
          </cell>
        </row>
        <row r="247">
          <cell r="B247" t="str">
            <v>Shipment</v>
          </cell>
        </row>
        <row r="248">
          <cell r="B248" t="str">
            <v>Shipment</v>
          </cell>
        </row>
        <row r="249">
          <cell r="B249" t="str">
            <v>Shipment</v>
          </cell>
        </row>
        <row r="250">
          <cell r="B250" t="str">
            <v>Shipment</v>
          </cell>
        </row>
        <row r="251">
          <cell r="B251" t="str">
            <v>Shipment</v>
          </cell>
        </row>
        <row r="252">
          <cell r="B252" t="str">
            <v>Shipment</v>
          </cell>
        </row>
        <row r="253">
          <cell r="B253" t="str">
            <v>Shipment</v>
          </cell>
        </row>
        <row r="254">
          <cell r="B254" t="str">
            <v>Shipment</v>
          </cell>
        </row>
        <row r="255">
          <cell r="B255" t="str">
            <v>Shipment</v>
          </cell>
        </row>
        <row r="256">
          <cell r="B256" t="str">
            <v>Shipment</v>
          </cell>
        </row>
        <row r="257">
          <cell r="B257" t="str">
            <v>Shipment</v>
          </cell>
        </row>
        <row r="258">
          <cell r="B258" t="str">
            <v>Shipment</v>
          </cell>
        </row>
        <row r="259">
          <cell r="B259" t="str">
            <v>Shipment</v>
          </cell>
        </row>
        <row r="260">
          <cell r="B260" t="str">
            <v>Shipment</v>
          </cell>
        </row>
        <row r="261">
          <cell r="B261" t="str">
            <v>Shipment</v>
          </cell>
        </row>
        <row r="262">
          <cell r="B262" t="str">
            <v>Shipment</v>
          </cell>
        </row>
        <row r="263">
          <cell r="B263" t="str">
            <v>Shipment</v>
          </cell>
        </row>
        <row r="264">
          <cell r="B264" t="str">
            <v>Shipment</v>
          </cell>
        </row>
        <row r="265">
          <cell r="B265" t="str">
            <v>Shipment</v>
          </cell>
        </row>
        <row r="266">
          <cell r="B266" t="str">
            <v>Shipment</v>
          </cell>
        </row>
        <row r="267">
          <cell r="B267" t="str">
            <v>Shipment</v>
          </cell>
        </row>
        <row r="268">
          <cell r="B268" t="str">
            <v>Shipment</v>
          </cell>
        </row>
        <row r="269">
          <cell r="B269" t="str">
            <v>Shipment</v>
          </cell>
        </row>
        <row r="270">
          <cell r="B270" t="str">
            <v>Shipment</v>
          </cell>
        </row>
        <row r="271">
          <cell r="B271" t="str">
            <v>Shipment</v>
          </cell>
        </row>
        <row r="272">
          <cell r="B272" t="str">
            <v>Shipment</v>
          </cell>
        </row>
        <row r="273">
          <cell r="B273" t="str">
            <v>Shipment</v>
          </cell>
        </row>
        <row r="274">
          <cell r="B274" t="str">
            <v>Shipment</v>
          </cell>
        </row>
        <row r="275">
          <cell r="B275" t="str">
            <v>Shipment</v>
          </cell>
        </row>
        <row r="276">
          <cell r="B276" t="str">
            <v>Shipment</v>
          </cell>
        </row>
        <row r="277">
          <cell r="B277" t="str">
            <v>Shipment</v>
          </cell>
        </row>
        <row r="278">
          <cell r="B278" t="str">
            <v>Shipment</v>
          </cell>
        </row>
        <row r="279">
          <cell r="B279" t="str">
            <v>Shipment</v>
          </cell>
        </row>
        <row r="280">
          <cell r="B280" t="str">
            <v>Shipment</v>
          </cell>
        </row>
        <row r="281">
          <cell r="B281" t="str">
            <v>Shipment</v>
          </cell>
        </row>
        <row r="282">
          <cell r="B282" t="str">
            <v>Shipment</v>
          </cell>
        </row>
        <row r="283">
          <cell r="B283" t="str">
            <v>Shipment</v>
          </cell>
        </row>
        <row r="284">
          <cell r="B284" t="str">
            <v>Shipment</v>
          </cell>
        </row>
        <row r="285">
          <cell r="B285" t="str">
            <v>Shipment</v>
          </cell>
        </row>
        <row r="286">
          <cell r="B286" t="str">
            <v>Shipment</v>
          </cell>
        </row>
        <row r="287">
          <cell r="B287" t="str">
            <v>Shipment</v>
          </cell>
        </row>
        <row r="288">
          <cell r="B288" t="str">
            <v>Shipment</v>
          </cell>
        </row>
        <row r="289">
          <cell r="B289" t="str">
            <v>Shipment</v>
          </cell>
        </row>
        <row r="290">
          <cell r="B290" t="str">
            <v>Shipment</v>
          </cell>
        </row>
        <row r="291">
          <cell r="B291" t="str">
            <v>Shipment</v>
          </cell>
        </row>
        <row r="292">
          <cell r="B292" t="str">
            <v>Shipment</v>
          </cell>
        </row>
        <row r="293">
          <cell r="B293" t="str">
            <v>Shipment</v>
          </cell>
        </row>
        <row r="294">
          <cell r="B294" t="str">
            <v>Shipment</v>
          </cell>
        </row>
        <row r="295">
          <cell r="B295" t="str">
            <v>Shipment</v>
          </cell>
        </row>
        <row r="296">
          <cell r="B296" t="str">
            <v>Shipment</v>
          </cell>
        </row>
        <row r="297">
          <cell r="B297" t="str">
            <v>Shipment</v>
          </cell>
        </row>
        <row r="298">
          <cell r="B298" t="str">
            <v>Shipment</v>
          </cell>
        </row>
        <row r="299">
          <cell r="B299" t="str">
            <v>Shipment</v>
          </cell>
        </row>
        <row r="300">
          <cell r="B300" t="str">
            <v>Shipment</v>
          </cell>
        </row>
        <row r="301">
          <cell r="B301" t="str">
            <v>Shipment</v>
          </cell>
        </row>
        <row r="302">
          <cell r="B302" t="str">
            <v>Shipment</v>
          </cell>
        </row>
        <row r="303">
          <cell r="B303" t="str">
            <v>Shipment</v>
          </cell>
        </row>
        <row r="304">
          <cell r="B304" t="str">
            <v>Shipment</v>
          </cell>
        </row>
        <row r="305">
          <cell r="B305" t="str">
            <v>Shipment</v>
          </cell>
        </row>
        <row r="306">
          <cell r="B306" t="str">
            <v>Shipment</v>
          </cell>
        </row>
        <row r="307">
          <cell r="B307" t="str">
            <v>Shipment</v>
          </cell>
        </row>
        <row r="308">
          <cell r="B308" t="str">
            <v>Shipment</v>
          </cell>
        </row>
        <row r="309">
          <cell r="B309" t="str">
            <v>Shipment</v>
          </cell>
        </row>
        <row r="310">
          <cell r="B310" t="str">
            <v>Shipment</v>
          </cell>
        </row>
        <row r="311">
          <cell r="B311" t="str">
            <v>Shipment</v>
          </cell>
        </row>
        <row r="312">
          <cell r="B312" t="str">
            <v>Shipment</v>
          </cell>
        </row>
        <row r="313">
          <cell r="B313" t="str">
            <v>Shipment</v>
          </cell>
        </row>
        <row r="314">
          <cell r="B314" t="str">
            <v>Shipment</v>
          </cell>
        </row>
        <row r="315">
          <cell r="B315" t="str">
            <v>Shipment</v>
          </cell>
        </row>
        <row r="316">
          <cell r="B316" t="str">
            <v>Shipment</v>
          </cell>
        </row>
        <row r="317">
          <cell r="B317" t="str">
            <v>Shipment</v>
          </cell>
        </row>
        <row r="318">
          <cell r="B318" t="str">
            <v>Shipment</v>
          </cell>
        </row>
        <row r="319">
          <cell r="B319" t="str">
            <v>Shipment</v>
          </cell>
        </row>
        <row r="320">
          <cell r="B320" t="str">
            <v>Shipment</v>
          </cell>
        </row>
        <row r="321">
          <cell r="B321" t="str">
            <v>Shipment</v>
          </cell>
        </row>
        <row r="322">
          <cell r="B322" t="str">
            <v>Shipment</v>
          </cell>
        </row>
        <row r="323">
          <cell r="B323" t="str">
            <v>Shipment</v>
          </cell>
        </row>
        <row r="324">
          <cell r="B324" t="str">
            <v>Shipment</v>
          </cell>
        </row>
        <row r="325">
          <cell r="B325" t="str">
            <v>Shipment</v>
          </cell>
        </row>
        <row r="326">
          <cell r="B326" t="str">
            <v>Shipment</v>
          </cell>
        </row>
        <row r="327">
          <cell r="B327" t="str">
            <v>Shipment</v>
          </cell>
        </row>
        <row r="328">
          <cell r="B328" t="str">
            <v>Shipment</v>
          </cell>
        </row>
        <row r="329">
          <cell r="B329" t="str">
            <v>Shipment</v>
          </cell>
        </row>
        <row r="330">
          <cell r="B330" t="str">
            <v>Shipment</v>
          </cell>
        </row>
        <row r="331">
          <cell r="B331" t="str">
            <v>Shipment</v>
          </cell>
        </row>
        <row r="332">
          <cell r="B332" t="str">
            <v>Shipment</v>
          </cell>
        </row>
        <row r="333">
          <cell r="B333" t="str">
            <v>Shipment</v>
          </cell>
        </row>
        <row r="334">
          <cell r="B334" t="str">
            <v>Shipment</v>
          </cell>
        </row>
        <row r="335">
          <cell r="B335" t="str">
            <v>Shipment</v>
          </cell>
        </row>
        <row r="336">
          <cell r="B336" t="str">
            <v>Shipment</v>
          </cell>
        </row>
        <row r="337">
          <cell r="B337" t="str">
            <v>Shipment</v>
          </cell>
        </row>
        <row r="338">
          <cell r="B338" t="str">
            <v>Shipment</v>
          </cell>
        </row>
        <row r="339">
          <cell r="B339" t="str">
            <v>Shipment</v>
          </cell>
        </row>
        <row r="340">
          <cell r="B340" t="str">
            <v>Shipment</v>
          </cell>
        </row>
        <row r="341">
          <cell r="B341" t="str">
            <v>Shipment</v>
          </cell>
        </row>
        <row r="342">
          <cell r="B342" t="str">
            <v>Shipment</v>
          </cell>
        </row>
        <row r="343">
          <cell r="B343" t="str">
            <v>Shipment</v>
          </cell>
        </row>
        <row r="344">
          <cell r="B344" t="str">
            <v>Shipment</v>
          </cell>
        </row>
        <row r="345">
          <cell r="B345" t="str">
            <v>Shipment</v>
          </cell>
        </row>
        <row r="346">
          <cell r="B346" t="str">
            <v>Shipment</v>
          </cell>
        </row>
        <row r="347">
          <cell r="B347" t="str">
            <v>Shipment</v>
          </cell>
        </row>
        <row r="348">
          <cell r="B348" t="str">
            <v>Shipment</v>
          </cell>
        </row>
        <row r="349">
          <cell r="B349" t="str">
            <v>Shipment</v>
          </cell>
        </row>
        <row r="350">
          <cell r="B350" t="str">
            <v>Shipment</v>
          </cell>
        </row>
        <row r="351">
          <cell r="B351" t="str">
            <v>Shipment</v>
          </cell>
        </row>
        <row r="352">
          <cell r="B352" t="str">
            <v>Shipment</v>
          </cell>
        </row>
        <row r="353">
          <cell r="B353" t="str">
            <v>Shipment</v>
          </cell>
        </row>
        <row r="354">
          <cell r="B354" t="str">
            <v>Shipment</v>
          </cell>
        </row>
        <row r="355">
          <cell r="B355" t="str">
            <v>Shipment</v>
          </cell>
        </row>
        <row r="356">
          <cell r="B356" t="str">
            <v>Shipment</v>
          </cell>
        </row>
        <row r="357">
          <cell r="B357" t="str">
            <v>Shipment</v>
          </cell>
        </row>
        <row r="358">
          <cell r="B358" t="str">
            <v>Shipment</v>
          </cell>
        </row>
        <row r="359">
          <cell r="B359" t="str">
            <v>Shipment</v>
          </cell>
        </row>
        <row r="360">
          <cell r="B360" t="str">
            <v>Shipment</v>
          </cell>
        </row>
        <row r="361">
          <cell r="B361" t="str">
            <v>Shipment</v>
          </cell>
        </row>
        <row r="362">
          <cell r="B362" t="str">
            <v>Shipment</v>
          </cell>
        </row>
        <row r="363">
          <cell r="B363" t="str">
            <v>Shipment</v>
          </cell>
        </row>
        <row r="364">
          <cell r="B364" t="str">
            <v>Shipment</v>
          </cell>
        </row>
        <row r="365">
          <cell r="B365" t="str">
            <v>Shipment</v>
          </cell>
        </row>
        <row r="366">
          <cell r="B366" t="str">
            <v>Shipment</v>
          </cell>
        </row>
        <row r="367">
          <cell r="B367" t="str">
            <v>Shipment</v>
          </cell>
        </row>
        <row r="368">
          <cell r="B368" t="str">
            <v>Shipment</v>
          </cell>
        </row>
        <row r="369">
          <cell r="B369" t="str">
            <v>Shipment</v>
          </cell>
        </row>
        <row r="370">
          <cell r="B370" t="str">
            <v>Shipment</v>
          </cell>
        </row>
        <row r="371">
          <cell r="B371" t="str">
            <v>Shipment</v>
          </cell>
        </row>
        <row r="372">
          <cell r="B372" t="str">
            <v>Shipment</v>
          </cell>
        </row>
        <row r="373">
          <cell r="B373" t="str">
            <v>Shipment</v>
          </cell>
        </row>
        <row r="374">
          <cell r="B374" t="str">
            <v>Shipment</v>
          </cell>
        </row>
        <row r="375">
          <cell r="B375" t="str">
            <v>Shipment</v>
          </cell>
        </row>
        <row r="376">
          <cell r="B376" t="str">
            <v>Shipment</v>
          </cell>
        </row>
        <row r="377">
          <cell r="B377" t="str">
            <v>Shipment</v>
          </cell>
        </row>
        <row r="378">
          <cell r="B378" t="str">
            <v>Shipment</v>
          </cell>
        </row>
        <row r="379">
          <cell r="B379" t="str">
            <v>Shipment</v>
          </cell>
        </row>
        <row r="380">
          <cell r="B380" t="str">
            <v>Shipment</v>
          </cell>
        </row>
        <row r="381">
          <cell r="B381" t="str">
            <v>Shipment</v>
          </cell>
        </row>
        <row r="382">
          <cell r="B382" t="str">
            <v>Shipment</v>
          </cell>
        </row>
        <row r="383">
          <cell r="B383" t="str">
            <v>Shipment</v>
          </cell>
        </row>
        <row r="384">
          <cell r="B384" t="str">
            <v>Shipment</v>
          </cell>
        </row>
        <row r="385">
          <cell r="B385" t="str">
            <v>Shipment</v>
          </cell>
        </row>
        <row r="386">
          <cell r="B386" t="str">
            <v>Shipment</v>
          </cell>
        </row>
        <row r="387">
          <cell r="B387" t="str">
            <v>Shipment</v>
          </cell>
        </row>
        <row r="388">
          <cell r="B388" t="str">
            <v>Shipment</v>
          </cell>
        </row>
        <row r="389">
          <cell r="B389" t="str">
            <v>Shipment</v>
          </cell>
        </row>
        <row r="390">
          <cell r="B390" t="str">
            <v>Shipment</v>
          </cell>
        </row>
        <row r="391">
          <cell r="B391" t="str">
            <v>Shipment</v>
          </cell>
        </row>
        <row r="392">
          <cell r="B392" t="str">
            <v>Shipment</v>
          </cell>
        </row>
        <row r="393">
          <cell r="B393" t="str">
            <v>Shipment</v>
          </cell>
        </row>
        <row r="394">
          <cell r="B394" t="str">
            <v>Shipment</v>
          </cell>
        </row>
        <row r="395">
          <cell r="B395" t="str">
            <v>Shipment</v>
          </cell>
        </row>
        <row r="396">
          <cell r="B396" t="str">
            <v>Shipment</v>
          </cell>
        </row>
        <row r="397">
          <cell r="B397" t="str">
            <v>Shipment</v>
          </cell>
        </row>
        <row r="398">
          <cell r="B398" t="str">
            <v>Shipment</v>
          </cell>
        </row>
        <row r="399">
          <cell r="B399" t="str">
            <v>Shipment</v>
          </cell>
        </row>
        <row r="400">
          <cell r="B400" t="str">
            <v>Shipment</v>
          </cell>
        </row>
        <row r="401">
          <cell r="B401" t="str">
            <v>Shipment</v>
          </cell>
        </row>
        <row r="402">
          <cell r="B402" t="str">
            <v>Shipment</v>
          </cell>
        </row>
        <row r="403">
          <cell r="B403" t="str">
            <v>Shipment</v>
          </cell>
        </row>
        <row r="404">
          <cell r="B404" t="str">
            <v>Shipment</v>
          </cell>
        </row>
        <row r="405">
          <cell r="B405" t="str">
            <v>Shipment</v>
          </cell>
        </row>
        <row r="406">
          <cell r="B406" t="str">
            <v>Shipment</v>
          </cell>
        </row>
        <row r="407">
          <cell r="B407" t="str">
            <v>Shipment</v>
          </cell>
        </row>
        <row r="408">
          <cell r="B408" t="str">
            <v>Shipment</v>
          </cell>
        </row>
        <row r="409">
          <cell r="B409" t="str">
            <v>Shipment</v>
          </cell>
        </row>
        <row r="410">
          <cell r="B410" t="str">
            <v>Shipment</v>
          </cell>
        </row>
        <row r="411">
          <cell r="B411" t="str">
            <v>Shipment</v>
          </cell>
        </row>
        <row r="412">
          <cell r="B412" t="str">
            <v>Shipment</v>
          </cell>
        </row>
        <row r="413">
          <cell r="B413" t="str">
            <v>Shipment</v>
          </cell>
        </row>
        <row r="414">
          <cell r="B414" t="str">
            <v>Shipment</v>
          </cell>
        </row>
        <row r="415">
          <cell r="B415" t="str">
            <v>Shipment</v>
          </cell>
        </row>
        <row r="416">
          <cell r="B416" t="str">
            <v>Shipment</v>
          </cell>
        </row>
        <row r="417">
          <cell r="B417" t="str">
            <v>Shipment</v>
          </cell>
        </row>
        <row r="418">
          <cell r="B418" t="str">
            <v>Shipment</v>
          </cell>
        </row>
        <row r="419">
          <cell r="B419" t="str">
            <v>Shipment</v>
          </cell>
        </row>
        <row r="420">
          <cell r="B420" t="str">
            <v>Shipment</v>
          </cell>
        </row>
        <row r="421">
          <cell r="B421" t="str">
            <v>Shipment</v>
          </cell>
        </row>
        <row r="422">
          <cell r="B422" t="str">
            <v>Shipment</v>
          </cell>
        </row>
        <row r="423">
          <cell r="B423" t="str">
            <v>Shipment</v>
          </cell>
        </row>
        <row r="424">
          <cell r="B424" t="str">
            <v>Shipment</v>
          </cell>
        </row>
        <row r="425">
          <cell r="B425" t="str">
            <v>Shipment</v>
          </cell>
        </row>
        <row r="426">
          <cell r="B426" t="str">
            <v>Shipment</v>
          </cell>
        </row>
        <row r="427">
          <cell r="B427" t="str">
            <v>Shipment</v>
          </cell>
        </row>
        <row r="428">
          <cell r="B428" t="str">
            <v>Shipment</v>
          </cell>
        </row>
        <row r="429">
          <cell r="B429" t="str">
            <v>Shipment</v>
          </cell>
        </row>
        <row r="430">
          <cell r="B430" t="str">
            <v>Shipment</v>
          </cell>
        </row>
        <row r="431">
          <cell r="B431" t="str">
            <v>Shipment</v>
          </cell>
        </row>
        <row r="432">
          <cell r="B432" t="str">
            <v>Shipment</v>
          </cell>
        </row>
        <row r="433">
          <cell r="B433" t="str">
            <v>Shipment</v>
          </cell>
        </row>
        <row r="434">
          <cell r="B434" t="str">
            <v>Shipment</v>
          </cell>
        </row>
        <row r="435">
          <cell r="B435" t="str">
            <v>Shipment</v>
          </cell>
        </row>
        <row r="436">
          <cell r="B436" t="str">
            <v>Shipment</v>
          </cell>
        </row>
        <row r="437">
          <cell r="B437" t="str">
            <v>Shipment</v>
          </cell>
        </row>
        <row r="438">
          <cell r="B438" t="str">
            <v>Shipment</v>
          </cell>
        </row>
        <row r="439">
          <cell r="B439" t="str">
            <v>Shipment</v>
          </cell>
        </row>
        <row r="440">
          <cell r="B440" t="str">
            <v>Shipment</v>
          </cell>
        </row>
        <row r="441">
          <cell r="B441" t="str">
            <v>Shipment</v>
          </cell>
        </row>
        <row r="442">
          <cell r="B442" t="str">
            <v>Shipment</v>
          </cell>
        </row>
        <row r="443">
          <cell r="B443" t="str">
            <v>Shipment</v>
          </cell>
        </row>
        <row r="444">
          <cell r="B444" t="str">
            <v>Shipment</v>
          </cell>
        </row>
        <row r="445">
          <cell r="B445" t="str">
            <v>Shipment</v>
          </cell>
        </row>
        <row r="446">
          <cell r="B446" t="str">
            <v>Shipment</v>
          </cell>
        </row>
        <row r="447">
          <cell r="B447" t="str">
            <v>Shipment</v>
          </cell>
        </row>
        <row r="448">
          <cell r="B448" t="str">
            <v>Shipment</v>
          </cell>
        </row>
        <row r="449">
          <cell r="B449" t="str">
            <v>Shipment</v>
          </cell>
        </row>
        <row r="450">
          <cell r="B450" t="str">
            <v>Shipment</v>
          </cell>
        </row>
        <row r="451">
          <cell r="B451" t="str">
            <v>Shipment</v>
          </cell>
        </row>
        <row r="452">
          <cell r="B452" t="str">
            <v>Shipment</v>
          </cell>
        </row>
        <row r="453">
          <cell r="B453" t="str">
            <v>Shipment</v>
          </cell>
        </row>
        <row r="454">
          <cell r="B454" t="str">
            <v>Shipment</v>
          </cell>
        </row>
        <row r="455">
          <cell r="B455" t="str">
            <v>Shipment</v>
          </cell>
        </row>
        <row r="456">
          <cell r="B456" t="str">
            <v>Shipment</v>
          </cell>
        </row>
        <row r="457">
          <cell r="B457" t="str">
            <v>Shipment</v>
          </cell>
        </row>
        <row r="458">
          <cell r="B458" t="str">
            <v>Shipment</v>
          </cell>
        </row>
        <row r="459">
          <cell r="B459" t="str">
            <v>Shipment</v>
          </cell>
        </row>
        <row r="460">
          <cell r="B460" t="str">
            <v>Shipment</v>
          </cell>
        </row>
        <row r="461">
          <cell r="B461" t="str">
            <v>Shipment</v>
          </cell>
        </row>
        <row r="462">
          <cell r="B462" t="str">
            <v>Shipment</v>
          </cell>
        </row>
        <row r="463">
          <cell r="B463" t="str">
            <v>Shipment</v>
          </cell>
        </row>
        <row r="464">
          <cell r="B464" t="str">
            <v>Shipment</v>
          </cell>
        </row>
        <row r="465">
          <cell r="B465" t="str">
            <v>Shipment</v>
          </cell>
        </row>
        <row r="466">
          <cell r="B466" t="str">
            <v>Shipment</v>
          </cell>
        </row>
        <row r="467">
          <cell r="B467" t="str">
            <v>Shipment</v>
          </cell>
        </row>
        <row r="468">
          <cell r="B468" t="str">
            <v>Shipment</v>
          </cell>
        </row>
        <row r="469">
          <cell r="B469" t="str">
            <v>Shipment</v>
          </cell>
        </row>
        <row r="470">
          <cell r="B470" t="str">
            <v>Shipment</v>
          </cell>
        </row>
        <row r="471">
          <cell r="B471" t="str">
            <v>Shipment</v>
          </cell>
        </row>
        <row r="472">
          <cell r="B472" t="str">
            <v>Shipment</v>
          </cell>
        </row>
        <row r="473">
          <cell r="B473" t="str">
            <v>Shipment</v>
          </cell>
        </row>
        <row r="474">
          <cell r="B474" t="str">
            <v>Shipment</v>
          </cell>
        </row>
        <row r="475">
          <cell r="B475" t="str">
            <v>Shipment</v>
          </cell>
        </row>
        <row r="476">
          <cell r="B476" t="str">
            <v>Shipment</v>
          </cell>
        </row>
        <row r="477">
          <cell r="B477" t="str">
            <v>Shipment</v>
          </cell>
        </row>
        <row r="478">
          <cell r="B478" t="str">
            <v>Shipment</v>
          </cell>
        </row>
        <row r="479">
          <cell r="B479" t="str">
            <v>Shipment</v>
          </cell>
        </row>
        <row r="480">
          <cell r="B480" t="str">
            <v>Shipment</v>
          </cell>
        </row>
        <row r="481">
          <cell r="B481" t="str">
            <v>Shipment</v>
          </cell>
        </row>
        <row r="482">
          <cell r="B482" t="str">
            <v>Shipment</v>
          </cell>
        </row>
        <row r="483">
          <cell r="B483" t="str">
            <v>Shipment</v>
          </cell>
        </row>
        <row r="484">
          <cell r="B484" t="str">
            <v>Shipment</v>
          </cell>
        </row>
        <row r="485">
          <cell r="B485" t="str">
            <v>Shipment</v>
          </cell>
        </row>
        <row r="486">
          <cell r="B486" t="str">
            <v>Shipment</v>
          </cell>
        </row>
        <row r="487">
          <cell r="B487" t="str">
            <v>Shipment</v>
          </cell>
        </row>
        <row r="488">
          <cell r="B488" t="str">
            <v>Shipment</v>
          </cell>
        </row>
        <row r="489">
          <cell r="B489" t="str">
            <v>Shipment</v>
          </cell>
        </row>
        <row r="490">
          <cell r="B490" t="str">
            <v>Shipment</v>
          </cell>
        </row>
        <row r="491">
          <cell r="B491" t="str">
            <v>Shipment</v>
          </cell>
        </row>
        <row r="492">
          <cell r="B492" t="str">
            <v>Shipment</v>
          </cell>
        </row>
        <row r="493">
          <cell r="B493" t="str">
            <v>Shipment</v>
          </cell>
        </row>
        <row r="494">
          <cell r="B494" t="str">
            <v>Shipment</v>
          </cell>
        </row>
        <row r="495">
          <cell r="B495" t="str">
            <v>Shipment</v>
          </cell>
        </row>
        <row r="496">
          <cell r="B496" t="str">
            <v>Shipment</v>
          </cell>
        </row>
        <row r="497">
          <cell r="B497" t="str">
            <v>Shipment</v>
          </cell>
        </row>
        <row r="498">
          <cell r="B498" t="str">
            <v>Shipment</v>
          </cell>
        </row>
        <row r="499">
          <cell r="B499" t="str">
            <v>Shipment</v>
          </cell>
        </row>
        <row r="500">
          <cell r="B500" t="str">
            <v>Shipment</v>
          </cell>
        </row>
        <row r="501">
          <cell r="B501" t="str">
            <v>Shipment</v>
          </cell>
        </row>
        <row r="502">
          <cell r="B502" t="str">
            <v>Shipment</v>
          </cell>
        </row>
        <row r="503">
          <cell r="B503" t="str">
            <v>Shipment</v>
          </cell>
        </row>
        <row r="504">
          <cell r="B504" t="str">
            <v>Shipment</v>
          </cell>
        </row>
        <row r="505">
          <cell r="B505" t="str">
            <v>Shipment</v>
          </cell>
        </row>
        <row r="506">
          <cell r="B506" t="str">
            <v>Shipment</v>
          </cell>
        </row>
        <row r="507">
          <cell r="B507" t="str">
            <v>Shipment</v>
          </cell>
        </row>
        <row r="508">
          <cell r="B508" t="str">
            <v>Shipment</v>
          </cell>
        </row>
        <row r="509">
          <cell r="B509" t="str">
            <v>Shipment</v>
          </cell>
        </row>
        <row r="510">
          <cell r="B510" t="str">
            <v>Shipment</v>
          </cell>
        </row>
        <row r="511">
          <cell r="B511" t="str">
            <v>Shipment</v>
          </cell>
        </row>
        <row r="512">
          <cell r="B512" t="str">
            <v>Shipment</v>
          </cell>
        </row>
        <row r="513">
          <cell r="B513" t="str">
            <v>Shipment</v>
          </cell>
        </row>
        <row r="514">
          <cell r="B514" t="str">
            <v>Shipment</v>
          </cell>
        </row>
        <row r="515">
          <cell r="B515" t="str">
            <v>Shipment</v>
          </cell>
        </row>
        <row r="516">
          <cell r="B516" t="str">
            <v>Shipment</v>
          </cell>
        </row>
        <row r="517">
          <cell r="B517" t="str">
            <v>Shipment</v>
          </cell>
        </row>
        <row r="518">
          <cell r="B518" t="str">
            <v>Shipment</v>
          </cell>
        </row>
        <row r="519">
          <cell r="B519" t="str">
            <v>Shipment</v>
          </cell>
        </row>
        <row r="520">
          <cell r="B520" t="str">
            <v>Shipment</v>
          </cell>
        </row>
        <row r="521">
          <cell r="B521" t="str">
            <v>Shipment</v>
          </cell>
        </row>
        <row r="522">
          <cell r="B522" t="str">
            <v>Shipment</v>
          </cell>
        </row>
        <row r="523">
          <cell r="B523" t="str">
            <v>Shipment</v>
          </cell>
        </row>
        <row r="524">
          <cell r="B524" t="str">
            <v>Shipment</v>
          </cell>
        </row>
        <row r="525">
          <cell r="B525" t="str">
            <v>Shipment</v>
          </cell>
        </row>
        <row r="526">
          <cell r="B526" t="str">
            <v>Shipment</v>
          </cell>
        </row>
        <row r="527">
          <cell r="B527" t="str">
            <v>Shipment</v>
          </cell>
        </row>
        <row r="528">
          <cell r="B528" t="str">
            <v>Shipment</v>
          </cell>
        </row>
        <row r="529">
          <cell r="B529" t="str">
            <v>Shipment</v>
          </cell>
        </row>
        <row r="530">
          <cell r="B530" t="str">
            <v>Shipment</v>
          </cell>
        </row>
        <row r="531">
          <cell r="B531" t="str">
            <v>Shipment</v>
          </cell>
        </row>
        <row r="532">
          <cell r="B532" t="str">
            <v>Shipment</v>
          </cell>
        </row>
        <row r="533">
          <cell r="B533" t="str">
            <v>Shipment</v>
          </cell>
        </row>
        <row r="534">
          <cell r="B534" t="str">
            <v>Shipment</v>
          </cell>
        </row>
        <row r="535">
          <cell r="B535" t="str">
            <v>Shipment</v>
          </cell>
        </row>
        <row r="536">
          <cell r="B536" t="str">
            <v>Shipment</v>
          </cell>
        </row>
        <row r="537">
          <cell r="B537" t="str">
            <v>Shipment</v>
          </cell>
        </row>
        <row r="538">
          <cell r="B538" t="str">
            <v>Shipment</v>
          </cell>
        </row>
        <row r="539">
          <cell r="B539" t="str">
            <v>Shipment</v>
          </cell>
        </row>
        <row r="540">
          <cell r="B540" t="str">
            <v>Shipment</v>
          </cell>
        </row>
        <row r="541">
          <cell r="B541" t="str">
            <v>Shipment</v>
          </cell>
        </row>
        <row r="542">
          <cell r="B542" t="str">
            <v>Shipment</v>
          </cell>
        </row>
        <row r="543">
          <cell r="B543" t="str">
            <v>Shipment</v>
          </cell>
        </row>
        <row r="544">
          <cell r="B544" t="str">
            <v>Shipment</v>
          </cell>
        </row>
        <row r="545">
          <cell r="B545" t="str">
            <v>Shipment</v>
          </cell>
        </row>
        <row r="546">
          <cell r="B546" t="str">
            <v>Shipment</v>
          </cell>
        </row>
        <row r="547">
          <cell r="B547" t="str">
            <v>Shipment</v>
          </cell>
        </row>
        <row r="548">
          <cell r="B548" t="str">
            <v>Shipment</v>
          </cell>
        </row>
        <row r="549">
          <cell r="B549" t="str">
            <v>Shipment</v>
          </cell>
        </row>
        <row r="550">
          <cell r="B550" t="str">
            <v>Shipment</v>
          </cell>
        </row>
        <row r="551">
          <cell r="B551" t="str">
            <v>Shipment</v>
          </cell>
        </row>
        <row r="552">
          <cell r="B552" t="str">
            <v>Shipment</v>
          </cell>
        </row>
        <row r="553">
          <cell r="B553" t="str">
            <v>Shipment</v>
          </cell>
        </row>
        <row r="554">
          <cell r="B554" t="str">
            <v>Shipment</v>
          </cell>
        </row>
        <row r="555">
          <cell r="B555" t="str">
            <v>Shipment</v>
          </cell>
        </row>
        <row r="556">
          <cell r="B556" t="str">
            <v>Shipment</v>
          </cell>
        </row>
        <row r="557">
          <cell r="B557" t="str">
            <v>Shipment</v>
          </cell>
        </row>
        <row r="558">
          <cell r="B558" t="str">
            <v>Shipment</v>
          </cell>
        </row>
        <row r="559">
          <cell r="B559" t="str">
            <v>Shipment</v>
          </cell>
        </row>
        <row r="560">
          <cell r="B560" t="str">
            <v>Shipment</v>
          </cell>
        </row>
        <row r="561">
          <cell r="B561" t="str">
            <v>Shipment</v>
          </cell>
        </row>
        <row r="562">
          <cell r="B562" t="str">
            <v>Shipment</v>
          </cell>
        </row>
        <row r="563">
          <cell r="B563" t="str">
            <v>Shipment</v>
          </cell>
        </row>
        <row r="564">
          <cell r="B564" t="str">
            <v>Shipment</v>
          </cell>
        </row>
        <row r="565">
          <cell r="B565" t="str">
            <v>Shipment</v>
          </cell>
        </row>
        <row r="566">
          <cell r="B566" t="str">
            <v>Shipment</v>
          </cell>
        </row>
        <row r="567">
          <cell r="B567" t="str">
            <v>Shipment</v>
          </cell>
        </row>
        <row r="568">
          <cell r="B568" t="str">
            <v>Shipment</v>
          </cell>
        </row>
        <row r="569">
          <cell r="B569" t="str">
            <v>Shipment</v>
          </cell>
        </row>
        <row r="570">
          <cell r="B570" t="str">
            <v>Shipment</v>
          </cell>
        </row>
        <row r="571">
          <cell r="B571" t="str">
            <v>Shipment</v>
          </cell>
        </row>
        <row r="572">
          <cell r="B572" t="str">
            <v>Shipment</v>
          </cell>
        </row>
        <row r="573">
          <cell r="B573" t="str">
            <v>Shipment</v>
          </cell>
        </row>
        <row r="574">
          <cell r="B574" t="str">
            <v>Shipment</v>
          </cell>
        </row>
        <row r="575">
          <cell r="B575" t="str">
            <v>Shipment</v>
          </cell>
        </row>
        <row r="576">
          <cell r="B576" t="str">
            <v>Shipment</v>
          </cell>
        </row>
        <row r="577">
          <cell r="B577" t="str">
            <v>Shipment</v>
          </cell>
        </row>
        <row r="578">
          <cell r="B578" t="str">
            <v>Shipment</v>
          </cell>
        </row>
        <row r="579">
          <cell r="B579" t="str">
            <v>Shipment</v>
          </cell>
        </row>
        <row r="580">
          <cell r="B580" t="str">
            <v>Shipment</v>
          </cell>
        </row>
        <row r="581">
          <cell r="B581" t="str">
            <v>Shipment</v>
          </cell>
        </row>
        <row r="582">
          <cell r="B582" t="str">
            <v>Shipment</v>
          </cell>
        </row>
        <row r="583">
          <cell r="B583" t="str">
            <v>Shipment</v>
          </cell>
        </row>
        <row r="584">
          <cell r="B584" t="str">
            <v>Shipment</v>
          </cell>
        </row>
        <row r="585">
          <cell r="B585" t="str">
            <v>Shipment</v>
          </cell>
        </row>
        <row r="586">
          <cell r="B586" t="str">
            <v>Shipment</v>
          </cell>
        </row>
        <row r="587">
          <cell r="B587" t="str">
            <v>Shipment</v>
          </cell>
        </row>
        <row r="588">
          <cell r="B588" t="str">
            <v>Shipment</v>
          </cell>
        </row>
        <row r="589">
          <cell r="B589" t="str">
            <v>Shipment</v>
          </cell>
        </row>
        <row r="590">
          <cell r="B590" t="str">
            <v>Shipment</v>
          </cell>
        </row>
        <row r="591">
          <cell r="B591" t="str">
            <v>Shipment</v>
          </cell>
        </row>
        <row r="592">
          <cell r="B592" t="str">
            <v>Shipment</v>
          </cell>
        </row>
        <row r="593">
          <cell r="B593" t="str">
            <v>Shipment</v>
          </cell>
        </row>
        <row r="594">
          <cell r="B594" t="str">
            <v>Shipment</v>
          </cell>
        </row>
        <row r="595">
          <cell r="B595" t="str">
            <v>Shipment</v>
          </cell>
        </row>
        <row r="596">
          <cell r="B596" t="str">
            <v>Shipment</v>
          </cell>
        </row>
        <row r="597">
          <cell r="B597" t="str">
            <v>Shipment</v>
          </cell>
        </row>
        <row r="598">
          <cell r="B598" t="str">
            <v>Shipment</v>
          </cell>
        </row>
        <row r="599">
          <cell r="B599" t="str">
            <v>Shipment</v>
          </cell>
        </row>
        <row r="600">
          <cell r="B600" t="str">
            <v>Shipment</v>
          </cell>
        </row>
        <row r="601">
          <cell r="B601" t="str">
            <v>Shipment</v>
          </cell>
        </row>
        <row r="602">
          <cell r="B602" t="str">
            <v>Shipment</v>
          </cell>
        </row>
        <row r="603">
          <cell r="B603" t="str">
            <v>Shipment</v>
          </cell>
        </row>
        <row r="604">
          <cell r="B604" t="str">
            <v>Shipment</v>
          </cell>
        </row>
        <row r="605">
          <cell r="B605" t="str">
            <v>Shipment</v>
          </cell>
        </row>
        <row r="606">
          <cell r="B606" t="str">
            <v>Shipment</v>
          </cell>
        </row>
        <row r="607">
          <cell r="B607" t="str">
            <v>Shipment</v>
          </cell>
        </row>
        <row r="608">
          <cell r="B608" t="str">
            <v>Shipment</v>
          </cell>
        </row>
        <row r="609">
          <cell r="B609" t="str">
            <v>Shipment</v>
          </cell>
        </row>
        <row r="610">
          <cell r="B610" t="str">
            <v>Shipment</v>
          </cell>
        </row>
        <row r="611">
          <cell r="B611" t="str">
            <v>Shipment</v>
          </cell>
        </row>
        <row r="612">
          <cell r="B612" t="str">
            <v>Shipment</v>
          </cell>
        </row>
        <row r="613">
          <cell r="B613" t="str">
            <v>Shipment</v>
          </cell>
        </row>
        <row r="614">
          <cell r="B614" t="str">
            <v>Shipment</v>
          </cell>
        </row>
        <row r="615">
          <cell r="B615" t="str">
            <v>Shipment</v>
          </cell>
        </row>
        <row r="616">
          <cell r="B616" t="str">
            <v>Shipment</v>
          </cell>
        </row>
        <row r="617">
          <cell r="B617" t="str">
            <v>Shipment</v>
          </cell>
        </row>
        <row r="618">
          <cell r="B618" t="str">
            <v>Shipment</v>
          </cell>
        </row>
        <row r="619">
          <cell r="B619" t="str">
            <v>Shipment</v>
          </cell>
        </row>
        <row r="620">
          <cell r="B620" t="str">
            <v>Shipment</v>
          </cell>
        </row>
        <row r="621">
          <cell r="B621" t="str">
            <v>Shipment</v>
          </cell>
        </row>
        <row r="622">
          <cell r="B622" t="str">
            <v>Shipment</v>
          </cell>
        </row>
        <row r="623">
          <cell r="B623" t="str">
            <v>Shipment</v>
          </cell>
        </row>
        <row r="624">
          <cell r="B624" t="str">
            <v>Shipment</v>
          </cell>
        </row>
        <row r="625">
          <cell r="B625" t="str">
            <v>Shipment</v>
          </cell>
        </row>
        <row r="626">
          <cell r="B626" t="str">
            <v>Shipment</v>
          </cell>
        </row>
        <row r="627">
          <cell r="B627" t="str">
            <v>Shipment</v>
          </cell>
        </row>
        <row r="628">
          <cell r="B628" t="str">
            <v>Shipment</v>
          </cell>
        </row>
        <row r="629">
          <cell r="B629" t="str">
            <v>Shipment</v>
          </cell>
        </row>
        <row r="630">
          <cell r="B630" t="str">
            <v>Shipment</v>
          </cell>
        </row>
        <row r="631">
          <cell r="B631" t="str">
            <v>Shipment</v>
          </cell>
        </row>
        <row r="632">
          <cell r="B632" t="str">
            <v>Shipment</v>
          </cell>
        </row>
        <row r="633">
          <cell r="B633" t="str">
            <v>Shipment</v>
          </cell>
        </row>
        <row r="634">
          <cell r="B634" t="str">
            <v>Shipment</v>
          </cell>
        </row>
        <row r="635">
          <cell r="B635" t="str">
            <v>Shipment</v>
          </cell>
        </row>
        <row r="636">
          <cell r="B636" t="str">
            <v>Shipment</v>
          </cell>
        </row>
        <row r="637">
          <cell r="B637" t="str">
            <v>Shipment</v>
          </cell>
        </row>
        <row r="638">
          <cell r="B638" t="str">
            <v>Shipment</v>
          </cell>
        </row>
        <row r="639">
          <cell r="B639" t="str">
            <v>Shipment</v>
          </cell>
        </row>
        <row r="640">
          <cell r="B640" t="str">
            <v>Shipment</v>
          </cell>
        </row>
        <row r="641">
          <cell r="B641" t="str">
            <v>Shipment</v>
          </cell>
        </row>
        <row r="642">
          <cell r="B642" t="str">
            <v>Shipment</v>
          </cell>
        </row>
        <row r="643">
          <cell r="B643" t="str">
            <v>Shipment</v>
          </cell>
        </row>
        <row r="644">
          <cell r="B644" t="str">
            <v>Shipment</v>
          </cell>
        </row>
        <row r="645">
          <cell r="B645" t="str">
            <v>Shipment</v>
          </cell>
        </row>
        <row r="646">
          <cell r="B646" t="str">
            <v>Shipment</v>
          </cell>
        </row>
        <row r="647">
          <cell r="B647" t="str">
            <v>Shipment</v>
          </cell>
        </row>
        <row r="648">
          <cell r="B648" t="str">
            <v>Shipment</v>
          </cell>
        </row>
        <row r="649">
          <cell r="B649" t="str">
            <v>Shipment</v>
          </cell>
        </row>
        <row r="650">
          <cell r="B650" t="str">
            <v>Shipment</v>
          </cell>
        </row>
        <row r="651">
          <cell r="B651" t="str">
            <v>Shipment</v>
          </cell>
        </row>
        <row r="652">
          <cell r="B652" t="str">
            <v>Shipment</v>
          </cell>
        </row>
        <row r="653">
          <cell r="B653" t="str">
            <v>Shipment</v>
          </cell>
        </row>
        <row r="654">
          <cell r="B654" t="str">
            <v>Shipment</v>
          </cell>
        </row>
        <row r="655">
          <cell r="B655" t="str">
            <v>Shipment</v>
          </cell>
        </row>
        <row r="656">
          <cell r="B656" t="str">
            <v>Shipment</v>
          </cell>
        </row>
        <row r="657">
          <cell r="B657" t="str">
            <v>Shipment</v>
          </cell>
        </row>
        <row r="658">
          <cell r="B658" t="str">
            <v>Shipment</v>
          </cell>
        </row>
        <row r="659">
          <cell r="B659" t="str">
            <v>Shipment</v>
          </cell>
        </row>
        <row r="660">
          <cell r="B660" t="str">
            <v>Shipment</v>
          </cell>
        </row>
        <row r="661">
          <cell r="B661" t="str">
            <v>Shipment</v>
          </cell>
        </row>
        <row r="662">
          <cell r="B662" t="str">
            <v>Shipment</v>
          </cell>
        </row>
        <row r="663">
          <cell r="B663" t="str">
            <v>Shipment</v>
          </cell>
        </row>
        <row r="664">
          <cell r="B664" t="str">
            <v>Shipment</v>
          </cell>
        </row>
        <row r="665">
          <cell r="B665" t="str">
            <v>Shipment</v>
          </cell>
        </row>
        <row r="666">
          <cell r="B666" t="str">
            <v>Shipment</v>
          </cell>
        </row>
        <row r="667">
          <cell r="B667" t="str">
            <v>Shipment</v>
          </cell>
        </row>
        <row r="668">
          <cell r="B668" t="str">
            <v>Shipment</v>
          </cell>
        </row>
        <row r="669">
          <cell r="B669" t="str">
            <v>Shipment</v>
          </cell>
        </row>
        <row r="670">
          <cell r="B670" t="str">
            <v>Shipment</v>
          </cell>
        </row>
        <row r="671">
          <cell r="B671" t="str">
            <v>Shipment</v>
          </cell>
        </row>
        <row r="672">
          <cell r="B672" t="str">
            <v>Shipment</v>
          </cell>
        </row>
        <row r="673">
          <cell r="B673" t="str">
            <v>Shipment</v>
          </cell>
        </row>
        <row r="674">
          <cell r="B674" t="str">
            <v>Shipment</v>
          </cell>
        </row>
        <row r="675">
          <cell r="B675" t="str">
            <v>Shipment</v>
          </cell>
        </row>
        <row r="676">
          <cell r="B676" t="str">
            <v>Shipment</v>
          </cell>
        </row>
        <row r="677">
          <cell r="B677" t="str">
            <v>Shipment</v>
          </cell>
        </row>
        <row r="678">
          <cell r="B678" t="str">
            <v>Shipment</v>
          </cell>
        </row>
        <row r="679">
          <cell r="B679" t="str">
            <v>Shipment</v>
          </cell>
        </row>
        <row r="680">
          <cell r="B680" t="str">
            <v>Shipment</v>
          </cell>
        </row>
        <row r="681">
          <cell r="B681" t="str">
            <v>Shipment</v>
          </cell>
        </row>
        <row r="682">
          <cell r="B682" t="str">
            <v>Shipment</v>
          </cell>
        </row>
        <row r="683">
          <cell r="B683" t="str">
            <v>Shipment</v>
          </cell>
        </row>
        <row r="684">
          <cell r="B684" t="str">
            <v>Shipment</v>
          </cell>
        </row>
        <row r="685">
          <cell r="B685" t="str">
            <v>Shipment</v>
          </cell>
        </row>
        <row r="686">
          <cell r="B686" t="str">
            <v>Shipment</v>
          </cell>
        </row>
        <row r="687">
          <cell r="B687" t="str">
            <v>Shipment</v>
          </cell>
        </row>
        <row r="688">
          <cell r="B688" t="str">
            <v>Shipment</v>
          </cell>
        </row>
        <row r="689">
          <cell r="B689" t="str">
            <v>Shipment</v>
          </cell>
        </row>
        <row r="690">
          <cell r="B690" t="str">
            <v>Shipment</v>
          </cell>
        </row>
        <row r="691">
          <cell r="B691" t="str">
            <v>Shipment</v>
          </cell>
        </row>
        <row r="692">
          <cell r="B692" t="str">
            <v>Shipment</v>
          </cell>
        </row>
        <row r="693">
          <cell r="B693" t="str">
            <v>Shipment</v>
          </cell>
        </row>
        <row r="694">
          <cell r="B694" t="str">
            <v>Shipment</v>
          </cell>
        </row>
        <row r="695">
          <cell r="B695" t="str">
            <v>Shipment</v>
          </cell>
        </row>
        <row r="696">
          <cell r="B696" t="str">
            <v>Shipment</v>
          </cell>
        </row>
        <row r="697">
          <cell r="B697" t="str">
            <v>Shipment</v>
          </cell>
        </row>
        <row r="698">
          <cell r="B698" t="str">
            <v>Shipment</v>
          </cell>
        </row>
        <row r="699">
          <cell r="B699" t="str">
            <v>Shipment</v>
          </cell>
        </row>
        <row r="700">
          <cell r="B700" t="str">
            <v>Shipment</v>
          </cell>
        </row>
        <row r="701">
          <cell r="B701" t="str">
            <v>Shipment</v>
          </cell>
        </row>
        <row r="702">
          <cell r="B702" t="str">
            <v>Shipment</v>
          </cell>
        </row>
        <row r="703">
          <cell r="B703" t="str">
            <v>Shipment</v>
          </cell>
        </row>
        <row r="704">
          <cell r="B704" t="str">
            <v>Shipment</v>
          </cell>
        </row>
        <row r="705">
          <cell r="B705" t="str">
            <v>Shipment</v>
          </cell>
        </row>
        <row r="706">
          <cell r="B706" t="str">
            <v>Shipment</v>
          </cell>
        </row>
        <row r="707">
          <cell r="B707" t="str">
            <v>Shipment</v>
          </cell>
        </row>
        <row r="708">
          <cell r="B708" t="str">
            <v>Shipment</v>
          </cell>
        </row>
        <row r="709">
          <cell r="B709" t="str">
            <v>Shipment</v>
          </cell>
        </row>
        <row r="710">
          <cell r="B710" t="str">
            <v>Shipment</v>
          </cell>
        </row>
        <row r="711">
          <cell r="B711" t="str">
            <v>Shipment</v>
          </cell>
        </row>
        <row r="712">
          <cell r="B712" t="str">
            <v>Shipment</v>
          </cell>
        </row>
        <row r="713">
          <cell r="B713" t="str">
            <v>Shipment</v>
          </cell>
        </row>
        <row r="714">
          <cell r="B714" t="str">
            <v>Shipment</v>
          </cell>
        </row>
        <row r="715">
          <cell r="B715" t="str">
            <v>Shipment</v>
          </cell>
        </row>
        <row r="716">
          <cell r="B716" t="str">
            <v>Shipment</v>
          </cell>
        </row>
        <row r="717">
          <cell r="B717" t="str">
            <v>Shipment</v>
          </cell>
        </row>
        <row r="718">
          <cell r="B718" t="str">
            <v>Shipment</v>
          </cell>
        </row>
        <row r="719">
          <cell r="B719" t="str">
            <v>Shipment</v>
          </cell>
        </row>
        <row r="720">
          <cell r="B720" t="str">
            <v>Shipment</v>
          </cell>
        </row>
        <row r="721">
          <cell r="B721" t="str">
            <v>Shipment</v>
          </cell>
        </row>
        <row r="722">
          <cell r="B722" t="str">
            <v>Shipment</v>
          </cell>
        </row>
        <row r="723">
          <cell r="B723" t="str">
            <v>Shipment</v>
          </cell>
        </row>
        <row r="724">
          <cell r="B724" t="str">
            <v>Shipment</v>
          </cell>
        </row>
        <row r="725">
          <cell r="B725" t="str">
            <v>Shipment</v>
          </cell>
        </row>
        <row r="726">
          <cell r="B726" t="str">
            <v>Shipment</v>
          </cell>
        </row>
        <row r="727">
          <cell r="B727" t="str">
            <v>Shipment</v>
          </cell>
        </row>
        <row r="728">
          <cell r="B728" t="str">
            <v>Shipment</v>
          </cell>
        </row>
        <row r="729">
          <cell r="B729" t="str">
            <v>Shipment</v>
          </cell>
        </row>
        <row r="730">
          <cell r="B730" t="str">
            <v>Shipment</v>
          </cell>
        </row>
        <row r="731">
          <cell r="B731" t="str">
            <v>Shipment</v>
          </cell>
        </row>
        <row r="732">
          <cell r="B732" t="str">
            <v>Shipment</v>
          </cell>
        </row>
        <row r="733">
          <cell r="B733" t="str">
            <v>Shipment</v>
          </cell>
        </row>
        <row r="734">
          <cell r="B734" t="str">
            <v>Shipment</v>
          </cell>
        </row>
        <row r="735">
          <cell r="B735" t="str">
            <v>Shipment</v>
          </cell>
        </row>
        <row r="736">
          <cell r="B736" t="str">
            <v>Shipment</v>
          </cell>
        </row>
        <row r="737">
          <cell r="B737" t="str">
            <v>Shipment</v>
          </cell>
        </row>
        <row r="738">
          <cell r="B738" t="str">
            <v>Shipment</v>
          </cell>
        </row>
        <row r="739">
          <cell r="B739" t="str">
            <v>Shipment</v>
          </cell>
        </row>
        <row r="740">
          <cell r="B740" t="str">
            <v>Shipment</v>
          </cell>
        </row>
        <row r="741">
          <cell r="B741" t="str">
            <v>Shipment</v>
          </cell>
        </row>
        <row r="742">
          <cell r="B742" t="str">
            <v>Shipment</v>
          </cell>
        </row>
        <row r="743">
          <cell r="B743" t="str">
            <v>Shipment</v>
          </cell>
        </row>
        <row r="744">
          <cell r="B744" t="str">
            <v>Shipment</v>
          </cell>
        </row>
        <row r="745">
          <cell r="B745" t="str">
            <v>Shipment</v>
          </cell>
        </row>
        <row r="746">
          <cell r="B746" t="str">
            <v>Shipment</v>
          </cell>
        </row>
        <row r="747">
          <cell r="B747" t="str">
            <v>Shipment</v>
          </cell>
        </row>
        <row r="748">
          <cell r="B748" t="str">
            <v>Shipment</v>
          </cell>
        </row>
        <row r="749">
          <cell r="B749" t="str">
            <v>Shipment</v>
          </cell>
        </row>
        <row r="750">
          <cell r="B750" t="str">
            <v>Shipment</v>
          </cell>
        </row>
        <row r="751">
          <cell r="B751" t="str">
            <v>Shipment</v>
          </cell>
        </row>
        <row r="752">
          <cell r="B752" t="str">
            <v>Shipment</v>
          </cell>
        </row>
        <row r="753">
          <cell r="B753" t="str">
            <v>Shipment</v>
          </cell>
        </row>
        <row r="754">
          <cell r="B754" t="str">
            <v>Shipment</v>
          </cell>
        </row>
        <row r="755">
          <cell r="B755" t="str">
            <v>Shipment</v>
          </cell>
        </row>
        <row r="756">
          <cell r="B756" t="str">
            <v>Shipment</v>
          </cell>
        </row>
        <row r="757">
          <cell r="B757" t="str">
            <v>Shipment</v>
          </cell>
        </row>
        <row r="758">
          <cell r="B758" t="str">
            <v>Shipment</v>
          </cell>
        </row>
        <row r="759">
          <cell r="B759" t="str">
            <v>Shipment</v>
          </cell>
        </row>
        <row r="760">
          <cell r="B760" t="str">
            <v>Shipment</v>
          </cell>
        </row>
        <row r="761">
          <cell r="B761" t="str">
            <v>Shipment</v>
          </cell>
        </row>
        <row r="762">
          <cell r="B762" t="str">
            <v>Shipment</v>
          </cell>
        </row>
        <row r="763">
          <cell r="B763" t="str">
            <v>Shipment</v>
          </cell>
        </row>
        <row r="764">
          <cell r="B764" t="str">
            <v>Shipment</v>
          </cell>
        </row>
        <row r="765">
          <cell r="B765" t="str">
            <v>Shipment</v>
          </cell>
        </row>
        <row r="766">
          <cell r="B766" t="str">
            <v>Shipment</v>
          </cell>
        </row>
        <row r="767">
          <cell r="B767" t="str">
            <v>Shipment</v>
          </cell>
        </row>
        <row r="768">
          <cell r="B768" t="str">
            <v>Shipment</v>
          </cell>
        </row>
        <row r="769">
          <cell r="B769" t="str">
            <v>Shipment</v>
          </cell>
        </row>
        <row r="770">
          <cell r="B770" t="str">
            <v>Shipment</v>
          </cell>
        </row>
        <row r="771">
          <cell r="B771" t="str">
            <v>Shipment</v>
          </cell>
        </row>
        <row r="772">
          <cell r="B772" t="str">
            <v>Shipment</v>
          </cell>
        </row>
        <row r="773">
          <cell r="B773" t="str">
            <v>Shipment</v>
          </cell>
        </row>
        <row r="774">
          <cell r="B774" t="str">
            <v>Shipment</v>
          </cell>
        </row>
        <row r="775">
          <cell r="B775" t="str">
            <v>Shipment</v>
          </cell>
        </row>
        <row r="776">
          <cell r="B776" t="str">
            <v>Shipment</v>
          </cell>
        </row>
        <row r="777">
          <cell r="B777" t="str">
            <v>Shipment</v>
          </cell>
        </row>
        <row r="778">
          <cell r="B778" t="str">
            <v>Shipment</v>
          </cell>
        </row>
        <row r="779">
          <cell r="B779" t="str">
            <v>Shipment</v>
          </cell>
        </row>
        <row r="780">
          <cell r="B780" t="str">
            <v>Shipment</v>
          </cell>
        </row>
        <row r="781">
          <cell r="B781" t="str">
            <v>Shipment</v>
          </cell>
        </row>
        <row r="782">
          <cell r="B782" t="str">
            <v>Shipment</v>
          </cell>
        </row>
        <row r="783">
          <cell r="B783" t="str">
            <v>Shipment</v>
          </cell>
        </row>
        <row r="784">
          <cell r="B784" t="str">
            <v>Shipment</v>
          </cell>
        </row>
        <row r="785">
          <cell r="B785" t="str">
            <v>Shipment</v>
          </cell>
        </row>
        <row r="786">
          <cell r="B786" t="str">
            <v>Shipment</v>
          </cell>
        </row>
        <row r="787">
          <cell r="B787" t="str">
            <v>Shipment</v>
          </cell>
        </row>
        <row r="788">
          <cell r="B788" t="str">
            <v>Shipment</v>
          </cell>
        </row>
        <row r="789">
          <cell r="B789" t="str">
            <v>Shipment</v>
          </cell>
        </row>
        <row r="790">
          <cell r="B790" t="str">
            <v>Shipment</v>
          </cell>
        </row>
        <row r="791">
          <cell r="B791" t="str">
            <v>Shipment</v>
          </cell>
        </row>
        <row r="792">
          <cell r="B792" t="str">
            <v>Shipment</v>
          </cell>
        </row>
        <row r="793">
          <cell r="B793" t="str">
            <v>Shipment</v>
          </cell>
        </row>
        <row r="794">
          <cell r="B794" t="str">
            <v>Shipment</v>
          </cell>
        </row>
        <row r="795">
          <cell r="B795" t="str">
            <v>Shipment</v>
          </cell>
        </row>
        <row r="796">
          <cell r="B796" t="str">
            <v>Shipment</v>
          </cell>
        </row>
        <row r="797">
          <cell r="B797" t="str">
            <v>Shipment</v>
          </cell>
        </row>
        <row r="798">
          <cell r="B798" t="str">
            <v>Shipment</v>
          </cell>
        </row>
        <row r="799">
          <cell r="B799" t="str">
            <v>Shipment</v>
          </cell>
        </row>
        <row r="800">
          <cell r="B800" t="str">
            <v>Shipment</v>
          </cell>
        </row>
        <row r="801">
          <cell r="B801" t="str">
            <v>Shipment</v>
          </cell>
        </row>
        <row r="802">
          <cell r="B802" t="str">
            <v>Shipment</v>
          </cell>
        </row>
        <row r="803">
          <cell r="B803" t="str">
            <v>Shipment</v>
          </cell>
        </row>
        <row r="804">
          <cell r="B804" t="str">
            <v>Shipment</v>
          </cell>
        </row>
        <row r="805">
          <cell r="B805" t="str">
            <v>Shipment</v>
          </cell>
        </row>
        <row r="806">
          <cell r="B806" t="str">
            <v>Shipment</v>
          </cell>
        </row>
        <row r="807">
          <cell r="B807" t="str">
            <v>Shipment</v>
          </cell>
        </row>
        <row r="808">
          <cell r="B808" t="str">
            <v>Shipment</v>
          </cell>
        </row>
        <row r="809">
          <cell r="B809" t="str">
            <v>Shipment</v>
          </cell>
        </row>
        <row r="810">
          <cell r="B810" t="str">
            <v>Shipment</v>
          </cell>
        </row>
        <row r="811">
          <cell r="B811" t="str">
            <v>Shipment</v>
          </cell>
        </row>
        <row r="812">
          <cell r="B812" t="str">
            <v>Shipment</v>
          </cell>
        </row>
        <row r="813">
          <cell r="B813" t="str">
            <v>Shipment</v>
          </cell>
        </row>
        <row r="814">
          <cell r="B814" t="str">
            <v>Shipment</v>
          </cell>
        </row>
        <row r="815">
          <cell r="B815" t="str">
            <v>Shipment</v>
          </cell>
        </row>
        <row r="816">
          <cell r="B816" t="str">
            <v>Shipment</v>
          </cell>
        </row>
        <row r="817">
          <cell r="B817" t="str">
            <v>Shipment</v>
          </cell>
        </row>
        <row r="818">
          <cell r="B818" t="str">
            <v>Shipment</v>
          </cell>
        </row>
        <row r="819">
          <cell r="B819" t="str">
            <v>Shipment</v>
          </cell>
        </row>
        <row r="820">
          <cell r="B820" t="str">
            <v>Shipment</v>
          </cell>
        </row>
        <row r="821">
          <cell r="B821" t="str">
            <v>Shipment</v>
          </cell>
        </row>
        <row r="822">
          <cell r="B822" t="str">
            <v>Shipment</v>
          </cell>
        </row>
        <row r="823">
          <cell r="B823" t="str">
            <v>Shipment</v>
          </cell>
        </row>
        <row r="824">
          <cell r="B824" t="str">
            <v>Shipment</v>
          </cell>
        </row>
        <row r="825">
          <cell r="B825" t="str">
            <v>Shipment</v>
          </cell>
        </row>
        <row r="826">
          <cell r="B826" t="str">
            <v>Shipment</v>
          </cell>
        </row>
        <row r="827">
          <cell r="B827" t="str">
            <v>Shipment</v>
          </cell>
        </row>
        <row r="828">
          <cell r="B828" t="str">
            <v>Shipment</v>
          </cell>
        </row>
        <row r="829">
          <cell r="B829" t="str">
            <v>Shipment</v>
          </cell>
        </row>
        <row r="830">
          <cell r="B830" t="str">
            <v>Shipment</v>
          </cell>
        </row>
        <row r="831">
          <cell r="B831" t="str">
            <v>Shipment</v>
          </cell>
        </row>
        <row r="832">
          <cell r="B832" t="str">
            <v>Shipment</v>
          </cell>
        </row>
        <row r="833">
          <cell r="B833" t="str">
            <v>Shipment</v>
          </cell>
        </row>
        <row r="834">
          <cell r="B834" t="str">
            <v>Shipment</v>
          </cell>
        </row>
        <row r="835">
          <cell r="B835" t="str">
            <v>Shipment</v>
          </cell>
        </row>
        <row r="836">
          <cell r="B836" t="str">
            <v>Shipment</v>
          </cell>
        </row>
        <row r="837">
          <cell r="B837" t="str">
            <v>Shipment</v>
          </cell>
        </row>
        <row r="838">
          <cell r="B838" t="str">
            <v>Shipment</v>
          </cell>
        </row>
        <row r="839">
          <cell r="B839" t="str">
            <v>Shipment</v>
          </cell>
        </row>
        <row r="840">
          <cell r="B840" t="str">
            <v>Shipment</v>
          </cell>
        </row>
        <row r="841">
          <cell r="B841" t="str">
            <v>Shipment</v>
          </cell>
        </row>
        <row r="842">
          <cell r="B842" t="str">
            <v>Shipment</v>
          </cell>
        </row>
        <row r="843">
          <cell r="B843" t="str">
            <v>Shipment</v>
          </cell>
        </row>
        <row r="844">
          <cell r="B844" t="str">
            <v>Shipment</v>
          </cell>
        </row>
        <row r="845">
          <cell r="B845" t="str">
            <v>Shipment</v>
          </cell>
        </row>
        <row r="846">
          <cell r="B846" t="str">
            <v>Shipment</v>
          </cell>
        </row>
        <row r="847">
          <cell r="B847" t="str">
            <v>Shipment</v>
          </cell>
        </row>
        <row r="848">
          <cell r="B848" t="str">
            <v>Shipment</v>
          </cell>
        </row>
        <row r="849">
          <cell r="B849" t="str">
            <v>Shipment</v>
          </cell>
        </row>
        <row r="850">
          <cell r="B850" t="str">
            <v>Shipment</v>
          </cell>
        </row>
        <row r="851">
          <cell r="B851" t="str">
            <v>Shipment</v>
          </cell>
        </row>
        <row r="852">
          <cell r="B852" t="str">
            <v>Shipment</v>
          </cell>
        </row>
        <row r="853">
          <cell r="B853" t="str">
            <v>Shipment</v>
          </cell>
        </row>
        <row r="854">
          <cell r="B854" t="str">
            <v>Shipment</v>
          </cell>
        </row>
        <row r="855">
          <cell r="B855" t="str">
            <v>Shipment</v>
          </cell>
        </row>
        <row r="856">
          <cell r="B856" t="str">
            <v>Shipment</v>
          </cell>
        </row>
        <row r="857">
          <cell r="B857" t="str">
            <v>Shipment</v>
          </cell>
        </row>
        <row r="858">
          <cell r="B858" t="str">
            <v>Shipment</v>
          </cell>
        </row>
        <row r="859">
          <cell r="B859" t="str">
            <v>Shipment</v>
          </cell>
        </row>
        <row r="860">
          <cell r="B860" t="str">
            <v>Shipment</v>
          </cell>
        </row>
        <row r="861">
          <cell r="B861" t="str">
            <v>Shipment</v>
          </cell>
        </row>
        <row r="862">
          <cell r="B862" t="str">
            <v>Shipment</v>
          </cell>
        </row>
        <row r="863">
          <cell r="B863" t="str">
            <v>Shipment</v>
          </cell>
        </row>
        <row r="864">
          <cell r="B864" t="str">
            <v>Shipment</v>
          </cell>
        </row>
        <row r="865">
          <cell r="B865" t="str">
            <v>Shipment</v>
          </cell>
        </row>
        <row r="866">
          <cell r="B866" t="str">
            <v>Shipment</v>
          </cell>
        </row>
        <row r="867">
          <cell r="B867" t="str">
            <v>Shipment</v>
          </cell>
        </row>
        <row r="868">
          <cell r="B868" t="str">
            <v>Shipment</v>
          </cell>
        </row>
        <row r="869">
          <cell r="B869" t="str">
            <v>Shipment</v>
          </cell>
        </row>
        <row r="870">
          <cell r="B870" t="str">
            <v>Shipment</v>
          </cell>
        </row>
        <row r="871">
          <cell r="B871" t="str">
            <v>Shipment</v>
          </cell>
        </row>
        <row r="872">
          <cell r="B872" t="str">
            <v>Shipment</v>
          </cell>
        </row>
        <row r="873">
          <cell r="B873" t="str">
            <v>Shipment</v>
          </cell>
        </row>
        <row r="874">
          <cell r="B874" t="str">
            <v>Shipment</v>
          </cell>
        </row>
        <row r="875">
          <cell r="B875" t="str">
            <v>Shipment</v>
          </cell>
        </row>
        <row r="876">
          <cell r="B876" t="str">
            <v>Shipment</v>
          </cell>
        </row>
        <row r="877">
          <cell r="B877" t="str">
            <v>Shipment</v>
          </cell>
        </row>
        <row r="878">
          <cell r="B878" t="str">
            <v>Shipment</v>
          </cell>
        </row>
        <row r="879">
          <cell r="B879" t="str">
            <v>Shipment</v>
          </cell>
        </row>
        <row r="880">
          <cell r="B880" t="str">
            <v>Shipment</v>
          </cell>
        </row>
        <row r="881">
          <cell r="B881" t="str">
            <v>Shipment</v>
          </cell>
        </row>
        <row r="882">
          <cell r="B882" t="str">
            <v>Shipment</v>
          </cell>
        </row>
        <row r="883">
          <cell r="B883" t="str">
            <v>Shipment</v>
          </cell>
        </row>
        <row r="884">
          <cell r="B884" t="str">
            <v>Shipment</v>
          </cell>
        </row>
        <row r="885">
          <cell r="B885" t="str">
            <v>Shipment</v>
          </cell>
        </row>
        <row r="886">
          <cell r="B886" t="str">
            <v>Shipment</v>
          </cell>
        </row>
        <row r="887">
          <cell r="B887" t="str">
            <v>Shipment</v>
          </cell>
        </row>
        <row r="888">
          <cell r="B888" t="str">
            <v>Shipment</v>
          </cell>
        </row>
        <row r="889">
          <cell r="B889" t="str">
            <v>Shipment</v>
          </cell>
        </row>
        <row r="890">
          <cell r="B890" t="str">
            <v>Shipment</v>
          </cell>
        </row>
        <row r="891">
          <cell r="B891" t="str">
            <v>Shipment</v>
          </cell>
        </row>
        <row r="892">
          <cell r="B892" t="str">
            <v>Shipment</v>
          </cell>
        </row>
        <row r="893">
          <cell r="B893" t="str">
            <v>Shipment</v>
          </cell>
        </row>
        <row r="894">
          <cell r="B894" t="str">
            <v>Shipment</v>
          </cell>
        </row>
        <row r="895">
          <cell r="B895" t="str">
            <v>Shipment</v>
          </cell>
        </row>
        <row r="896">
          <cell r="B896" t="str">
            <v>Shipment</v>
          </cell>
        </row>
        <row r="897">
          <cell r="B897" t="str">
            <v>Shipment</v>
          </cell>
        </row>
        <row r="898">
          <cell r="B898" t="str">
            <v>Shipment</v>
          </cell>
        </row>
        <row r="899">
          <cell r="B899" t="str">
            <v>Shipment</v>
          </cell>
        </row>
        <row r="900">
          <cell r="B900" t="str">
            <v>Shipment</v>
          </cell>
        </row>
        <row r="901">
          <cell r="B901" t="str">
            <v>Shipment</v>
          </cell>
        </row>
        <row r="902">
          <cell r="B902" t="str">
            <v>Shipment</v>
          </cell>
        </row>
        <row r="903">
          <cell r="B903" t="str">
            <v>Shipment</v>
          </cell>
        </row>
        <row r="904">
          <cell r="B904" t="str">
            <v>Shipment</v>
          </cell>
        </row>
        <row r="905">
          <cell r="B905" t="str">
            <v>Shipment</v>
          </cell>
        </row>
        <row r="906">
          <cell r="B906" t="str">
            <v>Shipment</v>
          </cell>
        </row>
        <row r="907">
          <cell r="B907" t="str">
            <v>Shipment</v>
          </cell>
        </row>
        <row r="908">
          <cell r="B908" t="str">
            <v>Shipment</v>
          </cell>
        </row>
        <row r="909">
          <cell r="B909" t="str">
            <v>Shipment</v>
          </cell>
        </row>
        <row r="910">
          <cell r="B910" t="str">
            <v>Shipment</v>
          </cell>
        </row>
        <row r="911">
          <cell r="B911" t="str">
            <v>Shipment</v>
          </cell>
        </row>
        <row r="912">
          <cell r="B912" t="str">
            <v>Shipment</v>
          </cell>
        </row>
        <row r="913">
          <cell r="B913" t="str">
            <v>Shipment</v>
          </cell>
        </row>
        <row r="914">
          <cell r="B914" t="str">
            <v>Shipment</v>
          </cell>
        </row>
        <row r="915">
          <cell r="B915" t="str">
            <v>Shipment</v>
          </cell>
        </row>
        <row r="916">
          <cell r="B916" t="str">
            <v>Shipment</v>
          </cell>
        </row>
        <row r="917">
          <cell r="B917" t="str">
            <v>Shipment</v>
          </cell>
        </row>
        <row r="918">
          <cell r="B918" t="str">
            <v>Shipment</v>
          </cell>
        </row>
        <row r="919">
          <cell r="B919" t="str">
            <v>Shipment</v>
          </cell>
        </row>
        <row r="920">
          <cell r="B920" t="str">
            <v>Shipment</v>
          </cell>
        </row>
        <row r="921">
          <cell r="B921" t="str">
            <v>Shipment</v>
          </cell>
        </row>
        <row r="922">
          <cell r="B922" t="str">
            <v>Shipment</v>
          </cell>
        </row>
        <row r="923">
          <cell r="B923" t="str">
            <v>Shipment</v>
          </cell>
        </row>
        <row r="924">
          <cell r="B924" t="str">
            <v>Shipment</v>
          </cell>
        </row>
        <row r="925">
          <cell r="B925" t="str">
            <v>Shipment</v>
          </cell>
        </row>
        <row r="926">
          <cell r="B926" t="str">
            <v>Shipment</v>
          </cell>
        </row>
        <row r="927">
          <cell r="B927" t="str">
            <v>Shipment</v>
          </cell>
        </row>
        <row r="928">
          <cell r="B928" t="str">
            <v>Shipment</v>
          </cell>
        </row>
        <row r="929">
          <cell r="B929" t="str">
            <v>Shipment</v>
          </cell>
        </row>
        <row r="930">
          <cell r="B930" t="str">
            <v>Shipment</v>
          </cell>
        </row>
        <row r="931">
          <cell r="B931" t="str">
            <v>Shipment</v>
          </cell>
        </row>
        <row r="932">
          <cell r="B932" t="str">
            <v>Shipment</v>
          </cell>
        </row>
        <row r="933">
          <cell r="B933" t="str">
            <v>Shipment</v>
          </cell>
        </row>
        <row r="934">
          <cell r="B934" t="str">
            <v>Shipment</v>
          </cell>
        </row>
        <row r="935">
          <cell r="B935" t="str">
            <v>Shipment</v>
          </cell>
        </row>
        <row r="936">
          <cell r="B936" t="str">
            <v>Shipment</v>
          </cell>
        </row>
        <row r="937">
          <cell r="B937" t="str">
            <v>Shipment</v>
          </cell>
        </row>
        <row r="938">
          <cell r="B938" t="str">
            <v>Shipment</v>
          </cell>
        </row>
        <row r="939">
          <cell r="B939" t="str">
            <v>Shipment</v>
          </cell>
        </row>
        <row r="940">
          <cell r="B940" t="str">
            <v>Shipment</v>
          </cell>
        </row>
        <row r="941">
          <cell r="B941" t="str">
            <v>Shipment</v>
          </cell>
        </row>
        <row r="942">
          <cell r="B942" t="str">
            <v>Shipment</v>
          </cell>
        </row>
        <row r="943">
          <cell r="B943" t="str">
            <v>Shipment</v>
          </cell>
        </row>
        <row r="944">
          <cell r="B944" t="str">
            <v>Shipment</v>
          </cell>
        </row>
        <row r="945">
          <cell r="B945" t="str">
            <v>Shipment</v>
          </cell>
        </row>
        <row r="946">
          <cell r="B946" t="str">
            <v>Shipment</v>
          </cell>
        </row>
        <row r="947">
          <cell r="B947" t="str">
            <v>Shipment</v>
          </cell>
        </row>
        <row r="948">
          <cell r="B948" t="str">
            <v>Shipment</v>
          </cell>
        </row>
        <row r="949">
          <cell r="B949" t="str">
            <v>Shipment</v>
          </cell>
        </row>
        <row r="950">
          <cell r="B950" t="str">
            <v>Shipment</v>
          </cell>
        </row>
        <row r="951">
          <cell r="B951" t="str">
            <v>Shipment</v>
          </cell>
        </row>
        <row r="952">
          <cell r="B952" t="str">
            <v>Shipment</v>
          </cell>
        </row>
        <row r="953">
          <cell r="B953" t="str">
            <v>Shipment</v>
          </cell>
        </row>
        <row r="954">
          <cell r="B954" t="str">
            <v>Shipment</v>
          </cell>
        </row>
        <row r="955">
          <cell r="B955" t="str">
            <v>Shipment</v>
          </cell>
        </row>
        <row r="956">
          <cell r="B956" t="str">
            <v>Shipment</v>
          </cell>
        </row>
        <row r="957">
          <cell r="B957" t="str">
            <v>Shipment</v>
          </cell>
        </row>
        <row r="958">
          <cell r="B958" t="str">
            <v>Shipment</v>
          </cell>
        </row>
        <row r="959">
          <cell r="B959" t="str">
            <v>Shipment</v>
          </cell>
        </row>
        <row r="960">
          <cell r="B960" t="str">
            <v>Shipment</v>
          </cell>
        </row>
        <row r="961">
          <cell r="B961" t="str">
            <v>Shipment</v>
          </cell>
        </row>
        <row r="962">
          <cell r="B962" t="str">
            <v>Shipment</v>
          </cell>
        </row>
        <row r="963">
          <cell r="B963" t="str">
            <v>Shipment</v>
          </cell>
        </row>
        <row r="964">
          <cell r="B964" t="str">
            <v>Shipment</v>
          </cell>
        </row>
        <row r="965">
          <cell r="B965" t="str">
            <v>Shipment</v>
          </cell>
        </row>
        <row r="966">
          <cell r="B966" t="str">
            <v>Shipment</v>
          </cell>
        </row>
        <row r="967">
          <cell r="B967" t="str">
            <v>Shipment</v>
          </cell>
        </row>
        <row r="968">
          <cell r="B968" t="str">
            <v>Shipment</v>
          </cell>
        </row>
        <row r="969">
          <cell r="B969" t="str">
            <v>Shipment</v>
          </cell>
        </row>
        <row r="970">
          <cell r="B970" t="str">
            <v>Shipment</v>
          </cell>
        </row>
        <row r="971">
          <cell r="B971" t="str">
            <v>Shipment</v>
          </cell>
        </row>
        <row r="972">
          <cell r="B972" t="str">
            <v>Shipment</v>
          </cell>
        </row>
        <row r="973">
          <cell r="B973" t="str">
            <v>Shipment</v>
          </cell>
        </row>
        <row r="974">
          <cell r="B974" t="str">
            <v>Shipment</v>
          </cell>
        </row>
        <row r="975">
          <cell r="B975" t="str">
            <v>Shipment</v>
          </cell>
        </row>
        <row r="976">
          <cell r="B976" t="str">
            <v>Shipment</v>
          </cell>
        </row>
        <row r="977">
          <cell r="B977" t="str">
            <v>Shipment</v>
          </cell>
        </row>
        <row r="978">
          <cell r="B978" t="str">
            <v>Shipment</v>
          </cell>
        </row>
        <row r="979">
          <cell r="B979" t="str">
            <v>Shipment</v>
          </cell>
        </row>
        <row r="980">
          <cell r="B980" t="str">
            <v>Shipment</v>
          </cell>
        </row>
        <row r="981">
          <cell r="B981" t="str">
            <v>Shipment</v>
          </cell>
        </row>
        <row r="982">
          <cell r="B982" t="str">
            <v>Shipment</v>
          </cell>
        </row>
        <row r="983">
          <cell r="B983" t="str">
            <v>Shipment</v>
          </cell>
        </row>
        <row r="984">
          <cell r="B984" t="str">
            <v>Shipment</v>
          </cell>
        </row>
        <row r="985">
          <cell r="B985" t="str">
            <v>Shipment</v>
          </cell>
        </row>
        <row r="986">
          <cell r="B986" t="str">
            <v>Shipment</v>
          </cell>
        </row>
        <row r="987">
          <cell r="B987" t="str">
            <v>Shipment</v>
          </cell>
        </row>
        <row r="988">
          <cell r="B988" t="str">
            <v>Shipment</v>
          </cell>
        </row>
        <row r="989">
          <cell r="B989" t="str">
            <v>Shipment</v>
          </cell>
        </row>
        <row r="990">
          <cell r="B990" t="str">
            <v>Shipment</v>
          </cell>
        </row>
        <row r="991">
          <cell r="B991" t="str">
            <v>Shipment</v>
          </cell>
        </row>
        <row r="992">
          <cell r="B992" t="str">
            <v>Shipment</v>
          </cell>
        </row>
        <row r="993">
          <cell r="B993" t="str">
            <v>Shipment</v>
          </cell>
        </row>
        <row r="994">
          <cell r="B994" t="str">
            <v>Shipment</v>
          </cell>
        </row>
        <row r="995">
          <cell r="B995" t="str">
            <v>Shipment</v>
          </cell>
        </row>
        <row r="996">
          <cell r="B996" t="str">
            <v>Shipment</v>
          </cell>
        </row>
        <row r="997">
          <cell r="B997" t="str">
            <v>Shipment</v>
          </cell>
        </row>
        <row r="998">
          <cell r="B998" t="str">
            <v>Shipment</v>
          </cell>
        </row>
        <row r="999">
          <cell r="B999" t="str">
            <v>Shipment</v>
          </cell>
        </row>
        <row r="1000">
          <cell r="B1000" t="str">
            <v>Shipment</v>
          </cell>
        </row>
        <row r="1001">
          <cell r="B1001" t="str">
            <v>Shipment</v>
          </cell>
        </row>
        <row r="1002">
          <cell r="B1002" t="str">
            <v>Shipment</v>
          </cell>
        </row>
        <row r="1003">
          <cell r="B1003" t="str">
            <v>Shipment</v>
          </cell>
        </row>
        <row r="1004">
          <cell r="B1004" t="str">
            <v>Shipment</v>
          </cell>
        </row>
        <row r="1005">
          <cell r="B1005" t="str">
            <v>Shipment</v>
          </cell>
        </row>
        <row r="1006">
          <cell r="B1006" t="str">
            <v>Shipment</v>
          </cell>
        </row>
        <row r="1007">
          <cell r="B1007" t="str">
            <v>Shipment</v>
          </cell>
        </row>
        <row r="1008">
          <cell r="B1008" t="str">
            <v>Shipment</v>
          </cell>
        </row>
        <row r="1009">
          <cell r="B1009" t="str">
            <v>Shipment</v>
          </cell>
        </row>
        <row r="1010">
          <cell r="B1010" t="str">
            <v>Shipment</v>
          </cell>
        </row>
        <row r="1011">
          <cell r="B1011" t="str">
            <v>Shipment</v>
          </cell>
        </row>
        <row r="1012">
          <cell r="B1012" t="str">
            <v>Shipment</v>
          </cell>
        </row>
        <row r="1013">
          <cell r="B1013" t="str">
            <v>Shipment</v>
          </cell>
        </row>
        <row r="1014">
          <cell r="B1014" t="str">
            <v>Shipment</v>
          </cell>
        </row>
        <row r="1015">
          <cell r="B1015" t="str">
            <v>Shipment</v>
          </cell>
        </row>
        <row r="1016">
          <cell r="B1016" t="str">
            <v>Shipment</v>
          </cell>
        </row>
        <row r="1017">
          <cell r="B1017" t="str">
            <v>Shipment</v>
          </cell>
        </row>
        <row r="1018">
          <cell r="B1018" t="str">
            <v>Shipment</v>
          </cell>
        </row>
        <row r="1019">
          <cell r="B1019" t="str">
            <v>Shipment</v>
          </cell>
        </row>
        <row r="1020">
          <cell r="B1020" t="str">
            <v>Shipment</v>
          </cell>
        </row>
        <row r="1021">
          <cell r="B1021" t="str">
            <v>Shipment</v>
          </cell>
        </row>
        <row r="1022">
          <cell r="B1022" t="str">
            <v>Shipment</v>
          </cell>
        </row>
        <row r="1023">
          <cell r="B1023" t="str">
            <v>Shipment</v>
          </cell>
        </row>
        <row r="1024">
          <cell r="B1024" t="str">
            <v>Shipment</v>
          </cell>
        </row>
        <row r="1025">
          <cell r="B1025" t="str">
            <v>Shipment</v>
          </cell>
        </row>
        <row r="1026">
          <cell r="B1026" t="str">
            <v>Shipment</v>
          </cell>
        </row>
        <row r="1027">
          <cell r="B1027" t="str">
            <v>Shipment</v>
          </cell>
        </row>
        <row r="1028">
          <cell r="B1028" t="str">
            <v>Shipment</v>
          </cell>
        </row>
        <row r="1029">
          <cell r="B1029" t="str">
            <v>Shipment</v>
          </cell>
        </row>
        <row r="1030">
          <cell r="B1030" t="str">
            <v>Shipment</v>
          </cell>
        </row>
        <row r="1031">
          <cell r="B1031" t="str">
            <v>Shipment</v>
          </cell>
        </row>
        <row r="1032">
          <cell r="B1032" t="str">
            <v>Shipment</v>
          </cell>
        </row>
        <row r="1033">
          <cell r="B1033" t="str">
            <v>Shipment</v>
          </cell>
        </row>
        <row r="1034">
          <cell r="B1034" t="str">
            <v>Shipment</v>
          </cell>
        </row>
        <row r="1035">
          <cell r="B1035" t="str">
            <v>Shipment</v>
          </cell>
        </row>
        <row r="1036">
          <cell r="B1036" t="str">
            <v>Shipment</v>
          </cell>
        </row>
        <row r="1037">
          <cell r="B1037" t="str">
            <v>Shipment</v>
          </cell>
        </row>
        <row r="1038">
          <cell r="B1038" t="str">
            <v>Shipment</v>
          </cell>
        </row>
        <row r="1039">
          <cell r="B1039" t="str">
            <v>Shipment</v>
          </cell>
        </row>
        <row r="1040">
          <cell r="B1040" t="str">
            <v>Shipment</v>
          </cell>
        </row>
        <row r="1041">
          <cell r="B1041" t="str">
            <v>Shipment</v>
          </cell>
        </row>
        <row r="1042">
          <cell r="B1042" t="str">
            <v>Shipment</v>
          </cell>
        </row>
        <row r="1043">
          <cell r="B1043" t="str">
            <v>Shipment</v>
          </cell>
        </row>
        <row r="1044">
          <cell r="B1044" t="str">
            <v>Shipment</v>
          </cell>
        </row>
        <row r="1045">
          <cell r="B1045" t="str">
            <v>Shipment</v>
          </cell>
        </row>
        <row r="1046">
          <cell r="B1046" t="str">
            <v>Shipment</v>
          </cell>
        </row>
        <row r="1047">
          <cell r="B1047" t="str">
            <v>Shipment</v>
          </cell>
        </row>
        <row r="1048">
          <cell r="B1048" t="str">
            <v>Shipment</v>
          </cell>
        </row>
        <row r="1049">
          <cell r="B1049" t="str">
            <v>Shipment</v>
          </cell>
        </row>
        <row r="1050">
          <cell r="B1050" t="str">
            <v>Shipment</v>
          </cell>
        </row>
        <row r="1051">
          <cell r="B1051" t="str">
            <v>Shipment</v>
          </cell>
        </row>
        <row r="1052">
          <cell r="B1052" t="str">
            <v>Shipment</v>
          </cell>
        </row>
        <row r="1053">
          <cell r="B1053" t="str">
            <v>Shipment</v>
          </cell>
        </row>
        <row r="1054">
          <cell r="B1054" t="str">
            <v>Shipment</v>
          </cell>
        </row>
        <row r="1055">
          <cell r="B1055" t="str">
            <v>Shipment</v>
          </cell>
        </row>
        <row r="1056">
          <cell r="B1056" t="str">
            <v>Shipment</v>
          </cell>
        </row>
        <row r="1057">
          <cell r="B1057" t="str">
            <v>Shipment</v>
          </cell>
        </row>
        <row r="1058">
          <cell r="B1058" t="str">
            <v>Shipment</v>
          </cell>
        </row>
        <row r="1059">
          <cell r="B1059" t="str">
            <v>Shipment</v>
          </cell>
        </row>
        <row r="1060">
          <cell r="B1060" t="str">
            <v>Shipment</v>
          </cell>
        </row>
        <row r="1061">
          <cell r="B1061" t="str">
            <v>Shipment</v>
          </cell>
        </row>
        <row r="1062">
          <cell r="B1062" t="str">
            <v>Shipment</v>
          </cell>
        </row>
        <row r="1063">
          <cell r="B1063" t="str">
            <v>Shipment</v>
          </cell>
        </row>
        <row r="1064">
          <cell r="B1064" t="str">
            <v>Shipment</v>
          </cell>
        </row>
        <row r="1065">
          <cell r="B1065" t="str">
            <v>Shipment</v>
          </cell>
        </row>
        <row r="1066">
          <cell r="B1066" t="str">
            <v>Shipment</v>
          </cell>
        </row>
        <row r="1067">
          <cell r="B1067" t="str">
            <v>Shipment</v>
          </cell>
        </row>
        <row r="1068">
          <cell r="B1068" t="str">
            <v>Shipment</v>
          </cell>
        </row>
        <row r="1069">
          <cell r="B1069" t="str">
            <v>Shipment</v>
          </cell>
        </row>
        <row r="1070">
          <cell r="B1070" t="str">
            <v>Shipment</v>
          </cell>
        </row>
        <row r="1071">
          <cell r="B1071" t="str">
            <v>Shipment</v>
          </cell>
        </row>
        <row r="1072">
          <cell r="B1072" t="str">
            <v>Shipment</v>
          </cell>
        </row>
        <row r="1073">
          <cell r="B1073" t="str">
            <v>Shipment</v>
          </cell>
        </row>
        <row r="1074">
          <cell r="B1074" t="str">
            <v>Shipment</v>
          </cell>
        </row>
        <row r="1075">
          <cell r="B1075" t="str">
            <v>Shipment</v>
          </cell>
        </row>
        <row r="1076">
          <cell r="B1076" t="str">
            <v>Shipment</v>
          </cell>
        </row>
        <row r="1077">
          <cell r="B1077" t="str">
            <v>Shipment</v>
          </cell>
        </row>
        <row r="1078">
          <cell r="B1078" t="str">
            <v>Shipment</v>
          </cell>
        </row>
        <row r="1079">
          <cell r="B1079" t="str">
            <v>Shipment</v>
          </cell>
        </row>
        <row r="1080">
          <cell r="B1080" t="str">
            <v>Shipment</v>
          </cell>
        </row>
        <row r="1081">
          <cell r="B1081" t="str">
            <v>Shipment</v>
          </cell>
        </row>
        <row r="1082">
          <cell r="B1082" t="str">
            <v>Shipment</v>
          </cell>
        </row>
        <row r="1083">
          <cell r="B1083" t="str">
            <v>Shipment</v>
          </cell>
        </row>
        <row r="1084">
          <cell r="B1084" t="str">
            <v>Shipment</v>
          </cell>
        </row>
        <row r="1085">
          <cell r="B1085" t="str">
            <v>Shipment</v>
          </cell>
        </row>
        <row r="1086">
          <cell r="B1086" t="str">
            <v>Shipment</v>
          </cell>
        </row>
        <row r="1087">
          <cell r="B1087" t="str">
            <v>Shipment</v>
          </cell>
        </row>
        <row r="1088">
          <cell r="B1088" t="str">
            <v>Shipment</v>
          </cell>
        </row>
        <row r="1089">
          <cell r="B1089" t="str">
            <v>Shipment</v>
          </cell>
        </row>
        <row r="1090">
          <cell r="B1090" t="str">
            <v>Shipment</v>
          </cell>
        </row>
        <row r="1091">
          <cell r="B1091" t="str">
            <v>Shipment</v>
          </cell>
        </row>
        <row r="1092">
          <cell r="B1092" t="str">
            <v>Shipment</v>
          </cell>
        </row>
        <row r="1093">
          <cell r="B1093" t="str">
            <v>Shipment</v>
          </cell>
        </row>
        <row r="1094">
          <cell r="B1094" t="str">
            <v>Shipment</v>
          </cell>
        </row>
        <row r="1095">
          <cell r="B1095" t="str">
            <v>Shipment</v>
          </cell>
        </row>
        <row r="1096">
          <cell r="B1096" t="str">
            <v>Shipment</v>
          </cell>
        </row>
        <row r="1097">
          <cell r="B1097" t="str">
            <v>Shipment</v>
          </cell>
        </row>
        <row r="1098">
          <cell r="B1098" t="str">
            <v>Shipment</v>
          </cell>
        </row>
        <row r="1099">
          <cell r="B1099" t="str">
            <v>Shipment</v>
          </cell>
        </row>
        <row r="1100">
          <cell r="B1100" t="str">
            <v>Shipment</v>
          </cell>
        </row>
        <row r="1101">
          <cell r="B1101" t="str">
            <v>Shipment</v>
          </cell>
        </row>
        <row r="1102">
          <cell r="B1102" t="str">
            <v>Shipment</v>
          </cell>
        </row>
        <row r="1103">
          <cell r="B1103" t="str">
            <v>Shipment</v>
          </cell>
        </row>
        <row r="1104">
          <cell r="B1104" t="str">
            <v>Shipment</v>
          </cell>
        </row>
        <row r="1105">
          <cell r="B1105" t="str">
            <v>Shipment</v>
          </cell>
        </row>
        <row r="1106">
          <cell r="B1106" t="str">
            <v>Shipment</v>
          </cell>
        </row>
        <row r="1107">
          <cell r="B1107" t="str">
            <v>Shipment</v>
          </cell>
        </row>
        <row r="1108">
          <cell r="B1108" t="str">
            <v>Shipment</v>
          </cell>
        </row>
        <row r="1109">
          <cell r="B1109" t="str">
            <v>Shipment</v>
          </cell>
        </row>
        <row r="1110">
          <cell r="B1110" t="str">
            <v>Shipment</v>
          </cell>
        </row>
        <row r="1111">
          <cell r="B1111" t="str">
            <v>Shipment</v>
          </cell>
        </row>
        <row r="1112">
          <cell r="B1112" t="str">
            <v>Shipment</v>
          </cell>
        </row>
        <row r="1113">
          <cell r="B1113" t="str">
            <v>Shipment</v>
          </cell>
        </row>
        <row r="1114">
          <cell r="B1114" t="str">
            <v>Shipment</v>
          </cell>
        </row>
        <row r="1115">
          <cell r="B1115" t="str">
            <v>Shipment</v>
          </cell>
        </row>
        <row r="1116">
          <cell r="B1116" t="str">
            <v>Shipment</v>
          </cell>
        </row>
        <row r="1117">
          <cell r="B1117" t="str">
            <v>Shipment</v>
          </cell>
        </row>
        <row r="1118">
          <cell r="B1118" t="str">
            <v>Shipment</v>
          </cell>
        </row>
        <row r="1119">
          <cell r="B1119" t="str">
            <v>Shipment</v>
          </cell>
        </row>
        <row r="1120">
          <cell r="B1120" t="str">
            <v>Shipment</v>
          </cell>
        </row>
        <row r="1121">
          <cell r="B1121" t="str">
            <v>Shipment</v>
          </cell>
        </row>
        <row r="1122">
          <cell r="B1122" t="str">
            <v>Shipment</v>
          </cell>
        </row>
        <row r="1123">
          <cell r="B1123" t="str">
            <v>Shipment</v>
          </cell>
        </row>
        <row r="1124">
          <cell r="B1124" t="str">
            <v>Shipment</v>
          </cell>
        </row>
        <row r="1125">
          <cell r="B1125" t="str">
            <v>Shipment</v>
          </cell>
        </row>
        <row r="1126">
          <cell r="B1126" t="str">
            <v>Shipment</v>
          </cell>
        </row>
        <row r="1127">
          <cell r="B1127" t="str">
            <v>Shipment</v>
          </cell>
        </row>
        <row r="1128">
          <cell r="B1128" t="str">
            <v>Shipment</v>
          </cell>
        </row>
        <row r="1129">
          <cell r="B1129" t="str">
            <v>Shipment</v>
          </cell>
        </row>
        <row r="1130">
          <cell r="B1130" t="str">
            <v>Shipment</v>
          </cell>
        </row>
        <row r="1131">
          <cell r="B1131" t="str">
            <v>Shipment</v>
          </cell>
        </row>
        <row r="1132">
          <cell r="B1132" t="str">
            <v>Shipment</v>
          </cell>
        </row>
        <row r="1133">
          <cell r="B1133" t="str">
            <v>Shipment</v>
          </cell>
        </row>
        <row r="1134">
          <cell r="B1134" t="str">
            <v>Shipment</v>
          </cell>
        </row>
        <row r="1135">
          <cell r="B1135" t="str">
            <v>Shipment</v>
          </cell>
        </row>
        <row r="1136">
          <cell r="B1136" t="str">
            <v>Shipment</v>
          </cell>
        </row>
        <row r="1137">
          <cell r="B1137" t="str">
            <v>Shipment</v>
          </cell>
        </row>
        <row r="1138">
          <cell r="B1138" t="str">
            <v>Shipment</v>
          </cell>
        </row>
        <row r="1139">
          <cell r="B1139" t="str">
            <v>Shipment</v>
          </cell>
        </row>
        <row r="1140">
          <cell r="B1140" t="str">
            <v>Shipment</v>
          </cell>
        </row>
        <row r="1141">
          <cell r="B1141" t="str">
            <v>Shipment</v>
          </cell>
        </row>
        <row r="1142">
          <cell r="B1142" t="str">
            <v>Shipment</v>
          </cell>
        </row>
        <row r="1143">
          <cell r="B1143" t="str">
            <v>Shipment</v>
          </cell>
        </row>
        <row r="1144">
          <cell r="B1144" t="str">
            <v>Shipment</v>
          </cell>
        </row>
        <row r="1145">
          <cell r="B1145" t="str">
            <v>Shipment</v>
          </cell>
        </row>
        <row r="1146">
          <cell r="B1146" t="str">
            <v>Shipment</v>
          </cell>
        </row>
        <row r="1147">
          <cell r="B1147" t="str">
            <v>Shipment</v>
          </cell>
        </row>
        <row r="1148">
          <cell r="B1148" t="str">
            <v>Shipment</v>
          </cell>
        </row>
        <row r="1149">
          <cell r="B1149" t="str">
            <v>Shipment</v>
          </cell>
        </row>
        <row r="1150">
          <cell r="B1150" t="str">
            <v>Shipment</v>
          </cell>
        </row>
        <row r="1151">
          <cell r="B1151" t="str">
            <v>Shipment</v>
          </cell>
        </row>
        <row r="1152">
          <cell r="B1152" t="str">
            <v>Shipment</v>
          </cell>
        </row>
        <row r="1153">
          <cell r="B1153" t="str">
            <v>Shipment</v>
          </cell>
        </row>
        <row r="1154">
          <cell r="B1154" t="str">
            <v>Shipment</v>
          </cell>
        </row>
        <row r="1155">
          <cell r="B1155" t="str">
            <v>Shipment</v>
          </cell>
        </row>
        <row r="1156">
          <cell r="B1156" t="str">
            <v>Shipment</v>
          </cell>
        </row>
        <row r="1157">
          <cell r="B1157" t="str">
            <v>Shipment</v>
          </cell>
        </row>
        <row r="1158">
          <cell r="B1158" t="str">
            <v>Shipment</v>
          </cell>
        </row>
        <row r="1159">
          <cell r="B1159" t="str">
            <v>Shipment</v>
          </cell>
        </row>
        <row r="1160">
          <cell r="B1160" t="str">
            <v>Shipment</v>
          </cell>
        </row>
        <row r="1161">
          <cell r="B1161" t="str">
            <v>Shipment</v>
          </cell>
        </row>
        <row r="1162">
          <cell r="B1162" t="str">
            <v>Shipment</v>
          </cell>
        </row>
        <row r="1163">
          <cell r="B1163" t="str">
            <v>Shipment</v>
          </cell>
        </row>
        <row r="1164">
          <cell r="B1164" t="str">
            <v>Shipment</v>
          </cell>
        </row>
        <row r="1165">
          <cell r="B1165" t="str">
            <v>Shipment</v>
          </cell>
        </row>
        <row r="1166">
          <cell r="B1166" t="str">
            <v>Shipment</v>
          </cell>
        </row>
        <row r="1167">
          <cell r="B1167" t="str">
            <v>Shipment</v>
          </cell>
        </row>
        <row r="1168">
          <cell r="B1168" t="str">
            <v>Shipment</v>
          </cell>
        </row>
        <row r="1169">
          <cell r="B1169" t="str">
            <v>Shipment</v>
          </cell>
        </row>
        <row r="1170">
          <cell r="B1170" t="str">
            <v>Shipment</v>
          </cell>
        </row>
        <row r="1171">
          <cell r="B1171" t="str">
            <v>Shipment</v>
          </cell>
        </row>
        <row r="1172">
          <cell r="B1172" t="str">
            <v>Shipment</v>
          </cell>
        </row>
        <row r="1173">
          <cell r="B1173" t="str">
            <v>Shipment</v>
          </cell>
        </row>
        <row r="1174">
          <cell r="B1174" t="str">
            <v>Shipment</v>
          </cell>
        </row>
        <row r="1175">
          <cell r="B1175" t="str">
            <v>Shipment</v>
          </cell>
        </row>
        <row r="1176">
          <cell r="B1176" t="str">
            <v>Shipment</v>
          </cell>
        </row>
        <row r="1177">
          <cell r="B1177" t="str">
            <v>Shipment</v>
          </cell>
        </row>
        <row r="1178">
          <cell r="B1178" t="str">
            <v>Shipment</v>
          </cell>
        </row>
        <row r="1179">
          <cell r="B1179" t="str">
            <v>Shipment</v>
          </cell>
        </row>
        <row r="1180">
          <cell r="B1180" t="str">
            <v>Shipment</v>
          </cell>
        </row>
        <row r="1181">
          <cell r="B1181" t="str">
            <v>Shipment</v>
          </cell>
        </row>
        <row r="1182">
          <cell r="B1182" t="str">
            <v>Shipment</v>
          </cell>
        </row>
        <row r="1183">
          <cell r="B1183" t="str">
            <v>Shipment</v>
          </cell>
        </row>
        <row r="1184">
          <cell r="B1184" t="str">
            <v>Shipment</v>
          </cell>
        </row>
        <row r="1185">
          <cell r="B1185" t="str">
            <v>Shipment</v>
          </cell>
        </row>
        <row r="1186">
          <cell r="B1186" t="str">
            <v>Shipment</v>
          </cell>
        </row>
        <row r="1187">
          <cell r="B1187" t="str">
            <v>Shipment</v>
          </cell>
        </row>
        <row r="1188">
          <cell r="B1188" t="str">
            <v>Shipment</v>
          </cell>
        </row>
        <row r="1189">
          <cell r="B1189" t="str">
            <v>Shipment</v>
          </cell>
        </row>
        <row r="1190">
          <cell r="B1190" t="str">
            <v>Shipment</v>
          </cell>
        </row>
        <row r="1191">
          <cell r="B1191" t="str">
            <v>Shipment</v>
          </cell>
        </row>
        <row r="1192">
          <cell r="B1192" t="str">
            <v>Shipment</v>
          </cell>
        </row>
        <row r="1193">
          <cell r="B1193" t="str">
            <v>Shipment</v>
          </cell>
        </row>
        <row r="1194">
          <cell r="B1194" t="str">
            <v>Shipment</v>
          </cell>
        </row>
        <row r="1195">
          <cell r="B1195" t="str">
            <v>Shipment</v>
          </cell>
        </row>
        <row r="1196">
          <cell r="B1196" t="str">
            <v>Shipment</v>
          </cell>
        </row>
        <row r="1197">
          <cell r="B1197" t="str">
            <v>Shipment</v>
          </cell>
        </row>
        <row r="1198">
          <cell r="B1198" t="str">
            <v>Shipment</v>
          </cell>
        </row>
        <row r="1199">
          <cell r="B1199" t="str">
            <v>Shipment</v>
          </cell>
        </row>
        <row r="1200">
          <cell r="B1200" t="str">
            <v>Shipment</v>
          </cell>
        </row>
        <row r="1201">
          <cell r="B1201" t="str">
            <v>Shipment</v>
          </cell>
        </row>
        <row r="1202">
          <cell r="B1202" t="str">
            <v>Shipment</v>
          </cell>
        </row>
        <row r="1203">
          <cell r="B1203" t="str">
            <v>Shipment</v>
          </cell>
        </row>
        <row r="1204">
          <cell r="B1204" t="str">
            <v>Shipment</v>
          </cell>
        </row>
        <row r="1205">
          <cell r="B1205" t="str">
            <v>Shipment</v>
          </cell>
        </row>
        <row r="1206">
          <cell r="B1206" t="str">
            <v>Shipment</v>
          </cell>
        </row>
        <row r="1207">
          <cell r="B1207" t="str">
            <v>Shipment</v>
          </cell>
        </row>
        <row r="1208">
          <cell r="B1208" t="str">
            <v>Shipment</v>
          </cell>
        </row>
        <row r="1209">
          <cell r="B1209" t="str">
            <v>Shipment</v>
          </cell>
        </row>
        <row r="1210">
          <cell r="B1210" t="str">
            <v>Shipment</v>
          </cell>
        </row>
        <row r="1211">
          <cell r="B1211" t="str">
            <v>Shipment</v>
          </cell>
        </row>
        <row r="1212">
          <cell r="B1212" t="str">
            <v>Shipment</v>
          </cell>
        </row>
        <row r="1213">
          <cell r="B1213" t="str">
            <v>Shipment</v>
          </cell>
        </row>
        <row r="1214">
          <cell r="B1214" t="str">
            <v>Shipment</v>
          </cell>
        </row>
        <row r="1215">
          <cell r="B1215" t="str">
            <v>Shipment</v>
          </cell>
        </row>
        <row r="1216">
          <cell r="B1216" t="str">
            <v>Shipment</v>
          </cell>
        </row>
        <row r="1217">
          <cell r="B1217" t="str">
            <v>Shipment</v>
          </cell>
        </row>
        <row r="1218">
          <cell r="B1218" t="str">
            <v>Shipment</v>
          </cell>
        </row>
        <row r="1219">
          <cell r="B1219" t="str">
            <v>Shipment</v>
          </cell>
        </row>
        <row r="1220">
          <cell r="B1220" t="str">
            <v>Shipment</v>
          </cell>
        </row>
        <row r="1221">
          <cell r="B1221" t="str">
            <v>Shipment</v>
          </cell>
        </row>
        <row r="1222">
          <cell r="B1222" t="str">
            <v>Shipment</v>
          </cell>
        </row>
        <row r="1223">
          <cell r="B1223" t="str">
            <v>Shipment</v>
          </cell>
        </row>
        <row r="1224">
          <cell r="B1224" t="str">
            <v>Shipment</v>
          </cell>
        </row>
        <row r="1225">
          <cell r="B1225" t="str">
            <v>Shipment</v>
          </cell>
        </row>
        <row r="1226">
          <cell r="B1226" t="str">
            <v>Shipment</v>
          </cell>
        </row>
        <row r="1227">
          <cell r="B1227" t="str">
            <v>Shipment</v>
          </cell>
        </row>
        <row r="1228">
          <cell r="B1228" t="str">
            <v>Shipment</v>
          </cell>
        </row>
        <row r="1229">
          <cell r="B1229" t="str">
            <v>Shipment</v>
          </cell>
        </row>
        <row r="1230">
          <cell r="B1230" t="str">
            <v>Shipment</v>
          </cell>
        </row>
        <row r="1231">
          <cell r="B1231" t="str">
            <v>Shipment</v>
          </cell>
        </row>
        <row r="1232">
          <cell r="B1232" t="str">
            <v>Shipment</v>
          </cell>
        </row>
        <row r="1233">
          <cell r="B1233" t="str">
            <v>Shipment</v>
          </cell>
        </row>
        <row r="1234">
          <cell r="B1234" t="str">
            <v>Shipment</v>
          </cell>
        </row>
        <row r="1235">
          <cell r="B1235" t="str">
            <v>Shipment</v>
          </cell>
        </row>
        <row r="1236">
          <cell r="B1236" t="str">
            <v>Shipment</v>
          </cell>
        </row>
        <row r="1237">
          <cell r="B1237" t="str">
            <v>Shipment</v>
          </cell>
        </row>
        <row r="1238">
          <cell r="B1238" t="str">
            <v>Shipment</v>
          </cell>
        </row>
        <row r="1239">
          <cell r="B1239" t="str">
            <v>Shipment</v>
          </cell>
        </row>
        <row r="1240">
          <cell r="B1240" t="str">
            <v>Shipment</v>
          </cell>
        </row>
        <row r="1241">
          <cell r="B1241" t="str">
            <v>Shipment</v>
          </cell>
        </row>
        <row r="1242">
          <cell r="B1242" t="str">
            <v>Shipment</v>
          </cell>
        </row>
        <row r="1243">
          <cell r="B1243" t="str">
            <v>Shipment</v>
          </cell>
        </row>
        <row r="1244">
          <cell r="B1244" t="str">
            <v>Shipment</v>
          </cell>
        </row>
        <row r="1245">
          <cell r="B1245" t="str">
            <v>Shipment</v>
          </cell>
        </row>
        <row r="1246">
          <cell r="B1246" t="str">
            <v>Shipment</v>
          </cell>
        </row>
        <row r="1247">
          <cell r="B1247" t="str">
            <v>Shipment</v>
          </cell>
        </row>
        <row r="1248">
          <cell r="B1248" t="str">
            <v>Shipment</v>
          </cell>
        </row>
        <row r="1249">
          <cell r="B1249" t="str">
            <v>Shipment</v>
          </cell>
        </row>
        <row r="1250">
          <cell r="B1250" t="str">
            <v>Shipment</v>
          </cell>
        </row>
        <row r="1251">
          <cell r="B1251" t="str">
            <v>Shipment</v>
          </cell>
        </row>
        <row r="1252">
          <cell r="B1252" t="str">
            <v>Shipment</v>
          </cell>
        </row>
        <row r="1253">
          <cell r="B1253" t="str">
            <v>Shipment</v>
          </cell>
        </row>
        <row r="1254">
          <cell r="B1254" t="str">
            <v>Shipment</v>
          </cell>
        </row>
        <row r="1255">
          <cell r="B1255" t="str">
            <v>Shipment</v>
          </cell>
        </row>
        <row r="1256">
          <cell r="B1256" t="str">
            <v>Shipment</v>
          </cell>
        </row>
        <row r="1257">
          <cell r="B1257" t="str">
            <v>Shipment</v>
          </cell>
        </row>
        <row r="1258">
          <cell r="B1258" t="str">
            <v>Shipment</v>
          </cell>
        </row>
        <row r="1259">
          <cell r="B1259" t="str">
            <v>Shipment</v>
          </cell>
        </row>
        <row r="1260">
          <cell r="B1260" t="str">
            <v>Shipment</v>
          </cell>
        </row>
        <row r="1261">
          <cell r="B1261" t="str">
            <v>Shipment</v>
          </cell>
        </row>
        <row r="1262">
          <cell r="B1262" t="str">
            <v>Shipment</v>
          </cell>
        </row>
        <row r="1263">
          <cell r="B1263" t="str">
            <v>Shipment</v>
          </cell>
        </row>
        <row r="1264">
          <cell r="B1264" t="str">
            <v>Shipment</v>
          </cell>
        </row>
        <row r="1265">
          <cell r="B1265" t="str">
            <v>Shipment</v>
          </cell>
        </row>
        <row r="1266">
          <cell r="B1266" t="str">
            <v>Shipment</v>
          </cell>
        </row>
        <row r="1267">
          <cell r="B1267" t="str">
            <v>Shipment</v>
          </cell>
        </row>
        <row r="1268">
          <cell r="B1268" t="str">
            <v>Shipment</v>
          </cell>
        </row>
        <row r="1269">
          <cell r="B1269" t="str">
            <v>Shipment</v>
          </cell>
        </row>
        <row r="1270">
          <cell r="B1270" t="str">
            <v>Shipment</v>
          </cell>
        </row>
        <row r="1271">
          <cell r="B1271" t="str">
            <v>Shipment</v>
          </cell>
        </row>
        <row r="1272">
          <cell r="B1272" t="str">
            <v>Shipment</v>
          </cell>
        </row>
        <row r="1273">
          <cell r="B1273" t="str">
            <v>Shipment</v>
          </cell>
        </row>
        <row r="1274">
          <cell r="B1274" t="str">
            <v>Shipment</v>
          </cell>
        </row>
        <row r="1275">
          <cell r="B1275" t="str">
            <v>Shipment</v>
          </cell>
        </row>
        <row r="1276">
          <cell r="B1276" t="str">
            <v>Shipment</v>
          </cell>
        </row>
        <row r="1277">
          <cell r="B1277" t="str">
            <v>Shipment</v>
          </cell>
        </row>
        <row r="1278">
          <cell r="B1278" t="str">
            <v>Shipment</v>
          </cell>
        </row>
        <row r="1279">
          <cell r="B1279" t="str">
            <v>Shipment</v>
          </cell>
        </row>
        <row r="1280">
          <cell r="B1280" t="str">
            <v>Shipment</v>
          </cell>
        </row>
        <row r="1281">
          <cell r="B1281" t="str">
            <v>Shipment</v>
          </cell>
        </row>
        <row r="1282">
          <cell r="B1282" t="str">
            <v>Shipment</v>
          </cell>
        </row>
        <row r="1283">
          <cell r="B1283" t="str">
            <v>Shipment</v>
          </cell>
        </row>
        <row r="1284">
          <cell r="B1284" t="str">
            <v>Shipment</v>
          </cell>
        </row>
        <row r="1285">
          <cell r="B1285" t="str">
            <v>Shipment</v>
          </cell>
        </row>
        <row r="1286">
          <cell r="B1286" t="str">
            <v>Shipment</v>
          </cell>
        </row>
        <row r="1287">
          <cell r="B1287" t="str">
            <v>Shipment</v>
          </cell>
        </row>
        <row r="1288">
          <cell r="B1288" t="str">
            <v>Shipment</v>
          </cell>
        </row>
        <row r="1289">
          <cell r="B1289" t="str">
            <v>Shipment</v>
          </cell>
        </row>
        <row r="1290">
          <cell r="B1290" t="str">
            <v>Shipment</v>
          </cell>
        </row>
        <row r="1291">
          <cell r="B1291" t="str">
            <v>Shipment</v>
          </cell>
        </row>
        <row r="1292">
          <cell r="B1292" t="str">
            <v>Shipment</v>
          </cell>
        </row>
        <row r="1293">
          <cell r="B1293" t="str">
            <v>Shipment</v>
          </cell>
        </row>
        <row r="1294">
          <cell r="B1294" t="str">
            <v>Shipment</v>
          </cell>
        </row>
        <row r="1295">
          <cell r="B1295" t="str">
            <v>Shipment</v>
          </cell>
        </row>
        <row r="1296">
          <cell r="B1296" t="str">
            <v>Shipment</v>
          </cell>
        </row>
        <row r="1297">
          <cell r="B1297" t="str">
            <v>Shipment</v>
          </cell>
        </row>
        <row r="1298">
          <cell r="B1298" t="str">
            <v>Shipment</v>
          </cell>
        </row>
        <row r="1299">
          <cell r="B1299" t="str">
            <v>Shipment</v>
          </cell>
        </row>
        <row r="1300">
          <cell r="B1300" t="str">
            <v>Shipment</v>
          </cell>
        </row>
        <row r="1301">
          <cell r="B1301" t="str">
            <v>Shipment</v>
          </cell>
        </row>
        <row r="1302">
          <cell r="B1302" t="str">
            <v>Shipment</v>
          </cell>
        </row>
        <row r="1303">
          <cell r="B1303" t="str">
            <v>Shipment</v>
          </cell>
        </row>
        <row r="1304">
          <cell r="B1304" t="str">
            <v>Shipment</v>
          </cell>
        </row>
        <row r="1305">
          <cell r="B1305" t="str">
            <v>Shipment</v>
          </cell>
        </row>
        <row r="1306">
          <cell r="B1306" t="str">
            <v>Shipment</v>
          </cell>
        </row>
        <row r="1307">
          <cell r="B1307" t="str">
            <v>Shipment</v>
          </cell>
        </row>
        <row r="1308">
          <cell r="B1308" t="str">
            <v>Shipment</v>
          </cell>
        </row>
        <row r="1309">
          <cell r="B1309" t="str">
            <v>Shipment</v>
          </cell>
        </row>
        <row r="1310">
          <cell r="B1310" t="str">
            <v>Shipment</v>
          </cell>
        </row>
        <row r="1311">
          <cell r="B1311" t="str">
            <v>Shipment</v>
          </cell>
        </row>
        <row r="1312">
          <cell r="B1312" t="str">
            <v>Shipment</v>
          </cell>
        </row>
        <row r="1313">
          <cell r="B1313" t="str">
            <v>Shipment</v>
          </cell>
        </row>
        <row r="1314">
          <cell r="B1314" t="str">
            <v>Shipment</v>
          </cell>
        </row>
        <row r="1315">
          <cell r="B1315" t="str">
            <v>Shipment</v>
          </cell>
        </row>
        <row r="1316">
          <cell r="B1316" t="str">
            <v>Shipment</v>
          </cell>
        </row>
        <row r="1317">
          <cell r="B1317" t="str">
            <v>Shipment</v>
          </cell>
        </row>
        <row r="1318">
          <cell r="B1318" t="str">
            <v>Shipment</v>
          </cell>
        </row>
        <row r="1319">
          <cell r="B1319" t="str">
            <v>Shipment</v>
          </cell>
        </row>
        <row r="1320">
          <cell r="B1320" t="str">
            <v>Shipment</v>
          </cell>
        </row>
        <row r="1321">
          <cell r="B1321" t="str">
            <v>Shipment</v>
          </cell>
        </row>
        <row r="1322">
          <cell r="B1322" t="str">
            <v>Shipment</v>
          </cell>
        </row>
        <row r="1323">
          <cell r="B1323" t="str">
            <v>Shipment</v>
          </cell>
        </row>
        <row r="1324">
          <cell r="B1324" t="str">
            <v>Shipment</v>
          </cell>
        </row>
        <row r="1325">
          <cell r="B1325" t="str">
            <v>Shipment</v>
          </cell>
        </row>
        <row r="1326">
          <cell r="B1326" t="str">
            <v>Shipment</v>
          </cell>
        </row>
        <row r="1327">
          <cell r="B1327" t="str">
            <v>Shipment</v>
          </cell>
        </row>
        <row r="1328">
          <cell r="B1328" t="str">
            <v>Shipment</v>
          </cell>
        </row>
        <row r="1329">
          <cell r="B1329" t="str">
            <v>Shipment</v>
          </cell>
        </row>
        <row r="1330">
          <cell r="B1330" t="str">
            <v>Shipment</v>
          </cell>
        </row>
        <row r="1331">
          <cell r="B1331" t="str">
            <v>Shipment</v>
          </cell>
        </row>
        <row r="1332">
          <cell r="B1332" t="str">
            <v>Shipment</v>
          </cell>
        </row>
        <row r="1333">
          <cell r="B1333" t="str">
            <v>Shipment</v>
          </cell>
        </row>
        <row r="1334">
          <cell r="B1334" t="str">
            <v>Shipment</v>
          </cell>
        </row>
        <row r="1335">
          <cell r="B1335" t="str">
            <v>Shipment</v>
          </cell>
        </row>
        <row r="1336">
          <cell r="B1336" t="str">
            <v>Shipment</v>
          </cell>
        </row>
        <row r="1337">
          <cell r="B1337" t="str">
            <v>Shipment</v>
          </cell>
        </row>
        <row r="1338">
          <cell r="B1338" t="str">
            <v>Shipment</v>
          </cell>
        </row>
        <row r="1339">
          <cell r="B1339" t="str">
            <v>Shipment</v>
          </cell>
        </row>
        <row r="1340">
          <cell r="B1340" t="str">
            <v>Shipment</v>
          </cell>
        </row>
        <row r="1341">
          <cell r="B1341" t="str">
            <v>Shipment</v>
          </cell>
        </row>
        <row r="1342">
          <cell r="B1342" t="str">
            <v>Shipment</v>
          </cell>
        </row>
        <row r="1343">
          <cell r="B1343" t="str">
            <v>Shipment</v>
          </cell>
        </row>
        <row r="1344">
          <cell r="B1344" t="str">
            <v>Shipment</v>
          </cell>
        </row>
        <row r="1345">
          <cell r="B1345" t="str">
            <v>Shipment</v>
          </cell>
        </row>
        <row r="1346">
          <cell r="B1346" t="str">
            <v>Shipment</v>
          </cell>
        </row>
        <row r="1347">
          <cell r="B1347" t="str">
            <v>Shipment</v>
          </cell>
        </row>
        <row r="1348">
          <cell r="B1348" t="str">
            <v>Shipment</v>
          </cell>
        </row>
        <row r="1349">
          <cell r="B1349" t="str">
            <v>Shipment</v>
          </cell>
        </row>
        <row r="1350">
          <cell r="B1350" t="str">
            <v>Shipment</v>
          </cell>
        </row>
        <row r="1351">
          <cell r="B1351" t="str">
            <v>Shipment</v>
          </cell>
        </row>
        <row r="1352">
          <cell r="B1352" t="str">
            <v>Shipment</v>
          </cell>
        </row>
        <row r="1353">
          <cell r="B1353" t="str">
            <v>Shipment</v>
          </cell>
        </row>
        <row r="1354">
          <cell r="B1354" t="str">
            <v>Shipment</v>
          </cell>
        </row>
        <row r="1355">
          <cell r="B1355" t="str">
            <v>Shipment</v>
          </cell>
        </row>
        <row r="1356">
          <cell r="B1356" t="str">
            <v>Shipment</v>
          </cell>
        </row>
        <row r="1357">
          <cell r="B1357" t="str">
            <v>Shipment</v>
          </cell>
        </row>
        <row r="1358">
          <cell r="B1358" t="str">
            <v>Shipment</v>
          </cell>
        </row>
        <row r="1359">
          <cell r="B1359" t="str">
            <v>Shipment</v>
          </cell>
        </row>
        <row r="1360">
          <cell r="B1360" t="str">
            <v>Shipment</v>
          </cell>
        </row>
        <row r="1361">
          <cell r="B1361" t="str">
            <v>Shipment</v>
          </cell>
        </row>
        <row r="1362">
          <cell r="B1362" t="str">
            <v>Shipment</v>
          </cell>
        </row>
        <row r="1363">
          <cell r="B1363" t="str">
            <v>Shipment</v>
          </cell>
        </row>
        <row r="1364">
          <cell r="B1364" t="str">
            <v>Shipment</v>
          </cell>
        </row>
        <row r="1365">
          <cell r="B1365" t="str">
            <v>Shipment</v>
          </cell>
        </row>
        <row r="1366">
          <cell r="B1366" t="str">
            <v>Shipment</v>
          </cell>
        </row>
        <row r="1367">
          <cell r="B1367" t="str">
            <v>Shipment</v>
          </cell>
        </row>
        <row r="1368">
          <cell r="B1368" t="str">
            <v>Shipment</v>
          </cell>
        </row>
        <row r="1369">
          <cell r="B1369" t="str">
            <v>Shipment</v>
          </cell>
        </row>
        <row r="1370">
          <cell r="B1370" t="str">
            <v>Shipment</v>
          </cell>
        </row>
        <row r="1371">
          <cell r="B1371" t="str">
            <v>Shipment</v>
          </cell>
        </row>
        <row r="1372">
          <cell r="B1372" t="str">
            <v>Shipment</v>
          </cell>
        </row>
        <row r="1373">
          <cell r="B1373" t="str">
            <v>Shipment</v>
          </cell>
        </row>
        <row r="1374">
          <cell r="B1374" t="str">
            <v>Shipment</v>
          </cell>
        </row>
        <row r="1375">
          <cell r="B1375" t="str">
            <v>Shipment</v>
          </cell>
        </row>
        <row r="1376">
          <cell r="B1376" t="str">
            <v>Shipment</v>
          </cell>
        </row>
        <row r="1377">
          <cell r="B1377" t="str">
            <v>Shipment</v>
          </cell>
        </row>
        <row r="1378">
          <cell r="B1378" t="str">
            <v>Shipment</v>
          </cell>
        </row>
        <row r="1379">
          <cell r="B1379" t="str">
            <v>Shipment</v>
          </cell>
        </row>
        <row r="1380">
          <cell r="B1380" t="str">
            <v>Shipment</v>
          </cell>
        </row>
        <row r="1381">
          <cell r="B1381" t="str">
            <v>Shipment</v>
          </cell>
        </row>
        <row r="1382">
          <cell r="B1382" t="str">
            <v>Shipment</v>
          </cell>
        </row>
        <row r="1383">
          <cell r="B1383" t="str">
            <v>Shipment</v>
          </cell>
        </row>
        <row r="1384">
          <cell r="B1384" t="str">
            <v>Shipment</v>
          </cell>
        </row>
        <row r="1385">
          <cell r="B1385" t="str">
            <v>Shipment</v>
          </cell>
        </row>
        <row r="1386">
          <cell r="B1386" t="str">
            <v>Shipment</v>
          </cell>
        </row>
        <row r="1387">
          <cell r="B1387" t="str">
            <v>Shipment</v>
          </cell>
        </row>
        <row r="1388">
          <cell r="B1388" t="str">
            <v>Shipment</v>
          </cell>
        </row>
        <row r="1389">
          <cell r="B1389" t="str">
            <v>Shipment</v>
          </cell>
        </row>
        <row r="1390">
          <cell r="B1390" t="str">
            <v>Shipment</v>
          </cell>
        </row>
        <row r="1391">
          <cell r="B1391" t="str">
            <v>Shipment</v>
          </cell>
        </row>
        <row r="1392">
          <cell r="B1392" t="str">
            <v>Shipment</v>
          </cell>
        </row>
        <row r="1393">
          <cell r="B1393" t="str">
            <v>Shipment</v>
          </cell>
        </row>
        <row r="1394">
          <cell r="B1394" t="str">
            <v>Shipment</v>
          </cell>
        </row>
        <row r="1395">
          <cell r="B1395" t="str">
            <v>Shipment</v>
          </cell>
        </row>
        <row r="1396">
          <cell r="B1396" t="str">
            <v>Shipment</v>
          </cell>
        </row>
        <row r="1397">
          <cell r="B1397" t="str">
            <v>Shipment</v>
          </cell>
        </row>
        <row r="1398">
          <cell r="B1398" t="str">
            <v>Shipment</v>
          </cell>
        </row>
        <row r="1399">
          <cell r="B1399" t="str">
            <v>Shipment</v>
          </cell>
        </row>
        <row r="1400">
          <cell r="B1400" t="str">
            <v>Shipment</v>
          </cell>
        </row>
        <row r="1401">
          <cell r="B1401" t="str">
            <v>Shipment</v>
          </cell>
        </row>
        <row r="1402">
          <cell r="B1402" t="str">
            <v>Shipment</v>
          </cell>
        </row>
        <row r="1403">
          <cell r="B1403" t="str">
            <v>Shipment</v>
          </cell>
        </row>
        <row r="1404">
          <cell r="B1404" t="str">
            <v>Shipment</v>
          </cell>
        </row>
        <row r="1405">
          <cell r="B1405" t="str">
            <v>Shipment</v>
          </cell>
        </row>
        <row r="1406">
          <cell r="B1406" t="str">
            <v>Shipment</v>
          </cell>
        </row>
        <row r="1407">
          <cell r="B1407" t="str">
            <v>Shipment</v>
          </cell>
        </row>
        <row r="1408">
          <cell r="B1408" t="str">
            <v>Shipment</v>
          </cell>
        </row>
        <row r="1409">
          <cell r="B1409" t="str">
            <v>Shipment</v>
          </cell>
        </row>
        <row r="1410">
          <cell r="B1410" t="str">
            <v>Shipment</v>
          </cell>
        </row>
        <row r="1411">
          <cell r="B1411" t="str">
            <v>Shipment</v>
          </cell>
        </row>
        <row r="1412">
          <cell r="B1412" t="str">
            <v>Shipment</v>
          </cell>
        </row>
        <row r="1413">
          <cell r="B1413" t="str">
            <v>Shipment</v>
          </cell>
        </row>
        <row r="1414">
          <cell r="B1414" t="str">
            <v>Shipment</v>
          </cell>
        </row>
        <row r="1415">
          <cell r="B1415" t="str">
            <v>Shipment</v>
          </cell>
        </row>
        <row r="1416">
          <cell r="B1416" t="str">
            <v>Shipment</v>
          </cell>
        </row>
        <row r="1417">
          <cell r="B1417" t="str">
            <v>Shipment</v>
          </cell>
        </row>
        <row r="1418">
          <cell r="B1418" t="str">
            <v>Shipment</v>
          </cell>
        </row>
        <row r="1419">
          <cell r="B1419" t="str">
            <v>Shipment</v>
          </cell>
        </row>
        <row r="1420">
          <cell r="B1420" t="str">
            <v>Shipment</v>
          </cell>
        </row>
        <row r="1421">
          <cell r="B1421" t="str">
            <v>Shipment</v>
          </cell>
        </row>
        <row r="1422">
          <cell r="B1422" t="str">
            <v>Shipment</v>
          </cell>
        </row>
        <row r="1423">
          <cell r="B1423" t="str">
            <v>Shipment</v>
          </cell>
        </row>
        <row r="1424">
          <cell r="B1424" t="str">
            <v>Shipment</v>
          </cell>
        </row>
        <row r="1425">
          <cell r="B1425" t="str">
            <v>Shipment</v>
          </cell>
        </row>
        <row r="1426">
          <cell r="B1426" t="str">
            <v>Shipment</v>
          </cell>
        </row>
        <row r="1427">
          <cell r="B1427" t="str">
            <v>Shipment</v>
          </cell>
        </row>
        <row r="1428">
          <cell r="B1428" t="str">
            <v>Shipment</v>
          </cell>
        </row>
        <row r="1429">
          <cell r="B1429" t="str">
            <v>Shipment</v>
          </cell>
        </row>
        <row r="1430">
          <cell r="B1430" t="str">
            <v>Shipment</v>
          </cell>
        </row>
        <row r="1431">
          <cell r="B1431" t="str">
            <v>Shipment</v>
          </cell>
        </row>
        <row r="1432">
          <cell r="B1432" t="str">
            <v>Shipment</v>
          </cell>
        </row>
        <row r="1433">
          <cell r="B1433" t="str">
            <v>Shipment</v>
          </cell>
        </row>
        <row r="1434">
          <cell r="B1434" t="str">
            <v>Shipment</v>
          </cell>
        </row>
        <row r="1435">
          <cell r="B1435" t="str">
            <v>Shipment</v>
          </cell>
        </row>
        <row r="1436">
          <cell r="B1436" t="str">
            <v>Shipment</v>
          </cell>
        </row>
        <row r="1437">
          <cell r="B1437" t="str">
            <v>Shipment</v>
          </cell>
        </row>
        <row r="1438">
          <cell r="B1438" t="str">
            <v>Shipment</v>
          </cell>
        </row>
        <row r="1439">
          <cell r="B1439" t="str">
            <v>Shipment</v>
          </cell>
        </row>
        <row r="1440">
          <cell r="B1440" t="str">
            <v>Shipment</v>
          </cell>
        </row>
        <row r="1441">
          <cell r="B1441" t="str">
            <v>Shipment</v>
          </cell>
        </row>
        <row r="1442">
          <cell r="B1442" t="str">
            <v>Shipment</v>
          </cell>
        </row>
        <row r="1443">
          <cell r="B1443" t="str">
            <v>Shipment</v>
          </cell>
        </row>
        <row r="1444">
          <cell r="B1444" t="str">
            <v>Shipment</v>
          </cell>
        </row>
        <row r="1445">
          <cell r="B1445" t="str">
            <v>Shipment</v>
          </cell>
        </row>
        <row r="1446">
          <cell r="B1446" t="str">
            <v>Shipment</v>
          </cell>
        </row>
        <row r="1447">
          <cell r="B1447" t="str">
            <v>Shipment</v>
          </cell>
        </row>
        <row r="1448">
          <cell r="B1448" t="str">
            <v>Shipment</v>
          </cell>
        </row>
        <row r="1449">
          <cell r="B1449" t="str">
            <v>Shipment</v>
          </cell>
        </row>
        <row r="1450">
          <cell r="B1450" t="str">
            <v>Shipment</v>
          </cell>
        </row>
        <row r="1451">
          <cell r="B1451" t="str">
            <v>Shipment</v>
          </cell>
        </row>
        <row r="1452">
          <cell r="B1452" t="str">
            <v>Shipment</v>
          </cell>
        </row>
        <row r="1453">
          <cell r="B1453" t="str">
            <v>Shipment</v>
          </cell>
        </row>
        <row r="1454">
          <cell r="B1454" t="str">
            <v>Shipment</v>
          </cell>
        </row>
        <row r="1455">
          <cell r="B1455" t="str">
            <v>Shipment</v>
          </cell>
        </row>
        <row r="1456">
          <cell r="B1456" t="str">
            <v>Shipment</v>
          </cell>
        </row>
        <row r="1457">
          <cell r="B1457" t="str">
            <v>Shipment</v>
          </cell>
        </row>
        <row r="1458">
          <cell r="B1458" t="str">
            <v>Shipment</v>
          </cell>
        </row>
        <row r="1459">
          <cell r="B1459" t="str">
            <v>Shipment</v>
          </cell>
        </row>
        <row r="1460">
          <cell r="B1460" t="str">
            <v>Shipment</v>
          </cell>
        </row>
        <row r="1461">
          <cell r="B1461" t="str">
            <v>Shipment</v>
          </cell>
        </row>
        <row r="1462">
          <cell r="B1462" t="str">
            <v>Shipment</v>
          </cell>
        </row>
        <row r="1463">
          <cell r="B1463" t="str">
            <v>Shipment</v>
          </cell>
        </row>
        <row r="1464">
          <cell r="B1464" t="str">
            <v>Shipment</v>
          </cell>
        </row>
        <row r="1465">
          <cell r="B1465" t="str">
            <v>Shipment</v>
          </cell>
        </row>
        <row r="1466">
          <cell r="B1466" t="str">
            <v>Shipment</v>
          </cell>
        </row>
        <row r="1467">
          <cell r="B1467" t="str">
            <v>Shipment</v>
          </cell>
        </row>
        <row r="1468">
          <cell r="B1468" t="str">
            <v>Shipment</v>
          </cell>
        </row>
        <row r="1469">
          <cell r="B1469" t="str">
            <v>Shipment</v>
          </cell>
        </row>
        <row r="1470">
          <cell r="B1470" t="str">
            <v>Shipment</v>
          </cell>
        </row>
        <row r="1471">
          <cell r="B1471" t="str">
            <v>Shipment</v>
          </cell>
        </row>
        <row r="1472">
          <cell r="B1472" t="str">
            <v>Shipment</v>
          </cell>
        </row>
        <row r="1473">
          <cell r="B1473" t="str">
            <v>Shipment</v>
          </cell>
        </row>
        <row r="1474">
          <cell r="B1474" t="str">
            <v>Shipment</v>
          </cell>
        </row>
        <row r="1475">
          <cell r="B1475" t="str">
            <v>Shipment</v>
          </cell>
        </row>
        <row r="1476">
          <cell r="B1476" t="str">
            <v>Shipment</v>
          </cell>
        </row>
        <row r="1477">
          <cell r="B1477" t="str">
            <v>Shipment</v>
          </cell>
        </row>
        <row r="1478">
          <cell r="B1478" t="str">
            <v>Shipment</v>
          </cell>
        </row>
        <row r="1479">
          <cell r="B1479" t="str">
            <v>Shipment</v>
          </cell>
        </row>
        <row r="1480">
          <cell r="B1480" t="str">
            <v>Shipment</v>
          </cell>
        </row>
        <row r="1481">
          <cell r="B1481" t="str">
            <v>Shipment</v>
          </cell>
        </row>
        <row r="1482">
          <cell r="B1482" t="str">
            <v>Shipment</v>
          </cell>
        </row>
        <row r="1483">
          <cell r="B1483" t="str">
            <v>Shipment</v>
          </cell>
        </row>
        <row r="1484">
          <cell r="B1484" t="str">
            <v>Shipment</v>
          </cell>
        </row>
        <row r="1485">
          <cell r="B1485" t="str">
            <v>Shipment</v>
          </cell>
        </row>
        <row r="1486">
          <cell r="B1486" t="str">
            <v>Shipment</v>
          </cell>
        </row>
        <row r="1487">
          <cell r="B1487" t="str">
            <v>Shipment</v>
          </cell>
        </row>
        <row r="1488">
          <cell r="B1488" t="str">
            <v>Shipment</v>
          </cell>
        </row>
        <row r="1489">
          <cell r="B1489" t="str">
            <v>Shipment</v>
          </cell>
        </row>
        <row r="1490">
          <cell r="B1490" t="str">
            <v>Shipment</v>
          </cell>
        </row>
        <row r="1491">
          <cell r="B1491" t="str">
            <v>Shipment</v>
          </cell>
        </row>
        <row r="1492">
          <cell r="B1492" t="str">
            <v>Shipment</v>
          </cell>
        </row>
        <row r="1493">
          <cell r="B1493" t="str">
            <v>Shipment</v>
          </cell>
        </row>
        <row r="1494">
          <cell r="B1494" t="str">
            <v>Shipment</v>
          </cell>
        </row>
        <row r="1495">
          <cell r="B1495" t="str">
            <v>Shipment</v>
          </cell>
        </row>
        <row r="1496">
          <cell r="B1496" t="str">
            <v>Shipment</v>
          </cell>
        </row>
        <row r="1497">
          <cell r="B1497" t="str">
            <v>Shipment</v>
          </cell>
        </row>
        <row r="1498">
          <cell r="B1498" t="str">
            <v>Shipment</v>
          </cell>
        </row>
        <row r="1499">
          <cell r="B1499" t="str">
            <v>Shipment</v>
          </cell>
        </row>
        <row r="1500">
          <cell r="B1500" t="str">
            <v>Shipment</v>
          </cell>
        </row>
        <row r="1501">
          <cell r="B1501" t="str">
            <v>Shipment</v>
          </cell>
        </row>
        <row r="1502">
          <cell r="B1502" t="str">
            <v>Shipment</v>
          </cell>
        </row>
        <row r="1503">
          <cell r="B1503" t="str">
            <v>Shipment</v>
          </cell>
        </row>
        <row r="1504">
          <cell r="B1504" t="str">
            <v>Shipment</v>
          </cell>
        </row>
        <row r="1505">
          <cell r="B1505" t="str">
            <v>Shipment</v>
          </cell>
        </row>
        <row r="1506">
          <cell r="B1506" t="str">
            <v>Shipment</v>
          </cell>
        </row>
        <row r="1507">
          <cell r="B1507" t="str">
            <v>Shipment</v>
          </cell>
        </row>
        <row r="1508">
          <cell r="B1508" t="str">
            <v>Shipment</v>
          </cell>
        </row>
        <row r="1509">
          <cell r="B1509" t="str">
            <v>Shipment</v>
          </cell>
        </row>
        <row r="1510">
          <cell r="B1510" t="str">
            <v>Shipment</v>
          </cell>
        </row>
        <row r="1511">
          <cell r="B1511" t="str">
            <v>Shipment</v>
          </cell>
        </row>
        <row r="1512">
          <cell r="B1512" t="str">
            <v>Shipment</v>
          </cell>
        </row>
        <row r="1513">
          <cell r="B1513" t="str">
            <v>Shipment</v>
          </cell>
        </row>
        <row r="1514">
          <cell r="B1514" t="str">
            <v>Shipment</v>
          </cell>
        </row>
        <row r="1515">
          <cell r="B1515" t="str">
            <v>Shipment</v>
          </cell>
        </row>
        <row r="1516">
          <cell r="B1516" t="str">
            <v>Shipment</v>
          </cell>
        </row>
        <row r="1517">
          <cell r="B1517" t="str">
            <v>Shipment</v>
          </cell>
        </row>
        <row r="1518">
          <cell r="B1518" t="str">
            <v>Shipment</v>
          </cell>
        </row>
        <row r="1519">
          <cell r="B1519" t="str">
            <v>Shipment</v>
          </cell>
        </row>
        <row r="1520">
          <cell r="B1520" t="str">
            <v>Shipment</v>
          </cell>
        </row>
        <row r="1521">
          <cell r="B1521" t="str">
            <v>Shipment</v>
          </cell>
        </row>
        <row r="1522">
          <cell r="B1522" t="str">
            <v>Shipment</v>
          </cell>
        </row>
        <row r="1523">
          <cell r="B1523" t="str">
            <v>Shipment</v>
          </cell>
        </row>
        <row r="1524">
          <cell r="B1524" t="str">
            <v>Shipment</v>
          </cell>
        </row>
        <row r="1525">
          <cell r="B1525" t="str">
            <v>Shipment</v>
          </cell>
        </row>
        <row r="1526">
          <cell r="B1526" t="str">
            <v>Shipment</v>
          </cell>
        </row>
        <row r="1527">
          <cell r="B1527" t="str">
            <v>Shipment</v>
          </cell>
        </row>
        <row r="1528">
          <cell r="B1528" t="str">
            <v>Shipment</v>
          </cell>
        </row>
        <row r="1529">
          <cell r="B1529" t="str">
            <v>Shipment</v>
          </cell>
        </row>
        <row r="1530">
          <cell r="B1530" t="str">
            <v>Shipment</v>
          </cell>
        </row>
        <row r="1531">
          <cell r="B1531" t="str">
            <v>Shipment</v>
          </cell>
        </row>
        <row r="1532">
          <cell r="B1532" t="str">
            <v>Shipment</v>
          </cell>
        </row>
        <row r="1533">
          <cell r="B1533" t="str">
            <v>Shipment</v>
          </cell>
        </row>
        <row r="1534">
          <cell r="B1534" t="str">
            <v>Shipment</v>
          </cell>
        </row>
        <row r="1535">
          <cell r="B1535" t="str">
            <v>Shipment</v>
          </cell>
        </row>
        <row r="1536">
          <cell r="B1536" t="str">
            <v>Shipment</v>
          </cell>
        </row>
        <row r="1537">
          <cell r="B1537" t="str">
            <v>Shipment</v>
          </cell>
        </row>
        <row r="1538">
          <cell r="B1538" t="str">
            <v>Shipment</v>
          </cell>
        </row>
        <row r="1539">
          <cell r="B1539" t="str">
            <v>Shipment</v>
          </cell>
        </row>
        <row r="1540">
          <cell r="B1540" t="str">
            <v>Shipment</v>
          </cell>
        </row>
        <row r="1541">
          <cell r="B1541" t="str">
            <v>Shipment</v>
          </cell>
        </row>
        <row r="1542">
          <cell r="B1542" t="str">
            <v>Shipment</v>
          </cell>
        </row>
        <row r="1543">
          <cell r="B1543" t="str">
            <v>Shipment</v>
          </cell>
        </row>
        <row r="1544">
          <cell r="B1544" t="str">
            <v>Shipment</v>
          </cell>
        </row>
        <row r="1545">
          <cell r="B1545" t="str">
            <v>Shipment</v>
          </cell>
        </row>
        <row r="1546">
          <cell r="B1546" t="str">
            <v>Shipment</v>
          </cell>
        </row>
        <row r="1547">
          <cell r="B1547" t="str">
            <v>Shipment</v>
          </cell>
        </row>
        <row r="1548">
          <cell r="B1548" t="str">
            <v>Shipment</v>
          </cell>
        </row>
        <row r="1549">
          <cell r="B1549" t="str">
            <v>Shipment</v>
          </cell>
        </row>
        <row r="1550">
          <cell r="B1550" t="str">
            <v>Shipment</v>
          </cell>
        </row>
        <row r="1551">
          <cell r="B1551" t="str">
            <v>Shipment</v>
          </cell>
        </row>
        <row r="1552">
          <cell r="B1552" t="str">
            <v>Shipment</v>
          </cell>
        </row>
        <row r="1553">
          <cell r="B1553" t="str">
            <v>Shipment</v>
          </cell>
        </row>
        <row r="1554">
          <cell r="B1554" t="str">
            <v>Shipment</v>
          </cell>
        </row>
        <row r="1555">
          <cell r="B1555" t="str">
            <v>Shipment</v>
          </cell>
        </row>
        <row r="1556">
          <cell r="B1556" t="str">
            <v>Shipment</v>
          </cell>
        </row>
        <row r="1557">
          <cell r="B1557" t="str">
            <v>Shipment</v>
          </cell>
        </row>
        <row r="1558">
          <cell r="B1558" t="str">
            <v>Shipment</v>
          </cell>
        </row>
        <row r="1559">
          <cell r="B1559" t="str">
            <v>Shipment</v>
          </cell>
        </row>
        <row r="1560">
          <cell r="B1560" t="str">
            <v>Shipment</v>
          </cell>
        </row>
        <row r="1561">
          <cell r="B1561" t="str">
            <v>Shipment</v>
          </cell>
        </row>
        <row r="1562">
          <cell r="B1562" t="str">
            <v>Shipment</v>
          </cell>
        </row>
        <row r="1563">
          <cell r="B1563" t="str">
            <v>Shipment</v>
          </cell>
        </row>
        <row r="1564">
          <cell r="B1564" t="str">
            <v>Shipment</v>
          </cell>
        </row>
        <row r="1565">
          <cell r="B1565" t="str">
            <v>Shipment</v>
          </cell>
        </row>
        <row r="1566">
          <cell r="B1566" t="str">
            <v>Shipment</v>
          </cell>
        </row>
        <row r="1567">
          <cell r="B1567" t="str">
            <v>Shipment</v>
          </cell>
        </row>
        <row r="1568">
          <cell r="B1568" t="str">
            <v>Shipment</v>
          </cell>
        </row>
        <row r="1569">
          <cell r="B1569" t="str">
            <v>Shipment</v>
          </cell>
        </row>
        <row r="1570">
          <cell r="B1570" t="str">
            <v>Shipment</v>
          </cell>
        </row>
        <row r="1571">
          <cell r="B1571" t="str">
            <v>Shipment</v>
          </cell>
        </row>
        <row r="1572">
          <cell r="B1572" t="str">
            <v>Shipment</v>
          </cell>
        </row>
        <row r="1573">
          <cell r="B1573" t="str">
            <v>Shipment</v>
          </cell>
        </row>
        <row r="1574">
          <cell r="B1574" t="str">
            <v>Shipment</v>
          </cell>
        </row>
        <row r="1575">
          <cell r="B1575" t="str">
            <v>Shipment</v>
          </cell>
        </row>
        <row r="1576">
          <cell r="B1576" t="str">
            <v>Shipment</v>
          </cell>
        </row>
        <row r="1577">
          <cell r="B1577" t="str">
            <v>Shipment</v>
          </cell>
        </row>
        <row r="1578">
          <cell r="B1578" t="str">
            <v>Shipment</v>
          </cell>
        </row>
        <row r="1579">
          <cell r="B1579" t="str">
            <v>Shipment</v>
          </cell>
        </row>
        <row r="1580">
          <cell r="B1580" t="str">
            <v>Shipment</v>
          </cell>
        </row>
        <row r="1581">
          <cell r="B1581" t="str">
            <v>Shipment</v>
          </cell>
        </row>
        <row r="1582">
          <cell r="B1582" t="str">
            <v>Shipment</v>
          </cell>
        </row>
        <row r="1583">
          <cell r="B1583" t="str">
            <v>Shipment</v>
          </cell>
        </row>
        <row r="1584">
          <cell r="B1584" t="str">
            <v>Shipment</v>
          </cell>
        </row>
        <row r="1585">
          <cell r="B1585" t="str">
            <v>Shipment</v>
          </cell>
        </row>
        <row r="1586">
          <cell r="B1586" t="str">
            <v>Shipment</v>
          </cell>
        </row>
        <row r="1587">
          <cell r="B1587" t="str">
            <v>Shipment</v>
          </cell>
        </row>
        <row r="1588">
          <cell r="B1588" t="str">
            <v>Shipment</v>
          </cell>
        </row>
        <row r="1589">
          <cell r="B1589" t="str">
            <v>Shipment</v>
          </cell>
        </row>
        <row r="1590">
          <cell r="B1590" t="str">
            <v>Shipment</v>
          </cell>
        </row>
        <row r="1591">
          <cell r="B1591" t="str">
            <v>Shipment</v>
          </cell>
        </row>
        <row r="1592">
          <cell r="B1592" t="str">
            <v>Shipment</v>
          </cell>
        </row>
        <row r="1593">
          <cell r="B1593" t="str">
            <v>Shipment</v>
          </cell>
        </row>
        <row r="1594">
          <cell r="B1594" t="str">
            <v>Shipment</v>
          </cell>
        </row>
        <row r="1595">
          <cell r="B1595" t="str">
            <v>Shipment</v>
          </cell>
        </row>
        <row r="1596">
          <cell r="B1596" t="str">
            <v>Shipment</v>
          </cell>
        </row>
        <row r="1597">
          <cell r="B1597" t="str">
            <v>Shipment</v>
          </cell>
        </row>
        <row r="1598">
          <cell r="B1598" t="str">
            <v>Shipment</v>
          </cell>
        </row>
        <row r="1599">
          <cell r="B1599" t="str">
            <v>Shipment</v>
          </cell>
        </row>
        <row r="1600">
          <cell r="B1600" t="str">
            <v>Shipment</v>
          </cell>
        </row>
        <row r="1601">
          <cell r="B1601" t="str">
            <v>Shipment</v>
          </cell>
        </row>
        <row r="1602">
          <cell r="B1602" t="str">
            <v>Shipment</v>
          </cell>
        </row>
        <row r="1603">
          <cell r="B1603" t="str">
            <v>Shipment</v>
          </cell>
        </row>
        <row r="1604">
          <cell r="B1604" t="str">
            <v>Shipment</v>
          </cell>
        </row>
        <row r="1605">
          <cell r="B1605" t="str">
            <v>Shipment</v>
          </cell>
        </row>
        <row r="1606">
          <cell r="B1606" t="str">
            <v>Shipment</v>
          </cell>
        </row>
        <row r="1607">
          <cell r="B1607" t="str">
            <v>Shipment</v>
          </cell>
        </row>
        <row r="1608">
          <cell r="B1608" t="str">
            <v>Shipment</v>
          </cell>
        </row>
        <row r="1609">
          <cell r="B1609" t="str">
            <v>Shipment</v>
          </cell>
        </row>
        <row r="1610">
          <cell r="B1610" t="str">
            <v>Shipment</v>
          </cell>
        </row>
        <row r="1611">
          <cell r="B1611" t="str">
            <v>Shipment</v>
          </cell>
        </row>
        <row r="1612">
          <cell r="B1612" t="str">
            <v>Shipment</v>
          </cell>
        </row>
        <row r="1613">
          <cell r="B1613" t="str">
            <v>Shipment</v>
          </cell>
        </row>
        <row r="1614">
          <cell r="B1614" t="str">
            <v>Shipment</v>
          </cell>
        </row>
        <row r="1615">
          <cell r="B1615" t="str">
            <v>Shipment</v>
          </cell>
        </row>
        <row r="1616">
          <cell r="B1616" t="str">
            <v>Shipment</v>
          </cell>
        </row>
        <row r="1617">
          <cell r="B1617" t="str">
            <v>Shipment</v>
          </cell>
        </row>
        <row r="1618">
          <cell r="B1618" t="str">
            <v>Shipment</v>
          </cell>
        </row>
        <row r="1619">
          <cell r="B1619" t="str">
            <v>Shipment</v>
          </cell>
        </row>
        <row r="1620">
          <cell r="B1620" t="str">
            <v>Shipment</v>
          </cell>
        </row>
        <row r="1621">
          <cell r="B1621" t="str">
            <v>Shipment</v>
          </cell>
        </row>
        <row r="1622">
          <cell r="B1622" t="str">
            <v>Shipment</v>
          </cell>
        </row>
        <row r="1623">
          <cell r="B1623" t="str">
            <v>Shipment</v>
          </cell>
        </row>
        <row r="1624">
          <cell r="B1624" t="str">
            <v>Shipment</v>
          </cell>
        </row>
        <row r="1625">
          <cell r="B1625" t="str">
            <v>Shipment</v>
          </cell>
        </row>
        <row r="1626">
          <cell r="B1626" t="str">
            <v>Shipment</v>
          </cell>
        </row>
        <row r="1627">
          <cell r="B1627" t="str">
            <v>Shipment</v>
          </cell>
        </row>
        <row r="1628">
          <cell r="B1628" t="str">
            <v>Shipment</v>
          </cell>
        </row>
        <row r="1629">
          <cell r="B1629" t="str">
            <v>Shipment</v>
          </cell>
        </row>
        <row r="1630">
          <cell r="B1630" t="str">
            <v>Shipment</v>
          </cell>
        </row>
        <row r="1631">
          <cell r="B1631" t="str">
            <v>Shipment</v>
          </cell>
        </row>
        <row r="1632">
          <cell r="B1632" t="str">
            <v>Shipment</v>
          </cell>
        </row>
        <row r="1633">
          <cell r="B1633" t="str">
            <v>Shipment</v>
          </cell>
        </row>
        <row r="1634">
          <cell r="B1634" t="str">
            <v>Shipment</v>
          </cell>
        </row>
        <row r="1635">
          <cell r="B1635" t="str">
            <v>Shipment</v>
          </cell>
        </row>
        <row r="1636">
          <cell r="B1636" t="str">
            <v>Shipment</v>
          </cell>
        </row>
        <row r="1637">
          <cell r="B1637" t="str">
            <v>Shipment</v>
          </cell>
        </row>
        <row r="1638">
          <cell r="B1638" t="str">
            <v>Shipment</v>
          </cell>
        </row>
        <row r="1639">
          <cell r="B1639" t="str">
            <v>Shipment</v>
          </cell>
        </row>
        <row r="1640">
          <cell r="B1640" t="str">
            <v>Shipment</v>
          </cell>
        </row>
        <row r="1641">
          <cell r="B1641" t="str">
            <v>Shipment</v>
          </cell>
        </row>
        <row r="1642">
          <cell r="B1642" t="str">
            <v>Shipment</v>
          </cell>
        </row>
        <row r="1643">
          <cell r="B1643" t="str">
            <v>Shipment</v>
          </cell>
        </row>
        <row r="1644">
          <cell r="B1644" t="str">
            <v>Shipment</v>
          </cell>
        </row>
        <row r="1645">
          <cell r="B1645" t="str">
            <v>Shipment</v>
          </cell>
        </row>
        <row r="1646">
          <cell r="B1646" t="str">
            <v>Shipment</v>
          </cell>
        </row>
        <row r="1647">
          <cell r="B1647" t="str">
            <v>Shipment</v>
          </cell>
        </row>
        <row r="1648">
          <cell r="B1648" t="str">
            <v>Shipment</v>
          </cell>
        </row>
        <row r="1649">
          <cell r="B1649" t="str">
            <v>Shipment</v>
          </cell>
        </row>
        <row r="1650">
          <cell r="B1650" t="str">
            <v>Shipment</v>
          </cell>
        </row>
        <row r="1651">
          <cell r="B1651" t="str">
            <v>Shipment</v>
          </cell>
        </row>
        <row r="1652">
          <cell r="B1652" t="str">
            <v>Shipment</v>
          </cell>
        </row>
        <row r="1653">
          <cell r="B1653" t="str">
            <v>Shipment</v>
          </cell>
        </row>
        <row r="1654">
          <cell r="B1654" t="str">
            <v>Shipment</v>
          </cell>
        </row>
        <row r="1655">
          <cell r="B1655" t="str">
            <v>Shipment</v>
          </cell>
        </row>
        <row r="1656">
          <cell r="B1656" t="str">
            <v>Shipment</v>
          </cell>
        </row>
        <row r="1657">
          <cell r="B1657" t="str">
            <v>Shipment</v>
          </cell>
        </row>
        <row r="1658">
          <cell r="B1658" t="str">
            <v>Shipment</v>
          </cell>
        </row>
        <row r="1659">
          <cell r="B1659" t="str">
            <v>Shipment</v>
          </cell>
        </row>
        <row r="1660">
          <cell r="B1660" t="str">
            <v>Shipment</v>
          </cell>
        </row>
        <row r="1661">
          <cell r="B1661" t="str">
            <v>Shipment</v>
          </cell>
        </row>
        <row r="1662">
          <cell r="B1662" t="str">
            <v>Shipment</v>
          </cell>
        </row>
        <row r="1663">
          <cell r="B1663" t="str">
            <v>Shipment</v>
          </cell>
        </row>
        <row r="1664">
          <cell r="B1664" t="str">
            <v>Shipment</v>
          </cell>
        </row>
        <row r="1665">
          <cell r="B1665" t="str">
            <v>Shipment</v>
          </cell>
        </row>
        <row r="1666">
          <cell r="B1666" t="str">
            <v>Shipment</v>
          </cell>
        </row>
        <row r="1667">
          <cell r="B1667" t="str">
            <v>Shipment</v>
          </cell>
        </row>
        <row r="1668">
          <cell r="B1668" t="str">
            <v>Shipment</v>
          </cell>
        </row>
        <row r="1669">
          <cell r="B1669" t="str">
            <v>Shipment</v>
          </cell>
        </row>
        <row r="1670">
          <cell r="B1670" t="str">
            <v>Shipment</v>
          </cell>
        </row>
        <row r="1671">
          <cell r="B1671" t="str">
            <v>Shipment</v>
          </cell>
        </row>
        <row r="1672">
          <cell r="B1672" t="str">
            <v>Shipment</v>
          </cell>
        </row>
        <row r="1673">
          <cell r="B1673" t="str">
            <v>Shipment</v>
          </cell>
        </row>
        <row r="1674">
          <cell r="B1674" t="str">
            <v>Shipment</v>
          </cell>
        </row>
        <row r="1675">
          <cell r="B1675" t="str">
            <v>Shipment</v>
          </cell>
        </row>
        <row r="1676">
          <cell r="B1676" t="str">
            <v>Shipment</v>
          </cell>
        </row>
        <row r="1677">
          <cell r="B1677" t="str">
            <v>Shipment</v>
          </cell>
        </row>
        <row r="1678">
          <cell r="B1678" t="str">
            <v>Shipment</v>
          </cell>
        </row>
        <row r="1679">
          <cell r="B1679" t="str">
            <v>Shipment</v>
          </cell>
        </row>
        <row r="1680">
          <cell r="B1680" t="str">
            <v>Shipment</v>
          </cell>
        </row>
        <row r="1681">
          <cell r="B1681" t="str">
            <v>Shipment</v>
          </cell>
        </row>
        <row r="1682">
          <cell r="B1682" t="str">
            <v>Shipment</v>
          </cell>
        </row>
        <row r="1683">
          <cell r="B1683" t="str">
            <v>Shipment</v>
          </cell>
        </row>
        <row r="1684">
          <cell r="B1684" t="str">
            <v>Shipment</v>
          </cell>
        </row>
        <row r="1685">
          <cell r="B1685" t="str">
            <v>Shipment</v>
          </cell>
        </row>
        <row r="1686">
          <cell r="B1686" t="str">
            <v>Shipment</v>
          </cell>
        </row>
        <row r="1687">
          <cell r="B1687" t="str">
            <v>Shipment</v>
          </cell>
        </row>
        <row r="1688">
          <cell r="B1688" t="str">
            <v>Shipment</v>
          </cell>
        </row>
        <row r="1689">
          <cell r="B1689" t="str">
            <v>Shipment</v>
          </cell>
        </row>
        <row r="1690">
          <cell r="B1690" t="str">
            <v>Shipment</v>
          </cell>
        </row>
        <row r="1691">
          <cell r="B1691" t="str">
            <v>Shipment</v>
          </cell>
        </row>
        <row r="1692">
          <cell r="B1692" t="str">
            <v>Shipment</v>
          </cell>
        </row>
        <row r="1693">
          <cell r="B1693" t="str">
            <v>Shipment</v>
          </cell>
        </row>
        <row r="1694">
          <cell r="B1694" t="str">
            <v>Shipment</v>
          </cell>
        </row>
        <row r="1695">
          <cell r="B1695" t="str">
            <v>Shipment</v>
          </cell>
        </row>
        <row r="1696">
          <cell r="B1696" t="str">
            <v>Shipment</v>
          </cell>
        </row>
        <row r="1697">
          <cell r="B1697" t="str">
            <v>Shipment</v>
          </cell>
        </row>
        <row r="1698">
          <cell r="B1698" t="str">
            <v>Shipment</v>
          </cell>
        </row>
        <row r="1699">
          <cell r="B1699" t="str">
            <v>Shipment</v>
          </cell>
        </row>
        <row r="1700">
          <cell r="B1700" t="str">
            <v>Shipment</v>
          </cell>
        </row>
        <row r="1701">
          <cell r="B1701" t="str">
            <v>Shipment</v>
          </cell>
        </row>
        <row r="1702">
          <cell r="B1702" t="str">
            <v>Shipment</v>
          </cell>
        </row>
        <row r="1703">
          <cell r="B1703" t="str">
            <v>Shipment</v>
          </cell>
        </row>
        <row r="1704">
          <cell r="B1704" t="str">
            <v>Shipment</v>
          </cell>
        </row>
        <row r="1705">
          <cell r="B1705" t="str">
            <v>Shipment</v>
          </cell>
        </row>
        <row r="1706">
          <cell r="B1706" t="str">
            <v>Shipment</v>
          </cell>
        </row>
        <row r="1707">
          <cell r="B1707" t="str">
            <v>Shipment</v>
          </cell>
        </row>
        <row r="1708">
          <cell r="B1708" t="str">
            <v>Shipment</v>
          </cell>
        </row>
        <row r="1709">
          <cell r="B1709" t="str">
            <v>Shipment</v>
          </cell>
        </row>
        <row r="1710">
          <cell r="B1710" t="str">
            <v>Shipment</v>
          </cell>
        </row>
        <row r="1711">
          <cell r="B1711" t="str">
            <v>Shipment</v>
          </cell>
        </row>
        <row r="1712">
          <cell r="B1712" t="str">
            <v>Shipment</v>
          </cell>
        </row>
        <row r="1713">
          <cell r="B1713" t="str">
            <v>Shipment</v>
          </cell>
        </row>
        <row r="1714">
          <cell r="B1714" t="str">
            <v>Shipment</v>
          </cell>
        </row>
        <row r="1715">
          <cell r="B1715" t="str">
            <v>Shipment</v>
          </cell>
        </row>
        <row r="1716">
          <cell r="B1716" t="str">
            <v>Shipment</v>
          </cell>
        </row>
        <row r="1717">
          <cell r="B1717" t="str">
            <v>Shipment</v>
          </cell>
        </row>
        <row r="1718">
          <cell r="B1718" t="str">
            <v>Shipment</v>
          </cell>
        </row>
        <row r="1719">
          <cell r="B1719" t="str">
            <v>Shipment</v>
          </cell>
        </row>
        <row r="1720">
          <cell r="B1720" t="str">
            <v>Shipment</v>
          </cell>
        </row>
        <row r="1721">
          <cell r="B1721" t="str">
            <v>Shipment</v>
          </cell>
        </row>
        <row r="1722">
          <cell r="B1722" t="str">
            <v>Shipment</v>
          </cell>
        </row>
        <row r="1723">
          <cell r="B1723" t="str">
            <v>Shipment</v>
          </cell>
        </row>
        <row r="1724">
          <cell r="B1724" t="str">
            <v>Shipment</v>
          </cell>
        </row>
        <row r="1725">
          <cell r="B1725" t="str">
            <v>Shipment</v>
          </cell>
        </row>
        <row r="1726">
          <cell r="B1726" t="str">
            <v>Shipment</v>
          </cell>
        </row>
        <row r="1727">
          <cell r="B1727" t="str">
            <v>Shipment</v>
          </cell>
        </row>
        <row r="1728">
          <cell r="B1728" t="str">
            <v>Shipment</v>
          </cell>
        </row>
        <row r="1729">
          <cell r="B1729" t="str">
            <v>Shipment</v>
          </cell>
        </row>
        <row r="1730">
          <cell r="B1730" t="str">
            <v>Shipment</v>
          </cell>
        </row>
        <row r="1731">
          <cell r="B1731" t="str">
            <v>Shipment</v>
          </cell>
        </row>
        <row r="1732">
          <cell r="B1732" t="str">
            <v>Shipment</v>
          </cell>
        </row>
        <row r="1733">
          <cell r="B1733" t="str">
            <v>Shipment</v>
          </cell>
        </row>
        <row r="1734">
          <cell r="B1734" t="str">
            <v>Shipment</v>
          </cell>
        </row>
        <row r="1735">
          <cell r="B1735" t="str">
            <v>Shipment</v>
          </cell>
        </row>
        <row r="1736">
          <cell r="B1736" t="str">
            <v>Shipment</v>
          </cell>
        </row>
        <row r="1737">
          <cell r="B1737" t="str">
            <v>Shipment</v>
          </cell>
        </row>
        <row r="1738">
          <cell r="B1738" t="str">
            <v>Shipment</v>
          </cell>
        </row>
        <row r="1739">
          <cell r="B1739" t="str">
            <v>Shipment</v>
          </cell>
        </row>
        <row r="1740">
          <cell r="B1740" t="str">
            <v>Shipment</v>
          </cell>
        </row>
        <row r="1741">
          <cell r="B1741" t="str">
            <v>Shipment</v>
          </cell>
        </row>
        <row r="1742">
          <cell r="B1742" t="str">
            <v>Shipment</v>
          </cell>
        </row>
        <row r="1743">
          <cell r="B1743" t="str">
            <v>Shipment</v>
          </cell>
        </row>
        <row r="1744">
          <cell r="B1744" t="str">
            <v>Shipment</v>
          </cell>
        </row>
        <row r="1745">
          <cell r="B1745" t="str">
            <v>Shipment</v>
          </cell>
        </row>
        <row r="1746">
          <cell r="B1746" t="str">
            <v>Shipment</v>
          </cell>
        </row>
        <row r="1747">
          <cell r="B1747" t="str">
            <v>Shipment</v>
          </cell>
        </row>
        <row r="1748">
          <cell r="B1748" t="str">
            <v>Shipment</v>
          </cell>
        </row>
        <row r="1749">
          <cell r="B1749" t="str">
            <v>Shipment</v>
          </cell>
        </row>
        <row r="1750">
          <cell r="B1750" t="str">
            <v>Shipment</v>
          </cell>
        </row>
        <row r="1751">
          <cell r="B1751" t="str">
            <v>Shipment</v>
          </cell>
        </row>
        <row r="1752">
          <cell r="B1752" t="str">
            <v>Shipment</v>
          </cell>
        </row>
        <row r="1753">
          <cell r="B1753" t="str">
            <v>Shipment</v>
          </cell>
        </row>
        <row r="1754">
          <cell r="B1754" t="str">
            <v>Shipment</v>
          </cell>
        </row>
        <row r="1755">
          <cell r="B1755" t="str">
            <v>Shipment</v>
          </cell>
        </row>
        <row r="1756">
          <cell r="B1756" t="str">
            <v>Shipment</v>
          </cell>
        </row>
        <row r="1757">
          <cell r="B1757" t="str">
            <v>Shipment</v>
          </cell>
        </row>
        <row r="1758">
          <cell r="B1758" t="str">
            <v>Shipment</v>
          </cell>
        </row>
        <row r="1759">
          <cell r="B1759" t="str">
            <v>Shipment</v>
          </cell>
        </row>
        <row r="1760">
          <cell r="B1760" t="str">
            <v>Shipment</v>
          </cell>
        </row>
        <row r="1761">
          <cell r="B1761" t="str">
            <v>Shipment</v>
          </cell>
        </row>
        <row r="1762">
          <cell r="B1762" t="str">
            <v>Shipment</v>
          </cell>
        </row>
        <row r="1763">
          <cell r="B1763" t="str">
            <v>Shipment</v>
          </cell>
        </row>
        <row r="1764">
          <cell r="B1764" t="str">
            <v>Shipment</v>
          </cell>
        </row>
        <row r="1765">
          <cell r="B1765" t="str">
            <v>Shipment</v>
          </cell>
        </row>
        <row r="1766">
          <cell r="B1766" t="str">
            <v>Shipment</v>
          </cell>
        </row>
        <row r="1767">
          <cell r="B1767" t="str">
            <v>Shipment</v>
          </cell>
        </row>
        <row r="1768">
          <cell r="B1768" t="str">
            <v>Shipment</v>
          </cell>
        </row>
        <row r="1769">
          <cell r="B1769" t="str">
            <v>Shipment</v>
          </cell>
        </row>
        <row r="1770">
          <cell r="B1770" t="str">
            <v>Shipment</v>
          </cell>
        </row>
        <row r="1771">
          <cell r="B1771" t="str">
            <v>Shipment</v>
          </cell>
        </row>
        <row r="1772">
          <cell r="B1772" t="str">
            <v>Shipment</v>
          </cell>
        </row>
        <row r="1773">
          <cell r="B1773" t="str">
            <v>Shipment</v>
          </cell>
        </row>
        <row r="1774">
          <cell r="B1774" t="str">
            <v>Shipment</v>
          </cell>
        </row>
        <row r="1775">
          <cell r="B1775" t="str">
            <v>Shipment</v>
          </cell>
        </row>
        <row r="1776">
          <cell r="B1776" t="str">
            <v>Shipment</v>
          </cell>
        </row>
        <row r="1777">
          <cell r="B1777" t="str">
            <v>Shipment</v>
          </cell>
        </row>
        <row r="1778">
          <cell r="B1778" t="str">
            <v>Shipment</v>
          </cell>
        </row>
        <row r="1779">
          <cell r="B1779" t="str">
            <v>Shipment</v>
          </cell>
        </row>
        <row r="1780">
          <cell r="B1780" t="str">
            <v>Shipment</v>
          </cell>
        </row>
        <row r="1781">
          <cell r="B1781" t="str">
            <v>Shipment</v>
          </cell>
        </row>
        <row r="1782">
          <cell r="B1782" t="str">
            <v>Shipment</v>
          </cell>
        </row>
        <row r="1783">
          <cell r="B1783" t="str">
            <v>Shipment</v>
          </cell>
        </row>
        <row r="1784">
          <cell r="B1784" t="str">
            <v>Shipment</v>
          </cell>
        </row>
        <row r="1785">
          <cell r="B1785" t="str">
            <v>Shipment</v>
          </cell>
        </row>
        <row r="1786">
          <cell r="B1786" t="str">
            <v>Shipment</v>
          </cell>
        </row>
        <row r="1787">
          <cell r="B1787" t="str">
            <v>Shipment</v>
          </cell>
        </row>
        <row r="1788">
          <cell r="B1788" t="str">
            <v>Shipment</v>
          </cell>
        </row>
        <row r="1789">
          <cell r="B1789" t="str">
            <v>Shipment</v>
          </cell>
        </row>
        <row r="1790">
          <cell r="B1790" t="str">
            <v>Shipment</v>
          </cell>
        </row>
        <row r="1791">
          <cell r="B1791" t="str">
            <v>Shipment</v>
          </cell>
        </row>
        <row r="1792">
          <cell r="B1792" t="str">
            <v>Shipment</v>
          </cell>
        </row>
        <row r="1793">
          <cell r="B1793" t="str">
            <v>Shipment</v>
          </cell>
        </row>
        <row r="1794">
          <cell r="B1794" t="str">
            <v>Shipment</v>
          </cell>
        </row>
        <row r="1795">
          <cell r="B1795" t="str">
            <v>Shipment</v>
          </cell>
        </row>
        <row r="1796">
          <cell r="B1796" t="str">
            <v>Shipment</v>
          </cell>
        </row>
        <row r="1797">
          <cell r="B1797" t="str">
            <v>Shipment</v>
          </cell>
        </row>
        <row r="1798">
          <cell r="B1798" t="str">
            <v>Shipment</v>
          </cell>
        </row>
        <row r="1799">
          <cell r="B1799" t="str">
            <v>Shipment</v>
          </cell>
        </row>
        <row r="1800">
          <cell r="B1800" t="str">
            <v>Shipment</v>
          </cell>
        </row>
        <row r="1801">
          <cell r="B1801" t="str">
            <v>Shipment</v>
          </cell>
        </row>
        <row r="1802">
          <cell r="B1802" t="str">
            <v>Shipment</v>
          </cell>
        </row>
        <row r="1803">
          <cell r="B1803" t="str">
            <v>Shipment</v>
          </cell>
        </row>
        <row r="1804">
          <cell r="B1804" t="str">
            <v>Shipment</v>
          </cell>
        </row>
        <row r="1805">
          <cell r="B1805" t="str">
            <v>Shipment</v>
          </cell>
        </row>
        <row r="1806">
          <cell r="B1806" t="str">
            <v>Shipment</v>
          </cell>
        </row>
        <row r="1807">
          <cell r="B1807" t="str">
            <v>Shipment</v>
          </cell>
        </row>
        <row r="1808">
          <cell r="B1808" t="str">
            <v>Shipment</v>
          </cell>
        </row>
        <row r="1809">
          <cell r="B1809" t="str">
            <v>Shipment</v>
          </cell>
        </row>
        <row r="1810">
          <cell r="B1810" t="str">
            <v>Shipment</v>
          </cell>
        </row>
        <row r="1811">
          <cell r="B1811" t="str">
            <v>Shipment</v>
          </cell>
        </row>
        <row r="1812">
          <cell r="B1812" t="str">
            <v>Shipment</v>
          </cell>
        </row>
        <row r="1813">
          <cell r="B1813" t="str">
            <v>Shipment</v>
          </cell>
        </row>
        <row r="1814">
          <cell r="B1814" t="str">
            <v>Shipment</v>
          </cell>
        </row>
        <row r="1815">
          <cell r="B1815" t="str">
            <v>Shipment</v>
          </cell>
        </row>
        <row r="1816">
          <cell r="B1816" t="str">
            <v>Shipment</v>
          </cell>
        </row>
        <row r="1817">
          <cell r="B1817" t="str">
            <v>Shipment</v>
          </cell>
        </row>
        <row r="1818">
          <cell r="B1818" t="str">
            <v>Shipment</v>
          </cell>
        </row>
        <row r="1819">
          <cell r="B1819" t="str">
            <v>Shipment</v>
          </cell>
        </row>
        <row r="1820">
          <cell r="B1820" t="str">
            <v>Shipment</v>
          </cell>
        </row>
        <row r="1821">
          <cell r="B1821" t="str">
            <v>Shipment</v>
          </cell>
        </row>
        <row r="1822">
          <cell r="B1822" t="str">
            <v>Shipment</v>
          </cell>
        </row>
        <row r="1823">
          <cell r="B1823" t="str">
            <v>Shipment</v>
          </cell>
        </row>
        <row r="1824">
          <cell r="B1824" t="str">
            <v>Shipment</v>
          </cell>
        </row>
        <row r="1825">
          <cell r="B1825" t="str">
            <v>Shipment</v>
          </cell>
        </row>
        <row r="1826">
          <cell r="B1826" t="str">
            <v>Shipment</v>
          </cell>
        </row>
        <row r="1827">
          <cell r="B1827" t="str">
            <v>Shipment</v>
          </cell>
        </row>
        <row r="1828">
          <cell r="B1828" t="str">
            <v>Shipment</v>
          </cell>
        </row>
        <row r="1829">
          <cell r="B1829" t="str">
            <v>Shipment</v>
          </cell>
        </row>
        <row r="1830">
          <cell r="B1830" t="str">
            <v>Shipment</v>
          </cell>
        </row>
        <row r="1831">
          <cell r="B1831" t="str">
            <v>Shipment</v>
          </cell>
        </row>
        <row r="1832">
          <cell r="B1832" t="str">
            <v>Shipment</v>
          </cell>
        </row>
        <row r="1833">
          <cell r="B1833" t="str">
            <v>Shipment</v>
          </cell>
        </row>
        <row r="1834">
          <cell r="B1834" t="str">
            <v>Shipment</v>
          </cell>
        </row>
        <row r="1835">
          <cell r="B1835" t="str">
            <v>Shipment</v>
          </cell>
        </row>
        <row r="1836">
          <cell r="B1836" t="str">
            <v>Shipment</v>
          </cell>
        </row>
        <row r="1837">
          <cell r="B1837" t="str">
            <v>Shipment</v>
          </cell>
        </row>
        <row r="1838">
          <cell r="B1838" t="str">
            <v>Shipment</v>
          </cell>
        </row>
        <row r="1839">
          <cell r="B1839" t="str">
            <v>Shipment</v>
          </cell>
        </row>
        <row r="1840">
          <cell r="B1840" t="str">
            <v>Shipment</v>
          </cell>
        </row>
        <row r="1841">
          <cell r="B1841" t="str">
            <v>Shipment</v>
          </cell>
        </row>
        <row r="1842">
          <cell r="B1842" t="str">
            <v>Shipment</v>
          </cell>
        </row>
        <row r="1843">
          <cell r="B1843" t="str">
            <v>Shipment</v>
          </cell>
        </row>
        <row r="1844">
          <cell r="B1844" t="str">
            <v>Shipment</v>
          </cell>
        </row>
        <row r="1845">
          <cell r="B1845" t="str">
            <v>Shipment</v>
          </cell>
        </row>
        <row r="1846">
          <cell r="B1846" t="str">
            <v>Shipment</v>
          </cell>
        </row>
        <row r="1847">
          <cell r="B1847" t="str">
            <v>Shipment</v>
          </cell>
        </row>
        <row r="1848">
          <cell r="B1848" t="str">
            <v>Shipment</v>
          </cell>
        </row>
        <row r="1849">
          <cell r="B1849" t="str">
            <v>Shipment</v>
          </cell>
        </row>
        <row r="1850">
          <cell r="B1850" t="str">
            <v>Shipment</v>
          </cell>
        </row>
        <row r="1851">
          <cell r="B1851" t="str">
            <v>Shipment</v>
          </cell>
        </row>
        <row r="1852">
          <cell r="B1852" t="str">
            <v>Shipment</v>
          </cell>
        </row>
        <row r="1853">
          <cell r="B1853" t="str">
            <v>Shipment</v>
          </cell>
        </row>
        <row r="1854">
          <cell r="B1854" t="str">
            <v>Shipment</v>
          </cell>
        </row>
        <row r="1855">
          <cell r="B1855" t="str">
            <v>Shipment</v>
          </cell>
        </row>
        <row r="1856">
          <cell r="B1856" t="str">
            <v>Shipment</v>
          </cell>
        </row>
        <row r="1857">
          <cell r="B1857" t="str">
            <v>Shipment</v>
          </cell>
        </row>
        <row r="1858">
          <cell r="B1858" t="str">
            <v>Shipment</v>
          </cell>
        </row>
        <row r="1859">
          <cell r="B1859" t="str">
            <v>Shipment</v>
          </cell>
        </row>
        <row r="1860">
          <cell r="B1860" t="str">
            <v>Shipment</v>
          </cell>
        </row>
        <row r="1861">
          <cell r="B1861" t="str">
            <v>Shipment</v>
          </cell>
        </row>
        <row r="1862">
          <cell r="B1862" t="str">
            <v>Shipment</v>
          </cell>
        </row>
        <row r="1863">
          <cell r="B1863" t="str">
            <v>Shipment</v>
          </cell>
        </row>
        <row r="1864">
          <cell r="B1864" t="str">
            <v>Shipment</v>
          </cell>
        </row>
        <row r="1865">
          <cell r="B1865" t="str">
            <v>Shipment</v>
          </cell>
        </row>
        <row r="1866">
          <cell r="B1866" t="str">
            <v>Shipment</v>
          </cell>
        </row>
        <row r="1867">
          <cell r="B1867" t="str">
            <v>Shipment</v>
          </cell>
        </row>
        <row r="1868">
          <cell r="B1868" t="str">
            <v>Shipment</v>
          </cell>
        </row>
        <row r="1869">
          <cell r="B1869" t="str">
            <v>Shipment</v>
          </cell>
        </row>
        <row r="1870">
          <cell r="B1870" t="str">
            <v>Shipment</v>
          </cell>
        </row>
        <row r="1871">
          <cell r="B1871" t="str">
            <v>Shipment</v>
          </cell>
        </row>
        <row r="1872">
          <cell r="B1872" t="str">
            <v>Shipment</v>
          </cell>
        </row>
        <row r="1873">
          <cell r="B1873" t="str">
            <v>Shipment</v>
          </cell>
        </row>
        <row r="1874">
          <cell r="B1874" t="str">
            <v>Shipment</v>
          </cell>
        </row>
        <row r="1875">
          <cell r="B1875" t="str">
            <v>Shipment</v>
          </cell>
        </row>
        <row r="1876">
          <cell r="B1876" t="str">
            <v>Shipment</v>
          </cell>
        </row>
        <row r="1877">
          <cell r="B1877" t="str">
            <v>Shipment</v>
          </cell>
        </row>
        <row r="1878">
          <cell r="B1878" t="str">
            <v>Shipment</v>
          </cell>
        </row>
        <row r="1879">
          <cell r="B1879" t="str">
            <v>Shipment</v>
          </cell>
        </row>
        <row r="1880">
          <cell r="B1880" t="str">
            <v>Shipment</v>
          </cell>
        </row>
        <row r="1881">
          <cell r="B1881" t="str">
            <v>Shipment</v>
          </cell>
        </row>
        <row r="1882">
          <cell r="B1882" t="str">
            <v>Shipment</v>
          </cell>
        </row>
        <row r="1883">
          <cell r="B1883" t="str">
            <v>Shipment</v>
          </cell>
        </row>
        <row r="1884">
          <cell r="B1884" t="str">
            <v>Shipment</v>
          </cell>
        </row>
        <row r="1885">
          <cell r="B1885" t="str">
            <v>Shipment</v>
          </cell>
        </row>
        <row r="1886">
          <cell r="B1886" t="str">
            <v>Shipment</v>
          </cell>
        </row>
        <row r="1887">
          <cell r="B1887" t="str">
            <v>Shipment</v>
          </cell>
        </row>
        <row r="1888">
          <cell r="B1888" t="str">
            <v>Shipment</v>
          </cell>
        </row>
        <row r="1889">
          <cell r="B1889" t="str">
            <v>Shipment</v>
          </cell>
        </row>
        <row r="1890">
          <cell r="B1890" t="str">
            <v>Shipment</v>
          </cell>
        </row>
        <row r="1891">
          <cell r="B1891" t="str">
            <v>Shipment</v>
          </cell>
        </row>
        <row r="1892">
          <cell r="B1892" t="str">
            <v>Shipment</v>
          </cell>
        </row>
        <row r="1893">
          <cell r="B1893" t="str">
            <v>Shipment</v>
          </cell>
        </row>
        <row r="1894">
          <cell r="B1894" t="str">
            <v>Shipment</v>
          </cell>
        </row>
        <row r="1895">
          <cell r="B1895" t="str">
            <v>Shipment</v>
          </cell>
        </row>
        <row r="1896">
          <cell r="B1896" t="str">
            <v>Shipment</v>
          </cell>
        </row>
        <row r="1897">
          <cell r="B1897" t="str">
            <v>Shipment</v>
          </cell>
        </row>
        <row r="1898">
          <cell r="B1898" t="str">
            <v>Shipment</v>
          </cell>
        </row>
        <row r="1899">
          <cell r="B1899" t="str">
            <v>Shipment</v>
          </cell>
        </row>
        <row r="1900">
          <cell r="B1900" t="str">
            <v>Shipment</v>
          </cell>
        </row>
        <row r="1901">
          <cell r="B1901" t="str">
            <v>Shipment</v>
          </cell>
        </row>
        <row r="1902">
          <cell r="B1902" t="str">
            <v>Shipment</v>
          </cell>
        </row>
        <row r="1903">
          <cell r="B1903" t="str">
            <v>Shipment</v>
          </cell>
        </row>
        <row r="1904">
          <cell r="B1904" t="str">
            <v>Shipment</v>
          </cell>
        </row>
        <row r="1905">
          <cell r="B1905" t="str">
            <v>Shipment</v>
          </cell>
        </row>
        <row r="1906">
          <cell r="B1906" t="str">
            <v>Shipment</v>
          </cell>
        </row>
        <row r="1907">
          <cell r="B1907" t="str">
            <v>Shipment</v>
          </cell>
        </row>
        <row r="1908">
          <cell r="B1908" t="str">
            <v>Shipment</v>
          </cell>
        </row>
        <row r="1909">
          <cell r="B1909" t="str">
            <v>Shipment</v>
          </cell>
        </row>
        <row r="1910">
          <cell r="B1910" t="str">
            <v>Shipment</v>
          </cell>
        </row>
        <row r="1911">
          <cell r="B1911" t="str">
            <v>Shipment</v>
          </cell>
        </row>
        <row r="1912">
          <cell r="B1912" t="str">
            <v>Shipment</v>
          </cell>
        </row>
        <row r="1913">
          <cell r="B1913" t="str">
            <v>Shipment</v>
          </cell>
        </row>
        <row r="1914">
          <cell r="B1914" t="str">
            <v>Shipment</v>
          </cell>
        </row>
        <row r="1915">
          <cell r="B1915" t="str">
            <v>Shipment</v>
          </cell>
        </row>
        <row r="1916">
          <cell r="B1916" t="str">
            <v>Shipment</v>
          </cell>
        </row>
        <row r="1917">
          <cell r="B1917" t="str">
            <v>Shipment</v>
          </cell>
        </row>
        <row r="1918">
          <cell r="B1918" t="str">
            <v>Shipment</v>
          </cell>
        </row>
        <row r="1919">
          <cell r="B1919" t="str">
            <v>Shipment</v>
          </cell>
        </row>
        <row r="1920">
          <cell r="B1920" t="str">
            <v>Shipment</v>
          </cell>
        </row>
        <row r="1921">
          <cell r="B1921" t="str">
            <v>Shipment</v>
          </cell>
        </row>
        <row r="1922">
          <cell r="B1922" t="str">
            <v>Shipment</v>
          </cell>
        </row>
        <row r="1923">
          <cell r="B1923" t="str">
            <v>Shipment</v>
          </cell>
        </row>
        <row r="1924">
          <cell r="B1924" t="str">
            <v>Shipment</v>
          </cell>
        </row>
        <row r="1925">
          <cell r="B1925" t="str">
            <v>Shipment</v>
          </cell>
        </row>
        <row r="1926">
          <cell r="B1926" t="str">
            <v>Shipment</v>
          </cell>
        </row>
        <row r="1927">
          <cell r="B1927" t="str">
            <v>Shipment</v>
          </cell>
        </row>
        <row r="1928">
          <cell r="B1928" t="str">
            <v>Shipment</v>
          </cell>
        </row>
        <row r="1929">
          <cell r="B1929" t="str">
            <v>Shipment</v>
          </cell>
        </row>
        <row r="1930">
          <cell r="B1930" t="str">
            <v>Shipment</v>
          </cell>
        </row>
        <row r="1931">
          <cell r="B1931" t="str">
            <v>Shipment</v>
          </cell>
        </row>
        <row r="1932">
          <cell r="B1932" t="str">
            <v>Shipment</v>
          </cell>
        </row>
        <row r="1933">
          <cell r="B1933" t="str">
            <v>Shipment</v>
          </cell>
        </row>
        <row r="1934">
          <cell r="B1934" t="str">
            <v>Shipment</v>
          </cell>
        </row>
        <row r="1935">
          <cell r="B1935" t="str">
            <v>Shipment</v>
          </cell>
        </row>
        <row r="1936">
          <cell r="B1936" t="str">
            <v>Shipment</v>
          </cell>
        </row>
        <row r="1937">
          <cell r="B1937" t="str">
            <v>Shipment</v>
          </cell>
        </row>
        <row r="1938">
          <cell r="B1938" t="str">
            <v>Shipment</v>
          </cell>
        </row>
        <row r="1939">
          <cell r="B1939" t="str">
            <v>Shipment</v>
          </cell>
        </row>
        <row r="1940">
          <cell r="B1940" t="str">
            <v>Shipment</v>
          </cell>
        </row>
        <row r="1941">
          <cell r="B1941" t="str">
            <v>Shipment</v>
          </cell>
        </row>
        <row r="1942">
          <cell r="B1942" t="str">
            <v>Shipment</v>
          </cell>
        </row>
        <row r="1943">
          <cell r="B1943" t="str">
            <v>Shipment</v>
          </cell>
        </row>
        <row r="1944">
          <cell r="B1944" t="str">
            <v>Shipment</v>
          </cell>
        </row>
        <row r="1945">
          <cell r="B1945" t="str">
            <v>Shipment</v>
          </cell>
        </row>
        <row r="1946">
          <cell r="B1946" t="str">
            <v>Shipment</v>
          </cell>
        </row>
        <row r="1947">
          <cell r="B1947" t="str">
            <v>Shipment</v>
          </cell>
        </row>
        <row r="1948">
          <cell r="B1948" t="str">
            <v>Shipment</v>
          </cell>
        </row>
        <row r="1949">
          <cell r="B1949" t="str">
            <v>Shipment</v>
          </cell>
        </row>
        <row r="1950">
          <cell r="B1950" t="str">
            <v>Shipment</v>
          </cell>
        </row>
        <row r="1951">
          <cell r="B1951" t="str">
            <v>Shipment</v>
          </cell>
        </row>
        <row r="1952">
          <cell r="B1952" t="str">
            <v>Shipment</v>
          </cell>
        </row>
        <row r="1953">
          <cell r="B1953" t="str">
            <v>Shipment</v>
          </cell>
        </row>
        <row r="1954">
          <cell r="B1954" t="str">
            <v>Shipment</v>
          </cell>
        </row>
        <row r="1955">
          <cell r="B1955" t="str">
            <v>Shipment</v>
          </cell>
        </row>
        <row r="1956">
          <cell r="B1956" t="str">
            <v>Shipment</v>
          </cell>
        </row>
        <row r="1957">
          <cell r="B1957" t="str">
            <v>Shipment</v>
          </cell>
        </row>
        <row r="1958">
          <cell r="B1958" t="str">
            <v>Shipment</v>
          </cell>
        </row>
        <row r="1959">
          <cell r="B1959" t="str">
            <v>Shipment</v>
          </cell>
        </row>
        <row r="1960">
          <cell r="B1960" t="str">
            <v>Shipment</v>
          </cell>
        </row>
        <row r="1961">
          <cell r="B1961" t="str">
            <v>Shipment</v>
          </cell>
        </row>
        <row r="1962">
          <cell r="B1962" t="str">
            <v>Shipment</v>
          </cell>
        </row>
        <row r="1963">
          <cell r="B1963" t="str">
            <v>Shipment</v>
          </cell>
        </row>
        <row r="1964">
          <cell r="B1964" t="str">
            <v>Shipment</v>
          </cell>
        </row>
        <row r="1965">
          <cell r="B1965" t="str">
            <v>Shipment</v>
          </cell>
        </row>
        <row r="1966">
          <cell r="B1966" t="str">
            <v>Shipment</v>
          </cell>
        </row>
        <row r="1967">
          <cell r="B1967" t="str">
            <v>Shipment</v>
          </cell>
        </row>
        <row r="1968">
          <cell r="B1968" t="str">
            <v>Shipment</v>
          </cell>
        </row>
        <row r="1969">
          <cell r="B1969" t="str">
            <v>Shipment</v>
          </cell>
        </row>
        <row r="1970">
          <cell r="B1970" t="str">
            <v>Shipment</v>
          </cell>
        </row>
        <row r="1971">
          <cell r="B1971" t="str">
            <v>Shipment</v>
          </cell>
        </row>
        <row r="1972">
          <cell r="B1972" t="str">
            <v>Shipment</v>
          </cell>
        </row>
        <row r="1973">
          <cell r="B1973" t="str">
            <v>Shipment</v>
          </cell>
        </row>
        <row r="1974">
          <cell r="B1974" t="str">
            <v>Shipment</v>
          </cell>
        </row>
        <row r="1975">
          <cell r="B1975" t="str">
            <v>Shipment</v>
          </cell>
        </row>
        <row r="1976">
          <cell r="B1976" t="str">
            <v>Shipment</v>
          </cell>
        </row>
        <row r="1977">
          <cell r="B1977" t="str">
            <v>Shipment</v>
          </cell>
        </row>
        <row r="1978">
          <cell r="B1978" t="str">
            <v>Shipment</v>
          </cell>
        </row>
        <row r="1979">
          <cell r="B1979" t="str">
            <v>Shipment</v>
          </cell>
        </row>
        <row r="1980">
          <cell r="B1980" t="str">
            <v>Shipment</v>
          </cell>
        </row>
        <row r="1981">
          <cell r="B1981" t="str">
            <v>Shipment</v>
          </cell>
        </row>
        <row r="1982">
          <cell r="B1982" t="str">
            <v>Shipment</v>
          </cell>
        </row>
        <row r="1983">
          <cell r="B1983" t="str">
            <v>Shipment</v>
          </cell>
        </row>
        <row r="1984">
          <cell r="B1984" t="str">
            <v>Shipment</v>
          </cell>
        </row>
        <row r="1985">
          <cell r="B1985" t="str">
            <v>Shipment</v>
          </cell>
        </row>
        <row r="1986">
          <cell r="B1986" t="str">
            <v>Shipment</v>
          </cell>
        </row>
        <row r="1987">
          <cell r="B1987" t="str">
            <v>Shipment</v>
          </cell>
        </row>
        <row r="1988">
          <cell r="B1988" t="str">
            <v>Shipment</v>
          </cell>
        </row>
        <row r="1989">
          <cell r="B1989" t="str">
            <v>Shipment</v>
          </cell>
        </row>
        <row r="1990">
          <cell r="B1990" t="str">
            <v>Shipment</v>
          </cell>
        </row>
        <row r="1991">
          <cell r="B1991" t="str">
            <v>Shipment</v>
          </cell>
        </row>
        <row r="1992">
          <cell r="B1992" t="str">
            <v>Shipment</v>
          </cell>
        </row>
        <row r="1993">
          <cell r="B1993" t="str">
            <v>Shipment</v>
          </cell>
        </row>
        <row r="1994">
          <cell r="B1994" t="str">
            <v>Shipment</v>
          </cell>
        </row>
        <row r="1995">
          <cell r="B1995" t="str">
            <v>Shipment</v>
          </cell>
        </row>
        <row r="1996">
          <cell r="B1996" t="str">
            <v>Shipment</v>
          </cell>
        </row>
        <row r="1997">
          <cell r="B1997" t="str">
            <v>Shipment</v>
          </cell>
        </row>
        <row r="1998">
          <cell r="B1998" t="str">
            <v>Shipment</v>
          </cell>
        </row>
        <row r="1999">
          <cell r="B1999" t="str">
            <v>Shipment</v>
          </cell>
        </row>
        <row r="2000">
          <cell r="B2000" t="str">
            <v>Shipment</v>
          </cell>
        </row>
        <row r="2001">
          <cell r="B2001" t="str">
            <v>Shipment</v>
          </cell>
        </row>
        <row r="2002">
          <cell r="B2002" t="str">
            <v>Shipment</v>
          </cell>
        </row>
        <row r="2003">
          <cell r="B2003" t="str">
            <v>Shipment</v>
          </cell>
        </row>
        <row r="2004">
          <cell r="B2004" t="str">
            <v>Shipment</v>
          </cell>
        </row>
        <row r="2005">
          <cell r="B2005" t="str">
            <v>Shipment</v>
          </cell>
        </row>
        <row r="2006">
          <cell r="B2006" t="str">
            <v>Shipment</v>
          </cell>
        </row>
        <row r="2007">
          <cell r="B2007" t="str">
            <v>Shipment</v>
          </cell>
        </row>
        <row r="2008">
          <cell r="B2008" t="str">
            <v>Shipment</v>
          </cell>
        </row>
        <row r="2009">
          <cell r="B2009" t="str">
            <v>Shipment</v>
          </cell>
        </row>
        <row r="2010">
          <cell r="B2010" t="str">
            <v>Shipment</v>
          </cell>
        </row>
        <row r="2011">
          <cell r="B2011" t="str">
            <v>Shipment</v>
          </cell>
        </row>
        <row r="2012">
          <cell r="B2012" t="str">
            <v>Shipment</v>
          </cell>
        </row>
        <row r="2013">
          <cell r="B2013" t="str">
            <v>Shipment</v>
          </cell>
        </row>
        <row r="2014">
          <cell r="B2014" t="str">
            <v>Shipment</v>
          </cell>
        </row>
        <row r="2015">
          <cell r="B2015" t="str">
            <v>Shipment</v>
          </cell>
        </row>
        <row r="2016">
          <cell r="B2016" t="str">
            <v>Shipment</v>
          </cell>
        </row>
        <row r="2017">
          <cell r="B2017" t="str">
            <v>Shipment</v>
          </cell>
        </row>
        <row r="2018">
          <cell r="B2018" t="str">
            <v>Shipment</v>
          </cell>
        </row>
        <row r="2019">
          <cell r="B2019" t="str">
            <v>Shipment</v>
          </cell>
        </row>
        <row r="2020">
          <cell r="B2020" t="str">
            <v>Shipment</v>
          </cell>
        </row>
        <row r="2021">
          <cell r="B2021" t="str">
            <v>Shipment</v>
          </cell>
        </row>
        <row r="2022">
          <cell r="B2022" t="str">
            <v>Shipment</v>
          </cell>
        </row>
        <row r="2023">
          <cell r="B2023" t="str">
            <v>Shipment</v>
          </cell>
        </row>
        <row r="2024">
          <cell r="B2024" t="str">
            <v>Shipment</v>
          </cell>
        </row>
        <row r="2025">
          <cell r="B2025" t="str">
            <v>Shipment</v>
          </cell>
        </row>
        <row r="2026">
          <cell r="B2026" t="str">
            <v>Shipment</v>
          </cell>
        </row>
        <row r="2027">
          <cell r="B2027" t="str">
            <v>Shipment</v>
          </cell>
        </row>
        <row r="2028">
          <cell r="B2028" t="str">
            <v>Shipment</v>
          </cell>
        </row>
        <row r="2029">
          <cell r="B2029" t="str">
            <v>Shipment</v>
          </cell>
        </row>
        <row r="2030">
          <cell r="B2030" t="str">
            <v>Shipment</v>
          </cell>
        </row>
        <row r="2031">
          <cell r="B2031" t="str">
            <v>Shipment</v>
          </cell>
        </row>
        <row r="2032">
          <cell r="B2032" t="str">
            <v>Shipment</v>
          </cell>
        </row>
        <row r="2033">
          <cell r="B2033" t="str">
            <v>Shipment</v>
          </cell>
        </row>
        <row r="2034">
          <cell r="B2034" t="str">
            <v>Shipment</v>
          </cell>
        </row>
        <row r="2035">
          <cell r="B2035" t="str">
            <v>Shipment</v>
          </cell>
        </row>
        <row r="2036">
          <cell r="B2036" t="str">
            <v>Shipment</v>
          </cell>
        </row>
        <row r="2037">
          <cell r="B2037" t="str">
            <v>Shipment</v>
          </cell>
        </row>
        <row r="2038">
          <cell r="B2038" t="str">
            <v>Shipment</v>
          </cell>
        </row>
        <row r="2039">
          <cell r="B2039" t="str">
            <v>Shipment</v>
          </cell>
        </row>
        <row r="2040">
          <cell r="B2040" t="str">
            <v>Shipment</v>
          </cell>
        </row>
        <row r="2041">
          <cell r="B2041" t="str">
            <v>Shipment</v>
          </cell>
        </row>
        <row r="2042">
          <cell r="B2042" t="str">
            <v>Shipment</v>
          </cell>
        </row>
        <row r="2043">
          <cell r="B2043" t="str">
            <v>Shipment</v>
          </cell>
        </row>
        <row r="2044">
          <cell r="B2044" t="str">
            <v>Shipment</v>
          </cell>
        </row>
        <row r="2045">
          <cell r="B2045" t="str">
            <v>Shipment</v>
          </cell>
        </row>
        <row r="2046">
          <cell r="B2046" t="str">
            <v>Shipment</v>
          </cell>
        </row>
        <row r="2047">
          <cell r="B2047" t="str">
            <v>Shipment</v>
          </cell>
        </row>
        <row r="2048">
          <cell r="B2048" t="str">
            <v>Shipment</v>
          </cell>
        </row>
        <row r="2049">
          <cell r="B2049" t="str">
            <v>Shipment</v>
          </cell>
        </row>
        <row r="2050">
          <cell r="B2050" t="str">
            <v>Shipment</v>
          </cell>
        </row>
        <row r="2051">
          <cell r="B2051" t="str">
            <v>Shipment</v>
          </cell>
        </row>
        <row r="2052">
          <cell r="B2052" t="str">
            <v>Shipment</v>
          </cell>
        </row>
        <row r="2053">
          <cell r="B2053" t="str">
            <v>Shipment</v>
          </cell>
        </row>
        <row r="2054">
          <cell r="B2054" t="str">
            <v>Shipment</v>
          </cell>
        </row>
        <row r="2055">
          <cell r="B2055" t="str">
            <v>Shipment</v>
          </cell>
        </row>
        <row r="2056">
          <cell r="B2056" t="str">
            <v>Shipment</v>
          </cell>
        </row>
        <row r="2057">
          <cell r="B2057" t="str">
            <v>Shipment</v>
          </cell>
        </row>
        <row r="2058">
          <cell r="B2058" t="str">
            <v>Shipment</v>
          </cell>
        </row>
        <row r="2059">
          <cell r="B2059" t="str">
            <v>Shipment</v>
          </cell>
        </row>
        <row r="2060">
          <cell r="B2060" t="str">
            <v>Shipment</v>
          </cell>
        </row>
        <row r="2061">
          <cell r="B2061" t="str">
            <v>Shipment</v>
          </cell>
        </row>
        <row r="2062">
          <cell r="B2062" t="str">
            <v>Shipment</v>
          </cell>
        </row>
        <row r="2063">
          <cell r="B2063" t="str">
            <v>Shipment</v>
          </cell>
        </row>
        <row r="2064">
          <cell r="B2064" t="str">
            <v>Shipment</v>
          </cell>
        </row>
        <row r="2065">
          <cell r="B2065" t="str">
            <v>Shipment</v>
          </cell>
        </row>
        <row r="2066">
          <cell r="B2066" t="str">
            <v>Shipment</v>
          </cell>
        </row>
        <row r="2067">
          <cell r="B2067" t="str">
            <v>Shipment</v>
          </cell>
        </row>
        <row r="2068">
          <cell r="B2068" t="str">
            <v>Shipment</v>
          </cell>
        </row>
        <row r="2069">
          <cell r="B2069" t="str">
            <v>Shipment</v>
          </cell>
        </row>
        <row r="2070">
          <cell r="B2070" t="str">
            <v>Shipment</v>
          </cell>
        </row>
        <row r="2071">
          <cell r="B2071" t="str">
            <v>Shipment</v>
          </cell>
        </row>
        <row r="2072">
          <cell r="B2072" t="str">
            <v>Shipment</v>
          </cell>
        </row>
        <row r="2073">
          <cell r="B2073" t="str">
            <v>Shipment</v>
          </cell>
        </row>
        <row r="2074">
          <cell r="B2074" t="str">
            <v>Shipment</v>
          </cell>
        </row>
        <row r="2075">
          <cell r="B2075" t="str">
            <v>Shipment</v>
          </cell>
        </row>
        <row r="2076">
          <cell r="B2076" t="str">
            <v>Shipment</v>
          </cell>
        </row>
        <row r="2077">
          <cell r="B2077" t="str">
            <v>Shipment</v>
          </cell>
        </row>
        <row r="2078">
          <cell r="B2078" t="str">
            <v>Shipment</v>
          </cell>
        </row>
        <row r="2079">
          <cell r="B2079" t="str">
            <v>Shipment</v>
          </cell>
        </row>
        <row r="2080">
          <cell r="B2080" t="str">
            <v>Shipment</v>
          </cell>
        </row>
        <row r="2081">
          <cell r="B2081" t="str">
            <v>Shipment</v>
          </cell>
        </row>
        <row r="2082">
          <cell r="B2082" t="str">
            <v>Shipment</v>
          </cell>
        </row>
        <row r="2083">
          <cell r="B2083" t="str">
            <v>Shipment</v>
          </cell>
        </row>
        <row r="2084">
          <cell r="B2084" t="str">
            <v>Shipment</v>
          </cell>
        </row>
        <row r="2085">
          <cell r="B2085" t="str">
            <v>Shipment</v>
          </cell>
        </row>
        <row r="2086">
          <cell r="B2086" t="str">
            <v>Shipment</v>
          </cell>
        </row>
        <row r="2087">
          <cell r="B2087" t="str">
            <v>Shipment</v>
          </cell>
        </row>
        <row r="2088">
          <cell r="B2088" t="str">
            <v>Shipment</v>
          </cell>
        </row>
        <row r="2089">
          <cell r="B2089" t="str">
            <v>Shipment</v>
          </cell>
        </row>
        <row r="2090">
          <cell r="B2090" t="str">
            <v>Shipment</v>
          </cell>
        </row>
        <row r="2091">
          <cell r="B2091" t="str">
            <v>Shipment</v>
          </cell>
        </row>
        <row r="2092">
          <cell r="B2092" t="str">
            <v>Shipment</v>
          </cell>
        </row>
        <row r="2093">
          <cell r="B2093" t="str">
            <v>Shipment</v>
          </cell>
        </row>
        <row r="2094">
          <cell r="B2094" t="str">
            <v>Shipment</v>
          </cell>
        </row>
        <row r="2095">
          <cell r="B2095" t="str">
            <v>Shipment</v>
          </cell>
        </row>
        <row r="2096">
          <cell r="B2096" t="str">
            <v>Shipment</v>
          </cell>
        </row>
        <row r="2097">
          <cell r="B2097" t="str">
            <v>Shipment</v>
          </cell>
        </row>
        <row r="2098">
          <cell r="B2098" t="str">
            <v>Shipment</v>
          </cell>
        </row>
        <row r="2099">
          <cell r="B2099" t="str">
            <v>Shipment</v>
          </cell>
        </row>
        <row r="2100">
          <cell r="B2100" t="str">
            <v>Shipment</v>
          </cell>
        </row>
        <row r="2101">
          <cell r="B2101" t="str">
            <v>Shipment</v>
          </cell>
        </row>
        <row r="2102">
          <cell r="B2102" t="str">
            <v>Shipment</v>
          </cell>
        </row>
        <row r="2103">
          <cell r="B2103" t="str">
            <v>Shipment</v>
          </cell>
        </row>
        <row r="2104">
          <cell r="B2104" t="str">
            <v>Shipment</v>
          </cell>
        </row>
        <row r="2105">
          <cell r="B2105" t="str">
            <v>Shipment</v>
          </cell>
        </row>
        <row r="2106">
          <cell r="B2106" t="str">
            <v>Shipment</v>
          </cell>
        </row>
        <row r="2107">
          <cell r="B2107" t="str">
            <v>Shipment</v>
          </cell>
        </row>
        <row r="2108">
          <cell r="B2108" t="str">
            <v>Shipment</v>
          </cell>
        </row>
        <row r="2109">
          <cell r="B2109" t="str">
            <v>Shipment</v>
          </cell>
        </row>
        <row r="2110">
          <cell r="B2110" t="str">
            <v>Shipment</v>
          </cell>
        </row>
        <row r="2111">
          <cell r="B2111" t="str">
            <v>Shipment</v>
          </cell>
        </row>
        <row r="2112">
          <cell r="B2112" t="str">
            <v>Shipment</v>
          </cell>
        </row>
        <row r="2113">
          <cell r="B2113" t="str">
            <v>Shipment</v>
          </cell>
        </row>
        <row r="2114">
          <cell r="B2114" t="str">
            <v>Shipment</v>
          </cell>
        </row>
        <row r="2115">
          <cell r="B2115" t="str">
            <v>Shipment</v>
          </cell>
        </row>
        <row r="2116">
          <cell r="B2116" t="str">
            <v>Shipment</v>
          </cell>
        </row>
        <row r="2117">
          <cell r="B2117" t="str">
            <v>Shipment</v>
          </cell>
        </row>
        <row r="2118">
          <cell r="B2118" t="str">
            <v>Shipment</v>
          </cell>
        </row>
        <row r="2119">
          <cell r="B2119" t="str">
            <v>Shipment</v>
          </cell>
        </row>
        <row r="2120">
          <cell r="B2120" t="str">
            <v>Shipment</v>
          </cell>
        </row>
        <row r="2121">
          <cell r="B2121" t="str">
            <v>Shipment</v>
          </cell>
        </row>
        <row r="2122">
          <cell r="B2122" t="str">
            <v>Shipment</v>
          </cell>
        </row>
        <row r="2123">
          <cell r="B2123" t="str">
            <v>Shipment</v>
          </cell>
        </row>
        <row r="2124">
          <cell r="B2124" t="str">
            <v>Shipment</v>
          </cell>
        </row>
        <row r="2125">
          <cell r="B2125" t="str">
            <v>Shipment</v>
          </cell>
        </row>
        <row r="2126">
          <cell r="B2126" t="str">
            <v>Shipment</v>
          </cell>
        </row>
        <row r="2127">
          <cell r="B2127" t="str">
            <v>Shipment</v>
          </cell>
        </row>
        <row r="2128">
          <cell r="B2128" t="str">
            <v>Shipment</v>
          </cell>
        </row>
        <row r="2129">
          <cell r="B2129" t="str">
            <v>Shipment</v>
          </cell>
        </row>
        <row r="2130">
          <cell r="B2130" t="str">
            <v>Shipment</v>
          </cell>
        </row>
        <row r="2131">
          <cell r="B2131" t="str">
            <v>Shipment</v>
          </cell>
        </row>
        <row r="2132">
          <cell r="B2132" t="str">
            <v>Shipment</v>
          </cell>
        </row>
        <row r="2133">
          <cell r="B2133" t="str">
            <v>Shipment</v>
          </cell>
        </row>
        <row r="2134">
          <cell r="B2134" t="str">
            <v>Shipment</v>
          </cell>
        </row>
        <row r="2135">
          <cell r="B2135" t="str">
            <v>Shipment</v>
          </cell>
        </row>
        <row r="2136">
          <cell r="B2136" t="str">
            <v>Shipment</v>
          </cell>
        </row>
        <row r="2137">
          <cell r="B2137" t="str">
            <v>Shipment</v>
          </cell>
        </row>
        <row r="2138">
          <cell r="B2138" t="str">
            <v>Shipment</v>
          </cell>
        </row>
        <row r="2139">
          <cell r="B2139" t="str">
            <v>Shipment</v>
          </cell>
        </row>
        <row r="2140">
          <cell r="B2140" t="str">
            <v>Shipment</v>
          </cell>
        </row>
        <row r="2141">
          <cell r="B2141" t="str">
            <v>Shipment</v>
          </cell>
        </row>
        <row r="2142">
          <cell r="B2142" t="str">
            <v>Shipment</v>
          </cell>
        </row>
        <row r="2143">
          <cell r="B2143" t="str">
            <v>Shipment</v>
          </cell>
        </row>
        <row r="2144">
          <cell r="B2144" t="str">
            <v>Shipment</v>
          </cell>
        </row>
        <row r="2145">
          <cell r="B2145" t="str">
            <v>Shipment</v>
          </cell>
        </row>
        <row r="2146">
          <cell r="B2146" t="str">
            <v>Shipment</v>
          </cell>
        </row>
        <row r="2147">
          <cell r="B2147" t="str">
            <v>Shipment</v>
          </cell>
        </row>
        <row r="2148">
          <cell r="B2148" t="str">
            <v>Shipment</v>
          </cell>
        </row>
        <row r="2149">
          <cell r="B2149" t="str">
            <v>Shipment</v>
          </cell>
        </row>
        <row r="2150">
          <cell r="B2150" t="str">
            <v>Shipment</v>
          </cell>
        </row>
        <row r="2151">
          <cell r="B2151" t="str">
            <v>Shipment</v>
          </cell>
        </row>
        <row r="2152">
          <cell r="B2152" t="str">
            <v>Shipment</v>
          </cell>
        </row>
        <row r="2153">
          <cell r="B2153" t="str">
            <v>Shipment</v>
          </cell>
        </row>
        <row r="2154">
          <cell r="B2154" t="str">
            <v>Shipment</v>
          </cell>
        </row>
        <row r="2155">
          <cell r="B2155" t="str">
            <v>Shipment</v>
          </cell>
        </row>
        <row r="2156">
          <cell r="B2156" t="str">
            <v>Shipment</v>
          </cell>
        </row>
        <row r="2157">
          <cell r="B2157" t="str">
            <v>Shipment</v>
          </cell>
        </row>
        <row r="2158">
          <cell r="B2158" t="str">
            <v>Shipment</v>
          </cell>
        </row>
        <row r="2159">
          <cell r="B2159" t="str">
            <v>Shipment</v>
          </cell>
        </row>
        <row r="2160">
          <cell r="B2160" t="str">
            <v>Shipment</v>
          </cell>
        </row>
        <row r="2161">
          <cell r="B2161" t="str">
            <v>Shipment</v>
          </cell>
        </row>
        <row r="2162">
          <cell r="B2162" t="str">
            <v>Shipment</v>
          </cell>
        </row>
        <row r="2163">
          <cell r="B2163" t="str">
            <v>Shipment</v>
          </cell>
        </row>
        <row r="2164">
          <cell r="B2164" t="str">
            <v>Shipment</v>
          </cell>
        </row>
        <row r="2165">
          <cell r="B2165" t="str">
            <v>Shipment</v>
          </cell>
        </row>
        <row r="2166">
          <cell r="B2166" t="str">
            <v>Shipment</v>
          </cell>
        </row>
        <row r="2167">
          <cell r="B2167" t="str">
            <v>Shipment</v>
          </cell>
        </row>
        <row r="2168">
          <cell r="B2168" t="str">
            <v>Shipment</v>
          </cell>
        </row>
        <row r="2169">
          <cell r="B2169" t="str">
            <v>Shipment</v>
          </cell>
        </row>
        <row r="2170">
          <cell r="B2170" t="str">
            <v>Shipment</v>
          </cell>
        </row>
        <row r="2171">
          <cell r="B2171" t="str">
            <v>Shipment</v>
          </cell>
        </row>
        <row r="2172">
          <cell r="B2172" t="str">
            <v>Shipment</v>
          </cell>
        </row>
        <row r="2173">
          <cell r="B2173" t="str">
            <v>Shipment</v>
          </cell>
        </row>
        <row r="2174">
          <cell r="B2174" t="str">
            <v>Shipment</v>
          </cell>
        </row>
        <row r="2175">
          <cell r="B2175" t="str">
            <v>Shipment</v>
          </cell>
        </row>
        <row r="2176">
          <cell r="B2176" t="str">
            <v>Shipment</v>
          </cell>
        </row>
        <row r="2177">
          <cell r="B2177" t="str">
            <v>Shipment</v>
          </cell>
        </row>
        <row r="2178">
          <cell r="B2178" t="str">
            <v>Shipment</v>
          </cell>
        </row>
        <row r="2179">
          <cell r="B2179" t="str">
            <v>Shipment</v>
          </cell>
        </row>
        <row r="2180">
          <cell r="B2180" t="str">
            <v>Shipment</v>
          </cell>
        </row>
        <row r="2181">
          <cell r="B2181" t="str">
            <v>Shipment</v>
          </cell>
        </row>
        <row r="2182">
          <cell r="B2182" t="str">
            <v>Shipment</v>
          </cell>
        </row>
        <row r="2183">
          <cell r="B2183" t="str">
            <v>Shipment</v>
          </cell>
        </row>
        <row r="2184">
          <cell r="B2184" t="str">
            <v>Shipment</v>
          </cell>
        </row>
        <row r="2185">
          <cell r="B2185" t="str">
            <v>Shipment</v>
          </cell>
        </row>
        <row r="2186">
          <cell r="B2186" t="str">
            <v>Shipment</v>
          </cell>
        </row>
        <row r="2187">
          <cell r="B2187" t="str">
            <v>Shipment</v>
          </cell>
        </row>
        <row r="2188">
          <cell r="B2188" t="str">
            <v>Shipment</v>
          </cell>
        </row>
        <row r="2189">
          <cell r="B2189" t="str">
            <v>Shipment</v>
          </cell>
        </row>
        <row r="2190">
          <cell r="B2190" t="str">
            <v>Shipment</v>
          </cell>
        </row>
        <row r="2191">
          <cell r="B2191" t="str">
            <v>Shipment</v>
          </cell>
        </row>
        <row r="2192">
          <cell r="B2192" t="str">
            <v>Shipment</v>
          </cell>
        </row>
        <row r="2193">
          <cell r="B2193" t="str">
            <v>Shipment</v>
          </cell>
        </row>
        <row r="2194">
          <cell r="B2194" t="str">
            <v>Shipment</v>
          </cell>
        </row>
        <row r="2195">
          <cell r="B2195" t="str">
            <v>Shipment</v>
          </cell>
        </row>
        <row r="2196">
          <cell r="B2196" t="str">
            <v>Shipment</v>
          </cell>
        </row>
        <row r="2197">
          <cell r="B2197" t="str">
            <v>Shipment</v>
          </cell>
        </row>
        <row r="2198">
          <cell r="B2198" t="str">
            <v>Shipment</v>
          </cell>
        </row>
        <row r="2199">
          <cell r="B2199" t="str">
            <v>Shipment</v>
          </cell>
        </row>
        <row r="2200">
          <cell r="B2200" t="str">
            <v>Shipment</v>
          </cell>
        </row>
        <row r="2201">
          <cell r="B2201" t="str">
            <v>Shipment</v>
          </cell>
        </row>
        <row r="2202">
          <cell r="B2202" t="str">
            <v>Shipment</v>
          </cell>
        </row>
        <row r="2203">
          <cell r="B2203" t="str">
            <v>Shipment</v>
          </cell>
        </row>
        <row r="2204">
          <cell r="B2204" t="str">
            <v>Shipment</v>
          </cell>
        </row>
        <row r="2205">
          <cell r="B2205" t="str">
            <v>Shipment</v>
          </cell>
        </row>
        <row r="2206">
          <cell r="B2206" t="str">
            <v>Shipment</v>
          </cell>
        </row>
        <row r="2207">
          <cell r="B2207" t="str">
            <v>Shipment</v>
          </cell>
        </row>
        <row r="2208">
          <cell r="B2208" t="str">
            <v>Shipment</v>
          </cell>
        </row>
        <row r="2209">
          <cell r="B2209" t="str">
            <v>Shipment</v>
          </cell>
        </row>
        <row r="2210">
          <cell r="B2210" t="str">
            <v>Shipment</v>
          </cell>
        </row>
        <row r="2211">
          <cell r="B2211" t="str">
            <v>Shipment</v>
          </cell>
        </row>
        <row r="2212">
          <cell r="B2212" t="str">
            <v>Shipment</v>
          </cell>
        </row>
        <row r="2213">
          <cell r="B2213" t="str">
            <v>Shipment</v>
          </cell>
        </row>
        <row r="2214">
          <cell r="B2214" t="str">
            <v>Shipment</v>
          </cell>
        </row>
        <row r="2215">
          <cell r="B2215" t="str">
            <v>Shipment</v>
          </cell>
        </row>
        <row r="2216">
          <cell r="B2216" t="str">
            <v>Shipment</v>
          </cell>
        </row>
        <row r="2217">
          <cell r="B2217" t="str">
            <v>Shipment</v>
          </cell>
        </row>
        <row r="2218">
          <cell r="B2218" t="str">
            <v>Shipment</v>
          </cell>
        </row>
        <row r="2219">
          <cell r="B2219" t="str">
            <v>Shipment</v>
          </cell>
        </row>
        <row r="2220">
          <cell r="B2220" t="str">
            <v>Shipment</v>
          </cell>
        </row>
        <row r="2221">
          <cell r="B2221" t="str">
            <v>Shipment</v>
          </cell>
        </row>
        <row r="2222">
          <cell r="B2222" t="str">
            <v>Shipment</v>
          </cell>
        </row>
        <row r="2223">
          <cell r="B2223" t="str">
            <v>Shipment</v>
          </cell>
        </row>
        <row r="2224">
          <cell r="B2224" t="str">
            <v>Shipment</v>
          </cell>
        </row>
        <row r="2225">
          <cell r="B2225" t="str">
            <v>Shipment</v>
          </cell>
        </row>
        <row r="2226">
          <cell r="B2226" t="str">
            <v>Shipment</v>
          </cell>
        </row>
        <row r="2227">
          <cell r="B2227" t="str">
            <v>Shipment</v>
          </cell>
        </row>
        <row r="2228">
          <cell r="B2228" t="str">
            <v>Shipment</v>
          </cell>
        </row>
        <row r="2229">
          <cell r="B2229" t="str">
            <v>Shipment</v>
          </cell>
        </row>
        <row r="2230">
          <cell r="B2230" t="str">
            <v>Shipment</v>
          </cell>
        </row>
        <row r="2231">
          <cell r="B2231" t="str">
            <v>Shipment</v>
          </cell>
        </row>
        <row r="2232">
          <cell r="B2232" t="str">
            <v>Shipment</v>
          </cell>
        </row>
        <row r="2233">
          <cell r="B2233" t="str">
            <v>Shipment</v>
          </cell>
        </row>
        <row r="2234">
          <cell r="B2234" t="str">
            <v>Shipment</v>
          </cell>
        </row>
        <row r="2235">
          <cell r="B2235" t="str">
            <v>Shipment</v>
          </cell>
        </row>
        <row r="2236">
          <cell r="B2236" t="str">
            <v>Shipment</v>
          </cell>
        </row>
        <row r="2237">
          <cell r="B2237" t="str">
            <v>Shipment</v>
          </cell>
        </row>
        <row r="2238">
          <cell r="B2238" t="str">
            <v>Shipment</v>
          </cell>
        </row>
        <row r="2239">
          <cell r="B2239" t="str">
            <v>Shipment</v>
          </cell>
        </row>
        <row r="2240">
          <cell r="B2240" t="str">
            <v>Shipment</v>
          </cell>
        </row>
        <row r="2241">
          <cell r="B2241" t="str">
            <v>Shipment</v>
          </cell>
        </row>
        <row r="2242">
          <cell r="B2242" t="str">
            <v>Shipment</v>
          </cell>
        </row>
        <row r="2243">
          <cell r="B2243" t="str">
            <v>Shipment</v>
          </cell>
        </row>
        <row r="2244">
          <cell r="B2244" t="str">
            <v>Shipment</v>
          </cell>
        </row>
        <row r="2245">
          <cell r="B2245" t="str">
            <v>Shipment</v>
          </cell>
        </row>
        <row r="2246">
          <cell r="B2246" t="str">
            <v>Shipment</v>
          </cell>
        </row>
        <row r="2247">
          <cell r="B2247" t="str">
            <v>Shipment</v>
          </cell>
        </row>
        <row r="2248">
          <cell r="B2248" t="str">
            <v>Shipment</v>
          </cell>
        </row>
        <row r="2249">
          <cell r="B2249" t="str">
            <v>Shipment</v>
          </cell>
        </row>
        <row r="2250">
          <cell r="B2250" t="str">
            <v>Shipment</v>
          </cell>
        </row>
        <row r="2251">
          <cell r="B2251" t="str">
            <v>Shipment</v>
          </cell>
        </row>
        <row r="2252">
          <cell r="B2252" t="str">
            <v>Shipment</v>
          </cell>
        </row>
        <row r="2253">
          <cell r="B2253" t="str">
            <v>Shipment</v>
          </cell>
        </row>
        <row r="2254">
          <cell r="B2254" t="str">
            <v>Shipment</v>
          </cell>
        </row>
        <row r="2255">
          <cell r="B2255" t="str">
            <v>Shipment</v>
          </cell>
        </row>
        <row r="2256">
          <cell r="B2256" t="str">
            <v>Shipment</v>
          </cell>
        </row>
        <row r="2257">
          <cell r="B2257" t="str">
            <v>Shipment</v>
          </cell>
        </row>
        <row r="2258">
          <cell r="B2258" t="str">
            <v>Shipment</v>
          </cell>
        </row>
        <row r="2259">
          <cell r="B2259" t="str">
            <v>Shipment</v>
          </cell>
        </row>
        <row r="2260">
          <cell r="B2260" t="str">
            <v>Shipment</v>
          </cell>
        </row>
        <row r="2261">
          <cell r="B2261" t="str">
            <v>Shipment</v>
          </cell>
        </row>
        <row r="2262">
          <cell r="B2262" t="str">
            <v>Shipment</v>
          </cell>
        </row>
        <row r="2263">
          <cell r="B2263" t="str">
            <v>Shipment</v>
          </cell>
        </row>
        <row r="2264">
          <cell r="B2264" t="str">
            <v>Shipment</v>
          </cell>
        </row>
        <row r="2265">
          <cell r="B2265" t="str">
            <v>Shipment</v>
          </cell>
        </row>
        <row r="2266">
          <cell r="B2266" t="str">
            <v>Shipment</v>
          </cell>
        </row>
        <row r="2267">
          <cell r="B2267" t="str">
            <v>Shipment</v>
          </cell>
        </row>
        <row r="2268">
          <cell r="B2268" t="str">
            <v>Shipment</v>
          </cell>
        </row>
        <row r="2269">
          <cell r="B2269" t="str">
            <v>Shipment</v>
          </cell>
        </row>
        <row r="2270">
          <cell r="B2270" t="str">
            <v>Shipment</v>
          </cell>
        </row>
        <row r="2271">
          <cell r="B2271" t="str">
            <v>Shipment</v>
          </cell>
        </row>
        <row r="2272">
          <cell r="B2272" t="str">
            <v>Shipment</v>
          </cell>
        </row>
        <row r="2273">
          <cell r="B2273" t="str">
            <v>Shipment</v>
          </cell>
        </row>
        <row r="2274">
          <cell r="B2274" t="str">
            <v>Shipment</v>
          </cell>
        </row>
        <row r="2275">
          <cell r="B2275" t="str">
            <v>Shipment</v>
          </cell>
        </row>
        <row r="2276">
          <cell r="B2276" t="str">
            <v>Shipment</v>
          </cell>
        </row>
        <row r="2277">
          <cell r="B2277" t="str">
            <v>Shipment</v>
          </cell>
        </row>
        <row r="2278">
          <cell r="B2278" t="str">
            <v>Shipment</v>
          </cell>
        </row>
        <row r="2279">
          <cell r="B2279" t="str">
            <v>Shipment</v>
          </cell>
        </row>
        <row r="2280">
          <cell r="B2280" t="str">
            <v>Shipment</v>
          </cell>
        </row>
        <row r="2281">
          <cell r="B2281" t="str">
            <v>Shipment</v>
          </cell>
        </row>
        <row r="2282">
          <cell r="B2282" t="str">
            <v>Shipment</v>
          </cell>
        </row>
        <row r="2283">
          <cell r="B2283" t="str">
            <v>Shipment</v>
          </cell>
        </row>
        <row r="2284">
          <cell r="B2284" t="str">
            <v>Shipment</v>
          </cell>
        </row>
        <row r="2285">
          <cell r="B2285" t="str">
            <v>Shipment</v>
          </cell>
        </row>
        <row r="2286">
          <cell r="B2286" t="str">
            <v>Shipment</v>
          </cell>
        </row>
        <row r="2287">
          <cell r="B2287" t="str">
            <v>Shipment</v>
          </cell>
        </row>
        <row r="2288">
          <cell r="B2288" t="str">
            <v>Shipment</v>
          </cell>
        </row>
        <row r="2289">
          <cell r="B2289" t="str">
            <v>Shipment</v>
          </cell>
        </row>
        <row r="2290">
          <cell r="B2290" t="str">
            <v>Shipment</v>
          </cell>
        </row>
        <row r="2291">
          <cell r="B2291" t="str">
            <v>Shipment</v>
          </cell>
        </row>
        <row r="2292">
          <cell r="B2292" t="str">
            <v>Shipment</v>
          </cell>
        </row>
        <row r="2293">
          <cell r="B2293" t="str">
            <v>Shipment</v>
          </cell>
        </row>
        <row r="2294">
          <cell r="B2294" t="str">
            <v>Shipment</v>
          </cell>
        </row>
        <row r="2295">
          <cell r="B2295" t="str">
            <v>Shipment</v>
          </cell>
        </row>
        <row r="2296">
          <cell r="B2296" t="str">
            <v>Shipment</v>
          </cell>
        </row>
        <row r="2297">
          <cell r="B2297" t="str">
            <v>Shipment</v>
          </cell>
        </row>
        <row r="2298">
          <cell r="B2298" t="str">
            <v>Shipment</v>
          </cell>
        </row>
        <row r="2299">
          <cell r="B2299" t="str">
            <v>Shipment</v>
          </cell>
        </row>
        <row r="2300">
          <cell r="B2300" t="str">
            <v>Shipment</v>
          </cell>
        </row>
        <row r="2301">
          <cell r="B2301" t="str">
            <v>Shipment</v>
          </cell>
        </row>
        <row r="2302">
          <cell r="B2302" t="str">
            <v>Shipment</v>
          </cell>
        </row>
        <row r="2303">
          <cell r="B2303" t="str">
            <v>Shipment</v>
          </cell>
        </row>
        <row r="2304">
          <cell r="B2304" t="str">
            <v>Shipment</v>
          </cell>
        </row>
        <row r="2305">
          <cell r="B2305" t="str">
            <v>Shipment</v>
          </cell>
        </row>
        <row r="2306">
          <cell r="B2306" t="str">
            <v>Shipment</v>
          </cell>
        </row>
        <row r="2307">
          <cell r="B2307" t="str">
            <v>Shipment</v>
          </cell>
        </row>
        <row r="2308">
          <cell r="B2308" t="str">
            <v>Shipment</v>
          </cell>
        </row>
        <row r="2309">
          <cell r="B2309" t="str">
            <v>Shipment</v>
          </cell>
        </row>
        <row r="2310">
          <cell r="B2310" t="str">
            <v>Shipment</v>
          </cell>
        </row>
        <row r="2311">
          <cell r="B2311" t="str">
            <v>Shipment</v>
          </cell>
        </row>
        <row r="2312">
          <cell r="B2312" t="str">
            <v>Shipment</v>
          </cell>
        </row>
        <row r="2313">
          <cell r="B2313" t="str">
            <v>Shipment</v>
          </cell>
        </row>
        <row r="2314">
          <cell r="B2314" t="str">
            <v>Shipment</v>
          </cell>
        </row>
        <row r="2315">
          <cell r="B2315" t="str">
            <v>Shipment</v>
          </cell>
        </row>
        <row r="2316">
          <cell r="B2316" t="str">
            <v>Shipment</v>
          </cell>
        </row>
        <row r="2317">
          <cell r="B2317" t="str">
            <v>Shipment</v>
          </cell>
        </row>
        <row r="2318">
          <cell r="B2318" t="str">
            <v>Shipment</v>
          </cell>
        </row>
        <row r="2319">
          <cell r="B2319" t="str">
            <v>Shipment</v>
          </cell>
        </row>
        <row r="2320">
          <cell r="B2320" t="str">
            <v>Shipment</v>
          </cell>
        </row>
        <row r="2321">
          <cell r="B2321" t="str">
            <v>Shipment</v>
          </cell>
        </row>
        <row r="2322">
          <cell r="B2322" t="str">
            <v>Shipment</v>
          </cell>
        </row>
        <row r="2323">
          <cell r="B2323" t="str">
            <v>Shipment</v>
          </cell>
        </row>
        <row r="2324">
          <cell r="B2324" t="str">
            <v>Shipment</v>
          </cell>
        </row>
        <row r="2325">
          <cell r="B2325" t="str">
            <v>Shipment</v>
          </cell>
        </row>
        <row r="2326">
          <cell r="B2326" t="str">
            <v>Shipment</v>
          </cell>
        </row>
        <row r="2327">
          <cell r="B2327" t="str">
            <v>Shipment</v>
          </cell>
        </row>
        <row r="2328">
          <cell r="B2328" t="str">
            <v>Shipment</v>
          </cell>
        </row>
        <row r="2329">
          <cell r="B2329" t="str">
            <v>Shipment</v>
          </cell>
        </row>
        <row r="2330">
          <cell r="B2330" t="str">
            <v>Shipment</v>
          </cell>
        </row>
        <row r="2331">
          <cell r="B2331" t="str">
            <v>Shipment</v>
          </cell>
        </row>
        <row r="2332">
          <cell r="B2332" t="str">
            <v>Shipment</v>
          </cell>
        </row>
        <row r="2333">
          <cell r="B2333" t="str">
            <v>Shipment</v>
          </cell>
        </row>
        <row r="2334">
          <cell r="B2334" t="str">
            <v>Shipment</v>
          </cell>
        </row>
        <row r="2335">
          <cell r="B2335" t="str">
            <v>Shipment</v>
          </cell>
        </row>
        <row r="2336">
          <cell r="B2336" t="str">
            <v>Shipment</v>
          </cell>
        </row>
        <row r="2337">
          <cell r="B2337" t="str">
            <v>Shipment</v>
          </cell>
        </row>
        <row r="2338">
          <cell r="B2338" t="str">
            <v>Shipment</v>
          </cell>
        </row>
        <row r="2339">
          <cell r="B2339" t="str">
            <v>Shipment</v>
          </cell>
        </row>
        <row r="2340">
          <cell r="B2340" t="str">
            <v>Shipment</v>
          </cell>
        </row>
        <row r="2341">
          <cell r="B2341" t="str">
            <v>Shipment</v>
          </cell>
        </row>
        <row r="2342">
          <cell r="B2342" t="str">
            <v>Shipment</v>
          </cell>
        </row>
        <row r="2343">
          <cell r="B2343" t="str">
            <v>Shipment</v>
          </cell>
        </row>
        <row r="2344">
          <cell r="B2344" t="str">
            <v>Shipment</v>
          </cell>
        </row>
        <row r="2345">
          <cell r="B2345" t="str">
            <v>Shipment</v>
          </cell>
        </row>
        <row r="2346">
          <cell r="B2346" t="str">
            <v>Shipment</v>
          </cell>
        </row>
        <row r="2347">
          <cell r="B2347" t="str">
            <v>Shipment</v>
          </cell>
        </row>
        <row r="2348">
          <cell r="B2348" t="str">
            <v>Shipment</v>
          </cell>
        </row>
        <row r="2349">
          <cell r="B2349" t="str">
            <v>Shipment</v>
          </cell>
        </row>
        <row r="2350">
          <cell r="B2350" t="str">
            <v>Shipment</v>
          </cell>
        </row>
        <row r="2351">
          <cell r="B2351" t="str">
            <v>Shipment</v>
          </cell>
        </row>
        <row r="2352">
          <cell r="B2352" t="str">
            <v>Shipment</v>
          </cell>
        </row>
        <row r="2353">
          <cell r="B2353" t="str">
            <v>Shipment</v>
          </cell>
        </row>
        <row r="2354">
          <cell r="B2354" t="str">
            <v>Shipment</v>
          </cell>
        </row>
        <row r="2355">
          <cell r="B2355" t="str">
            <v>Shipment</v>
          </cell>
        </row>
        <row r="2356">
          <cell r="B2356" t="str">
            <v>Shipment</v>
          </cell>
        </row>
        <row r="2357">
          <cell r="B2357" t="str">
            <v>Shipment</v>
          </cell>
        </row>
        <row r="2358">
          <cell r="B2358" t="str">
            <v>Shipment</v>
          </cell>
        </row>
        <row r="2359">
          <cell r="B2359" t="str">
            <v>Shipment</v>
          </cell>
        </row>
        <row r="2360">
          <cell r="B2360" t="str">
            <v>Shipment</v>
          </cell>
        </row>
        <row r="2361">
          <cell r="B2361" t="str">
            <v>Shipment</v>
          </cell>
        </row>
        <row r="2362">
          <cell r="B2362" t="str">
            <v>Shipment</v>
          </cell>
        </row>
        <row r="2363">
          <cell r="B2363" t="str">
            <v>Shipment</v>
          </cell>
        </row>
        <row r="2364">
          <cell r="B2364" t="str">
            <v>Shipment</v>
          </cell>
        </row>
        <row r="2365">
          <cell r="B2365" t="str">
            <v>Shipment</v>
          </cell>
        </row>
        <row r="2366">
          <cell r="B2366" t="str">
            <v>Shipment</v>
          </cell>
        </row>
        <row r="2367">
          <cell r="B2367" t="str">
            <v>Shipment</v>
          </cell>
        </row>
        <row r="2368">
          <cell r="B2368" t="str">
            <v>Shipment</v>
          </cell>
        </row>
        <row r="2369">
          <cell r="B2369" t="str">
            <v>Shipment</v>
          </cell>
        </row>
        <row r="2370">
          <cell r="B2370" t="str">
            <v>Shipment</v>
          </cell>
        </row>
        <row r="2371">
          <cell r="B2371" t="str">
            <v>Shipment</v>
          </cell>
        </row>
        <row r="2372">
          <cell r="B2372" t="str">
            <v>Shipment</v>
          </cell>
        </row>
        <row r="2373">
          <cell r="B2373" t="str">
            <v>Shipment</v>
          </cell>
        </row>
        <row r="2374">
          <cell r="B2374" t="str">
            <v>Shipment</v>
          </cell>
        </row>
        <row r="2375">
          <cell r="B2375" t="str">
            <v>Shipment</v>
          </cell>
        </row>
        <row r="2376">
          <cell r="B2376" t="str">
            <v>Shipment</v>
          </cell>
        </row>
        <row r="2377">
          <cell r="B2377" t="str">
            <v>Shipment</v>
          </cell>
        </row>
        <row r="2378">
          <cell r="B2378" t="str">
            <v>Shipment</v>
          </cell>
        </row>
        <row r="2379">
          <cell r="B2379" t="str">
            <v>Shipment</v>
          </cell>
        </row>
        <row r="2380">
          <cell r="B2380" t="str">
            <v>Shipment</v>
          </cell>
        </row>
        <row r="2381">
          <cell r="B2381" t="str">
            <v>Shipment</v>
          </cell>
        </row>
        <row r="2382">
          <cell r="B2382" t="str">
            <v>Shipment</v>
          </cell>
        </row>
        <row r="2383">
          <cell r="B2383" t="str">
            <v>Shipment</v>
          </cell>
        </row>
        <row r="2384">
          <cell r="B2384" t="str">
            <v>Shipment</v>
          </cell>
        </row>
        <row r="2385">
          <cell r="B2385" t="str">
            <v>Shipment</v>
          </cell>
        </row>
        <row r="2386">
          <cell r="B2386" t="str">
            <v>Shipment</v>
          </cell>
        </row>
        <row r="2387">
          <cell r="B2387" t="str">
            <v>Shipment</v>
          </cell>
        </row>
        <row r="2388">
          <cell r="B2388" t="str">
            <v>Shipment</v>
          </cell>
        </row>
        <row r="2389">
          <cell r="B2389" t="str">
            <v>Shipment</v>
          </cell>
        </row>
        <row r="2390">
          <cell r="B2390" t="str">
            <v>Shipment</v>
          </cell>
        </row>
        <row r="2391">
          <cell r="B2391" t="str">
            <v>Shipment</v>
          </cell>
        </row>
        <row r="2392">
          <cell r="B2392" t="str">
            <v>Shipment</v>
          </cell>
        </row>
        <row r="2393">
          <cell r="B2393" t="str">
            <v>Shipment</v>
          </cell>
        </row>
        <row r="2394">
          <cell r="B2394" t="str">
            <v>Shipment</v>
          </cell>
        </row>
        <row r="2395">
          <cell r="B2395" t="str">
            <v>Shipment</v>
          </cell>
        </row>
        <row r="2396">
          <cell r="B2396" t="str">
            <v>Shipment</v>
          </cell>
        </row>
        <row r="2397">
          <cell r="B2397" t="str">
            <v>Shipment</v>
          </cell>
        </row>
        <row r="2398">
          <cell r="B2398" t="str">
            <v>Shipment</v>
          </cell>
        </row>
        <row r="2399">
          <cell r="B2399" t="str">
            <v>Shipment</v>
          </cell>
        </row>
        <row r="2400">
          <cell r="B2400" t="str">
            <v>Shipment</v>
          </cell>
        </row>
        <row r="2401">
          <cell r="B2401" t="str">
            <v>Shipment</v>
          </cell>
        </row>
        <row r="2402">
          <cell r="B2402" t="str">
            <v>Shipment</v>
          </cell>
        </row>
        <row r="2403">
          <cell r="B2403" t="str">
            <v>Shipment</v>
          </cell>
        </row>
        <row r="2404">
          <cell r="B2404" t="str">
            <v>Shipment</v>
          </cell>
        </row>
        <row r="2405">
          <cell r="B2405" t="str">
            <v>Shipment</v>
          </cell>
        </row>
        <row r="2406">
          <cell r="B2406" t="str">
            <v>Shipment</v>
          </cell>
        </row>
        <row r="2407">
          <cell r="B2407" t="str">
            <v>Shipment</v>
          </cell>
        </row>
        <row r="2408">
          <cell r="B2408" t="str">
            <v>Shipment</v>
          </cell>
        </row>
        <row r="2409">
          <cell r="B2409" t="str">
            <v>Shipment</v>
          </cell>
        </row>
        <row r="2410">
          <cell r="B2410" t="str">
            <v>Shipment</v>
          </cell>
        </row>
        <row r="2411">
          <cell r="B2411" t="str">
            <v>Shipment</v>
          </cell>
        </row>
        <row r="2412">
          <cell r="B2412" t="str">
            <v>Shipment</v>
          </cell>
        </row>
        <row r="2413">
          <cell r="B2413" t="str">
            <v>Shipment</v>
          </cell>
        </row>
        <row r="2414">
          <cell r="B2414" t="str">
            <v>Shipment</v>
          </cell>
        </row>
        <row r="2415">
          <cell r="B2415" t="str">
            <v>Shipment</v>
          </cell>
        </row>
        <row r="2416">
          <cell r="B2416" t="str">
            <v>Shipment</v>
          </cell>
        </row>
        <row r="2417">
          <cell r="B2417" t="str">
            <v>Shipment</v>
          </cell>
        </row>
        <row r="2418">
          <cell r="B2418" t="str">
            <v>Shipment</v>
          </cell>
        </row>
        <row r="2419">
          <cell r="B2419" t="str">
            <v>Shipment</v>
          </cell>
        </row>
        <row r="2420">
          <cell r="B2420" t="str">
            <v>Shipment</v>
          </cell>
        </row>
        <row r="2421">
          <cell r="B2421" t="str">
            <v>Shipment</v>
          </cell>
        </row>
        <row r="2422">
          <cell r="B2422" t="str">
            <v>Shipment</v>
          </cell>
        </row>
        <row r="2423">
          <cell r="B2423" t="str">
            <v>Shipment</v>
          </cell>
        </row>
        <row r="2424">
          <cell r="B2424" t="str">
            <v>Shipment</v>
          </cell>
        </row>
        <row r="2425">
          <cell r="B2425" t="str">
            <v>Shipment</v>
          </cell>
        </row>
        <row r="2426">
          <cell r="B2426" t="str">
            <v>Shipment</v>
          </cell>
        </row>
        <row r="2427">
          <cell r="B2427" t="str">
            <v>Shipment</v>
          </cell>
        </row>
        <row r="2428">
          <cell r="B2428" t="str">
            <v>Shipment</v>
          </cell>
        </row>
        <row r="2429">
          <cell r="B2429" t="str">
            <v>Shipment</v>
          </cell>
        </row>
        <row r="2430">
          <cell r="B2430" t="str">
            <v>Shipment</v>
          </cell>
        </row>
        <row r="2431">
          <cell r="B2431" t="str">
            <v>Shipment</v>
          </cell>
        </row>
        <row r="2432">
          <cell r="B2432" t="str">
            <v>Shipment</v>
          </cell>
        </row>
        <row r="2433">
          <cell r="B2433" t="str">
            <v>Shipment</v>
          </cell>
        </row>
        <row r="2434">
          <cell r="B2434" t="str">
            <v>Shipment</v>
          </cell>
        </row>
        <row r="2435">
          <cell r="B2435" t="str">
            <v>Shipment</v>
          </cell>
        </row>
        <row r="2436">
          <cell r="B2436" t="str">
            <v>Shipment</v>
          </cell>
        </row>
        <row r="2437">
          <cell r="B2437" t="str">
            <v>Shipment</v>
          </cell>
        </row>
        <row r="2438">
          <cell r="B2438" t="str">
            <v>Shipment</v>
          </cell>
        </row>
        <row r="2439">
          <cell r="B2439" t="str">
            <v>Shipment</v>
          </cell>
        </row>
        <row r="2440">
          <cell r="B2440" t="str">
            <v>Shipment</v>
          </cell>
        </row>
        <row r="2441">
          <cell r="B2441" t="str">
            <v>Shipment</v>
          </cell>
        </row>
        <row r="2442">
          <cell r="B2442" t="str">
            <v>Shipment</v>
          </cell>
        </row>
        <row r="2443">
          <cell r="B2443" t="str">
            <v>Shipment</v>
          </cell>
        </row>
        <row r="2444">
          <cell r="B2444" t="str">
            <v>Shipment</v>
          </cell>
        </row>
        <row r="2445">
          <cell r="B2445" t="str">
            <v>Shipment</v>
          </cell>
        </row>
        <row r="2446">
          <cell r="B2446" t="str">
            <v>Shipment</v>
          </cell>
        </row>
        <row r="2447">
          <cell r="B2447" t="str">
            <v>Shipment</v>
          </cell>
        </row>
        <row r="2448">
          <cell r="B2448" t="str">
            <v>Shipment</v>
          </cell>
        </row>
        <row r="2449">
          <cell r="B2449" t="str">
            <v>Shipment</v>
          </cell>
        </row>
        <row r="2450">
          <cell r="B2450" t="str">
            <v>Shipment</v>
          </cell>
        </row>
        <row r="2451">
          <cell r="B2451" t="str">
            <v>Shipment</v>
          </cell>
        </row>
        <row r="2452">
          <cell r="B2452" t="str">
            <v>Shipment</v>
          </cell>
        </row>
        <row r="2453">
          <cell r="B2453" t="str">
            <v>Shipment</v>
          </cell>
        </row>
        <row r="2454">
          <cell r="B2454" t="str">
            <v>Shipment</v>
          </cell>
        </row>
        <row r="2455">
          <cell r="B2455" t="str">
            <v>Shipment</v>
          </cell>
        </row>
        <row r="2456">
          <cell r="B2456" t="str">
            <v>Shipment</v>
          </cell>
        </row>
        <row r="2457">
          <cell r="B2457" t="str">
            <v>Shipment</v>
          </cell>
        </row>
        <row r="2458">
          <cell r="B2458" t="str">
            <v>Shipment</v>
          </cell>
        </row>
        <row r="2459">
          <cell r="B2459" t="str">
            <v>Shipment</v>
          </cell>
        </row>
        <row r="2460">
          <cell r="B2460" t="str">
            <v>Shipment</v>
          </cell>
        </row>
        <row r="2461">
          <cell r="B2461" t="str">
            <v>Shipment</v>
          </cell>
        </row>
        <row r="2462">
          <cell r="B2462" t="str">
            <v>Shipment</v>
          </cell>
        </row>
        <row r="2463">
          <cell r="B2463" t="str">
            <v>Shipment</v>
          </cell>
        </row>
        <row r="2464">
          <cell r="B2464" t="str">
            <v>Shipment</v>
          </cell>
        </row>
        <row r="2465">
          <cell r="B2465" t="str">
            <v>Shipment</v>
          </cell>
        </row>
        <row r="2466">
          <cell r="B2466" t="str">
            <v>Shipment</v>
          </cell>
        </row>
        <row r="2467">
          <cell r="B2467" t="str">
            <v>Shipment</v>
          </cell>
        </row>
        <row r="2468">
          <cell r="B2468" t="str">
            <v>Shipment</v>
          </cell>
        </row>
        <row r="2469">
          <cell r="B2469" t="str">
            <v>Shipment</v>
          </cell>
        </row>
        <row r="2470">
          <cell r="B2470" t="str">
            <v>Shipment</v>
          </cell>
        </row>
        <row r="2471">
          <cell r="B2471" t="str">
            <v>Shipment</v>
          </cell>
        </row>
        <row r="2472">
          <cell r="B2472" t="str">
            <v>Shipment</v>
          </cell>
        </row>
        <row r="2473">
          <cell r="B2473" t="str">
            <v>Shipment</v>
          </cell>
        </row>
        <row r="2474">
          <cell r="B2474" t="str">
            <v>Shipment</v>
          </cell>
        </row>
        <row r="2475">
          <cell r="B2475" t="str">
            <v>Shipment</v>
          </cell>
        </row>
        <row r="2476">
          <cell r="B2476" t="str">
            <v>Shipment</v>
          </cell>
        </row>
        <row r="2477">
          <cell r="B2477" t="str">
            <v>Shipment</v>
          </cell>
        </row>
        <row r="2478">
          <cell r="B2478" t="str">
            <v>Shipment</v>
          </cell>
        </row>
        <row r="2479">
          <cell r="B2479" t="str">
            <v>Shipment</v>
          </cell>
        </row>
        <row r="2480">
          <cell r="B2480" t="str">
            <v>Shipment</v>
          </cell>
        </row>
        <row r="2481">
          <cell r="B2481" t="str">
            <v>Shipment</v>
          </cell>
        </row>
        <row r="2482">
          <cell r="B2482" t="str">
            <v>Shipment</v>
          </cell>
        </row>
        <row r="2483">
          <cell r="B2483" t="str">
            <v>Shipment</v>
          </cell>
        </row>
        <row r="2484">
          <cell r="B2484" t="str">
            <v>Shipment</v>
          </cell>
        </row>
        <row r="2485">
          <cell r="B2485" t="str">
            <v>Shipment</v>
          </cell>
        </row>
        <row r="2486">
          <cell r="B2486" t="str">
            <v>Shipment</v>
          </cell>
        </row>
        <row r="2487">
          <cell r="B2487" t="str">
            <v>Shipment</v>
          </cell>
        </row>
        <row r="2488">
          <cell r="B2488" t="str">
            <v>Shipment</v>
          </cell>
        </row>
        <row r="2489">
          <cell r="B2489" t="str">
            <v>Shipment</v>
          </cell>
        </row>
        <row r="2490">
          <cell r="B2490" t="str">
            <v>Shipment</v>
          </cell>
        </row>
        <row r="2491">
          <cell r="B2491" t="str">
            <v>Shipment</v>
          </cell>
        </row>
        <row r="2492">
          <cell r="B2492" t="str">
            <v>Shipment</v>
          </cell>
        </row>
        <row r="2493">
          <cell r="B2493" t="str">
            <v>Shipment</v>
          </cell>
        </row>
        <row r="2494">
          <cell r="B2494" t="str">
            <v>Shipment</v>
          </cell>
        </row>
        <row r="2495">
          <cell r="B2495" t="str">
            <v>Shipment</v>
          </cell>
        </row>
        <row r="2496">
          <cell r="B2496" t="str">
            <v>Shipment</v>
          </cell>
        </row>
        <row r="2497">
          <cell r="B2497" t="str">
            <v>Shipment</v>
          </cell>
        </row>
        <row r="2498">
          <cell r="B2498" t="str">
            <v>Shipment</v>
          </cell>
        </row>
        <row r="2499">
          <cell r="B2499" t="str">
            <v>Shipment</v>
          </cell>
        </row>
        <row r="2500">
          <cell r="B2500" t="str">
            <v>Shipment</v>
          </cell>
        </row>
        <row r="2501">
          <cell r="B2501" t="str">
            <v>Shipment</v>
          </cell>
        </row>
        <row r="2502">
          <cell r="B2502" t="str">
            <v>Shipment</v>
          </cell>
        </row>
        <row r="2503">
          <cell r="B2503" t="str">
            <v>Shipment</v>
          </cell>
        </row>
        <row r="2504">
          <cell r="B2504" t="str">
            <v>Shipment</v>
          </cell>
        </row>
        <row r="2505">
          <cell r="B2505" t="str">
            <v>Shipment</v>
          </cell>
        </row>
        <row r="2506">
          <cell r="B2506" t="str">
            <v>Shipment</v>
          </cell>
        </row>
        <row r="2507">
          <cell r="B2507" t="str">
            <v>Shipment</v>
          </cell>
        </row>
        <row r="2508">
          <cell r="B2508" t="str">
            <v>Shipment</v>
          </cell>
        </row>
        <row r="2509">
          <cell r="B2509" t="str">
            <v>Shipment</v>
          </cell>
        </row>
        <row r="2510">
          <cell r="B2510" t="str">
            <v>Shipment</v>
          </cell>
        </row>
        <row r="2511">
          <cell r="B2511" t="str">
            <v>Shipment</v>
          </cell>
        </row>
        <row r="2512">
          <cell r="B2512" t="str">
            <v>Shipment</v>
          </cell>
        </row>
        <row r="2513">
          <cell r="B2513" t="str">
            <v>Shipment</v>
          </cell>
        </row>
        <row r="2514">
          <cell r="B2514" t="str">
            <v>Shipment</v>
          </cell>
        </row>
        <row r="2515">
          <cell r="B2515" t="str">
            <v>Shipment</v>
          </cell>
        </row>
        <row r="2516">
          <cell r="B2516" t="str">
            <v>Shipment</v>
          </cell>
        </row>
        <row r="2517">
          <cell r="B2517" t="str">
            <v>Shipment</v>
          </cell>
        </row>
        <row r="2518">
          <cell r="B2518" t="str">
            <v>Shipment</v>
          </cell>
        </row>
        <row r="2519">
          <cell r="B2519" t="str">
            <v>Shipment</v>
          </cell>
        </row>
        <row r="2520">
          <cell r="B2520" t="str">
            <v>Shipment</v>
          </cell>
        </row>
        <row r="2521">
          <cell r="B2521" t="str">
            <v>Shipment</v>
          </cell>
        </row>
        <row r="2522">
          <cell r="B2522" t="str">
            <v>Shipment</v>
          </cell>
        </row>
        <row r="2523">
          <cell r="B2523" t="str">
            <v>Shipment</v>
          </cell>
        </row>
        <row r="2524">
          <cell r="B2524" t="str">
            <v>Shipment</v>
          </cell>
        </row>
        <row r="2525">
          <cell r="B2525" t="str">
            <v>Shipment</v>
          </cell>
        </row>
        <row r="2526">
          <cell r="B2526" t="str">
            <v>Shipment</v>
          </cell>
        </row>
        <row r="2527">
          <cell r="B2527" t="str">
            <v>Shipment</v>
          </cell>
        </row>
        <row r="2528">
          <cell r="B2528" t="str">
            <v>Shipment</v>
          </cell>
        </row>
        <row r="2529">
          <cell r="B2529" t="str">
            <v>Shipment</v>
          </cell>
        </row>
        <row r="2530">
          <cell r="B2530" t="str">
            <v>Shipment</v>
          </cell>
        </row>
        <row r="2531">
          <cell r="B2531" t="str">
            <v>Shipment</v>
          </cell>
        </row>
        <row r="2532">
          <cell r="B2532" t="str">
            <v>Shipment</v>
          </cell>
        </row>
        <row r="2533">
          <cell r="B2533" t="str">
            <v>Shipment</v>
          </cell>
        </row>
        <row r="2534">
          <cell r="B2534" t="str">
            <v>Shipment</v>
          </cell>
        </row>
        <row r="2535">
          <cell r="B2535" t="str">
            <v>Shipment</v>
          </cell>
        </row>
        <row r="2536">
          <cell r="B2536" t="str">
            <v>Shipment</v>
          </cell>
        </row>
        <row r="2537">
          <cell r="B2537" t="str">
            <v>Shipment</v>
          </cell>
        </row>
        <row r="2538">
          <cell r="B2538" t="str">
            <v>Shipment</v>
          </cell>
        </row>
        <row r="2539">
          <cell r="B2539" t="str">
            <v>Shipment</v>
          </cell>
        </row>
        <row r="2540">
          <cell r="B2540" t="str">
            <v>Shipment</v>
          </cell>
        </row>
        <row r="2541">
          <cell r="B2541" t="str">
            <v>Shipment</v>
          </cell>
        </row>
        <row r="2542">
          <cell r="B2542" t="str">
            <v>Shipment</v>
          </cell>
        </row>
        <row r="2543">
          <cell r="B2543" t="str">
            <v>Shipment</v>
          </cell>
        </row>
        <row r="2544">
          <cell r="B2544" t="str">
            <v>Shipment</v>
          </cell>
        </row>
        <row r="2545">
          <cell r="B2545" t="str">
            <v>Shipment</v>
          </cell>
        </row>
        <row r="2546">
          <cell r="B2546" t="str">
            <v>Shipment</v>
          </cell>
        </row>
        <row r="2547">
          <cell r="B2547" t="str">
            <v>Shipment</v>
          </cell>
        </row>
        <row r="2548">
          <cell r="B2548" t="str">
            <v>Shipment</v>
          </cell>
        </row>
        <row r="2549">
          <cell r="B2549" t="str">
            <v>Shipment</v>
          </cell>
        </row>
        <row r="2550">
          <cell r="B2550" t="str">
            <v>Shipment</v>
          </cell>
        </row>
        <row r="2551">
          <cell r="B2551" t="str">
            <v>Shipment</v>
          </cell>
        </row>
        <row r="2552">
          <cell r="B2552" t="str">
            <v>Shipment</v>
          </cell>
        </row>
        <row r="2553">
          <cell r="B2553" t="str">
            <v>Shipment</v>
          </cell>
        </row>
        <row r="2554">
          <cell r="B2554" t="str">
            <v>Shipment</v>
          </cell>
        </row>
        <row r="2555">
          <cell r="B2555" t="str">
            <v>Shipment</v>
          </cell>
        </row>
        <row r="2556">
          <cell r="B2556" t="str">
            <v>Shipment</v>
          </cell>
        </row>
        <row r="2557">
          <cell r="B2557" t="str">
            <v>Shipment</v>
          </cell>
        </row>
        <row r="2558">
          <cell r="B2558" t="str">
            <v>Shipment</v>
          </cell>
        </row>
        <row r="2559">
          <cell r="B2559" t="str">
            <v>Shipment</v>
          </cell>
        </row>
        <row r="2560">
          <cell r="B2560" t="str">
            <v>Shipment</v>
          </cell>
        </row>
        <row r="2561">
          <cell r="B2561" t="str">
            <v>Shipment</v>
          </cell>
        </row>
        <row r="2562">
          <cell r="B2562" t="str">
            <v>Shipment</v>
          </cell>
        </row>
        <row r="2563">
          <cell r="B2563" t="str">
            <v>Shipment</v>
          </cell>
        </row>
        <row r="2564">
          <cell r="B2564" t="str">
            <v>Shipment</v>
          </cell>
        </row>
        <row r="2565">
          <cell r="B2565" t="str">
            <v>Shipment</v>
          </cell>
        </row>
        <row r="2566">
          <cell r="B2566" t="str">
            <v>Shipment</v>
          </cell>
        </row>
        <row r="2567">
          <cell r="B2567" t="str">
            <v>Shipment</v>
          </cell>
        </row>
        <row r="2568">
          <cell r="B2568" t="str">
            <v>Shipment</v>
          </cell>
        </row>
        <row r="2569">
          <cell r="B2569" t="str">
            <v>Shipment</v>
          </cell>
        </row>
        <row r="2570">
          <cell r="B2570" t="str">
            <v>Shipment</v>
          </cell>
        </row>
        <row r="2571">
          <cell r="B2571" t="str">
            <v>Shipment</v>
          </cell>
        </row>
        <row r="2572">
          <cell r="B2572" t="str">
            <v>Shipment</v>
          </cell>
        </row>
        <row r="2573">
          <cell r="B2573" t="str">
            <v>Shipment</v>
          </cell>
        </row>
        <row r="2574">
          <cell r="B2574" t="str">
            <v>Shipment</v>
          </cell>
        </row>
        <row r="2575">
          <cell r="B2575" t="str">
            <v>Shipment</v>
          </cell>
        </row>
        <row r="2576">
          <cell r="B2576" t="str">
            <v>Shipment</v>
          </cell>
        </row>
        <row r="2577">
          <cell r="B2577" t="str">
            <v>Shipment</v>
          </cell>
        </row>
        <row r="2578">
          <cell r="B2578" t="str">
            <v>Shipment</v>
          </cell>
        </row>
        <row r="2579">
          <cell r="B2579" t="str">
            <v>Shipment</v>
          </cell>
        </row>
        <row r="2580">
          <cell r="B2580" t="str">
            <v>Shipment</v>
          </cell>
        </row>
        <row r="2581">
          <cell r="B2581" t="str">
            <v>Shipment</v>
          </cell>
        </row>
        <row r="2582">
          <cell r="B2582" t="str">
            <v>Shipment</v>
          </cell>
        </row>
        <row r="2583">
          <cell r="B2583" t="str">
            <v>Shipment</v>
          </cell>
        </row>
        <row r="2584">
          <cell r="B2584" t="str">
            <v>Shipment</v>
          </cell>
        </row>
        <row r="2585">
          <cell r="B2585" t="str">
            <v>Shipment</v>
          </cell>
        </row>
        <row r="2586">
          <cell r="B2586" t="str">
            <v>Shipment</v>
          </cell>
        </row>
        <row r="2587">
          <cell r="B2587" t="str">
            <v>Shipment</v>
          </cell>
        </row>
        <row r="2588">
          <cell r="B2588" t="str">
            <v>Shipment</v>
          </cell>
        </row>
        <row r="2589">
          <cell r="B2589" t="str">
            <v>Shipment</v>
          </cell>
        </row>
        <row r="2590">
          <cell r="B2590" t="str">
            <v>Shipment</v>
          </cell>
        </row>
        <row r="2591">
          <cell r="B2591" t="str">
            <v>Shipment</v>
          </cell>
        </row>
        <row r="2592">
          <cell r="B2592" t="str">
            <v>Shipment</v>
          </cell>
        </row>
        <row r="2593">
          <cell r="B2593" t="str">
            <v>Shipment</v>
          </cell>
        </row>
        <row r="2594">
          <cell r="B2594" t="str">
            <v>Shipment</v>
          </cell>
        </row>
        <row r="2595">
          <cell r="B2595" t="str">
            <v>Shipment</v>
          </cell>
        </row>
        <row r="2596">
          <cell r="B2596" t="str">
            <v>Shipment</v>
          </cell>
        </row>
        <row r="2597">
          <cell r="B2597" t="str">
            <v>Shipment</v>
          </cell>
        </row>
        <row r="2598">
          <cell r="B2598" t="str">
            <v>Shipment</v>
          </cell>
        </row>
        <row r="2599">
          <cell r="B2599" t="str">
            <v>Shipment</v>
          </cell>
        </row>
        <row r="2600">
          <cell r="B2600" t="str">
            <v>Shipment</v>
          </cell>
        </row>
        <row r="2601">
          <cell r="B2601" t="str">
            <v>Shipment</v>
          </cell>
        </row>
        <row r="2602">
          <cell r="B2602" t="str">
            <v>Shipment</v>
          </cell>
        </row>
        <row r="2603">
          <cell r="B2603" t="str">
            <v>Shipment</v>
          </cell>
        </row>
        <row r="2604">
          <cell r="B2604" t="str">
            <v>Shipment</v>
          </cell>
        </row>
        <row r="2605">
          <cell r="B2605" t="str">
            <v>Shipment</v>
          </cell>
        </row>
        <row r="2606">
          <cell r="B2606" t="str">
            <v>Shipment</v>
          </cell>
        </row>
        <row r="2607">
          <cell r="B2607" t="str">
            <v>Shipment</v>
          </cell>
        </row>
        <row r="2608">
          <cell r="B2608" t="str">
            <v>Shipment</v>
          </cell>
        </row>
        <row r="2609">
          <cell r="B2609" t="str">
            <v>Shipment</v>
          </cell>
        </row>
        <row r="2610">
          <cell r="B2610" t="str">
            <v>Shipment</v>
          </cell>
        </row>
        <row r="2611">
          <cell r="B2611" t="str">
            <v>Shipment</v>
          </cell>
        </row>
        <row r="2612">
          <cell r="B2612" t="str">
            <v>Shipment</v>
          </cell>
        </row>
        <row r="2613">
          <cell r="B2613" t="str">
            <v>Shipment</v>
          </cell>
        </row>
        <row r="2614">
          <cell r="B2614" t="str">
            <v>Shipment</v>
          </cell>
        </row>
        <row r="2615">
          <cell r="B2615" t="str">
            <v>Shipment</v>
          </cell>
        </row>
        <row r="2616">
          <cell r="B2616" t="str">
            <v>Shipment</v>
          </cell>
        </row>
        <row r="2617">
          <cell r="B2617" t="str">
            <v>Shipment</v>
          </cell>
        </row>
        <row r="2618">
          <cell r="B2618" t="str">
            <v>Shipment</v>
          </cell>
        </row>
        <row r="2619">
          <cell r="B2619" t="str">
            <v>Shipment</v>
          </cell>
        </row>
        <row r="2620">
          <cell r="B2620" t="str">
            <v>Shipment</v>
          </cell>
        </row>
        <row r="2621">
          <cell r="B2621" t="str">
            <v>Shipment</v>
          </cell>
        </row>
        <row r="2622">
          <cell r="B2622" t="str">
            <v>Shipment</v>
          </cell>
        </row>
        <row r="2623">
          <cell r="B2623" t="str">
            <v>Shipment</v>
          </cell>
        </row>
        <row r="2624">
          <cell r="B2624" t="str">
            <v>Shipment</v>
          </cell>
        </row>
        <row r="2625">
          <cell r="B2625" t="str">
            <v>Shipment</v>
          </cell>
        </row>
        <row r="2626">
          <cell r="B2626" t="str">
            <v>Shipment</v>
          </cell>
        </row>
        <row r="2627">
          <cell r="B2627" t="str">
            <v>Shipment</v>
          </cell>
        </row>
        <row r="2628">
          <cell r="B2628" t="str">
            <v>Shipment</v>
          </cell>
        </row>
        <row r="2629">
          <cell r="B2629" t="str">
            <v>Shipment</v>
          </cell>
        </row>
        <row r="2630">
          <cell r="B2630" t="str">
            <v>Shipment</v>
          </cell>
        </row>
        <row r="2631">
          <cell r="B2631" t="str">
            <v>Shipment</v>
          </cell>
        </row>
        <row r="2632">
          <cell r="B2632" t="str">
            <v>Shipment</v>
          </cell>
        </row>
        <row r="2633">
          <cell r="B2633" t="str">
            <v>Shipment</v>
          </cell>
        </row>
        <row r="2634">
          <cell r="B2634" t="str">
            <v>Shipment</v>
          </cell>
        </row>
        <row r="2635">
          <cell r="B2635" t="str">
            <v>Shipment</v>
          </cell>
        </row>
        <row r="2636">
          <cell r="B2636" t="str">
            <v>Shipment</v>
          </cell>
        </row>
        <row r="2637">
          <cell r="B2637" t="str">
            <v>Shipment</v>
          </cell>
        </row>
        <row r="2638">
          <cell r="B2638" t="str">
            <v>Shipment</v>
          </cell>
        </row>
        <row r="2639">
          <cell r="B2639" t="str">
            <v>Shipment</v>
          </cell>
        </row>
        <row r="2640">
          <cell r="B2640" t="str">
            <v>Shipment</v>
          </cell>
        </row>
        <row r="2641">
          <cell r="B2641" t="str">
            <v>Shipment</v>
          </cell>
        </row>
        <row r="2642">
          <cell r="B2642" t="str">
            <v>Shipment</v>
          </cell>
        </row>
        <row r="2643">
          <cell r="B2643" t="str">
            <v>Shipment</v>
          </cell>
        </row>
        <row r="2644">
          <cell r="B2644" t="str">
            <v>Shipment</v>
          </cell>
        </row>
        <row r="2645">
          <cell r="B2645" t="str">
            <v>Shipment</v>
          </cell>
        </row>
        <row r="2646">
          <cell r="B2646" t="str">
            <v>Shipment</v>
          </cell>
        </row>
        <row r="2647">
          <cell r="B2647" t="str">
            <v>Shipment</v>
          </cell>
        </row>
        <row r="2648">
          <cell r="B2648" t="str">
            <v>Shipment</v>
          </cell>
        </row>
        <row r="2649">
          <cell r="B2649" t="str">
            <v>Shipment</v>
          </cell>
        </row>
        <row r="2650">
          <cell r="B2650" t="str">
            <v>Shipment</v>
          </cell>
        </row>
        <row r="2651">
          <cell r="B2651" t="str">
            <v>Shipment</v>
          </cell>
        </row>
        <row r="2652">
          <cell r="B2652" t="str">
            <v>Shipment</v>
          </cell>
        </row>
        <row r="2653">
          <cell r="B2653" t="str">
            <v>Shipment</v>
          </cell>
        </row>
        <row r="2654">
          <cell r="B2654" t="str">
            <v>Shipment</v>
          </cell>
        </row>
        <row r="2655">
          <cell r="B2655" t="str">
            <v>Shipment</v>
          </cell>
        </row>
        <row r="2656">
          <cell r="B2656" t="str">
            <v>Shipment</v>
          </cell>
        </row>
        <row r="2657">
          <cell r="B2657" t="str">
            <v>Shipment</v>
          </cell>
        </row>
        <row r="2658">
          <cell r="B2658" t="str">
            <v>Shipment</v>
          </cell>
        </row>
        <row r="2659">
          <cell r="B2659" t="str">
            <v>Shipment</v>
          </cell>
        </row>
        <row r="2660">
          <cell r="B2660" t="str">
            <v>Shipment</v>
          </cell>
        </row>
        <row r="2661">
          <cell r="B2661" t="str">
            <v>Shipment</v>
          </cell>
        </row>
        <row r="2662">
          <cell r="B2662" t="str">
            <v>Shipment</v>
          </cell>
        </row>
        <row r="2663">
          <cell r="B2663" t="str">
            <v>Shipment</v>
          </cell>
        </row>
        <row r="2664">
          <cell r="B2664" t="str">
            <v>Shipment</v>
          </cell>
        </row>
        <row r="2665">
          <cell r="B2665" t="str">
            <v>Shipment</v>
          </cell>
        </row>
        <row r="2666">
          <cell r="B2666" t="str">
            <v>Shipment</v>
          </cell>
        </row>
        <row r="2667">
          <cell r="B2667" t="str">
            <v>Shipment</v>
          </cell>
        </row>
        <row r="2668">
          <cell r="B2668" t="str">
            <v>Shipment</v>
          </cell>
        </row>
        <row r="2669">
          <cell r="B2669" t="str">
            <v>Shipment</v>
          </cell>
        </row>
        <row r="2670">
          <cell r="B2670" t="str">
            <v>Shipment</v>
          </cell>
        </row>
        <row r="2671">
          <cell r="B2671" t="str">
            <v>Shipment</v>
          </cell>
        </row>
        <row r="2672">
          <cell r="B2672" t="str">
            <v>Shipment</v>
          </cell>
        </row>
        <row r="2673">
          <cell r="B2673" t="str">
            <v>Shipment</v>
          </cell>
        </row>
        <row r="2674">
          <cell r="B2674" t="str">
            <v>Shipment</v>
          </cell>
        </row>
        <row r="2675">
          <cell r="B2675" t="str">
            <v>Shipment</v>
          </cell>
        </row>
        <row r="2676">
          <cell r="B2676" t="str">
            <v>Shipment</v>
          </cell>
        </row>
        <row r="2677">
          <cell r="B2677" t="str">
            <v>Shipment</v>
          </cell>
        </row>
        <row r="2678">
          <cell r="B2678" t="str">
            <v>Shipment</v>
          </cell>
        </row>
        <row r="2679">
          <cell r="B2679" t="str">
            <v>Shipment</v>
          </cell>
        </row>
        <row r="2680">
          <cell r="B2680" t="str">
            <v>Shipment</v>
          </cell>
        </row>
        <row r="2681">
          <cell r="B2681" t="str">
            <v>Shipment</v>
          </cell>
        </row>
        <row r="2682">
          <cell r="B2682" t="str">
            <v>Shipment</v>
          </cell>
        </row>
        <row r="2683">
          <cell r="B2683" t="str">
            <v>Shipment</v>
          </cell>
        </row>
        <row r="2684">
          <cell r="B2684" t="str">
            <v>Shipment</v>
          </cell>
        </row>
        <row r="2685">
          <cell r="B2685" t="str">
            <v>Shipment</v>
          </cell>
        </row>
        <row r="2686">
          <cell r="B2686" t="str">
            <v>Shipment</v>
          </cell>
        </row>
        <row r="2687">
          <cell r="B2687" t="str">
            <v>Shipment</v>
          </cell>
        </row>
        <row r="2688">
          <cell r="B2688" t="str">
            <v>Shipment</v>
          </cell>
        </row>
        <row r="2689">
          <cell r="B2689" t="str">
            <v>Shipment</v>
          </cell>
        </row>
        <row r="2690">
          <cell r="B2690" t="str">
            <v>Shipment</v>
          </cell>
        </row>
        <row r="2691">
          <cell r="B2691" t="str">
            <v>Shipment</v>
          </cell>
        </row>
        <row r="2692">
          <cell r="B2692" t="str">
            <v>Shipment</v>
          </cell>
        </row>
        <row r="2693">
          <cell r="B2693" t="str">
            <v>Shipment</v>
          </cell>
        </row>
        <row r="2694">
          <cell r="B2694" t="str">
            <v>Shipment</v>
          </cell>
        </row>
        <row r="2695">
          <cell r="B2695" t="str">
            <v>Shipment</v>
          </cell>
        </row>
        <row r="2696">
          <cell r="B2696" t="str">
            <v>Shipment</v>
          </cell>
        </row>
        <row r="2697">
          <cell r="B2697" t="str">
            <v>Shipment</v>
          </cell>
        </row>
        <row r="2698">
          <cell r="B2698" t="str">
            <v>Shipment</v>
          </cell>
        </row>
        <row r="2699">
          <cell r="B2699" t="str">
            <v>Shipment</v>
          </cell>
        </row>
        <row r="2700">
          <cell r="B2700" t="str">
            <v>Shipment</v>
          </cell>
        </row>
        <row r="2701">
          <cell r="B2701" t="str">
            <v>Shipment</v>
          </cell>
        </row>
        <row r="2702">
          <cell r="B2702" t="str">
            <v>Shipment</v>
          </cell>
        </row>
        <row r="2703">
          <cell r="B2703" t="str">
            <v>Shipment</v>
          </cell>
        </row>
        <row r="2704">
          <cell r="B2704" t="str">
            <v>Shipment</v>
          </cell>
        </row>
        <row r="2705">
          <cell r="B2705" t="str">
            <v>Shipment</v>
          </cell>
        </row>
        <row r="2706">
          <cell r="B2706" t="str">
            <v>Shipment</v>
          </cell>
        </row>
        <row r="2707">
          <cell r="B2707" t="str">
            <v>Shipment</v>
          </cell>
        </row>
        <row r="2708">
          <cell r="B2708" t="str">
            <v>Shipment</v>
          </cell>
        </row>
        <row r="2709">
          <cell r="B2709" t="str">
            <v>Shipment</v>
          </cell>
        </row>
        <row r="2710">
          <cell r="B2710" t="str">
            <v>Shipment</v>
          </cell>
        </row>
        <row r="2711">
          <cell r="B2711" t="str">
            <v>Shipment</v>
          </cell>
        </row>
        <row r="2712">
          <cell r="B2712" t="str">
            <v>Shipment</v>
          </cell>
        </row>
        <row r="2713">
          <cell r="B2713" t="str">
            <v>Shipment</v>
          </cell>
        </row>
        <row r="2714">
          <cell r="B2714" t="str">
            <v>Shipment</v>
          </cell>
        </row>
        <row r="2715">
          <cell r="B2715" t="str">
            <v>Shipment</v>
          </cell>
        </row>
        <row r="2716">
          <cell r="B2716" t="str">
            <v>Shipment</v>
          </cell>
        </row>
        <row r="2717">
          <cell r="B2717" t="str">
            <v>Shipment</v>
          </cell>
        </row>
        <row r="2718">
          <cell r="B2718" t="str">
            <v>Shipment</v>
          </cell>
        </row>
        <row r="2719">
          <cell r="B2719" t="str">
            <v>Shipment</v>
          </cell>
        </row>
        <row r="2720">
          <cell r="B2720" t="str">
            <v>Shipment</v>
          </cell>
        </row>
        <row r="2721">
          <cell r="B2721" t="str">
            <v>Shipment</v>
          </cell>
        </row>
        <row r="2722">
          <cell r="B2722" t="str">
            <v>Shipment</v>
          </cell>
        </row>
        <row r="2723">
          <cell r="B2723" t="str">
            <v>Shipment</v>
          </cell>
        </row>
        <row r="2724">
          <cell r="B2724" t="str">
            <v>Shipment</v>
          </cell>
        </row>
        <row r="2725">
          <cell r="B2725" t="str">
            <v>Shipment</v>
          </cell>
        </row>
        <row r="2726">
          <cell r="B2726" t="str">
            <v>Shipment</v>
          </cell>
        </row>
        <row r="2727">
          <cell r="B2727" t="str">
            <v>Shipment</v>
          </cell>
        </row>
        <row r="2728">
          <cell r="B2728" t="str">
            <v>Shipment</v>
          </cell>
        </row>
        <row r="2729">
          <cell r="B2729" t="str">
            <v>Shipment</v>
          </cell>
        </row>
        <row r="2730">
          <cell r="B2730" t="str">
            <v>Shipment</v>
          </cell>
        </row>
        <row r="2731">
          <cell r="B2731" t="str">
            <v>Shipment</v>
          </cell>
        </row>
        <row r="2732">
          <cell r="B2732" t="str">
            <v>Shipment</v>
          </cell>
        </row>
        <row r="2733">
          <cell r="B2733" t="str">
            <v>Shipment</v>
          </cell>
        </row>
        <row r="2734">
          <cell r="B2734" t="str">
            <v>Shipment</v>
          </cell>
        </row>
        <row r="2735">
          <cell r="B2735" t="str">
            <v>Shipment</v>
          </cell>
        </row>
        <row r="2736">
          <cell r="B2736" t="str">
            <v>Shipment</v>
          </cell>
        </row>
        <row r="2737">
          <cell r="B2737" t="str">
            <v>Shipment</v>
          </cell>
        </row>
        <row r="2738">
          <cell r="B2738" t="str">
            <v>Shipment</v>
          </cell>
        </row>
        <row r="2739">
          <cell r="B2739" t="str">
            <v>Shipment</v>
          </cell>
        </row>
        <row r="2740">
          <cell r="B2740" t="str">
            <v>Shipment</v>
          </cell>
        </row>
        <row r="2741">
          <cell r="B2741" t="str">
            <v>Shipment</v>
          </cell>
        </row>
        <row r="2742">
          <cell r="B2742" t="str">
            <v>Shipment</v>
          </cell>
        </row>
        <row r="2743">
          <cell r="B2743" t="str">
            <v>Shipment</v>
          </cell>
        </row>
        <row r="2744">
          <cell r="B2744" t="str">
            <v>Shipment</v>
          </cell>
        </row>
        <row r="2745">
          <cell r="B2745" t="str">
            <v>Shipment</v>
          </cell>
        </row>
        <row r="2746">
          <cell r="B2746" t="str">
            <v>Shipment</v>
          </cell>
        </row>
        <row r="2747">
          <cell r="B2747" t="str">
            <v>Shipment</v>
          </cell>
        </row>
        <row r="2748">
          <cell r="B2748" t="str">
            <v>Shipment</v>
          </cell>
        </row>
        <row r="2749">
          <cell r="B2749" t="str">
            <v>Shipment</v>
          </cell>
        </row>
        <row r="2750">
          <cell r="B2750" t="str">
            <v>Shipment</v>
          </cell>
        </row>
        <row r="2751">
          <cell r="B2751" t="str">
            <v>Shipment</v>
          </cell>
        </row>
        <row r="2752">
          <cell r="B2752" t="str">
            <v>Shipment</v>
          </cell>
        </row>
        <row r="2753">
          <cell r="B2753" t="str">
            <v>Shipment</v>
          </cell>
        </row>
        <row r="2754">
          <cell r="B2754" t="str">
            <v>Shipment</v>
          </cell>
        </row>
        <row r="2755">
          <cell r="B2755" t="str">
            <v>Shipment</v>
          </cell>
        </row>
        <row r="2756">
          <cell r="B2756" t="str">
            <v>Shipment</v>
          </cell>
        </row>
        <row r="2757">
          <cell r="B2757" t="str">
            <v>Shipment</v>
          </cell>
        </row>
        <row r="2758">
          <cell r="B2758" t="str">
            <v>Shipment</v>
          </cell>
        </row>
        <row r="2759">
          <cell r="B2759" t="str">
            <v>Shipment</v>
          </cell>
        </row>
        <row r="2760">
          <cell r="B2760" t="str">
            <v>Shipment</v>
          </cell>
        </row>
        <row r="2761">
          <cell r="B2761" t="str">
            <v>Shipment</v>
          </cell>
        </row>
        <row r="2762">
          <cell r="B2762" t="str">
            <v>Shipment</v>
          </cell>
        </row>
        <row r="2763">
          <cell r="B2763" t="str">
            <v>Shipment</v>
          </cell>
        </row>
        <row r="2764">
          <cell r="B2764" t="str">
            <v>Shipment</v>
          </cell>
        </row>
        <row r="2765">
          <cell r="B2765" t="str">
            <v>Shipment</v>
          </cell>
        </row>
        <row r="2766">
          <cell r="B2766" t="str">
            <v>Shipment</v>
          </cell>
        </row>
        <row r="2767">
          <cell r="B2767" t="str">
            <v>Shipment</v>
          </cell>
        </row>
        <row r="2768">
          <cell r="B2768" t="str">
            <v>Shipment</v>
          </cell>
        </row>
        <row r="2769">
          <cell r="B2769" t="str">
            <v>Shipment</v>
          </cell>
        </row>
        <row r="2770">
          <cell r="B2770" t="str">
            <v>Shipment</v>
          </cell>
        </row>
        <row r="2771">
          <cell r="B2771" t="str">
            <v>Shipment</v>
          </cell>
        </row>
        <row r="2772">
          <cell r="B2772" t="str">
            <v>Shipment</v>
          </cell>
        </row>
        <row r="2773">
          <cell r="B2773" t="str">
            <v>Shipment</v>
          </cell>
        </row>
        <row r="2774">
          <cell r="B2774" t="str">
            <v>Shipment</v>
          </cell>
        </row>
        <row r="2775">
          <cell r="B2775" t="str">
            <v>Shipment</v>
          </cell>
        </row>
        <row r="2776">
          <cell r="B2776" t="str">
            <v>Shipment</v>
          </cell>
        </row>
        <row r="2777">
          <cell r="B2777" t="str">
            <v>Shipment</v>
          </cell>
        </row>
        <row r="2778">
          <cell r="B2778" t="str">
            <v>Shipment</v>
          </cell>
        </row>
        <row r="2779">
          <cell r="B2779" t="str">
            <v>Shipment</v>
          </cell>
        </row>
        <row r="2780">
          <cell r="B2780" t="str">
            <v>Shipment</v>
          </cell>
        </row>
        <row r="2781">
          <cell r="B2781" t="str">
            <v>Shipment</v>
          </cell>
        </row>
        <row r="2782">
          <cell r="B2782" t="str">
            <v>Shipment</v>
          </cell>
        </row>
        <row r="2783">
          <cell r="B2783" t="str">
            <v>Shipment</v>
          </cell>
        </row>
        <row r="2784">
          <cell r="B2784" t="str">
            <v>Shipment</v>
          </cell>
        </row>
        <row r="2785">
          <cell r="B2785" t="str">
            <v>Shipment</v>
          </cell>
        </row>
        <row r="2786">
          <cell r="B2786" t="str">
            <v>Shipment</v>
          </cell>
        </row>
        <row r="2787">
          <cell r="B2787" t="str">
            <v>Shipment</v>
          </cell>
        </row>
        <row r="2788">
          <cell r="B2788" t="str">
            <v>Shipment</v>
          </cell>
        </row>
        <row r="2789">
          <cell r="B2789" t="str">
            <v>Shipment</v>
          </cell>
        </row>
        <row r="2790">
          <cell r="B2790" t="str">
            <v>Shipment</v>
          </cell>
        </row>
        <row r="2791">
          <cell r="B2791" t="str">
            <v>Shipment</v>
          </cell>
        </row>
        <row r="2792">
          <cell r="B2792" t="str">
            <v>Shipment</v>
          </cell>
        </row>
        <row r="2793">
          <cell r="B2793" t="str">
            <v>Shipment</v>
          </cell>
        </row>
        <row r="2794">
          <cell r="B2794" t="str">
            <v>Shipment</v>
          </cell>
        </row>
        <row r="2795">
          <cell r="B2795" t="str">
            <v>Shipment</v>
          </cell>
        </row>
        <row r="2796">
          <cell r="B2796" t="str">
            <v>Shipment</v>
          </cell>
        </row>
        <row r="2797">
          <cell r="B2797" t="str">
            <v>Shipment</v>
          </cell>
        </row>
        <row r="2798">
          <cell r="B2798" t="str">
            <v>Shipment</v>
          </cell>
        </row>
        <row r="2799">
          <cell r="B2799" t="str">
            <v>Shipment</v>
          </cell>
        </row>
        <row r="2800">
          <cell r="B2800" t="str">
            <v>Shipment</v>
          </cell>
        </row>
        <row r="2801">
          <cell r="B2801" t="str">
            <v>Shipment</v>
          </cell>
        </row>
        <row r="2802">
          <cell r="B2802" t="str">
            <v>Shipment</v>
          </cell>
        </row>
        <row r="2803">
          <cell r="B2803" t="str">
            <v>Shipment</v>
          </cell>
        </row>
        <row r="2804">
          <cell r="B2804" t="str">
            <v>Shipment</v>
          </cell>
        </row>
        <row r="2805">
          <cell r="B2805" t="str">
            <v>Shipment</v>
          </cell>
        </row>
        <row r="2806">
          <cell r="B2806" t="str">
            <v>Shipment</v>
          </cell>
        </row>
        <row r="2807">
          <cell r="B2807" t="str">
            <v>Shipment</v>
          </cell>
        </row>
        <row r="2808">
          <cell r="B2808" t="str">
            <v>Shipment</v>
          </cell>
        </row>
        <row r="2809">
          <cell r="B2809" t="str">
            <v>Shipment</v>
          </cell>
        </row>
        <row r="2810">
          <cell r="B2810" t="str">
            <v>Shipment</v>
          </cell>
        </row>
        <row r="2811">
          <cell r="B2811" t="str">
            <v>Shipment</v>
          </cell>
        </row>
        <row r="2812">
          <cell r="B2812" t="str">
            <v>Shipment</v>
          </cell>
        </row>
        <row r="2813">
          <cell r="B2813" t="str">
            <v>Shipment</v>
          </cell>
        </row>
        <row r="2814">
          <cell r="B2814" t="str">
            <v>Shipment</v>
          </cell>
        </row>
        <row r="2815">
          <cell r="B2815" t="str">
            <v>Shipment</v>
          </cell>
        </row>
        <row r="2816">
          <cell r="B2816" t="str">
            <v>Shipment</v>
          </cell>
        </row>
        <row r="2817">
          <cell r="B2817" t="str">
            <v>Shipment</v>
          </cell>
        </row>
        <row r="2818">
          <cell r="B2818" t="str">
            <v>Shipment</v>
          </cell>
        </row>
        <row r="2819">
          <cell r="B2819" t="str">
            <v>Shipment</v>
          </cell>
        </row>
        <row r="2820">
          <cell r="B2820" t="str">
            <v>Shipment</v>
          </cell>
        </row>
        <row r="2821">
          <cell r="B2821" t="str">
            <v>Shipment</v>
          </cell>
        </row>
        <row r="2822">
          <cell r="B2822" t="str">
            <v>Shipment</v>
          </cell>
        </row>
        <row r="2823">
          <cell r="B2823" t="str">
            <v>Shipment</v>
          </cell>
        </row>
        <row r="2824">
          <cell r="B2824" t="str">
            <v>Shipment</v>
          </cell>
        </row>
        <row r="2825">
          <cell r="B2825" t="str">
            <v>Shipment</v>
          </cell>
        </row>
        <row r="2826">
          <cell r="B2826" t="str">
            <v>Shipment</v>
          </cell>
        </row>
        <row r="2827">
          <cell r="B2827" t="str">
            <v>Shipment</v>
          </cell>
        </row>
        <row r="2828">
          <cell r="B2828" t="str">
            <v>Shipment</v>
          </cell>
        </row>
        <row r="2829">
          <cell r="B2829" t="str">
            <v>Shipment</v>
          </cell>
        </row>
        <row r="2830">
          <cell r="B2830" t="str">
            <v>Shipment</v>
          </cell>
        </row>
        <row r="2831">
          <cell r="B2831" t="str">
            <v>Shipment</v>
          </cell>
        </row>
        <row r="2832">
          <cell r="B2832" t="str">
            <v>Shipment</v>
          </cell>
        </row>
        <row r="2833">
          <cell r="B2833" t="str">
            <v>Shipment</v>
          </cell>
        </row>
        <row r="2834">
          <cell r="B2834" t="str">
            <v>Shipment</v>
          </cell>
        </row>
        <row r="2835">
          <cell r="B2835" t="str">
            <v>Shipment</v>
          </cell>
        </row>
        <row r="2836">
          <cell r="B2836" t="str">
            <v>Shipment</v>
          </cell>
        </row>
        <row r="2837">
          <cell r="B2837" t="str">
            <v>Shipment</v>
          </cell>
        </row>
        <row r="2838">
          <cell r="B2838" t="str">
            <v>Shipment</v>
          </cell>
        </row>
        <row r="2839">
          <cell r="B2839" t="str">
            <v>Shipment</v>
          </cell>
        </row>
        <row r="2840">
          <cell r="B2840" t="str">
            <v>Shipment</v>
          </cell>
        </row>
        <row r="2841">
          <cell r="B2841" t="str">
            <v>Shipment</v>
          </cell>
        </row>
        <row r="2842">
          <cell r="B2842" t="str">
            <v>Shipment</v>
          </cell>
        </row>
        <row r="2843">
          <cell r="B2843" t="str">
            <v>Shipment</v>
          </cell>
        </row>
        <row r="2844">
          <cell r="B2844" t="str">
            <v>Shipment</v>
          </cell>
        </row>
        <row r="2845">
          <cell r="B2845" t="str">
            <v>Shipment</v>
          </cell>
        </row>
        <row r="2846">
          <cell r="B2846" t="str">
            <v>Shipment</v>
          </cell>
        </row>
        <row r="2847">
          <cell r="B2847" t="str">
            <v>Shipment</v>
          </cell>
        </row>
        <row r="2848">
          <cell r="B2848" t="str">
            <v>Shipment</v>
          </cell>
        </row>
        <row r="2849">
          <cell r="B2849" t="str">
            <v>Shipment</v>
          </cell>
        </row>
        <row r="2850">
          <cell r="B2850" t="str">
            <v>Shipment</v>
          </cell>
        </row>
        <row r="2851">
          <cell r="B2851" t="str">
            <v>Shipment</v>
          </cell>
        </row>
        <row r="2852">
          <cell r="B2852" t="str">
            <v>Shipment</v>
          </cell>
        </row>
        <row r="2853">
          <cell r="B2853" t="str">
            <v>Shipment</v>
          </cell>
        </row>
        <row r="2854">
          <cell r="B2854" t="str">
            <v>Shipment</v>
          </cell>
        </row>
        <row r="2855">
          <cell r="B2855" t="str">
            <v>Shipment</v>
          </cell>
        </row>
        <row r="2856">
          <cell r="B2856" t="str">
            <v>Shipment</v>
          </cell>
        </row>
        <row r="2857">
          <cell r="B2857" t="str">
            <v>Shipment</v>
          </cell>
        </row>
        <row r="2858">
          <cell r="B2858" t="str">
            <v>Shipment</v>
          </cell>
        </row>
        <row r="2859">
          <cell r="B2859" t="str">
            <v>Shipment</v>
          </cell>
        </row>
        <row r="2860">
          <cell r="B2860" t="str">
            <v>Shipment</v>
          </cell>
        </row>
        <row r="2861">
          <cell r="B2861" t="str">
            <v>Shipment</v>
          </cell>
        </row>
        <row r="2862">
          <cell r="B2862" t="str">
            <v>Shipment</v>
          </cell>
        </row>
        <row r="2863">
          <cell r="B2863" t="str">
            <v>Shipment</v>
          </cell>
        </row>
        <row r="2864">
          <cell r="B2864" t="str">
            <v>Shipment</v>
          </cell>
        </row>
        <row r="2865">
          <cell r="B2865" t="str">
            <v>Shipment</v>
          </cell>
        </row>
        <row r="2866">
          <cell r="B2866" t="str">
            <v>Shipment</v>
          </cell>
        </row>
        <row r="2867">
          <cell r="B2867" t="str">
            <v>Shipment</v>
          </cell>
        </row>
        <row r="2868">
          <cell r="B2868" t="str">
            <v>Shipment</v>
          </cell>
        </row>
        <row r="2869">
          <cell r="B2869" t="str">
            <v>Shipment</v>
          </cell>
        </row>
        <row r="2870">
          <cell r="B2870" t="str">
            <v>Shipment</v>
          </cell>
        </row>
        <row r="2871">
          <cell r="B2871" t="str">
            <v>Shipment</v>
          </cell>
        </row>
        <row r="2872">
          <cell r="B2872" t="str">
            <v>Shipment</v>
          </cell>
        </row>
        <row r="2873">
          <cell r="B2873" t="str">
            <v>Shipment</v>
          </cell>
        </row>
        <row r="2874">
          <cell r="B2874" t="str">
            <v>Shipment</v>
          </cell>
        </row>
        <row r="2875">
          <cell r="B2875" t="str">
            <v>Shipment</v>
          </cell>
        </row>
        <row r="2876">
          <cell r="B2876" t="str">
            <v>Shipment</v>
          </cell>
        </row>
        <row r="2877">
          <cell r="B2877" t="str">
            <v>Shipment</v>
          </cell>
        </row>
        <row r="2878">
          <cell r="B2878" t="str">
            <v>Shipment</v>
          </cell>
        </row>
        <row r="2879">
          <cell r="B2879" t="str">
            <v>Shipment</v>
          </cell>
        </row>
        <row r="2880">
          <cell r="B2880" t="str">
            <v>Shipment</v>
          </cell>
        </row>
        <row r="2881">
          <cell r="B2881" t="str">
            <v>Shipment</v>
          </cell>
        </row>
        <row r="2882">
          <cell r="B2882" t="str">
            <v>Shipment</v>
          </cell>
        </row>
        <row r="2883">
          <cell r="B2883" t="str">
            <v>Shipment</v>
          </cell>
        </row>
        <row r="2884">
          <cell r="B2884" t="str">
            <v>Shipment</v>
          </cell>
        </row>
        <row r="2885">
          <cell r="B2885" t="str">
            <v>Shipment</v>
          </cell>
        </row>
        <row r="2886">
          <cell r="B2886" t="str">
            <v>Shipment</v>
          </cell>
        </row>
        <row r="2887">
          <cell r="B2887" t="str">
            <v>Shipment</v>
          </cell>
        </row>
        <row r="2888">
          <cell r="B2888" t="str">
            <v>Shipment</v>
          </cell>
        </row>
        <row r="2889">
          <cell r="B2889" t="str">
            <v>Shipment</v>
          </cell>
        </row>
        <row r="2890">
          <cell r="B2890" t="str">
            <v>Shipment</v>
          </cell>
        </row>
        <row r="2891">
          <cell r="B2891" t="str">
            <v>Shipment</v>
          </cell>
        </row>
        <row r="2892">
          <cell r="B2892" t="str">
            <v>Shipment</v>
          </cell>
        </row>
        <row r="2893">
          <cell r="B2893" t="str">
            <v>Shipment</v>
          </cell>
        </row>
        <row r="2894">
          <cell r="B2894" t="str">
            <v>Shipment</v>
          </cell>
        </row>
        <row r="2895">
          <cell r="B2895" t="str">
            <v>Shipment</v>
          </cell>
        </row>
        <row r="2896">
          <cell r="B2896" t="str">
            <v>Shipment</v>
          </cell>
        </row>
        <row r="2897">
          <cell r="B2897" t="str">
            <v>Shipment</v>
          </cell>
        </row>
        <row r="2898">
          <cell r="B2898" t="str">
            <v>Shipment</v>
          </cell>
        </row>
        <row r="2899">
          <cell r="B2899" t="str">
            <v>Shipment</v>
          </cell>
        </row>
        <row r="2900">
          <cell r="B2900" t="str">
            <v>Shipment</v>
          </cell>
        </row>
        <row r="2901">
          <cell r="B2901" t="str">
            <v>Shipment</v>
          </cell>
        </row>
        <row r="2902">
          <cell r="B2902" t="str">
            <v>Shipment</v>
          </cell>
        </row>
        <row r="2903">
          <cell r="B2903" t="str">
            <v>Shipment</v>
          </cell>
        </row>
        <row r="2904">
          <cell r="B2904" t="str">
            <v>Shipment</v>
          </cell>
        </row>
        <row r="2905">
          <cell r="B2905" t="str">
            <v>Shipment</v>
          </cell>
        </row>
        <row r="2906">
          <cell r="B2906" t="str">
            <v>Shipment</v>
          </cell>
        </row>
        <row r="2907">
          <cell r="B2907" t="str">
            <v>Shipment</v>
          </cell>
        </row>
        <row r="2908">
          <cell r="B2908" t="str">
            <v>Shipment</v>
          </cell>
        </row>
        <row r="2909">
          <cell r="B2909" t="str">
            <v>Shipment</v>
          </cell>
        </row>
        <row r="2910">
          <cell r="B2910" t="str">
            <v>Shipment</v>
          </cell>
        </row>
        <row r="2911">
          <cell r="B2911" t="str">
            <v>Shipment</v>
          </cell>
        </row>
        <row r="2912">
          <cell r="B2912" t="str">
            <v>Shipment</v>
          </cell>
        </row>
        <row r="2913">
          <cell r="B2913" t="str">
            <v>Shipment</v>
          </cell>
        </row>
        <row r="2914">
          <cell r="B2914" t="str">
            <v>Shipment</v>
          </cell>
        </row>
        <row r="2915">
          <cell r="B2915" t="str">
            <v>Shipment</v>
          </cell>
        </row>
        <row r="2916">
          <cell r="B2916" t="str">
            <v>Shipment</v>
          </cell>
        </row>
        <row r="2917">
          <cell r="B2917" t="str">
            <v>Shipment</v>
          </cell>
        </row>
        <row r="2918">
          <cell r="B2918" t="str">
            <v>Shipment</v>
          </cell>
        </row>
        <row r="2919">
          <cell r="B2919" t="str">
            <v>Shipment</v>
          </cell>
        </row>
        <row r="2920">
          <cell r="B2920" t="str">
            <v>Shipment</v>
          </cell>
        </row>
        <row r="2921">
          <cell r="B2921" t="str">
            <v>Shipment</v>
          </cell>
        </row>
        <row r="2922">
          <cell r="B2922" t="str">
            <v>Shipment</v>
          </cell>
        </row>
        <row r="2923">
          <cell r="B2923" t="str">
            <v>Shipment</v>
          </cell>
        </row>
        <row r="2924">
          <cell r="B2924" t="str">
            <v>Shipment</v>
          </cell>
        </row>
        <row r="2925">
          <cell r="B2925" t="str">
            <v>Shipment</v>
          </cell>
        </row>
        <row r="2926">
          <cell r="B2926" t="str">
            <v>Shipment</v>
          </cell>
        </row>
        <row r="2927">
          <cell r="B2927" t="str">
            <v>Shipment</v>
          </cell>
        </row>
        <row r="2928">
          <cell r="B2928" t="str">
            <v>Shipment</v>
          </cell>
        </row>
        <row r="2929">
          <cell r="B2929" t="str">
            <v>Shipment</v>
          </cell>
        </row>
        <row r="2930">
          <cell r="B2930" t="str">
            <v>Shipment</v>
          </cell>
        </row>
        <row r="2931">
          <cell r="B2931" t="str">
            <v>Shipment</v>
          </cell>
        </row>
        <row r="2932">
          <cell r="B2932" t="str">
            <v>Shipment</v>
          </cell>
        </row>
        <row r="2933">
          <cell r="B2933" t="str">
            <v>Shipment</v>
          </cell>
        </row>
        <row r="2934">
          <cell r="B2934" t="str">
            <v>Shipment</v>
          </cell>
        </row>
        <row r="2935">
          <cell r="B2935" t="str">
            <v>Shipment</v>
          </cell>
        </row>
        <row r="2936">
          <cell r="B2936" t="str">
            <v>Shipment</v>
          </cell>
        </row>
        <row r="2937">
          <cell r="B2937" t="str">
            <v>Shipment</v>
          </cell>
        </row>
        <row r="2938">
          <cell r="B2938" t="str">
            <v>Shipment</v>
          </cell>
        </row>
        <row r="2939">
          <cell r="B2939" t="str">
            <v>Shipment</v>
          </cell>
        </row>
        <row r="2940">
          <cell r="B2940" t="str">
            <v>Shipment</v>
          </cell>
        </row>
        <row r="2941">
          <cell r="B2941" t="str">
            <v>Shipment</v>
          </cell>
        </row>
        <row r="2942">
          <cell r="B2942" t="str">
            <v>Shipment</v>
          </cell>
        </row>
        <row r="2943">
          <cell r="B2943" t="str">
            <v>Shipment</v>
          </cell>
        </row>
        <row r="2944">
          <cell r="B2944" t="str">
            <v>Shipment</v>
          </cell>
        </row>
        <row r="2945">
          <cell r="B2945" t="str">
            <v>Shipment</v>
          </cell>
        </row>
        <row r="2946">
          <cell r="B2946" t="str">
            <v>Shipment</v>
          </cell>
        </row>
        <row r="2947">
          <cell r="B2947" t="str">
            <v>Shipment</v>
          </cell>
        </row>
        <row r="2948">
          <cell r="B2948" t="str">
            <v>Shipment</v>
          </cell>
        </row>
        <row r="2949">
          <cell r="B2949" t="str">
            <v>Shipment</v>
          </cell>
        </row>
        <row r="2950">
          <cell r="B2950" t="str">
            <v>Shipment</v>
          </cell>
        </row>
        <row r="2951">
          <cell r="B2951" t="str">
            <v>Shipment</v>
          </cell>
        </row>
        <row r="2952">
          <cell r="B2952" t="str">
            <v>Shipment</v>
          </cell>
        </row>
        <row r="2953">
          <cell r="B2953" t="str">
            <v>Shipment</v>
          </cell>
        </row>
        <row r="2954">
          <cell r="B2954" t="str">
            <v>Shipment</v>
          </cell>
        </row>
        <row r="2955">
          <cell r="B2955" t="str">
            <v>Shipment</v>
          </cell>
        </row>
        <row r="2956">
          <cell r="B2956" t="str">
            <v>Shipment</v>
          </cell>
        </row>
        <row r="2957">
          <cell r="B2957" t="str">
            <v>Shipment</v>
          </cell>
        </row>
        <row r="2958">
          <cell r="B2958" t="str">
            <v>Shipment</v>
          </cell>
        </row>
        <row r="2959">
          <cell r="B2959" t="str">
            <v>Shipment</v>
          </cell>
        </row>
        <row r="2960">
          <cell r="B2960" t="str">
            <v>Shipment</v>
          </cell>
        </row>
        <row r="2961">
          <cell r="B2961" t="str">
            <v>Shipment</v>
          </cell>
        </row>
        <row r="2962">
          <cell r="B2962" t="str">
            <v>Shipment</v>
          </cell>
        </row>
        <row r="2963">
          <cell r="B2963" t="str">
            <v>Shipment</v>
          </cell>
        </row>
        <row r="2964">
          <cell r="B2964" t="str">
            <v>Shipment</v>
          </cell>
        </row>
        <row r="2965">
          <cell r="B2965" t="str">
            <v>Shipment</v>
          </cell>
        </row>
        <row r="2966">
          <cell r="B2966" t="str">
            <v>Shipment</v>
          </cell>
        </row>
        <row r="2967">
          <cell r="B2967" t="str">
            <v>Shipment</v>
          </cell>
        </row>
        <row r="2968">
          <cell r="B2968" t="str">
            <v>Shipment</v>
          </cell>
        </row>
        <row r="2969">
          <cell r="B2969" t="str">
            <v>Shipment</v>
          </cell>
        </row>
        <row r="2970">
          <cell r="B2970" t="str">
            <v>Shipment</v>
          </cell>
        </row>
        <row r="2971">
          <cell r="B2971" t="str">
            <v>Shipment</v>
          </cell>
        </row>
        <row r="2972">
          <cell r="B2972" t="str">
            <v>Shipment</v>
          </cell>
        </row>
        <row r="2973">
          <cell r="B2973" t="str">
            <v>Shipment</v>
          </cell>
        </row>
        <row r="2974">
          <cell r="B2974" t="str">
            <v>Shipment</v>
          </cell>
        </row>
        <row r="2975">
          <cell r="B2975" t="str">
            <v>Shipment</v>
          </cell>
        </row>
        <row r="2976">
          <cell r="B2976" t="str">
            <v>Shipment</v>
          </cell>
        </row>
        <row r="2977">
          <cell r="B2977" t="str">
            <v>Shipment</v>
          </cell>
        </row>
        <row r="2978">
          <cell r="B2978" t="str">
            <v>Shipment</v>
          </cell>
        </row>
        <row r="2979">
          <cell r="B2979" t="str">
            <v>Shipment</v>
          </cell>
        </row>
        <row r="2980">
          <cell r="B2980" t="str">
            <v>Shipment</v>
          </cell>
        </row>
        <row r="2981">
          <cell r="B2981" t="str">
            <v>Shipment</v>
          </cell>
        </row>
        <row r="2982">
          <cell r="B2982" t="str">
            <v>Shipment</v>
          </cell>
        </row>
        <row r="2983">
          <cell r="B2983" t="str">
            <v>Shipment</v>
          </cell>
        </row>
        <row r="2984">
          <cell r="B2984" t="str">
            <v>Shipment</v>
          </cell>
        </row>
        <row r="2985">
          <cell r="B2985" t="str">
            <v>Shipment</v>
          </cell>
        </row>
        <row r="2986">
          <cell r="B2986" t="str">
            <v>Shipment</v>
          </cell>
        </row>
        <row r="2987">
          <cell r="B2987" t="str">
            <v>Shipment</v>
          </cell>
        </row>
        <row r="2988">
          <cell r="B2988" t="str">
            <v>Shipment</v>
          </cell>
        </row>
        <row r="2989">
          <cell r="B2989" t="str">
            <v>Shipment</v>
          </cell>
        </row>
        <row r="2990">
          <cell r="B2990" t="str">
            <v>Shipment</v>
          </cell>
        </row>
        <row r="2991">
          <cell r="B2991" t="str">
            <v>Shipment</v>
          </cell>
        </row>
        <row r="2992">
          <cell r="B2992" t="str">
            <v>Shipment</v>
          </cell>
        </row>
        <row r="2993">
          <cell r="B2993" t="str">
            <v>Shipment</v>
          </cell>
        </row>
        <row r="2994">
          <cell r="B2994" t="str">
            <v>Shipment</v>
          </cell>
        </row>
        <row r="2995">
          <cell r="B2995" t="str">
            <v>Shipment</v>
          </cell>
        </row>
        <row r="2996">
          <cell r="B2996" t="str">
            <v>Shipment</v>
          </cell>
        </row>
        <row r="2997">
          <cell r="B2997" t="str">
            <v>Shipment</v>
          </cell>
        </row>
        <row r="2998">
          <cell r="B2998" t="str">
            <v>Shipment</v>
          </cell>
        </row>
        <row r="2999">
          <cell r="B2999" t="str">
            <v>Shipment</v>
          </cell>
        </row>
        <row r="3000">
          <cell r="B3000" t="str">
            <v>Shipment</v>
          </cell>
        </row>
        <row r="3001">
          <cell r="B3001" t="str">
            <v>Shipment</v>
          </cell>
        </row>
        <row r="3002">
          <cell r="B3002" t="str">
            <v>Shipment</v>
          </cell>
        </row>
        <row r="3003">
          <cell r="B3003" t="str">
            <v>Shipment</v>
          </cell>
        </row>
        <row r="3004">
          <cell r="B3004" t="str">
            <v>Shipment</v>
          </cell>
        </row>
        <row r="3005">
          <cell r="B3005" t="str">
            <v>Shipment</v>
          </cell>
        </row>
        <row r="3006">
          <cell r="B3006" t="str">
            <v>Shipment</v>
          </cell>
        </row>
        <row r="3007">
          <cell r="B3007" t="str">
            <v>Shipment</v>
          </cell>
        </row>
        <row r="3008">
          <cell r="B3008" t="str">
            <v>Shipment</v>
          </cell>
        </row>
        <row r="3009">
          <cell r="B3009" t="str">
            <v>Shipment</v>
          </cell>
        </row>
        <row r="3010">
          <cell r="B3010" t="str">
            <v>Shipment</v>
          </cell>
        </row>
        <row r="3011">
          <cell r="B3011" t="str">
            <v>Shipment</v>
          </cell>
        </row>
        <row r="3012">
          <cell r="B3012" t="str">
            <v>Shipment</v>
          </cell>
        </row>
        <row r="3013">
          <cell r="B3013" t="str">
            <v>Shipment</v>
          </cell>
        </row>
        <row r="3014">
          <cell r="B3014" t="str">
            <v>Shipment</v>
          </cell>
        </row>
        <row r="3015">
          <cell r="B3015" t="str">
            <v>Shipment</v>
          </cell>
        </row>
        <row r="3016">
          <cell r="B3016" t="str">
            <v>Shipment</v>
          </cell>
        </row>
        <row r="3017">
          <cell r="B3017" t="str">
            <v>Shipment</v>
          </cell>
        </row>
        <row r="3018">
          <cell r="B3018" t="str">
            <v>Shipment</v>
          </cell>
        </row>
        <row r="3019">
          <cell r="B3019" t="str">
            <v>Shipment</v>
          </cell>
        </row>
        <row r="3020">
          <cell r="B3020" t="str">
            <v>Shipment</v>
          </cell>
        </row>
        <row r="3021">
          <cell r="B3021" t="str">
            <v>Shipment</v>
          </cell>
        </row>
        <row r="3022">
          <cell r="B3022" t="str">
            <v>Shipment</v>
          </cell>
        </row>
        <row r="3023">
          <cell r="B3023" t="str">
            <v>Shipment</v>
          </cell>
        </row>
        <row r="3024">
          <cell r="B3024" t="str">
            <v>Shipment</v>
          </cell>
        </row>
        <row r="3025">
          <cell r="B3025" t="str">
            <v>Shipment</v>
          </cell>
        </row>
        <row r="3026">
          <cell r="B3026" t="str">
            <v>Shipment</v>
          </cell>
        </row>
        <row r="3027">
          <cell r="B3027" t="str">
            <v>Shipment</v>
          </cell>
        </row>
        <row r="3028">
          <cell r="B3028" t="str">
            <v>Shipment</v>
          </cell>
        </row>
        <row r="3029">
          <cell r="B3029" t="str">
            <v>Shipment</v>
          </cell>
        </row>
        <row r="3030">
          <cell r="B3030" t="str">
            <v>Shipment</v>
          </cell>
        </row>
        <row r="3031">
          <cell r="B3031" t="str">
            <v>Shipment</v>
          </cell>
        </row>
        <row r="3032">
          <cell r="B3032" t="str">
            <v>Shipment</v>
          </cell>
        </row>
        <row r="3033">
          <cell r="B3033" t="str">
            <v>Shipment</v>
          </cell>
        </row>
        <row r="3034">
          <cell r="B3034" t="str">
            <v>Shipment</v>
          </cell>
        </row>
        <row r="3035">
          <cell r="B3035" t="str">
            <v>Shipment</v>
          </cell>
        </row>
        <row r="3036">
          <cell r="B3036" t="str">
            <v>Shipment</v>
          </cell>
        </row>
        <row r="3037">
          <cell r="B3037" t="str">
            <v>Shipment</v>
          </cell>
        </row>
        <row r="3038">
          <cell r="B3038" t="str">
            <v>Shipment</v>
          </cell>
        </row>
        <row r="3039">
          <cell r="B3039" t="str">
            <v>Shipment</v>
          </cell>
        </row>
        <row r="3040">
          <cell r="B3040" t="str">
            <v>Shipment</v>
          </cell>
        </row>
        <row r="3041">
          <cell r="B3041" t="str">
            <v>Shipment</v>
          </cell>
        </row>
        <row r="3042">
          <cell r="B3042" t="str">
            <v>Shipment</v>
          </cell>
        </row>
        <row r="3043">
          <cell r="B3043" t="str">
            <v>Shipment</v>
          </cell>
        </row>
        <row r="3044">
          <cell r="B3044" t="str">
            <v>Shipment</v>
          </cell>
        </row>
        <row r="3045">
          <cell r="B3045" t="str">
            <v>Shipment</v>
          </cell>
        </row>
        <row r="3046">
          <cell r="B3046" t="str">
            <v>Shipment</v>
          </cell>
        </row>
        <row r="3047">
          <cell r="B3047" t="str">
            <v>Shipment</v>
          </cell>
        </row>
        <row r="3048">
          <cell r="B3048" t="str">
            <v>Shipment</v>
          </cell>
        </row>
        <row r="3049">
          <cell r="B3049" t="str">
            <v>Shipment</v>
          </cell>
        </row>
        <row r="3050">
          <cell r="B3050" t="str">
            <v>Shipment</v>
          </cell>
        </row>
        <row r="3051">
          <cell r="B3051" t="str">
            <v>Shipment</v>
          </cell>
        </row>
        <row r="3052">
          <cell r="B3052" t="str">
            <v>Shipment</v>
          </cell>
        </row>
        <row r="3053">
          <cell r="B3053" t="str">
            <v>Shipment</v>
          </cell>
        </row>
        <row r="3054">
          <cell r="B3054" t="str">
            <v>Shipment</v>
          </cell>
        </row>
        <row r="3055">
          <cell r="B3055" t="str">
            <v>Shipment</v>
          </cell>
        </row>
        <row r="3056">
          <cell r="B3056" t="str">
            <v>Shipment</v>
          </cell>
        </row>
        <row r="3057">
          <cell r="B3057" t="str">
            <v>Shipment</v>
          </cell>
        </row>
        <row r="3058">
          <cell r="B3058" t="str">
            <v>Shipment</v>
          </cell>
        </row>
        <row r="3059">
          <cell r="B3059" t="str">
            <v>Shipment</v>
          </cell>
        </row>
        <row r="3060">
          <cell r="B3060" t="str">
            <v>Shipment</v>
          </cell>
        </row>
        <row r="3061">
          <cell r="B3061" t="str">
            <v>Shipment</v>
          </cell>
        </row>
        <row r="3062">
          <cell r="B3062" t="str">
            <v>Shipment</v>
          </cell>
        </row>
        <row r="3063">
          <cell r="B3063" t="str">
            <v>Shipment</v>
          </cell>
        </row>
        <row r="3064">
          <cell r="B3064" t="str">
            <v>Shipment</v>
          </cell>
        </row>
        <row r="3065">
          <cell r="B3065" t="str">
            <v>Shipment</v>
          </cell>
        </row>
        <row r="3066">
          <cell r="B3066" t="str">
            <v>Shipment</v>
          </cell>
        </row>
        <row r="3067">
          <cell r="B3067" t="str">
            <v>Shipment</v>
          </cell>
        </row>
        <row r="3068">
          <cell r="B3068" t="str">
            <v>Shipment</v>
          </cell>
        </row>
        <row r="3069">
          <cell r="B3069" t="str">
            <v>Shipment</v>
          </cell>
        </row>
        <row r="3070">
          <cell r="B3070" t="str">
            <v>Shipment</v>
          </cell>
        </row>
        <row r="3071">
          <cell r="B3071" t="str">
            <v>Shipment</v>
          </cell>
        </row>
        <row r="3072">
          <cell r="B3072" t="str">
            <v>Shipment</v>
          </cell>
        </row>
        <row r="3073">
          <cell r="B3073" t="str">
            <v>Shipment</v>
          </cell>
        </row>
        <row r="3074">
          <cell r="B3074" t="str">
            <v>Shipment</v>
          </cell>
        </row>
        <row r="3075">
          <cell r="B3075" t="str">
            <v>Shipment</v>
          </cell>
        </row>
        <row r="3076">
          <cell r="B3076" t="str">
            <v>Shipment</v>
          </cell>
        </row>
        <row r="3077">
          <cell r="B3077" t="str">
            <v>Shipment</v>
          </cell>
        </row>
        <row r="3078">
          <cell r="B3078" t="str">
            <v>Shipment</v>
          </cell>
        </row>
        <row r="3079">
          <cell r="B3079" t="str">
            <v>Shipment</v>
          </cell>
        </row>
        <row r="3080">
          <cell r="B3080" t="str">
            <v>Shipment</v>
          </cell>
        </row>
        <row r="3081">
          <cell r="B3081" t="str">
            <v>Shipment</v>
          </cell>
        </row>
        <row r="3082">
          <cell r="B3082" t="str">
            <v>Shipment</v>
          </cell>
        </row>
        <row r="3083">
          <cell r="B3083" t="str">
            <v>Shipment</v>
          </cell>
        </row>
        <row r="3084">
          <cell r="B3084" t="str">
            <v>Shipment</v>
          </cell>
        </row>
        <row r="3085">
          <cell r="B3085" t="str">
            <v>Shipment</v>
          </cell>
        </row>
        <row r="3086">
          <cell r="B3086" t="str">
            <v>Shipment</v>
          </cell>
        </row>
        <row r="3087">
          <cell r="B3087" t="str">
            <v>Shipment</v>
          </cell>
        </row>
        <row r="3088">
          <cell r="B3088" t="str">
            <v>Shipment</v>
          </cell>
        </row>
        <row r="3089">
          <cell r="B3089" t="str">
            <v>Shipment</v>
          </cell>
        </row>
        <row r="3090">
          <cell r="B3090" t="str">
            <v>Shipment</v>
          </cell>
        </row>
        <row r="3091">
          <cell r="B3091" t="str">
            <v>Shipment</v>
          </cell>
        </row>
        <row r="3092">
          <cell r="B3092" t="str">
            <v>Shipment</v>
          </cell>
        </row>
        <row r="3093">
          <cell r="B3093" t="str">
            <v>Shipment</v>
          </cell>
        </row>
        <row r="3094">
          <cell r="B3094" t="str">
            <v>Shipment</v>
          </cell>
        </row>
        <row r="3095">
          <cell r="B3095" t="str">
            <v>Shipment</v>
          </cell>
        </row>
        <row r="3096">
          <cell r="B3096" t="str">
            <v>Shipment</v>
          </cell>
        </row>
        <row r="3097">
          <cell r="B3097" t="str">
            <v>Shipment</v>
          </cell>
        </row>
        <row r="3098">
          <cell r="B3098" t="str">
            <v>Shipment</v>
          </cell>
        </row>
        <row r="3099">
          <cell r="B3099" t="str">
            <v>Shipment</v>
          </cell>
        </row>
        <row r="3100">
          <cell r="B3100" t="str">
            <v>Shipment</v>
          </cell>
        </row>
        <row r="3101">
          <cell r="B3101" t="str">
            <v>Shipment</v>
          </cell>
        </row>
        <row r="3102">
          <cell r="B3102" t="str">
            <v>Shipment</v>
          </cell>
        </row>
        <row r="3103">
          <cell r="B3103" t="str">
            <v>Shipment</v>
          </cell>
        </row>
        <row r="3104">
          <cell r="B3104" t="str">
            <v>Shipment</v>
          </cell>
        </row>
        <row r="3105">
          <cell r="B3105" t="str">
            <v>Shipment</v>
          </cell>
        </row>
        <row r="3106">
          <cell r="B3106" t="str">
            <v>Shipment</v>
          </cell>
        </row>
        <row r="3107">
          <cell r="B3107" t="str">
            <v>Shipment</v>
          </cell>
        </row>
        <row r="3108">
          <cell r="B3108" t="str">
            <v>Shipment</v>
          </cell>
        </row>
        <row r="3109">
          <cell r="B3109" t="str">
            <v>Shipment</v>
          </cell>
        </row>
        <row r="3110">
          <cell r="B3110" t="str">
            <v>Shipment</v>
          </cell>
        </row>
        <row r="3111">
          <cell r="B3111" t="str">
            <v>Shipment</v>
          </cell>
        </row>
        <row r="3112">
          <cell r="B3112" t="str">
            <v>Shipment</v>
          </cell>
        </row>
        <row r="3113">
          <cell r="B3113" t="str">
            <v>Shipment</v>
          </cell>
        </row>
        <row r="3114">
          <cell r="B3114" t="str">
            <v>Shipment</v>
          </cell>
        </row>
        <row r="3115">
          <cell r="B3115" t="str">
            <v>Shipment</v>
          </cell>
        </row>
        <row r="3116">
          <cell r="B3116" t="str">
            <v>Shipment</v>
          </cell>
        </row>
        <row r="3117">
          <cell r="B3117" t="str">
            <v>Shipment</v>
          </cell>
        </row>
        <row r="3118">
          <cell r="B3118" t="str">
            <v>Shipment</v>
          </cell>
        </row>
        <row r="3119">
          <cell r="B3119" t="str">
            <v>Shipment</v>
          </cell>
        </row>
        <row r="3120">
          <cell r="B3120" t="str">
            <v>Shipment</v>
          </cell>
        </row>
        <row r="3121">
          <cell r="B3121" t="str">
            <v>Shipment</v>
          </cell>
        </row>
        <row r="3122">
          <cell r="B3122" t="str">
            <v>Shipment</v>
          </cell>
        </row>
        <row r="3123">
          <cell r="B3123" t="str">
            <v>Shipment</v>
          </cell>
        </row>
        <row r="3124">
          <cell r="B3124" t="str">
            <v>Shipment</v>
          </cell>
        </row>
        <row r="3125">
          <cell r="B3125" t="str">
            <v>Shipment</v>
          </cell>
        </row>
        <row r="3126">
          <cell r="B3126" t="str">
            <v>Shipment</v>
          </cell>
        </row>
        <row r="3127">
          <cell r="B3127" t="str">
            <v>Shipment</v>
          </cell>
        </row>
        <row r="3128">
          <cell r="B3128" t="str">
            <v>Shipment</v>
          </cell>
        </row>
        <row r="3129">
          <cell r="B3129" t="str">
            <v>Shipment</v>
          </cell>
        </row>
        <row r="3130">
          <cell r="B3130" t="str">
            <v>Shipment</v>
          </cell>
        </row>
        <row r="3131">
          <cell r="B3131" t="str">
            <v>Shipment</v>
          </cell>
        </row>
        <row r="3132">
          <cell r="B3132" t="str">
            <v>Shipment</v>
          </cell>
        </row>
        <row r="3133">
          <cell r="B3133" t="str">
            <v>Shipment</v>
          </cell>
        </row>
        <row r="3134">
          <cell r="B3134" t="str">
            <v>Shipment</v>
          </cell>
        </row>
        <row r="3135">
          <cell r="B3135" t="str">
            <v>Shipment</v>
          </cell>
        </row>
        <row r="3136">
          <cell r="B3136" t="str">
            <v>Shipment</v>
          </cell>
        </row>
        <row r="3137">
          <cell r="B3137" t="str">
            <v>Shipment</v>
          </cell>
        </row>
        <row r="3138">
          <cell r="B3138" t="str">
            <v>Shipment</v>
          </cell>
        </row>
        <row r="3139">
          <cell r="B3139" t="str">
            <v>Shipment</v>
          </cell>
        </row>
        <row r="3140">
          <cell r="B3140" t="str">
            <v>Shipment</v>
          </cell>
        </row>
        <row r="3141">
          <cell r="B3141" t="str">
            <v>Shipment</v>
          </cell>
        </row>
        <row r="3142">
          <cell r="B3142" t="str">
            <v>Shipment</v>
          </cell>
        </row>
        <row r="3143">
          <cell r="B3143" t="str">
            <v>Shipment</v>
          </cell>
        </row>
        <row r="3144">
          <cell r="B3144" t="str">
            <v>Shipment</v>
          </cell>
        </row>
        <row r="3145">
          <cell r="B3145" t="str">
            <v>Shipment</v>
          </cell>
        </row>
        <row r="3146">
          <cell r="B3146" t="str">
            <v>Shipment</v>
          </cell>
        </row>
        <row r="3147">
          <cell r="B3147" t="str">
            <v>Shipment</v>
          </cell>
        </row>
        <row r="3148">
          <cell r="B3148" t="str">
            <v>Shipment</v>
          </cell>
        </row>
        <row r="3149">
          <cell r="B3149" t="str">
            <v>Shipment</v>
          </cell>
        </row>
        <row r="3150">
          <cell r="B3150" t="str">
            <v>Shipment</v>
          </cell>
        </row>
        <row r="3151">
          <cell r="B3151" t="str">
            <v>Shipment</v>
          </cell>
        </row>
        <row r="3152">
          <cell r="B3152" t="str">
            <v>Shipment</v>
          </cell>
        </row>
        <row r="3153">
          <cell r="B3153" t="str">
            <v>Shipment</v>
          </cell>
        </row>
        <row r="3154">
          <cell r="B3154" t="str">
            <v>Shipment</v>
          </cell>
        </row>
        <row r="3155">
          <cell r="B3155" t="str">
            <v>Shipment</v>
          </cell>
        </row>
        <row r="3156">
          <cell r="B3156" t="str">
            <v>Shipment</v>
          </cell>
        </row>
        <row r="3157">
          <cell r="B3157" t="str">
            <v>Shipment</v>
          </cell>
        </row>
        <row r="3158">
          <cell r="B3158" t="str">
            <v>Shipment</v>
          </cell>
        </row>
        <row r="3159">
          <cell r="B3159" t="str">
            <v>Shipment</v>
          </cell>
        </row>
        <row r="3160">
          <cell r="B3160" t="str">
            <v>Shipment</v>
          </cell>
        </row>
        <row r="3161">
          <cell r="B3161" t="str">
            <v>Shipment</v>
          </cell>
        </row>
        <row r="3162">
          <cell r="B3162" t="str">
            <v>Shipment</v>
          </cell>
        </row>
        <row r="3163">
          <cell r="B3163" t="str">
            <v>Shipment</v>
          </cell>
        </row>
        <row r="3164">
          <cell r="B3164" t="str">
            <v>Shipment</v>
          </cell>
        </row>
        <row r="3165">
          <cell r="B3165" t="str">
            <v>Shipment</v>
          </cell>
        </row>
        <row r="3166">
          <cell r="B3166" t="str">
            <v>Shipment</v>
          </cell>
        </row>
        <row r="3167">
          <cell r="B3167" t="str">
            <v>Shipment</v>
          </cell>
        </row>
        <row r="3168">
          <cell r="B3168" t="str">
            <v>Shipment</v>
          </cell>
        </row>
        <row r="3169">
          <cell r="B3169" t="str">
            <v>Shipment</v>
          </cell>
        </row>
        <row r="3170">
          <cell r="B3170" t="str">
            <v>Shipment</v>
          </cell>
        </row>
        <row r="3171">
          <cell r="B3171" t="str">
            <v>Shipment</v>
          </cell>
        </row>
        <row r="3172">
          <cell r="B3172" t="str">
            <v>Shipment</v>
          </cell>
        </row>
        <row r="3173">
          <cell r="B3173" t="str">
            <v>Shipment</v>
          </cell>
        </row>
        <row r="3174">
          <cell r="B3174" t="str">
            <v>Shipment</v>
          </cell>
        </row>
        <row r="3175">
          <cell r="B3175" t="str">
            <v>Shipment</v>
          </cell>
        </row>
        <row r="3176">
          <cell r="B3176" t="str">
            <v>Shipment</v>
          </cell>
        </row>
        <row r="3177">
          <cell r="B3177" t="str">
            <v>Shipment</v>
          </cell>
        </row>
        <row r="3178">
          <cell r="B3178" t="str">
            <v>Shipment</v>
          </cell>
        </row>
        <row r="3179">
          <cell r="B3179" t="str">
            <v>Shipment</v>
          </cell>
        </row>
        <row r="3180">
          <cell r="B3180" t="str">
            <v>Shipment</v>
          </cell>
        </row>
        <row r="3181">
          <cell r="B3181" t="str">
            <v>Shipment</v>
          </cell>
        </row>
        <row r="3182">
          <cell r="B3182" t="str">
            <v>Shipment</v>
          </cell>
        </row>
        <row r="3183">
          <cell r="B3183" t="str">
            <v>Shipment</v>
          </cell>
        </row>
        <row r="3184">
          <cell r="B3184" t="str">
            <v>Shipment</v>
          </cell>
        </row>
        <row r="3185">
          <cell r="B3185" t="str">
            <v>Shipment</v>
          </cell>
        </row>
        <row r="3186">
          <cell r="B3186" t="str">
            <v>Shipment</v>
          </cell>
        </row>
        <row r="3187">
          <cell r="B3187" t="str">
            <v>Shipment</v>
          </cell>
        </row>
        <row r="3188">
          <cell r="B3188" t="str">
            <v>Shipment</v>
          </cell>
        </row>
        <row r="3189">
          <cell r="B3189" t="str">
            <v>Shipment</v>
          </cell>
        </row>
        <row r="3190">
          <cell r="B3190" t="str">
            <v>Shipment</v>
          </cell>
        </row>
        <row r="3191">
          <cell r="B3191" t="str">
            <v>Shipment</v>
          </cell>
        </row>
        <row r="3192">
          <cell r="B3192" t="str">
            <v>Shipment</v>
          </cell>
        </row>
        <row r="3193">
          <cell r="B3193" t="str">
            <v>Shipment</v>
          </cell>
        </row>
        <row r="3194">
          <cell r="B3194" t="str">
            <v>Shipment</v>
          </cell>
        </row>
        <row r="3195">
          <cell r="B3195" t="str">
            <v>Shipment</v>
          </cell>
        </row>
        <row r="3196">
          <cell r="B3196" t="str">
            <v>Shipment</v>
          </cell>
        </row>
        <row r="3197">
          <cell r="B3197" t="str">
            <v>Shipment</v>
          </cell>
        </row>
        <row r="3198">
          <cell r="B3198" t="str">
            <v>Shipment</v>
          </cell>
        </row>
        <row r="3199">
          <cell r="B3199" t="str">
            <v>Shipment</v>
          </cell>
        </row>
        <row r="3200">
          <cell r="B3200" t="str">
            <v>Shipment</v>
          </cell>
        </row>
        <row r="3201">
          <cell r="B3201" t="str">
            <v>Shipment</v>
          </cell>
        </row>
        <row r="3202">
          <cell r="B3202" t="str">
            <v>Shipment</v>
          </cell>
        </row>
        <row r="3203">
          <cell r="B3203" t="str">
            <v>Shipment</v>
          </cell>
        </row>
        <row r="3204">
          <cell r="B3204" t="str">
            <v>Shipment</v>
          </cell>
        </row>
        <row r="3205">
          <cell r="B3205" t="str">
            <v>Shipment</v>
          </cell>
        </row>
        <row r="3206">
          <cell r="B3206" t="str">
            <v>Shipment</v>
          </cell>
        </row>
        <row r="3207">
          <cell r="B3207" t="str">
            <v>Shipment</v>
          </cell>
        </row>
        <row r="3208">
          <cell r="B3208" t="str">
            <v>Shipment</v>
          </cell>
        </row>
        <row r="3209">
          <cell r="B3209" t="str">
            <v>Shipment</v>
          </cell>
        </row>
        <row r="3210">
          <cell r="B3210" t="str">
            <v>Shipment</v>
          </cell>
        </row>
        <row r="3211">
          <cell r="B3211" t="str">
            <v>Shipment</v>
          </cell>
        </row>
        <row r="3212">
          <cell r="B3212" t="str">
            <v>Shipment</v>
          </cell>
        </row>
        <row r="3213">
          <cell r="B3213" t="str">
            <v>Shipment</v>
          </cell>
        </row>
        <row r="3214">
          <cell r="B3214" t="str">
            <v>Shipment</v>
          </cell>
        </row>
        <row r="3215">
          <cell r="B3215" t="str">
            <v>Shipment</v>
          </cell>
        </row>
        <row r="3216">
          <cell r="B3216" t="str">
            <v>Shipment</v>
          </cell>
        </row>
        <row r="3217">
          <cell r="B3217" t="str">
            <v>Shipment</v>
          </cell>
        </row>
        <row r="3218">
          <cell r="B3218" t="str">
            <v>Shipment</v>
          </cell>
        </row>
        <row r="3219">
          <cell r="B3219" t="str">
            <v>Shipment</v>
          </cell>
        </row>
        <row r="3220">
          <cell r="B3220" t="str">
            <v>Shipment</v>
          </cell>
        </row>
        <row r="3221">
          <cell r="B3221" t="str">
            <v>Shipment</v>
          </cell>
        </row>
        <row r="3222">
          <cell r="B3222" t="str">
            <v>Shipment</v>
          </cell>
        </row>
        <row r="3223">
          <cell r="B3223" t="str">
            <v>Shipment</v>
          </cell>
        </row>
        <row r="3224">
          <cell r="B3224" t="str">
            <v>Shipment</v>
          </cell>
        </row>
        <row r="3225">
          <cell r="B3225" t="str">
            <v>Shipment</v>
          </cell>
        </row>
        <row r="3226">
          <cell r="B3226" t="str">
            <v>Shipment</v>
          </cell>
        </row>
        <row r="3227">
          <cell r="B3227" t="str">
            <v>Shipment</v>
          </cell>
        </row>
        <row r="3228">
          <cell r="B3228" t="str">
            <v>Shipment</v>
          </cell>
        </row>
        <row r="3229">
          <cell r="B3229" t="str">
            <v>Shipment</v>
          </cell>
        </row>
        <row r="3230">
          <cell r="B3230" t="str">
            <v>Shipment</v>
          </cell>
        </row>
        <row r="3231">
          <cell r="B3231" t="str">
            <v>Shipment</v>
          </cell>
        </row>
        <row r="3232">
          <cell r="B3232" t="str">
            <v>Shipment</v>
          </cell>
        </row>
        <row r="3233">
          <cell r="B3233" t="str">
            <v>Shipment</v>
          </cell>
        </row>
        <row r="3234">
          <cell r="B3234" t="str">
            <v>Shipment</v>
          </cell>
        </row>
        <row r="3235">
          <cell r="B3235" t="str">
            <v>Shipment</v>
          </cell>
        </row>
        <row r="3236">
          <cell r="B3236" t="str">
            <v>Shipment</v>
          </cell>
        </row>
        <row r="3237">
          <cell r="B3237" t="str">
            <v>Shipment</v>
          </cell>
        </row>
        <row r="3238">
          <cell r="B3238" t="str">
            <v>Shipment</v>
          </cell>
        </row>
        <row r="3239">
          <cell r="B3239" t="str">
            <v>Shipment</v>
          </cell>
        </row>
        <row r="3240">
          <cell r="B3240" t="str">
            <v>Shipment</v>
          </cell>
        </row>
        <row r="3241">
          <cell r="B3241" t="str">
            <v>Shipment</v>
          </cell>
        </row>
        <row r="3242">
          <cell r="B3242" t="str">
            <v>Shipment</v>
          </cell>
        </row>
        <row r="3243">
          <cell r="B3243" t="str">
            <v>Shipment</v>
          </cell>
        </row>
        <row r="3244">
          <cell r="B3244" t="str">
            <v>Shipment</v>
          </cell>
        </row>
        <row r="3245">
          <cell r="B3245" t="str">
            <v>Shipment</v>
          </cell>
        </row>
        <row r="3246">
          <cell r="B3246" t="str">
            <v>Shipment</v>
          </cell>
        </row>
        <row r="3247">
          <cell r="B3247" t="str">
            <v>Shipment</v>
          </cell>
        </row>
        <row r="3248">
          <cell r="B3248" t="str">
            <v>Shipment</v>
          </cell>
        </row>
        <row r="3249">
          <cell r="B3249" t="str">
            <v>Shipment</v>
          </cell>
        </row>
        <row r="3250">
          <cell r="B3250" t="str">
            <v>Shipment</v>
          </cell>
        </row>
        <row r="3251">
          <cell r="B3251" t="str">
            <v>Shipment</v>
          </cell>
        </row>
        <row r="3252">
          <cell r="B3252" t="str">
            <v>Shipment</v>
          </cell>
        </row>
        <row r="3253">
          <cell r="B3253" t="str">
            <v>Shipment</v>
          </cell>
        </row>
        <row r="3254">
          <cell r="B3254" t="str">
            <v>Shipment</v>
          </cell>
        </row>
        <row r="3255">
          <cell r="B3255" t="str">
            <v>Shipment</v>
          </cell>
        </row>
        <row r="3256">
          <cell r="B3256" t="str">
            <v>Shipment</v>
          </cell>
        </row>
        <row r="3257">
          <cell r="B3257" t="str">
            <v>Shipment</v>
          </cell>
        </row>
        <row r="3258">
          <cell r="B3258" t="str">
            <v>Shipment</v>
          </cell>
        </row>
        <row r="3259">
          <cell r="B3259" t="str">
            <v>Shipment</v>
          </cell>
        </row>
        <row r="3260">
          <cell r="B3260" t="str">
            <v>Shipment</v>
          </cell>
        </row>
        <row r="3261">
          <cell r="B3261" t="str">
            <v>Shipment</v>
          </cell>
        </row>
        <row r="3262">
          <cell r="B3262" t="str">
            <v>Shipment</v>
          </cell>
        </row>
        <row r="3263">
          <cell r="B3263" t="str">
            <v>Shipment</v>
          </cell>
        </row>
        <row r="3264">
          <cell r="B3264" t="str">
            <v>Shipment</v>
          </cell>
        </row>
        <row r="3265">
          <cell r="B3265" t="str">
            <v>Shipment</v>
          </cell>
        </row>
        <row r="3266">
          <cell r="B3266" t="str">
            <v>Shipment</v>
          </cell>
        </row>
        <row r="3267">
          <cell r="B3267" t="str">
            <v>Shipment</v>
          </cell>
        </row>
        <row r="3268">
          <cell r="B3268" t="str">
            <v>Shipment</v>
          </cell>
        </row>
        <row r="3269">
          <cell r="B3269" t="str">
            <v>Shipment</v>
          </cell>
        </row>
        <row r="3270">
          <cell r="B3270" t="str">
            <v>Shipment</v>
          </cell>
        </row>
        <row r="3271">
          <cell r="B3271" t="str">
            <v>Shipment</v>
          </cell>
        </row>
        <row r="3272">
          <cell r="B3272" t="str">
            <v>Shipment</v>
          </cell>
        </row>
        <row r="3273">
          <cell r="B3273" t="str">
            <v>Shipment</v>
          </cell>
        </row>
        <row r="3274">
          <cell r="B3274" t="str">
            <v>Shipment</v>
          </cell>
        </row>
        <row r="3275">
          <cell r="B3275" t="str">
            <v>Shipment</v>
          </cell>
        </row>
        <row r="3276">
          <cell r="B3276" t="str">
            <v>Shipment</v>
          </cell>
        </row>
        <row r="3277">
          <cell r="B3277" t="str">
            <v>Shipment</v>
          </cell>
        </row>
        <row r="3278">
          <cell r="B3278" t="str">
            <v>Shipment</v>
          </cell>
        </row>
        <row r="3279">
          <cell r="B3279" t="str">
            <v>Shipment</v>
          </cell>
        </row>
        <row r="3280">
          <cell r="B3280" t="str">
            <v>Shipment</v>
          </cell>
        </row>
        <row r="3281">
          <cell r="B3281" t="str">
            <v>Shipment</v>
          </cell>
        </row>
        <row r="3282">
          <cell r="B3282" t="str">
            <v>Shipment</v>
          </cell>
        </row>
        <row r="3283">
          <cell r="B3283" t="str">
            <v>Shipment</v>
          </cell>
        </row>
        <row r="3284">
          <cell r="B3284" t="str">
            <v>Shipment</v>
          </cell>
        </row>
        <row r="3285">
          <cell r="B3285" t="str">
            <v>Shipment</v>
          </cell>
        </row>
        <row r="3286">
          <cell r="B3286" t="str">
            <v>Shipment</v>
          </cell>
        </row>
        <row r="3287">
          <cell r="B3287" t="str">
            <v>Shipment</v>
          </cell>
        </row>
        <row r="3288">
          <cell r="B3288" t="str">
            <v>Shipment</v>
          </cell>
        </row>
        <row r="3289">
          <cell r="B3289" t="str">
            <v>Shipment</v>
          </cell>
        </row>
        <row r="3290">
          <cell r="B3290" t="str">
            <v>Shipment</v>
          </cell>
        </row>
        <row r="3291">
          <cell r="B3291" t="str">
            <v>Shipment</v>
          </cell>
        </row>
        <row r="3292">
          <cell r="B3292" t="str">
            <v>Shipment</v>
          </cell>
        </row>
        <row r="3293">
          <cell r="B3293" t="str">
            <v>Shipment</v>
          </cell>
        </row>
        <row r="3294">
          <cell r="B3294" t="str">
            <v>Shipment</v>
          </cell>
        </row>
        <row r="3295">
          <cell r="B3295" t="str">
            <v>Shipment</v>
          </cell>
        </row>
        <row r="3296">
          <cell r="B3296" t="str">
            <v>Shipment</v>
          </cell>
        </row>
        <row r="3297">
          <cell r="B3297" t="str">
            <v>Shipment</v>
          </cell>
        </row>
        <row r="3298">
          <cell r="B3298" t="str">
            <v>Shipment</v>
          </cell>
        </row>
        <row r="3299">
          <cell r="B3299" t="str">
            <v>Shipment</v>
          </cell>
        </row>
        <row r="3300">
          <cell r="B3300" t="str">
            <v>Shipment</v>
          </cell>
        </row>
        <row r="3301">
          <cell r="B3301" t="str">
            <v>Shipment</v>
          </cell>
        </row>
        <row r="3302">
          <cell r="B3302" t="str">
            <v>Shipment</v>
          </cell>
        </row>
        <row r="3303">
          <cell r="B3303" t="str">
            <v>Shipment</v>
          </cell>
        </row>
        <row r="3304">
          <cell r="B3304" t="str">
            <v>Shipment</v>
          </cell>
        </row>
        <row r="3305">
          <cell r="B3305" t="str">
            <v>Shipment</v>
          </cell>
        </row>
        <row r="3306">
          <cell r="B3306" t="str">
            <v>Shipment</v>
          </cell>
        </row>
        <row r="3307">
          <cell r="B3307" t="str">
            <v>Shipment</v>
          </cell>
        </row>
        <row r="3308">
          <cell r="B3308" t="str">
            <v>Shipment</v>
          </cell>
        </row>
        <row r="3309">
          <cell r="B3309" t="str">
            <v>Shipment</v>
          </cell>
        </row>
        <row r="3310">
          <cell r="B3310" t="str">
            <v>Shipment</v>
          </cell>
        </row>
        <row r="3311">
          <cell r="B3311" t="str">
            <v>Shipment</v>
          </cell>
        </row>
        <row r="3312">
          <cell r="B3312" t="str">
            <v>Shipment</v>
          </cell>
        </row>
        <row r="3313">
          <cell r="B3313" t="str">
            <v>Shipment</v>
          </cell>
        </row>
        <row r="3314">
          <cell r="B3314" t="str">
            <v>Shipment</v>
          </cell>
        </row>
        <row r="3315">
          <cell r="B3315" t="str">
            <v>Shipment</v>
          </cell>
        </row>
        <row r="3316">
          <cell r="B3316" t="str">
            <v>Shipment</v>
          </cell>
        </row>
        <row r="3317">
          <cell r="B3317" t="str">
            <v>Shipment</v>
          </cell>
        </row>
        <row r="3318">
          <cell r="B3318" t="str">
            <v>Shipment</v>
          </cell>
        </row>
        <row r="3319">
          <cell r="B3319" t="str">
            <v>Shipment</v>
          </cell>
        </row>
        <row r="3320">
          <cell r="B3320" t="str">
            <v>Shipment</v>
          </cell>
        </row>
        <row r="3321">
          <cell r="B3321" t="str">
            <v>Shipment</v>
          </cell>
        </row>
        <row r="3322">
          <cell r="B3322" t="str">
            <v>Shipment</v>
          </cell>
        </row>
        <row r="3323">
          <cell r="B3323" t="str">
            <v>Shipment</v>
          </cell>
        </row>
        <row r="3324">
          <cell r="B3324" t="str">
            <v>Shipment</v>
          </cell>
        </row>
        <row r="3325">
          <cell r="B3325" t="str">
            <v>Shipment</v>
          </cell>
        </row>
        <row r="3326">
          <cell r="B3326" t="str">
            <v>Shipment</v>
          </cell>
        </row>
        <row r="3327">
          <cell r="B3327" t="str">
            <v>Shipment</v>
          </cell>
        </row>
        <row r="3328">
          <cell r="B3328" t="str">
            <v>Shipment</v>
          </cell>
        </row>
        <row r="3329">
          <cell r="B3329" t="str">
            <v>Shipment</v>
          </cell>
        </row>
        <row r="3330">
          <cell r="B3330" t="str">
            <v>Shipment</v>
          </cell>
        </row>
        <row r="3331">
          <cell r="B3331" t="str">
            <v>Shipment</v>
          </cell>
        </row>
        <row r="3332">
          <cell r="B3332" t="str">
            <v>Shipment</v>
          </cell>
        </row>
        <row r="3333">
          <cell r="B3333" t="str">
            <v>Shipment</v>
          </cell>
        </row>
        <row r="3334">
          <cell r="B3334" t="str">
            <v>Shipment</v>
          </cell>
        </row>
        <row r="3335">
          <cell r="B3335" t="str">
            <v>Shipment</v>
          </cell>
        </row>
        <row r="3336">
          <cell r="B3336" t="str">
            <v>Shipment</v>
          </cell>
        </row>
        <row r="3337">
          <cell r="B3337" t="str">
            <v>Shipment</v>
          </cell>
        </row>
        <row r="3338">
          <cell r="B3338" t="str">
            <v>Shipment</v>
          </cell>
        </row>
        <row r="3339">
          <cell r="B3339" t="str">
            <v>Shipment</v>
          </cell>
        </row>
        <row r="3340">
          <cell r="B3340" t="str">
            <v>Shipment</v>
          </cell>
        </row>
        <row r="3341">
          <cell r="B3341" t="str">
            <v>Shipment</v>
          </cell>
        </row>
        <row r="3342">
          <cell r="B3342" t="str">
            <v>Shipment</v>
          </cell>
        </row>
        <row r="3343">
          <cell r="B3343" t="str">
            <v>Shipment</v>
          </cell>
        </row>
        <row r="3344">
          <cell r="B3344" t="str">
            <v>Shipment</v>
          </cell>
        </row>
        <row r="3345">
          <cell r="B3345" t="str">
            <v>Shipment</v>
          </cell>
        </row>
        <row r="3346">
          <cell r="B3346" t="str">
            <v>Shipment</v>
          </cell>
        </row>
        <row r="3347">
          <cell r="B3347" t="str">
            <v>Shipment</v>
          </cell>
        </row>
        <row r="3348">
          <cell r="B3348" t="str">
            <v>Shipment</v>
          </cell>
        </row>
        <row r="3349">
          <cell r="B3349" t="str">
            <v>Shipment</v>
          </cell>
        </row>
        <row r="3350">
          <cell r="B3350" t="str">
            <v>Shipment</v>
          </cell>
        </row>
        <row r="3351">
          <cell r="B3351" t="str">
            <v>Shipment</v>
          </cell>
        </row>
        <row r="3352">
          <cell r="B3352" t="str">
            <v>Shipment</v>
          </cell>
        </row>
        <row r="3353">
          <cell r="B3353" t="str">
            <v>Shipment</v>
          </cell>
        </row>
        <row r="3354">
          <cell r="B3354" t="str">
            <v>Shipment</v>
          </cell>
        </row>
        <row r="3355">
          <cell r="B3355" t="str">
            <v>Shipment</v>
          </cell>
        </row>
        <row r="3356">
          <cell r="B3356" t="str">
            <v>Shipment</v>
          </cell>
        </row>
        <row r="3357">
          <cell r="B3357" t="str">
            <v>Shipment</v>
          </cell>
        </row>
        <row r="3358">
          <cell r="B3358" t="str">
            <v>Shipment</v>
          </cell>
        </row>
        <row r="3359">
          <cell r="B3359" t="str">
            <v>Shipment</v>
          </cell>
        </row>
        <row r="3360">
          <cell r="B3360" t="str">
            <v>Shipment</v>
          </cell>
        </row>
        <row r="3361">
          <cell r="B3361" t="str">
            <v>Shipment</v>
          </cell>
        </row>
        <row r="3362">
          <cell r="B3362" t="str">
            <v>Shipment</v>
          </cell>
        </row>
        <row r="3363">
          <cell r="B3363" t="str">
            <v>Shipment</v>
          </cell>
        </row>
        <row r="3364">
          <cell r="B3364" t="str">
            <v>Shipment</v>
          </cell>
        </row>
        <row r="3365">
          <cell r="B3365" t="str">
            <v>Shipment</v>
          </cell>
        </row>
        <row r="3366">
          <cell r="B3366" t="str">
            <v>Shipment</v>
          </cell>
        </row>
        <row r="3367">
          <cell r="B3367" t="str">
            <v>Shipment</v>
          </cell>
        </row>
        <row r="3368">
          <cell r="B3368" t="str">
            <v>Shipment</v>
          </cell>
        </row>
        <row r="3369">
          <cell r="B3369" t="str">
            <v>Shipment</v>
          </cell>
        </row>
        <row r="3370">
          <cell r="B3370" t="str">
            <v>Shipment</v>
          </cell>
        </row>
        <row r="3371">
          <cell r="B3371" t="str">
            <v>Shipment</v>
          </cell>
        </row>
        <row r="3372">
          <cell r="B3372" t="str">
            <v>Shipment</v>
          </cell>
        </row>
        <row r="3373">
          <cell r="B3373" t="str">
            <v>Shipment</v>
          </cell>
        </row>
        <row r="3374">
          <cell r="B3374" t="str">
            <v>Shipment</v>
          </cell>
        </row>
        <row r="3375">
          <cell r="B3375" t="str">
            <v>Shipment</v>
          </cell>
        </row>
        <row r="3376">
          <cell r="B3376" t="str">
            <v>Shipment</v>
          </cell>
        </row>
        <row r="3377">
          <cell r="B3377" t="str">
            <v>Shipment</v>
          </cell>
        </row>
        <row r="3378">
          <cell r="B3378" t="str">
            <v>Shipment</v>
          </cell>
        </row>
        <row r="3379">
          <cell r="B3379" t="str">
            <v>Shipment</v>
          </cell>
        </row>
        <row r="3380">
          <cell r="B3380" t="str">
            <v>Shipment</v>
          </cell>
        </row>
        <row r="3381">
          <cell r="B3381" t="str">
            <v>Shipment</v>
          </cell>
        </row>
        <row r="3382">
          <cell r="B3382" t="str">
            <v>Shipment</v>
          </cell>
        </row>
        <row r="3383">
          <cell r="B3383" t="str">
            <v>Shipment</v>
          </cell>
        </row>
        <row r="3384">
          <cell r="B3384" t="str">
            <v>Shipment</v>
          </cell>
        </row>
        <row r="3385">
          <cell r="B3385" t="str">
            <v>Shipment</v>
          </cell>
        </row>
        <row r="3386">
          <cell r="B3386" t="str">
            <v>Shipment</v>
          </cell>
        </row>
        <row r="3387">
          <cell r="B3387" t="str">
            <v>Shipment</v>
          </cell>
        </row>
        <row r="3388">
          <cell r="B3388" t="str">
            <v>Shipment</v>
          </cell>
        </row>
        <row r="3389">
          <cell r="B3389" t="str">
            <v>Shipment</v>
          </cell>
        </row>
        <row r="3390">
          <cell r="B3390" t="str">
            <v>Shipment</v>
          </cell>
        </row>
        <row r="3391">
          <cell r="B3391" t="str">
            <v>Shipment</v>
          </cell>
        </row>
        <row r="3392">
          <cell r="B3392" t="str">
            <v>Shipment</v>
          </cell>
        </row>
        <row r="3393">
          <cell r="B3393" t="str">
            <v>Shipment</v>
          </cell>
        </row>
        <row r="3394">
          <cell r="B3394" t="str">
            <v>Shipment</v>
          </cell>
        </row>
        <row r="3395">
          <cell r="B3395" t="str">
            <v>Shipment</v>
          </cell>
        </row>
        <row r="3396">
          <cell r="B3396" t="str">
            <v>Shipment</v>
          </cell>
        </row>
        <row r="3397">
          <cell r="B3397" t="str">
            <v>Shipment</v>
          </cell>
        </row>
        <row r="3398">
          <cell r="B3398" t="str">
            <v>Shipment</v>
          </cell>
        </row>
        <row r="3399">
          <cell r="B3399" t="str">
            <v>Shipment</v>
          </cell>
        </row>
        <row r="3400">
          <cell r="B3400" t="str">
            <v>Shipment</v>
          </cell>
        </row>
        <row r="3401">
          <cell r="B3401" t="str">
            <v>Shipment</v>
          </cell>
        </row>
        <row r="3402">
          <cell r="B3402" t="str">
            <v>Shipment</v>
          </cell>
        </row>
        <row r="3403">
          <cell r="B3403" t="str">
            <v>Shipment</v>
          </cell>
        </row>
        <row r="3404">
          <cell r="B3404" t="str">
            <v>Shipment</v>
          </cell>
        </row>
        <row r="3405">
          <cell r="B3405" t="str">
            <v>Shipment</v>
          </cell>
        </row>
        <row r="3406">
          <cell r="B3406" t="str">
            <v>Shipment</v>
          </cell>
        </row>
        <row r="3407">
          <cell r="B3407" t="str">
            <v>Shipment</v>
          </cell>
        </row>
        <row r="3408">
          <cell r="B3408" t="str">
            <v>Shipment</v>
          </cell>
        </row>
        <row r="3409">
          <cell r="B3409" t="str">
            <v>Shipment</v>
          </cell>
        </row>
        <row r="3410">
          <cell r="B3410" t="str">
            <v>Shipment</v>
          </cell>
        </row>
        <row r="3411">
          <cell r="B3411" t="str">
            <v>Shipment</v>
          </cell>
        </row>
        <row r="3412">
          <cell r="B3412" t="str">
            <v>Shipment</v>
          </cell>
        </row>
        <row r="3413">
          <cell r="B3413" t="str">
            <v>Shipment</v>
          </cell>
        </row>
        <row r="3414">
          <cell r="B3414" t="str">
            <v>Shipment</v>
          </cell>
        </row>
        <row r="3415">
          <cell r="B3415" t="str">
            <v>Shipment</v>
          </cell>
        </row>
        <row r="3416">
          <cell r="B3416" t="str">
            <v>Shipment</v>
          </cell>
        </row>
        <row r="3417">
          <cell r="B3417" t="str">
            <v>Shipment</v>
          </cell>
        </row>
        <row r="3418">
          <cell r="B3418" t="str">
            <v>Shipment</v>
          </cell>
        </row>
        <row r="3419">
          <cell r="B3419" t="str">
            <v>Shipment</v>
          </cell>
        </row>
        <row r="3420">
          <cell r="B3420" t="str">
            <v>Shipment</v>
          </cell>
        </row>
        <row r="3421">
          <cell r="B3421" t="str">
            <v>Shipment</v>
          </cell>
        </row>
        <row r="3422">
          <cell r="B3422" t="str">
            <v>Shipment</v>
          </cell>
        </row>
        <row r="3423">
          <cell r="B3423" t="str">
            <v>Shipment</v>
          </cell>
        </row>
        <row r="3424">
          <cell r="B3424" t="str">
            <v>Shipment</v>
          </cell>
        </row>
        <row r="3425">
          <cell r="B3425" t="str">
            <v>Shipment</v>
          </cell>
        </row>
        <row r="3426">
          <cell r="B3426" t="str">
            <v>Shipment</v>
          </cell>
        </row>
        <row r="3427">
          <cell r="B3427" t="str">
            <v>Shipment</v>
          </cell>
        </row>
        <row r="3428">
          <cell r="B3428" t="str">
            <v>Shipment</v>
          </cell>
        </row>
        <row r="3429">
          <cell r="B3429" t="str">
            <v>Shipment</v>
          </cell>
        </row>
        <row r="3430">
          <cell r="B3430" t="str">
            <v>Shipment</v>
          </cell>
        </row>
        <row r="3431">
          <cell r="B3431" t="str">
            <v>Shipment</v>
          </cell>
        </row>
        <row r="3432">
          <cell r="B3432" t="str">
            <v>Shipment</v>
          </cell>
        </row>
        <row r="3433">
          <cell r="B3433" t="str">
            <v>Shipment</v>
          </cell>
        </row>
        <row r="3434">
          <cell r="B3434" t="str">
            <v>Shipment</v>
          </cell>
        </row>
        <row r="3435">
          <cell r="B3435" t="str">
            <v>Shipment</v>
          </cell>
        </row>
        <row r="3436">
          <cell r="B3436" t="str">
            <v>Shipment</v>
          </cell>
        </row>
        <row r="3437">
          <cell r="B3437" t="str">
            <v>Shipment</v>
          </cell>
        </row>
        <row r="3438">
          <cell r="B3438" t="str">
            <v>Shipment</v>
          </cell>
        </row>
        <row r="3439">
          <cell r="B3439" t="str">
            <v>Shipment</v>
          </cell>
        </row>
        <row r="3440">
          <cell r="B3440" t="str">
            <v>Shipment</v>
          </cell>
        </row>
        <row r="3441">
          <cell r="B3441" t="str">
            <v>Shipment</v>
          </cell>
        </row>
        <row r="3442">
          <cell r="B3442" t="str">
            <v>Shipment</v>
          </cell>
        </row>
        <row r="3443">
          <cell r="B3443" t="str">
            <v>Shipment</v>
          </cell>
        </row>
        <row r="3444">
          <cell r="B3444" t="str">
            <v>Shipment</v>
          </cell>
        </row>
        <row r="3445">
          <cell r="B3445" t="str">
            <v>Shipment</v>
          </cell>
        </row>
        <row r="3446">
          <cell r="B3446" t="str">
            <v>Shipment</v>
          </cell>
        </row>
        <row r="3447">
          <cell r="B3447" t="str">
            <v>Shipment</v>
          </cell>
        </row>
        <row r="3448">
          <cell r="B3448" t="str">
            <v>Shipment</v>
          </cell>
        </row>
        <row r="3449">
          <cell r="B3449" t="str">
            <v>Shipment</v>
          </cell>
        </row>
        <row r="3450">
          <cell r="B3450" t="str">
            <v>Shipment</v>
          </cell>
        </row>
        <row r="3451">
          <cell r="B3451" t="str">
            <v>Shipment</v>
          </cell>
        </row>
        <row r="3452">
          <cell r="B3452" t="str">
            <v>Shipment</v>
          </cell>
        </row>
        <row r="3453">
          <cell r="B3453" t="str">
            <v>Shipment</v>
          </cell>
        </row>
        <row r="3454">
          <cell r="B3454" t="str">
            <v>Shipment</v>
          </cell>
        </row>
        <row r="3455">
          <cell r="B3455" t="str">
            <v>Shipment</v>
          </cell>
        </row>
        <row r="3456">
          <cell r="B3456" t="str">
            <v>Shipment</v>
          </cell>
        </row>
        <row r="3457">
          <cell r="B3457" t="str">
            <v>Shipment</v>
          </cell>
        </row>
        <row r="3458">
          <cell r="B3458" t="str">
            <v>Shipment</v>
          </cell>
        </row>
        <row r="3459">
          <cell r="B3459" t="str">
            <v>Shipment</v>
          </cell>
        </row>
        <row r="3460">
          <cell r="B3460" t="str">
            <v>Shipment</v>
          </cell>
        </row>
        <row r="3461">
          <cell r="B3461" t="str">
            <v>Shipment</v>
          </cell>
        </row>
        <row r="3462">
          <cell r="B3462" t="str">
            <v>Shipment</v>
          </cell>
        </row>
        <row r="3463">
          <cell r="B3463" t="str">
            <v>Shipment</v>
          </cell>
        </row>
        <row r="3464">
          <cell r="B3464" t="str">
            <v>Shipment</v>
          </cell>
        </row>
        <row r="3465">
          <cell r="B3465" t="str">
            <v>Shipment</v>
          </cell>
        </row>
        <row r="3466">
          <cell r="B3466" t="str">
            <v>Shipment</v>
          </cell>
        </row>
        <row r="3467">
          <cell r="B3467" t="str">
            <v>Shipment</v>
          </cell>
        </row>
        <row r="3468">
          <cell r="B3468" t="str">
            <v>Shipment</v>
          </cell>
        </row>
        <row r="3469">
          <cell r="B3469" t="str">
            <v>Shipment</v>
          </cell>
        </row>
        <row r="3470">
          <cell r="B3470" t="str">
            <v>Shipment</v>
          </cell>
        </row>
        <row r="3471">
          <cell r="B3471" t="str">
            <v>Shipment</v>
          </cell>
        </row>
        <row r="3472">
          <cell r="B3472" t="str">
            <v>Shipment</v>
          </cell>
        </row>
        <row r="3473">
          <cell r="B3473" t="str">
            <v>Shipment</v>
          </cell>
        </row>
        <row r="3474">
          <cell r="B3474" t="str">
            <v>Shipment</v>
          </cell>
        </row>
        <row r="3475">
          <cell r="B3475" t="str">
            <v>Shipment</v>
          </cell>
        </row>
        <row r="3476">
          <cell r="B3476" t="str">
            <v>Shipment</v>
          </cell>
        </row>
        <row r="3477">
          <cell r="B3477" t="str">
            <v>Shipment</v>
          </cell>
        </row>
        <row r="3478">
          <cell r="B3478" t="str">
            <v>Shipment</v>
          </cell>
        </row>
        <row r="3479">
          <cell r="B3479" t="str">
            <v>Shipment</v>
          </cell>
        </row>
        <row r="3480">
          <cell r="B3480" t="str">
            <v>Shipment</v>
          </cell>
        </row>
        <row r="3481">
          <cell r="B3481" t="str">
            <v>Shipment</v>
          </cell>
        </row>
        <row r="3482">
          <cell r="B3482" t="str">
            <v>Shipment</v>
          </cell>
        </row>
        <row r="3483">
          <cell r="B3483" t="str">
            <v>Shipment</v>
          </cell>
        </row>
        <row r="3484">
          <cell r="B3484" t="str">
            <v>Shipment</v>
          </cell>
        </row>
        <row r="3485">
          <cell r="B3485" t="str">
            <v>Shipment</v>
          </cell>
        </row>
        <row r="3486">
          <cell r="B3486" t="str">
            <v>Shipment</v>
          </cell>
        </row>
        <row r="3487">
          <cell r="B3487" t="str">
            <v>Shipment</v>
          </cell>
        </row>
        <row r="3488">
          <cell r="B3488" t="str">
            <v>Shipment</v>
          </cell>
        </row>
        <row r="3489">
          <cell r="B3489" t="str">
            <v>Shipment</v>
          </cell>
        </row>
        <row r="3490">
          <cell r="B3490" t="str">
            <v>Shipment</v>
          </cell>
        </row>
        <row r="3491">
          <cell r="B3491" t="str">
            <v>Shipment</v>
          </cell>
        </row>
        <row r="3492">
          <cell r="B3492" t="str">
            <v>Shipment</v>
          </cell>
        </row>
        <row r="3493">
          <cell r="B3493" t="str">
            <v>Shipment</v>
          </cell>
        </row>
        <row r="3494">
          <cell r="B3494" t="str">
            <v>Shipment</v>
          </cell>
        </row>
        <row r="3495">
          <cell r="B3495" t="str">
            <v>Shipment</v>
          </cell>
        </row>
        <row r="3496">
          <cell r="B3496" t="str">
            <v>Shipment</v>
          </cell>
        </row>
        <row r="3497">
          <cell r="B3497" t="str">
            <v>Shipment</v>
          </cell>
        </row>
        <row r="3498">
          <cell r="B3498" t="str">
            <v>Shipment</v>
          </cell>
        </row>
        <row r="3499">
          <cell r="B3499" t="str">
            <v>Shipment</v>
          </cell>
        </row>
        <row r="3500">
          <cell r="B3500" t="str">
            <v>Shipment</v>
          </cell>
        </row>
        <row r="3501">
          <cell r="B3501" t="str">
            <v>Shipment</v>
          </cell>
        </row>
        <row r="3502">
          <cell r="B3502" t="str">
            <v>Shipment</v>
          </cell>
        </row>
        <row r="3503">
          <cell r="B3503" t="str">
            <v>Shipment</v>
          </cell>
        </row>
        <row r="3504">
          <cell r="B3504" t="str">
            <v>Shipment</v>
          </cell>
        </row>
        <row r="3505">
          <cell r="B3505" t="str">
            <v>Shipment</v>
          </cell>
        </row>
        <row r="3506">
          <cell r="B3506" t="str">
            <v>Shipment</v>
          </cell>
        </row>
        <row r="3507">
          <cell r="B3507" t="str">
            <v>Shipment</v>
          </cell>
        </row>
        <row r="3508">
          <cell r="B3508" t="str">
            <v>Shipment</v>
          </cell>
        </row>
        <row r="3509">
          <cell r="B3509" t="str">
            <v>Shipment</v>
          </cell>
        </row>
        <row r="3510">
          <cell r="B3510" t="str">
            <v>Shipment</v>
          </cell>
        </row>
        <row r="3511">
          <cell r="B3511" t="str">
            <v>Shipment</v>
          </cell>
        </row>
        <row r="3512">
          <cell r="B3512" t="str">
            <v>Shipment</v>
          </cell>
        </row>
        <row r="3513">
          <cell r="B3513" t="str">
            <v>Shipment</v>
          </cell>
        </row>
        <row r="3514">
          <cell r="B3514" t="str">
            <v>Shipment</v>
          </cell>
        </row>
        <row r="3515">
          <cell r="B3515" t="str">
            <v>Shipment</v>
          </cell>
        </row>
        <row r="3516">
          <cell r="B3516" t="str">
            <v>Shipment</v>
          </cell>
        </row>
        <row r="3517">
          <cell r="B3517" t="str">
            <v>Shipment</v>
          </cell>
        </row>
        <row r="3518">
          <cell r="B3518" t="str">
            <v>Shipment</v>
          </cell>
        </row>
        <row r="3519">
          <cell r="B3519" t="str">
            <v>Shipment</v>
          </cell>
        </row>
        <row r="3520">
          <cell r="B3520" t="str">
            <v>Shipment</v>
          </cell>
        </row>
        <row r="3521">
          <cell r="B3521" t="str">
            <v>Shipment</v>
          </cell>
        </row>
        <row r="3522">
          <cell r="B3522" t="str">
            <v>Shipment</v>
          </cell>
        </row>
        <row r="3523">
          <cell r="B3523" t="str">
            <v>Shipment</v>
          </cell>
        </row>
        <row r="3524">
          <cell r="B3524" t="str">
            <v>Shipment</v>
          </cell>
        </row>
        <row r="3525">
          <cell r="B3525" t="str">
            <v>Shipment</v>
          </cell>
        </row>
        <row r="3526">
          <cell r="B3526" t="str">
            <v>Shipment</v>
          </cell>
        </row>
        <row r="3527">
          <cell r="B3527" t="str">
            <v>Shipment</v>
          </cell>
        </row>
        <row r="3528">
          <cell r="B3528" t="str">
            <v>Shipment</v>
          </cell>
        </row>
        <row r="3529">
          <cell r="B3529" t="str">
            <v>Shipment</v>
          </cell>
        </row>
        <row r="3530">
          <cell r="B3530" t="str">
            <v>Shipment</v>
          </cell>
        </row>
        <row r="3531">
          <cell r="B3531" t="str">
            <v>Shipment</v>
          </cell>
        </row>
        <row r="3532">
          <cell r="B3532" t="str">
            <v>Shipment</v>
          </cell>
        </row>
        <row r="3533">
          <cell r="B3533" t="str">
            <v>Shipment</v>
          </cell>
        </row>
        <row r="3534">
          <cell r="B3534" t="str">
            <v>Shipment</v>
          </cell>
        </row>
        <row r="3535">
          <cell r="B3535" t="str">
            <v>Shipment</v>
          </cell>
        </row>
        <row r="3536">
          <cell r="B3536" t="str">
            <v>Shipment</v>
          </cell>
        </row>
        <row r="3537">
          <cell r="B3537" t="str">
            <v>Shipment</v>
          </cell>
        </row>
        <row r="3538">
          <cell r="B3538" t="str">
            <v>Shipment</v>
          </cell>
        </row>
        <row r="3539">
          <cell r="B3539" t="str">
            <v>Shipment</v>
          </cell>
        </row>
        <row r="3540">
          <cell r="B3540" t="str">
            <v>Shipment</v>
          </cell>
        </row>
        <row r="3541">
          <cell r="B3541" t="str">
            <v>Shipment</v>
          </cell>
        </row>
        <row r="3542">
          <cell r="B3542" t="str">
            <v>Shipment</v>
          </cell>
        </row>
        <row r="3543">
          <cell r="B3543" t="str">
            <v>Shipment</v>
          </cell>
        </row>
        <row r="3544">
          <cell r="B3544" t="str">
            <v>Shipment</v>
          </cell>
        </row>
        <row r="3545">
          <cell r="B3545" t="str">
            <v>Shipment</v>
          </cell>
        </row>
        <row r="3546">
          <cell r="B3546" t="str">
            <v>Shipment</v>
          </cell>
        </row>
        <row r="3547">
          <cell r="B3547" t="str">
            <v>Shipment</v>
          </cell>
        </row>
        <row r="3548">
          <cell r="B3548" t="str">
            <v>Shipment</v>
          </cell>
        </row>
        <row r="3549">
          <cell r="B3549" t="str">
            <v>Shipment</v>
          </cell>
        </row>
        <row r="3550">
          <cell r="B3550" t="str">
            <v>Shipment</v>
          </cell>
        </row>
        <row r="3551">
          <cell r="B3551" t="str">
            <v>Shipment</v>
          </cell>
        </row>
        <row r="3552">
          <cell r="B3552" t="str">
            <v>Shipment</v>
          </cell>
        </row>
        <row r="3553">
          <cell r="B3553" t="str">
            <v>Shipment</v>
          </cell>
        </row>
        <row r="3554">
          <cell r="B3554" t="str">
            <v>Shipment</v>
          </cell>
        </row>
        <row r="3555">
          <cell r="B3555" t="str">
            <v>Shipment</v>
          </cell>
        </row>
        <row r="3556">
          <cell r="B3556" t="str">
            <v>Shipment</v>
          </cell>
        </row>
        <row r="3557">
          <cell r="B3557" t="str">
            <v>Shipment</v>
          </cell>
        </row>
        <row r="3558">
          <cell r="B3558" t="str">
            <v>Shipment</v>
          </cell>
        </row>
        <row r="3559">
          <cell r="B3559" t="str">
            <v>Shipment</v>
          </cell>
        </row>
        <row r="3560">
          <cell r="B3560" t="str">
            <v>Shipment</v>
          </cell>
        </row>
        <row r="3561">
          <cell r="B3561" t="str">
            <v>Shipment</v>
          </cell>
        </row>
        <row r="3562">
          <cell r="B3562" t="str">
            <v>Shipment</v>
          </cell>
        </row>
        <row r="3563">
          <cell r="B3563" t="str">
            <v>Shipment</v>
          </cell>
        </row>
        <row r="3564">
          <cell r="B3564" t="str">
            <v>Shipment</v>
          </cell>
        </row>
        <row r="3565">
          <cell r="B3565" t="str">
            <v>Shipment</v>
          </cell>
        </row>
        <row r="3566">
          <cell r="B3566" t="str">
            <v>Shipment</v>
          </cell>
        </row>
        <row r="3567">
          <cell r="B3567" t="str">
            <v>Shipment</v>
          </cell>
        </row>
        <row r="3568">
          <cell r="B3568" t="str">
            <v>Shipment</v>
          </cell>
        </row>
        <row r="3569">
          <cell r="B3569" t="str">
            <v>Shipment</v>
          </cell>
        </row>
        <row r="3570">
          <cell r="B3570" t="str">
            <v>Shipment</v>
          </cell>
        </row>
        <row r="3571">
          <cell r="B3571" t="str">
            <v>Shipment</v>
          </cell>
        </row>
        <row r="3572">
          <cell r="B3572" t="str">
            <v>Shipment</v>
          </cell>
        </row>
        <row r="3573">
          <cell r="B3573" t="str">
            <v>Shipment</v>
          </cell>
        </row>
        <row r="3574">
          <cell r="B3574" t="str">
            <v>Shipment</v>
          </cell>
        </row>
        <row r="3575">
          <cell r="B3575" t="str">
            <v>Shipment</v>
          </cell>
        </row>
        <row r="3576">
          <cell r="B3576" t="str">
            <v>Shipment</v>
          </cell>
        </row>
        <row r="3577">
          <cell r="B3577" t="str">
            <v>Shipment</v>
          </cell>
        </row>
        <row r="3578">
          <cell r="B3578" t="str">
            <v>Shipment</v>
          </cell>
        </row>
        <row r="3579">
          <cell r="B3579" t="str">
            <v>Shipment</v>
          </cell>
        </row>
        <row r="3580">
          <cell r="B3580" t="str">
            <v>Shipment</v>
          </cell>
        </row>
        <row r="3581">
          <cell r="B3581" t="str">
            <v>Shipment</v>
          </cell>
        </row>
        <row r="3582">
          <cell r="B3582" t="str">
            <v>Shipment</v>
          </cell>
        </row>
        <row r="3583">
          <cell r="B3583" t="str">
            <v>Shipment</v>
          </cell>
        </row>
        <row r="3584">
          <cell r="B3584" t="str">
            <v>Shipment</v>
          </cell>
        </row>
        <row r="3585">
          <cell r="B3585" t="str">
            <v>Shipment</v>
          </cell>
        </row>
        <row r="3586">
          <cell r="B3586" t="str">
            <v>Shipment</v>
          </cell>
        </row>
        <row r="3587">
          <cell r="B3587" t="str">
            <v>Shipment</v>
          </cell>
        </row>
        <row r="3588">
          <cell r="B3588" t="str">
            <v>Shipment</v>
          </cell>
        </row>
        <row r="3589">
          <cell r="B3589" t="str">
            <v>Shipment</v>
          </cell>
        </row>
        <row r="3590">
          <cell r="B3590" t="str">
            <v>Shipment</v>
          </cell>
        </row>
        <row r="3591">
          <cell r="B3591" t="str">
            <v>Shipment</v>
          </cell>
        </row>
        <row r="3592">
          <cell r="B3592" t="str">
            <v>Shipment</v>
          </cell>
        </row>
        <row r="3593">
          <cell r="B3593" t="str">
            <v>Shipment</v>
          </cell>
        </row>
        <row r="3594">
          <cell r="B3594" t="str">
            <v>Shipment</v>
          </cell>
        </row>
        <row r="3595">
          <cell r="B3595" t="str">
            <v>Shipment</v>
          </cell>
        </row>
        <row r="3596">
          <cell r="B3596" t="str">
            <v>Shipment</v>
          </cell>
        </row>
        <row r="3597">
          <cell r="B3597" t="str">
            <v>Shipment</v>
          </cell>
        </row>
        <row r="3598">
          <cell r="B3598" t="str">
            <v>Shipment</v>
          </cell>
        </row>
        <row r="3599">
          <cell r="B3599" t="str">
            <v>Shipment</v>
          </cell>
        </row>
        <row r="3600">
          <cell r="B3600" t="str">
            <v>Shipment</v>
          </cell>
        </row>
        <row r="3601">
          <cell r="B3601" t="str">
            <v>Shipment</v>
          </cell>
        </row>
        <row r="3602">
          <cell r="B3602" t="str">
            <v>Shipment</v>
          </cell>
        </row>
        <row r="3603">
          <cell r="B3603" t="str">
            <v>Shipment</v>
          </cell>
        </row>
        <row r="3604">
          <cell r="B3604" t="str">
            <v>Shipment</v>
          </cell>
        </row>
        <row r="3605">
          <cell r="B3605" t="str">
            <v>Shipment</v>
          </cell>
        </row>
        <row r="3606">
          <cell r="B3606" t="str">
            <v>Shipment</v>
          </cell>
        </row>
        <row r="3607">
          <cell r="B3607" t="str">
            <v>Shipment</v>
          </cell>
        </row>
        <row r="3608">
          <cell r="B3608" t="str">
            <v>Shipment</v>
          </cell>
        </row>
        <row r="3609">
          <cell r="B3609" t="str">
            <v>Shipment</v>
          </cell>
        </row>
        <row r="3610">
          <cell r="B3610" t="str">
            <v>Shipment</v>
          </cell>
        </row>
        <row r="3611">
          <cell r="B3611" t="str">
            <v>Shipment</v>
          </cell>
        </row>
        <row r="3612">
          <cell r="B3612" t="str">
            <v>Shipment</v>
          </cell>
        </row>
        <row r="3613">
          <cell r="B3613" t="str">
            <v>Shipment</v>
          </cell>
        </row>
        <row r="3614">
          <cell r="B3614" t="str">
            <v>Shipment</v>
          </cell>
        </row>
        <row r="3615">
          <cell r="B3615" t="str">
            <v>Shipment</v>
          </cell>
        </row>
        <row r="3616">
          <cell r="B3616" t="str">
            <v>Shipment</v>
          </cell>
        </row>
        <row r="3617">
          <cell r="B3617" t="str">
            <v>Shipment</v>
          </cell>
        </row>
        <row r="3618">
          <cell r="B3618" t="str">
            <v>Shipment</v>
          </cell>
        </row>
        <row r="3619">
          <cell r="B3619" t="str">
            <v>Shipment</v>
          </cell>
        </row>
        <row r="3620">
          <cell r="B3620" t="str">
            <v>Shipment</v>
          </cell>
        </row>
        <row r="3621">
          <cell r="B3621" t="str">
            <v>Shipment</v>
          </cell>
        </row>
        <row r="3622">
          <cell r="B3622" t="str">
            <v>Shipment</v>
          </cell>
        </row>
        <row r="3623">
          <cell r="B3623" t="str">
            <v>Shipment</v>
          </cell>
        </row>
        <row r="3624">
          <cell r="B3624" t="str">
            <v>Shipment</v>
          </cell>
        </row>
        <row r="3625">
          <cell r="B3625" t="str">
            <v>Shipment</v>
          </cell>
        </row>
        <row r="3626">
          <cell r="B3626" t="str">
            <v>Shipment</v>
          </cell>
        </row>
        <row r="3627">
          <cell r="B3627" t="str">
            <v>Shipment</v>
          </cell>
        </row>
        <row r="3628">
          <cell r="B3628" t="str">
            <v>Shipment</v>
          </cell>
        </row>
        <row r="3629">
          <cell r="B3629" t="str">
            <v>Shipment</v>
          </cell>
        </row>
        <row r="3630">
          <cell r="B3630" t="str">
            <v>Shipment</v>
          </cell>
        </row>
        <row r="3631">
          <cell r="B3631" t="str">
            <v>Shipment</v>
          </cell>
        </row>
        <row r="3632">
          <cell r="B3632" t="str">
            <v>Shipment</v>
          </cell>
        </row>
        <row r="3633">
          <cell r="B3633" t="str">
            <v>Shipment</v>
          </cell>
        </row>
        <row r="3634">
          <cell r="B3634" t="str">
            <v>Shipment</v>
          </cell>
        </row>
        <row r="3635">
          <cell r="B3635" t="str">
            <v>Shipment</v>
          </cell>
        </row>
        <row r="3636">
          <cell r="B3636" t="str">
            <v>Shipment</v>
          </cell>
        </row>
        <row r="3637">
          <cell r="B3637" t="str">
            <v>Shipment</v>
          </cell>
        </row>
        <row r="3638">
          <cell r="B3638" t="str">
            <v>Shipment</v>
          </cell>
        </row>
        <row r="3639">
          <cell r="B3639" t="str">
            <v>Shipment</v>
          </cell>
        </row>
        <row r="3640">
          <cell r="B3640" t="str">
            <v>Shipment</v>
          </cell>
        </row>
        <row r="3641">
          <cell r="B3641" t="str">
            <v>Shipment</v>
          </cell>
        </row>
        <row r="3642">
          <cell r="B3642" t="str">
            <v>Shipment</v>
          </cell>
        </row>
        <row r="3643">
          <cell r="B3643" t="str">
            <v>Shipment</v>
          </cell>
        </row>
        <row r="3644">
          <cell r="B3644" t="str">
            <v>Shipment</v>
          </cell>
        </row>
        <row r="3645">
          <cell r="B3645" t="str">
            <v>Shipment</v>
          </cell>
        </row>
        <row r="3646">
          <cell r="B3646" t="str">
            <v>Shipment</v>
          </cell>
        </row>
        <row r="3647">
          <cell r="B3647" t="str">
            <v>Shipment</v>
          </cell>
        </row>
        <row r="3648">
          <cell r="B3648" t="str">
            <v>Shipment</v>
          </cell>
        </row>
        <row r="3649">
          <cell r="B3649" t="str">
            <v>Shipment</v>
          </cell>
        </row>
        <row r="3650">
          <cell r="B3650" t="str">
            <v>Shipment</v>
          </cell>
        </row>
        <row r="3651">
          <cell r="B3651" t="str">
            <v>Shipment</v>
          </cell>
        </row>
        <row r="3652">
          <cell r="B3652" t="str">
            <v>Shipment</v>
          </cell>
        </row>
        <row r="3653">
          <cell r="B3653" t="str">
            <v>Shipment</v>
          </cell>
        </row>
        <row r="3654">
          <cell r="B3654" t="str">
            <v>Shipment</v>
          </cell>
        </row>
        <row r="3655">
          <cell r="B3655" t="str">
            <v>Shipment</v>
          </cell>
        </row>
        <row r="3656">
          <cell r="B3656" t="str">
            <v>Shipment</v>
          </cell>
        </row>
        <row r="3657">
          <cell r="B3657" t="str">
            <v>Shipment</v>
          </cell>
        </row>
        <row r="3658">
          <cell r="B3658" t="str">
            <v>Shipment</v>
          </cell>
        </row>
        <row r="3659">
          <cell r="B3659" t="str">
            <v>Shipment</v>
          </cell>
        </row>
        <row r="3660">
          <cell r="B3660" t="str">
            <v>Shipment</v>
          </cell>
        </row>
        <row r="3661">
          <cell r="B3661" t="str">
            <v>Shipment</v>
          </cell>
        </row>
        <row r="3662">
          <cell r="B3662" t="str">
            <v>Shipment</v>
          </cell>
        </row>
        <row r="3663">
          <cell r="B3663" t="str">
            <v>Shipment</v>
          </cell>
        </row>
        <row r="3664">
          <cell r="B3664" t="str">
            <v>Shipment</v>
          </cell>
        </row>
        <row r="3665">
          <cell r="B3665" t="str">
            <v>Shipment</v>
          </cell>
        </row>
        <row r="3666">
          <cell r="B3666" t="str">
            <v>Shipment</v>
          </cell>
        </row>
        <row r="3667">
          <cell r="B3667" t="str">
            <v>Shipment</v>
          </cell>
        </row>
        <row r="3668">
          <cell r="B3668" t="str">
            <v>Shipment</v>
          </cell>
        </row>
        <row r="3669">
          <cell r="B3669" t="str">
            <v>Shipment</v>
          </cell>
        </row>
        <row r="3670">
          <cell r="B3670" t="str">
            <v>Shipment</v>
          </cell>
        </row>
        <row r="3671">
          <cell r="B3671" t="str">
            <v>Shipment</v>
          </cell>
        </row>
        <row r="3672">
          <cell r="B3672" t="str">
            <v>Shipment</v>
          </cell>
        </row>
        <row r="3673">
          <cell r="B3673" t="str">
            <v>Shipment</v>
          </cell>
        </row>
        <row r="3674">
          <cell r="B3674" t="str">
            <v>Shipment</v>
          </cell>
        </row>
        <row r="3675">
          <cell r="B3675" t="str">
            <v>Shipment</v>
          </cell>
        </row>
        <row r="3676">
          <cell r="B3676" t="str">
            <v>Shipment</v>
          </cell>
        </row>
        <row r="3677">
          <cell r="B3677" t="str">
            <v>Shipment</v>
          </cell>
        </row>
        <row r="3678">
          <cell r="B3678" t="str">
            <v>Shipment</v>
          </cell>
        </row>
        <row r="3679">
          <cell r="B3679" t="str">
            <v>Shipment</v>
          </cell>
        </row>
        <row r="3680">
          <cell r="B3680" t="str">
            <v>Shipment</v>
          </cell>
        </row>
        <row r="3681">
          <cell r="B3681" t="str">
            <v>Shipment</v>
          </cell>
        </row>
        <row r="3682">
          <cell r="B3682" t="str">
            <v>Shipment</v>
          </cell>
        </row>
        <row r="3683">
          <cell r="B3683" t="str">
            <v>Shipment</v>
          </cell>
        </row>
        <row r="3684">
          <cell r="B3684" t="str">
            <v>Shipment</v>
          </cell>
        </row>
        <row r="3685">
          <cell r="B3685" t="str">
            <v>Shipment</v>
          </cell>
        </row>
        <row r="3686">
          <cell r="B3686" t="str">
            <v>Shipment</v>
          </cell>
        </row>
        <row r="3687">
          <cell r="B3687" t="str">
            <v>Shipment</v>
          </cell>
        </row>
        <row r="3688">
          <cell r="B3688" t="str">
            <v>Shipment</v>
          </cell>
        </row>
        <row r="3689">
          <cell r="B3689" t="str">
            <v>Shipment</v>
          </cell>
        </row>
        <row r="3690">
          <cell r="B3690" t="str">
            <v>Shipment</v>
          </cell>
        </row>
        <row r="3691">
          <cell r="B3691" t="str">
            <v>Shipment</v>
          </cell>
        </row>
        <row r="3692">
          <cell r="B3692" t="str">
            <v>Shipment</v>
          </cell>
        </row>
        <row r="3693">
          <cell r="B3693" t="str">
            <v>Shipment</v>
          </cell>
        </row>
        <row r="3694">
          <cell r="B3694" t="str">
            <v>Shipment</v>
          </cell>
        </row>
        <row r="3695">
          <cell r="B3695" t="str">
            <v>Shipment</v>
          </cell>
        </row>
        <row r="3696">
          <cell r="B3696" t="str">
            <v>Shipment</v>
          </cell>
        </row>
        <row r="3697">
          <cell r="B3697" t="str">
            <v>Shipment</v>
          </cell>
        </row>
        <row r="3698">
          <cell r="B3698" t="str">
            <v>Shipment</v>
          </cell>
        </row>
        <row r="3699">
          <cell r="B3699" t="str">
            <v>Shipment</v>
          </cell>
        </row>
        <row r="3700">
          <cell r="B3700" t="str">
            <v>Shipment</v>
          </cell>
        </row>
        <row r="3701">
          <cell r="B3701" t="str">
            <v>Shipment</v>
          </cell>
        </row>
        <row r="3702">
          <cell r="B3702" t="str">
            <v>Shipment</v>
          </cell>
        </row>
        <row r="3703">
          <cell r="B3703" t="str">
            <v>Shipment</v>
          </cell>
        </row>
        <row r="3704">
          <cell r="B3704" t="str">
            <v>Shipment</v>
          </cell>
        </row>
        <row r="3705">
          <cell r="B3705" t="str">
            <v>Shipment</v>
          </cell>
        </row>
        <row r="3706">
          <cell r="B3706" t="str">
            <v>Shipment</v>
          </cell>
        </row>
        <row r="3707">
          <cell r="B3707" t="str">
            <v>Shipment</v>
          </cell>
        </row>
        <row r="3708">
          <cell r="B3708" t="str">
            <v>Shipment</v>
          </cell>
        </row>
        <row r="3709">
          <cell r="B3709" t="str">
            <v>Shipment</v>
          </cell>
        </row>
        <row r="3710">
          <cell r="B3710" t="str">
            <v>Shipment</v>
          </cell>
        </row>
        <row r="3711">
          <cell r="B3711" t="str">
            <v>Shipment</v>
          </cell>
        </row>
        <row r="3712">
          <cell r="B3712" t="str">
            <v>Shipment</v>
          </cell>
        </row>
        <row r="3713">
          <cell r="B3713" t="str">
            <v>Shipment</v>
          </cell>
        </row>
        <row r="3714">
          <cell r="B3714" t="str">
            <v>Shipment</v>
          </cell>
        </row>
        <row r="3715">
          <cell r="B3715" t="str">
            <v>Shipment</v>
          </cell>
        </row>
        <row r="3716">
          <cell r="B3716" t="str">
            <v>Shipment</v>
          </cell>
        </row>
        <row r="3717">
          <cell r="B3717" t="str">
            <v>Shipment</v>
          </cell>
        </row>
        <row r="3718">
          <cell r="B3718" t="str">
            <v>Shipment</v>
          </cell>
        </row>
        <row r="3719">
          <cell r="B3719" t="str">
            <v>Shipment</v>
          </cell>
        </row>
        <row r="3720">
          <cell r="B3720" t="str">
            <v>Shipment</v>
          </cell>
        </row>
        <row r="3721">
          <cell r="B3721" t="str">
            <v>Shipment</v>
          </cell>
        </row>
        <row r="3722">
          <cell r="B3722" t="str">
            <v>Shipment</v>
          </cell>
        </row>
        <row r="3723">
          <cell r="B3723" t="str">
            <v>Shipment</v>
          </cell>
        </row>
        <row r="3724">
          <cell r="B3724" t="str">
            <v>Shipment</v>
          </cell>
        </row>
        <row r="3725">
          <cell r="B3725" t="str">
            <v>Shipment</v>
          </cell>
        </row>
        <row r="3726">
          <cell r="B3726" t="str">
            <v>Shipment</v>
          </cell>
        </row>
        <row r="3727">
          <cell r="B3727" t="str">
            <v>Shipment</v>
          </cell>
        </row>
        <row r="3728">
          <cell r="B3728" t="str">
            <v>Shipment</v>
          </cell>
        </row>
        <row r="3729">
          <cell r="B3729" t="str">
            <v>Shipment</v>
          </cell>
        </row>
        <row r="3730">
          <cell r="B3730" t="str">
            <v>Shipment</v>
          </cell>
        </row>
        <row r="3731">
          <cell r="B3731" t="str">
            <v>Shipment</v>
          </cell>
        </row>
        <row r="3732">
          <cell r="B3732" t="str">
            <v>Shipment</v>
          </cell>
        </row>
        <row r="3733">
          <cell r="B3733" t="str">
            <v>Shipment</v>
          </cell>
        </row>
        <row r="3734">
          <cell r="B3734" t="str">
            <v>Shipment</v>
          </cell>
        </row>
        <row r="3735">
          <cell r="B3735" t="str">
            <v>Shipment</v>
          </cell>
        </row>
        <row r="3736">
          <cell r="B3736" t="str">
            <v>Shipment</v>
          </cell>
        </row>
        <row r="3737">
          <cell r="B3737" t="str">
            <v>Shipment</v>
          </cell>
        </row>
        <row r="3738">
          <cell r="B3738" t="str">
            <v>Shipment</v>
          </cell>
        </row>
        <row r="3739">
          <cell r="B3739" t="str">
            <v>Shipment</v>
          </cell>
        </row>
        <row r="3740">
          <cell r="B3740" t="str">
            <v>Shipment</v>
          </cell>
        </row>
        <row r="3741">
          <cell r="B3741" t="str">
            <v>Shipment</v>
          </cell>
        </row>
        <row r="3742">
          <cell r="B3742" t="str">
            <v>Shipment</v>
          </cell>
        </row>
        <row r="3743">
          <cell r="B3743" t="str">
            <v>Shipment</v>
          </cell>
        </row>
        <row r="3744">
          <cell r="B3744" t="str">
            <v>Shipment</v>
          </cell>
        </row>
        <row r="3745">
          <cell r="B3745" t="str">
            <v>Shipment</v>
          </cell>
        </row>
        <row r="3746">
          <cell r="B3746" t="str">
            <v>Shipment</v>
          </cell>
        </row>
        <row r="3747">
          <cell r="B3747" t="str">
            <v>Shipment</v>
          </cell>
        </row>
        <row r="3748">
          <cell r="B3748" t="str">
            <v>Shipment</v>
          </cell>
        </row>
        <row r="3749">
          <cell r="B3749" t="str">
            <v>Shipment</v>
          </cell>
        </row>
        <row r="3750">
          <cell r="B3750" t="str">
            <v>Shipment</v>
          </cell>
        </row>
        <row r="3751">
          <cell r="B3751" t="str">
            <v>Shipment</v>
          </cell>
        </row>
        <row r="3752">
          <cell r="B3752" t="str">
            <v>Shipment</v>
          </cell>
        </row>
        <row r="3753">
          <cell r="B3753" t="str">
            <v>Shipment</v>
          </cell>
        </row>
        <row r="3754">
          <cell r="B3754" t="str">
            <v>Shipment</v>
          </cell>
        </row>
        <row r="3755">
          <cell r="B3755" t="str">
            <v>Shipment</v>
          </cell>
        </row>
        <row r="3756">
          <cell r="B3756" t="str">
            <v>Shipment</v>
          </cell>
        </row>
        <row r="3757">
          <cell r="B3757" t="str">
            <v>Shipment</v>
          </cell>
        </row>
        <row r="3758">
          <cell r="B3758" t="str">
            <v>Shipment</v>
          </cell>
        </row>
        <row r="3759">
          <cell r="B3759" t="str">
            <v>Shipment</v>
          </cell>
        </row>
        <row r="3760">
          <cell r="B3760" t="str">
            <v>Shipment</v>
          </cell>
        </row>
        <row r="3761">
          <cell r="B3761" t="str">
            <v>Shipment</v>
          </cell>
        </row>
        <row r="3762">
          <cell r="B3762" t="str">
            <v>Shipment</v>
          </cell>
        </row>
        <row r="3763">
          <cell r="B3763" t="str">
            <v>Shipment</v>
          </cell>
        </row>
        <row r="3764">
          <cell r="B3764" t="str">
            <v>Shipment</v>
          </cell>
        </row>
        <row r="3765">
          <cell r="B3765" t="str">
            <v>Shipment</v>
          </cell>
        </row>
        <row r="3766">
          <cell r="B3766" t="str">
            <v>Shipment</v>
          </cell>
        </row>
        <row r="3767">
          <cell r="B3767" t="str">
            <v>Shipment</v>
          </cell>
        </row>
        <row r="3768">
          <cell r="B3768" t="str">
            <v>Shipment</v>
          </cell>
        </row>
        <row r="3769">
          <cell r="B3769" t="str">
            <v>Shipment</v>
          </cell>
        </row>
        <row r="3770">
          <cell r="B3770" t="str">
            <v>Shipment</v>
          </cell>
        </row>
        <row r="3771">
          <cell r="B3771" t="str">
            <v>Shipment</v>
          </cell>
        </row>
        <row r="3772">
          <cell r="B3772" t="str">
            <v>Shipment</v>
          </cell>
        </row>
        <row r="3773">
          <cell r="B3773" t="str">
            <v>Shipment</v>
          </cell>
        </row>
        <row r="3774">
          <cell r="B3774" t="str">
            <v>Shipment</v>
          </cell>
        </row>
        <row r="3775">
          <cell r="B3775" t="str">
            <v>Shipment</v>
          </cell>
        </row>
        <row r="3776">
          <cell r="B3776" t="str">
            <v>Shipment</v>
          </cell>
        </row>
        <row r="3777">
          <cell r="B3777" t="str">
            <v>Shipment</v>
          </cell>
        </row>
        <row r="3778">
          <cell r="B3778" t="str">
            <v>Shipment</v>
          </cell>
        </row>
        <row r="3779">
          <cell r="B3779" t="str">
            <v>Shipment</v>
          </cell>
        </row>
        <row r="3780">
          <cell r="B3780" t="str">
            <v>Shipment</v>
          </cell>
        </row>
        <row r="3781">
          <cell r="B3781" t="str">
            <v>Shipment</v>
          </cell>
        </row>
        <row r="3782">
          <cell r="B3782" t="str">
            <v>Shipment</v>
          </cell>
        </row>
        <row r="3783">
          <cell r="B3783" t="str">
            <v>Shipment</v>
          </cell>
        </row>
        <row r="3784">
          <cell r="B3784" t="str">
            <v>Shipment</v>
          </cell>
        </row>
        <row r="3785">
          <cell r="B3785" t="str">
            <v>Shipment</v>
          </cell>
        </row>
        <row r="3786">
          <cell r="B3786" t="str">
            <v>Shipment</v>
          </cell>
        </row>
        <row r="3787">
          <cell r="B3787" t="str">
            <v>Shipment</v>
          </cell>
        </row>
        <row r="3788">
          <cell r="B3788" t="str">
            <v>Shipment</v>
          </cell>
        </row>
        <row r="3789">
          <cell r="B3789" t="str">
            <v>Shipment</v>
          </cell>
        </row>
        <row r="3790">
          <cell r="B3790" t="str">
            <v>Shipment</v>
          </cell>
        </row>
        <row r="3791">
          <cell r="B3791" t="str">
            <v>Shipment</v>
          </cell>
        </row>
        <row r="3792">
          <cell r="B3792" t="str">
            <v>Shipment</v>
          </cell>
        </row>
        <row r="3793">
          <cell r="B3793" t="str">
            <v>Shipment</v>
          </cell>
        </row>
        <row r="3794">
          <cell r="B3794" t="str">
            <v>Shipment</v>
          </cell>
        </row>
        <row r="3795">
          <cell r="B3795" t="str">
            <v>Shipment</v>
          </cell>
        </row>
        <row r="3796">
          <cell r="B3796" t="str">
            <v>Shipment</v>
          </cell>
        </row>
        <row r="3797">
          <cell r="B3797" t="str">
            <v>Shipment</v>
          </cell>
        </row>
        <row r="3798">
          <cell r="B3798" t="str">
            <v>Shipment</v>
          </cell>
        </row>
        <row r="3799">
          <cell r="B3799" t="str">
            <v>Shipment</v>
          </cell>
        </row>
        <row r="3800">
          <cell r="B3800" t="str">
            <v>Shipment</v>
          </cell>
        </row>
        <row r="3801">
          <cell r="B3801" t="str">
            <v>Shipment</v>
          </cell>
        </row>
        <row r="3802">
          <cell r="B3802" t="str">
            <v>Shipment</v>
          </cell>
        </row>
        <row r="3803">
          <cell r="B3803" t="str">
            <v>Shipment</v>
          </cell>
        </row>
        <row r="3804">
          <cell r="B3804" t="str">
            <v>Shipment</v>
          </cell>
        </row>
        <row r="3805">
          <cell r="B3805" t="str">
            <v>Shipment</v>
          </cell>
        </row>
        <row r="3806">
          <cell r="B3806" t="str">
            <v>Shipment</v>
          </cell>
        </row>
        <row r="3807">
          <cell r="B3807" t="str">
            <v>Shipment</v>
          </cell>
        </row>
        <row r="3808">
          <cell r="B3808" t="str">
            <v>Shipment</v>
          </cell>
        </row>
        <row r="3809">
          <cell r="B3809" t="str">
            <v>Shipment</v>
          </cell>
        </row>
        <row r="3810">
          <cell r="B3810" t="str">
            <v>Shipment</v>
          </cell>
        </row>
        <row r="3811">
          <cell r="B3811" t="str">
            <v>Shipment</v>
          </cell>
        </row>
        <row r="3812">
          <cell r="B3812" t="str">
            <v>Shipment</v>
          </cell>
        </row>
        <row r="3813">
          <cell r="B3813" t="str">
            <v>Shipment</v>
          </cell>
        </row>
        <row r="3814">
          <cell r="B3814" t="str">
            <v>Shipment</v>
          </cell>
        </row>
        <row r="3815">
          <cell r="B3815" t="str">
            <v>Shipment</v>
          </cell>
        </row>
        <row r="3816">
          <cell r="B3816" t="str">
            <v>Shipment</v>
          </cell>
        </row>
        <row r="3817">
          <cell r="B3817" t="str">
            <v>Shipment</v>
          </cell>
        </row>
        <row r="3818">
          <cell r="B3818" t="str">
            <v>Shipment</v>
          </cell>
        </row>
        <row r="3819">
          <cell r="B3819" t="str">
            <v>Shipment</v>
          </cell>
        </row>
        <row r="3820">
          <cell r="B3820" t="str">
            <v>Shipment</v>
          </cell>
        </row>
        <row r="3821">
          <cell r="B3821" t="str">
            <v>Shipment</v>
          </cell>
        </row>
        <row r="3822">
          <cell r="B3822" t="str">
            <v>Shipment</v>
          </cell>
        </row>
        <row r="3823">
          <cell r="B3823" t="str">
            <v>Shipment</v>
          </cell>
        </row>
        <row r="3824">
          <cell r="B3824" t="str">
            <v>Shipment</v>
          </cell>
        </row>
        <row r="3825">
          <cell r="B3825" t="str">
            <v>Shipment</v>
          </cell>
        </row>
        <row r="3826">
          <cell r="B3826" t="str">
            <v>Shipment</v>
          </cell>
        </row>
        <row r="3827">
          <cell r="B3827" t="str">
            <v>Shipment</v>
          </cell>
        </row>
        <row r="3828">
          <cell r="B3828" t="str">
            <v>Shipment</v>
          </cell>
        </row>
        <row r="3829">
          <cell r="B3829" t="str">
            <v>Shipment</v>
          </cell>
        </row>
        <row r="3830">
          <cell r="B3830" t="str">
            <v>Shipment</v>
          </cell>
        </row>
        <row r="3831">
          <cell r="B3831" t="str">
            <v>Shipment</v>
          </cell>
        </row>
        <row r="3832">
          <cell r="B3832" t="str">
            <v>Shipment</v>
          </cell>
        </row>
        <row r="3833">
          <cell r="B3833" t="str">
            <v>Shipment</v>
          </cell>
        </row>
        <row r="3834">
          <cell r="B3834" t="str">
            <v>Shipment</v>
          </cell>
        </row>
        <row r="3835">
          <cell r="B3835" t="str">
            <v>Shipment</v>
          </cell>
        </row>
        <row r="3836">
          <cell r="B3836" t="str">
            <v>Shipment</v>
          </cell>
        </row>
        <row r="3837">
          <cell r="B3837" t="str">
            <v>Shipment</v>
          </cell>
        </row>
        <row r="3838">
          <cell r="B3838" t="str">
            <v>Shipment</v>
          </cell>
        </row>
        <row r="3839">
          <cell r="B3839" t="str">
            <v>Shipment</v>
          </cell>
        </row>
        <row r="3840">
          <cell r="B3840" t="str">
            <v>Shipment</v>
          </cell>
        </row>
        <row r="3841">
          <cell r="B3841" t="str">
            <v>Shipment</v>
          </cell>
        </row>
        <row r="3842">
          <cell r="B3842" t="str">
            <v>Shipment</v>
          </cell>
        </row>
        <row r="3843">
          <cell r="B3843" t="str">
            <v>Shipment</v>
          </cell>
        </row>
        <row r="3844">
          <cell r="B3844" t="str">
            <v>Shipment</v>
          </cell>
        </row>
        <row r="3845">
          <cell r="B3845" t="str">
            <v>Shipment</v>
          </cell>
        </row>
        <row r="3846">
          <cell r="B3846" t="str">
            <v>Shipment</v>
          </cell>
        </row>
        <row r="3847">
          <cell r="B3847" t="str">
            <v>Shipment</v>
          </cell>
        </row>
        <row r="3848">
          <cell r="B3848" t="str">
            <v>Shipment</v>
          </cell>
        </row>
        <row r="3849">
          <cell r="B3849" t="str">
            <v>Shipment</v>
          </cell>
        </row>
        <row r="3850">
          <cell r="B3850" t="str">
            <v>Shipment</v>
          </cell>
        </row>
        <row r="3851">
          <cell r="B3851" t="str">
            <v>Shipment</v>
          </cell>
        </row>
        <row r="3852">
          <cell r="B3852" t="str">
            <v>Shipment</v>
          </cell>
        </row>
        <row r="3853">
          <cell r="B3853" t="str">
            <v>Shipment</v>
          </cell>
        </row>
        <row r="3854">
          <cell r="B3854" t="str">
            <v>Shipment</v>
          </cell>
        </row>
        <row r="3855">
          <cell r="B3855" t="str">
            <v>Shipment</v>
          </cell>
        </row>
        <row r="3856">
          <cell r="B3856" t="str">
            <v>Shipment</v>
          </cell>
        </row>
        <row r="3857">
          <cell r="B3857" t="str">
            <v>Shipment</v>
          </cell>
        </row>
        <row r="3858">
          <cell r="B3858" t="str">
            <v>Shipment</v>
          </cell>
        </row>
        <row r="3859">
          <cell r="B3859" t="str">
            <v>Shipment</v>
          </cell>
        </row>
        <row r="3860">
          <cell r="B3860" t="str">
            <v>Shipment</v>
          </cell>
        </row>
        <row r="3861">
          <cell r="B3861" t="str">
            <v>Shipment</v>
          </cell>
        </row>
        <row r="3862">
          <cell r="B3862" t="str">
            <v>Shipment</v>
          </cell>
        </row>
        <row r="3863">
          <cell r="B3863" t="str">
            <v>Shipment</v>
          </cell>
        </row>
        <row r="3864">
          <cell r="B3864" t="str">
            <v>Shipment</v>
          </cell>
        </row>
        <row r="3865">
          <cell r="B3865" t="str">
            <v>Shipment</v>
          </cell>
        </row>
        <row r="3866">
          <cell r="B3866" t="str">
            <v>Shipment</v>
          </cell>
        </row>
        <row r="3867">
          <cell r="B3867" t="str">
            <v>Shipment</v>
          </cell>
        </row>
        <row r="3868">
          <cell r="B3868" t="str">
            <v>Shipment</v>
          </cell>
        </row>
        <row r="3869">
          <cell r="B3869" t="str">
            <v>Shipment</v>
          </cell>
        </row>
        <row r="3870">
          <cell r="B3870" t="str">
            <v>Shipment</v>
          </cell>
        </row>
        <row r="3871">
          <cell r="B3871" t="str">
            <v>Shipment</v>
          </cell>
        </row>
        <row r="3872">
          <cell r="B3872" t="str">
            <v>Shipment</v>
          </cell>
        </row>
        <row r="3873">
          <cell r="B3873" t="str">
            <v>Shipment</v>
          </cell>
        </row>
        <row r="3874">
          <cell r="B3874" t="str">
            <v>Shipment</v>
          </cell>
        </row>
        <row r="3875">
          <cell r="B3875" t="str">
            <v>Shipment</v>
          </cell>
        </row>
        <row r="3876">
          <cell r="B3876" t="str">
            <v>Shipment</v>
          </cell>
        </row>
        <row r="3877">
          <cell r="B3877" t="str">
            <v>Shipment</v>
          </cell>
        </row>
        <row r="3878">
          <cell r="B3878" t="str">
            <v>Shipment</v>
          </cell>
        </row>
        <row r="3879">
          <cell r="B3879" t="str">
            <v>Shipment</v>
          </cell>
        </row>
        <row r="3880">
          <cell r="B3880" t="str">
            <v>Shipment</v>
          </cell>
        </row>
        <row r="3881">
          <cell r="B3881" t="str">
            <v>Shipment</v>
          </cell>
        </row>
        <row r="3882">
          <cell r="B3882" t="str">
            <v>Shipment</v>
          </cell>
        </row>
        <row r="3883">
          <cell r="B3883" t="str">
            <v>Shipment</v>
          </cell>
        </row>
        <row r="3884">
          <cell r="B3884" t="str">
            <v>Shipment</v>
          </cell>
        </row>
        <row r="3885">
          <cell r="B3885" t="str">
            <v>Shipment</v>
          </cell>
        </row>
        <row r="3886">
          <cell r="B3886" t="str">
            <v>Shipment</v>
          </cell>
        </row>
        <row r="3887">
          <cell r="B3887" t="str">
            <v>Shipment</v>
          </cell>
        </row>
        <row r="3888">
          <cell r="B3888" t="str">
            <v>Shipment</v>
          </cell>
        </row>
        <row r="3889">
          <cell r="B3889" t="str">
            <v>Shipment</v>
          </cell>
        </row>
        <row r="3890">
          <cell r="B3890" t="str">
            <v>Shipment</v>
          </cell>
        </row>
        <row r="3891">
          <cell r="B3891" t="str">
            <v>Shipment</v>
          </cell>
        </row>
        <row r="3892">
          <cell r="B3892" t="str">
            <v>Shipment</v>
          </cell>
        </row>
        <row r="3893">
          <cell r="B3893" t="str">
            <v>Shipment</v>
          </cell>
        </row>
        <row r="3894">
          <cell r="B3894" t="str">
            <v>Shipment</v>
          </cell>
        </row>
        <row r="3895">
          <cell r="B3895" t="str">
            <v>Shipment</v>
          </cell>
        </row>
        <row r="3896">
          <cell r="B3896" t="str">
            <v>Shipment</v>
          </cell>
        </row>
        <row r="3897">
          <cell r="B3897" t="str">
            <v>Shipment</v>
          </cell>
        </row>
        <row r="3898">
          <cell r="B3898" t="str">
            <v>Shipment</v>
          </cell>
        </row>
        <row r="3899">
          <cell r="B3899" t="str">
            <v>Shipment</v>
          </cell>
        </row>
        <row r="3900">
          <cell r="B3900" t="str">
            <v>Shipment</v>
          </cell>
        </row>
        <row r="3901">
          <cell r="B3901" t="str">
            <v>Shipment</v>
          </cell>
        </row>
        <row r="3902">
          <cell r="B3902" t="str">
            <v>Shipment</v>
          </cell>
        </row>
        <row r="3903">
          <cell r="B3903" t="str">
            <v>Shipment</v>
          </cell>
        </row>
        <row r="3904">
          <cell r="B3904" t="str">
            <v>Shipment</v>
          </cell>
        </row>
        <row r="3905">
          <cell r="B3905" t="str">
            <v>Shipment</v>
          </cell>
        </row>
        <row r="3906">
          <cell r="B3906" t="str">
            <v>Shipment</v>
          </cell>
        </row>
        <row r="3907">
          <cell r="B3907" t="str">
            <v>Shipment</v>
          </cell>
        </row>
        <row r="3908">
          <cell r="B3908" t="str">
            <v>Shipment</v>
          </cell>
        </row>
        <row r="3909">
          <cell r="B3909" t="str">
            <v>Shipment</v>
          </cell>
        </row>
        <row r="3910">
          <cell r="B3910" t="str">
            <v>Shipment</v>
          </cell>
        </row>
        <row r="3911">
          <cell r="B3911" t="str">
            <v>Shipment</v>
          </cell>
        </row>
        <row r="3912">
          <cell r="B3912" t="str">
            <v>Shipment</v>
          </cell>
        </row>
        <row r="3913">
          <cell r="B3913" t="str">
            <v>Shipment</v>
          </cell>
        </row>
        <row r="3914">
          <cell r="B3914" t="str">
            <v>Shipment</v>
          </cell>
        </row>
        <row r="3915">
          <cell r="B3915" t="str">
            <v>Shipment</v>
          </cell>
        </row>
        <row r="3916">
          <cell r="B3916" t="str">
            <v>Shipment</v>
          </cell>
        </row>
        <row r="3917">
          <cell r="B3917" t="str">
            <v>Shipment</v>
          </cell>
        </row>
        <row r="3918">
          <cell r="B3918" t="str">
            <v>Shipment</v>
          </cell>
        </row>
        <row r="3919">
          <cell r="B3919" t="str">
            <v>Shipment</v>
          </cell>
        </row>
        <row r="3920">
          <cell r="B3920" t="str">
            <v>Shipment</v>
          </cell>
        </row>
        <row r="3921">
          <cell r="B3921" t="str">
            <v>Shipment</v>
          </cell>
        </row>
        <row r="3922">
          <cell r="B3922" t="str">
            <v>Shipment</v>
          </cell>
        </row>
        <row r="3923">
          <cell r="B3923" t="str">
            <v>Shipment</v>
          </cell>
        </row>
        <row r="3924">
          <cell r="B3924" t="str">
            <v>Shipment</v>
          </cell>
        </row>
        <row r="3925">
          <cell r="B3925" t="str">
            <v>Shipment</v>
          </cell>
        </row>
        <row r="3926">
          <cell r="B3926" t="str">
            <v>Shipment</v>
          </cell>
        </row>
        <row r="3927">
          <cell r="B3927" t="str">
            <v>Shipment</v>
          </cell>
        </row>
        <row r="3928">
          <cell r="B3928" t="str">
            <v>Shipment</v>
          </cell>
        </row>
        <row r="3929">
          <cell r="B3929" t="str">
            <v>Shipment</v>
          </cell>
        </row>
        <row r="3930">
          <cell r="B3930" t="str">
            <v>Shipment</v>
          </cell>
        </row>
        <row r="3931">
          <cell r="B3931" t="str">
            <v>Shipment</v>
          </cell>
        </row>
        <row r="3932">
          <cell r="B3932" t="str">
            <v>Shipment</v>
          </cell>
        </row>
        <row r="3933">
          <cell r="B3933" t="str">
            <v>Shipment</v>
          </cell>
        </row>
        <row r="3934">
          <cell r="B3934" t="str">
            <v>Shipment</v>
          </cell>
        </row>
        <row r="3935">
          <cell r="B3935" t="str">
            <v>Shipment</v>
          </cell>
        </row>
        <row r="3936">
          <cell r="B3936" t="str">
            <v>Shipment</v>
          </cell>
        </row>
        <row r="3937">
          <cell r="B3937" t="str">
            <v>Shipment</v>
          </cell>
        </row>
        <row r="3938">
          <cell r="B3938" t="str">
            <v>Shipment</v>
          </cell>
        </row>
        <row r="3939">
          <cell r="B3939" t="str">
            <v>Shipment</v>
          </cell>
        </row>
        <row r="3940">
          <cell r="B3940" t="str">
            <v>Shipment</v>
          </cell>
        </row>
        <row r="3941">
          <cell r="B3941" t="str">
            <v>Shipment</v>
          </cell>
        </row>
        <row r="3942">
          <cell r="B3942" t="str">
            <v>Shipment</v>
          </cell>
        </row>
        <row r="3943">
          <cell r="B3943" t="str">
            <v>Shipment</v>
          </cell>
        </row>
        <row r="3944">
          <cell r="B3944" t="str">
            <v>Shipment</v>
          </cell>
        </row>
        <row r="3945">
          <cell r="B3945" t="str">
            <v>Shipment</v>
          </cell>
        </row>
        <row r="3946">
          <cell r="B3946" t="str">
            <v>Shipment</v>
          </cell>
        </row>
        <row r="3947">
          <cell r="B3947" t="str">
            <v>Shipment</v>
          </cell>
        </row>
        <row r="3948">
          <cell r="B3948" t="str">
            <v>Shipment</v>
          </cell>
        </row>
        <row r="3949">
          <cell r="B3949" t="str">
            <v>Shipment</v>
          </cell>
        </row>
        <row r="3950">
          <cell r="B3950" t="str">
            <v>Shipment</v>
          </cell>
        </row>
        <row r="3951">
          <cell r="B3951" t="str">
            <v>Shipment</v>
          </cell>
        </row>
        <row r="3952">
          <cell r="B3952" t="str">
            <v>Shipment</v>
          </cell>
        </row>
        <row r="3953">
          <cell r="B3953" t="str">
            <v>Shipment</v>
          </cell>
        </row>
        <row r="3954">
          <cell r="B3954" t="str">
            <v>Shipment</v>
          </cell>
        </row>
        <row r="3955">
          <cell r="B3955" t="str">
            <v>Shipment</v>
          </cell>
        </row>
        <row r="3956">
          <cell r="B3956" t="str">
            <v>Shipment</v>
          </cell>
        </row>
        <row r="3957">
          <cell r="B3957" t="str">
            <v>Shipment</v>
          </cell>
        </row>
        <row r="3958">
          <cell r="B3958" t="str">
            <v>Shipment</v>
          </cell>
        </row>
        <row r="3959">
          <cell r="B3959" t="str">
            <v>Shipment</v>
          </cell>
        </row>
        <row r="3960">
          <cell r="B3960" t="str">
            <v>Shipment</v>
          </cell>
        </row>
        <row r="3961">
          <cell r="B3961" t="str">
            <v>Shipment</v>
          </cell>
        </row>
        <row r="3962">
          <cell r="B3962" t="str">
            <v>Shipment</v>
          </cell>
        </row>
        <row r="3963">
          <cell r="B3963" t="str">
            <v>Shipment</v>
          </cell>
        </row>
        <row r="3964">
          <cell r="B3964" t="str">
            <v>Shipment</v>
          </cell>
        </row>
        <row r="3965">
          <cell r="B3965" t="str">
            <v>Shipment</v>
          </cell>
        </row>
        <row r="3966">
          <cell r="B3966" t="str">
            <v>Shipment</v>
          </cell>
        </row>
        <row r="3967">
          <cell r="B3967" t="str">
            <v>Shipment</v>
          </cell>
        </row>
        <row r="3968">
          <cell r="B3968" t="str">
            <v>Shipment</v>
          </cell>
        </row>
        <row r="3969">
          <cell r="B3969" t="str">
            <v>Shipment</v>
          </cell>
        </row>
        <row r="3970">
          <cell r="B3970" t="str">
            <v>Shipment</v>
          </cell>
        </row>
        <row r="3971">
          <cell r="B3971" t="str">
            <v>Shipment</v>
          </cell>
        </row>
        <row r="3972">
          <cell r="B3972" t="str">
            <v>Shipment</v>
          </cell>
        </row>
        <row r="3973">
          <cell r="B3973" t="str">
            <v>Shipment</v>
          </cell>
        </row>
        <row r="3974">
          <cell r="B3974" t="str">
            <v>Shipment</v>
          </cell>
        </row>
        <row r="3975">
          <cell r="B3975" t="str">
            <v>Shipment</v>
          </cell>
        </row>
        <row r="3976">
          <cell r="B3976" t="str">
            <v>Shipment</v>
          </cell>
        </row>
        <row r="3977">
          <cell r="B3977" t="str">
            <v>Shipment</v>
          </cell>
        </row>
        <row r="3978">
          <cell r="B3978" t="str">
            <v>Shipment</v>
          </cell>
        </row>
        <row r="3979">
          <cell r="B3979" t="str">
            <v>Shipment</v>
          </cell>
        </row>
        <row r="3980">
          <cell r="B3980" t="str">
            <v>Shipment</v>
          </cell>
        </row>
        <row r="3981">
          <cell r="B3981" t="str">
            <v>Shipment</v>
          </cell>
        </row>
        <row r="3982">
          <cell r="B3982" t="str">
            <v>Shipment</v>
          </cell>
        </row>
        <row r="3983">
          <cell r="B3983" t="str">
            <v>Shipment</v>
          </cell>
        </row>
        <row r="3984">
          <cell r="B3984" t="str">
            <v>Shipment</v>
          </cell>
        </row>
        <row r="3985">
          <cell r="B3985" t="str">
            <v>Shipment</v>
          </cell>
        </row>
        <row r="3986">
          <cell r="B3986" t="str">
            <v>Shipment</v>
          </cell>
        </row>
        <row r="3987">
          <cell r="B3987" t="str">
            <v>Shipment</v>
          </cell>
        </row>
        <row r="3988">
          <cell r="B3988" t="str">
            <v>Shipment</v>
          </cell>
        </row>
        <row r="3989">
          <cell r="B3989" t="str">
            <v>Shipment</v>
          </cell>
        </row>
        <row r="3990">
          <cell r="B3990" t="str">
            <v>Shipment</v>
          </cell>
        </row>
        <row r="3991">
          <cell r="B3991" t="str">
            <v>Shipment</v>
          </cell>
        </row>
        <row r="3992">
          <cell r="B3992" t="str">
            <v>Shipment</v>
          </cell>
        </row>
        <row r="3993">
          <cell r="B3993" t="str">
            <v>Shipment</v>
          </cell>
        </row>
        <row r="3994">
          <cell r="B3994" t="str">
            <v>Shipment</v>
          </cell>
        </row>
        <row r="3995">
          <cell r="B3995" t="str">
            <v>Shipment</v>
          </cell>
        </row>
        <row r="3996">
          <cell r="B3996" t="str">
            <v>Shipment</v>
          </cell>
        </row>
        <row r="3997">
          <cell r="B3997" t="str">
            <v>Shipment</v>
          </cell>
        </row>
        <row r="3998">
          <cell r="B3998" t="str">
            <v>Shipment</v>
          </cell>
        </row>
        <row r="3999">
          <cell r="B3999" t="str">
            <v>Shipment</v>
          </cell>
        </row>
        <row r="4000">
          <cell r="B4000" t="str">
            <v>Shipment</v>
          </cell>
        </row>
        <row r="4001">
          <cell r="B4001" t="str">
            <v>Shipment</v>
          </cell>
        </row>
        <row r="4002">
          <cell r="B4002" t="str">
            <v>Shipment</v>
          </cell>
        </row>
        <row r="4003">
          <cell r="B4003" t="str">
            <v>Shipment</v>
          </cell>
        </row>
        <row r="4004">
          <cell r="B4004" t="str">
            <v>Shipment</v>
          </cell>
        </row>
        <row r="4005">
          <cell r="B4005" t="str">
            <v>Shipment</v>
          </cell>
        </row>
        <row r="4006">
          <cell r="B4006" t="str">
            <v>Shipment</v>
          </cell>
        </row>
        <row r="4007">
          <cell r="B4007" t="str">
            <v>Shipment</v>
          </cell>
        </row>
        <row r="4008">
          <cell r="B4008" t="str">
            <v>Shipment</v>
          </cell>
        </row>
        <row r="4009">
          <cell r="B4009" t="str">
            <v>Shipment</v>
          </cell>
        </row>
        <row r="4010">
          <cell r="B4010" t="str">
            <v>Shipment</v>
          </cell>
        </row>
        <row r="4011">
          <cell r="B4011" t="str">
            <v>Shipment</v>
          </cell>
        </row>
        <row r="4012">
          <cell r="B4012" t="str">
            <v>Shipment</v>
          </cell>
        </row>
        <row r="4013">
          <cell r="B4013" t="str">
            <v>Shipment</v>
          </cell>
        </row>
        <row r="4014">
          <cell r="B4014" t="str">
            <v>Shipment</v>
          </cell>
        </row>
        <row r="4015">
          <cell r="B4015" t="str">
            <v>Shipment</v>
          </cell>
        </row>
        <row r="4016">
          <cell r="B4016" t="str">
            <v>Shipment</v>
          </cell>
        </row>
        <row r="4017">
          <cell r="B4017" t="str">
            <v>Shipment</v>
          </cell>
        </row>
        <row r="4018">
          <cell r="B4018" t="str">
            <v>Shipment</v>
          </cell>
        </row>
        <row r="4019">
          <cell r="B4019" t="str">
            <v>Shipment</v>
          </cell>
        </row>
        <row r="4020">
          <cell r="B4020" t="str">
            <v>Shipment</v>
          </cell>
        </row>
        <row r="4021">
          <cell r="B4021" t="str">
            <v>Shipment</v>
          </cell>
        </row>
        <row r="4022">
          <cell r="B4022" t="str">
            <v>Shipment</v>
          </cell>
        </row>
        <row r="4023">
          <cell r="B4023" t="str">
            <v>Shipment</v>
          </cell>
        </row>
        <row r="4024">
          <cell r="B4024" t="str">
            <v>Shipment</v>
          </cell>
        </row>
        <row r="4025">
          <cell r="B4025" t="str">
            <v>Shipment</v>
          </cell>
        </row>
        <row r="4026">
          <cell r="B4026" t="str">
            <v>Shipment</v>
          </cell>
        </row>
        <row r="4027">
          <cell r="B4027" t="str">
            <v>Shipment</v>
          </cell>
        </row>
        <row r="4028">
          <cell r="B4028" t="str">
            <v>Shipment</v>
          </cell>
        </row>
        <row r="4029">
          <cell r="B4029" t="str">
            <v>Shipment</v>
          </cell>
        </row>
        <row r="4030">
          <cell r="B4030" t="str">
            <v>Shipment</v>
          </cell>
        </row>
        <row r="4031">
          <cell r="B4031" t="str">
            <v>Shipment</v>
          </cell>
        </row>
        <row r="4032">
          <cell r="B4032" t="str">
            <v>Shipment</v>
          </cell>
        </row>
        <row r="4033">
          <cell r="B4033" t="str">
            <v>Shipment</v>
          </cell>
        </row>
        <row r="4034">
          <cell r="B4034" t="str">
            <v>Shipment</v>
          </cell>
        </row>
        <row r="4035">
          <cell r="B4035" t="str">
            <v>Shipment</v>
          </cell>
        </row>
        <row r="4036">
          <cell r="B4036" t="str">
            <v>Shipment</v>
          </cell>
        </row>
        <row r="4037">
          <cell r="B4037" t="str">
            <v>Shipment</v>
          </cell>
        </row>
        <row r="4038">
          <cell r="B4038" t="str">
            <v>Shipment</v>
          </cell>
        </row>
        <row r="4039">
          <cell r="B4039" t="str">
            <v>Shipment</v>
          </cell>
        </row>
        <row r="4040">
          <cell r="B4040" t="str">
            <v>Shipment</v>
          </cell>
        </row>
        <row r="4041">
          <cell r="B4041" t="str">
            <v>Shipment</v>
          </cell>
        </row>
        <row r="4042">
          <cell r="B4042" t="str">
            <v>Shipment</v>
          </cell>
        </row>
        <row r="4043">
          <cell r="B4043" t="str">
            <v>Shipment</v>
          </cell>
        </row>
        <row r="4044">
          <cell r="B4044" t="str">
            <v>Shipment</v>
          </cell>
        </row>
        <row r="4045">
          <cell r="B4045" t="str">
            <v>Shipment</v>
          </cell>
        </row>
        <row r="4046">
          <cell r="B4046" t="str">
            <v>Shipment</v>
          </cell>
        </row>
        <row r="4047">
          <cell r="B4047" t="str">
            <v>Shipment</v>
          </cell>
        </row>
        <row r="4048">
          <cell r="B4048" t="str">
            <v>Shipment</v>
          </cell>
        </row>
        <row r="4049">
          <cell r="B4049" t="str">
            <v>Shipment</v>
          </cell>
        </row>
        <row r="4050">
          <cell r="B4050" t="str">
            <v>Shipment</v>
          </cell>
        </row>
        <row r="4051">
          <cell r="B4051" t="str">
            <v>Shipment</v>
          </cell>
        </row>
        <row r="4052">
          <cell r="B4052" t="str">
            <v>Shipment</v>
          </cell>
        </row>
        <row r="4053">
          <cell r="B4053" t="str">
            <v>Shipment</v>
          </cell>
        </row>
        <row r="4054">
          <cell r="B4054" t="str">
            <v>Shipment</v>
          </cell>
        </row>
        <row r="4055">
          <cell r="B4055" t="str">
            <v>Shipment</v>
          </cell>
        </row>
        <row r="4056">
          <cell r="B4056" t="str">
            <v>Shipment</v>
          </cell>
        </row>
        <row r="4057">
          <cell r="B4057" t="str">
            <v>Shipment</v>
          </cell>
        </row>
        <row r="4058">
          <cell r="B4058" t="str">
            <v>Shipment</v>
          </cell>
        </row>
        <row r="4059">
          <cell r="B4059" t="str">
            <v>Shipment</v>
          </cell>
        </row>
        <row r="4060">
          <cell r="B4060" t="str">
            <v>Shipment</v>
          </cell>
        </row>
        <row r="4061">
          <cell r="B4061" t="str">
            <v>Shipment</v>
          </cell>
        </row>
        <row r="4062">
          <cell r="B4062" t="str">
            <v>Shipment</v>
          </cell>
        </row>
        <row r="4063">
          <cell r="B4063" t="str">
            <v>Shipment</v>
          </cell>
        </row>
        <row r="4064">
          <cell r="B4064" t="str">
            <v>Shipment</v>
          </cell>
        </row>
        <row r="4065">
          <cell r="B4065" t="str">
            <v>Shipment</v>
          </cell>
        </row>
        <row r="4066">
          <cell r="B4066" t="str">
            <v>Shipment</v>
          </cell>
        </row>
        <row r="4067">
          <cell r="B4067" t="str">
            <v>Shipment</v>
          </cell>
        </row>
        <row r="4068">
          <cell r="B4068" t="str">
            <v>Shipment</v>
          </cell>
        </row>
        <row r="4069">
          <cell r="B4069" t="str">
            <v>Shipment</v>
          </cell>
        </row>
        <row r="4070">
          <cell r="B4070" t="str">
            <v>Shipment</v>
          </cell>
        </row>
        <row r="4071">
          <cell r="B4071" t="str">
            <v>Shipment</v>
          </cell>
        </row>
        <row r="4072">
          <cell r="B4072" t="str">
            <v>Shipment</v>
          </cell>
        </row>
        <row r="4073">
          <cell r="B4073" t="str">
            <v>Shipment</v>
          </cell>
        </row>
        <row r="4074">
          <cell r="B4074" t="str">
            <v>Shipment</v>
          </cell>
        </row>
        <row r="4075">
          <cell r="B4075" t="str">
            <v>Shipment</v>
          </cell>
        </row>
        <row r="4076">
          <cell r="B4076" t="str">
            <v>Shipment</v>
          </cell>
        </row>
        <row r="4077">
          <cell r="B4077" t="str">
            <v>Shipment</v>
          </cell>
        </row>
        <row r="4078">
          <cell r="B4078" t="str">
            <v>Shipment</v>
          </cell>
        </row>
        <row r="4079">
          <cell r="B4079" t="str">
            <v>Shipment</v>
          </cell>
        </row>
        <row r="4080">
          <cell r="B4080" t="str">
            <v>Shipment</v>
          </cell>
        </row>
        <row r="4081">
          <cell r="B4081" t="str">
            <v>Shipment</v>
          </cell>
        </row>
        <row r="4082">
          <cell r="B4082" t="str">
            <v>Shipment</v>
          </cell>
        </row>
        <row r="4083">
          <cell r="B4083" t="str">
            <v>Shipment</v>
          </cell>
        </row>
        <row r="4084">
          <cell r="B4084" t="str">
            <v>Shipment</v>
          </cell>
        </row>
        <row r="4085">
          <cell r="B4085" t="str">
            <v>Shipment</v>
          </cell>
        </row>
        <row r="4086">
          <cell r="B4086" t="str">
            <v>Shipment</v>
          </cell>
        </row>
        <row r="4087">
          <cell r="B4087" t="str">
            <v>Shipment</v>
          </cell>
        </row>
        <row r="4088">
          <cell r="B4088" t="str">
            <v>Shipment</v>
          </cell>
        </row>
        <row r="4089">
          <cell r="B4089" t="str">
            <v>Shipment</v>
          </cell>
        </row>
        <row r="4090">
          <cell r="B4090" t="str">
            <v>Shipment</v>
          </cell>
        </row>
        <row r="4091">
          <cell r="B4091" t="str">
            <v>Shipment</v>
          </cell>
        </row>
        <row r="4092">
          <cell r="B4092" t="str">
            <v>Shipment</v>
          </cell>
        </row>
        <row r="4093">
          <cell r="B4093" t="str">
            <v>Shipment</v>
          </cell>
        </row>
        <row r="4094">
          <cell r="B4094" t="str">
            <v>Shipment</v>
          </cell>
        </row>
        <row r="4095">
          <cell r="B4095" t="str">
            <v>Shipment</v>
          </cell>
        </row>
        <row r="4096">
          <cell r="B4096" t="str">
            <v>Shipment</v>
          </cell>
        </row>
        <row r="4097">
          <cell r="B4097" t="str">
            <v>Shipment</v>
          </cell>
        </row>
        <row r="4098">
          <cell r="B4098" t="str">
            <v>Shipment</v>
          </cell>
        </row>
        <row r="4099">
          <cell r="B4099" t="str">
            <v>Shipment</v>
          </cell>
        </row>
        <row r="4100">
          <cell r="B4100" t="str">
            <v>Shipment</v>
          </cell>
        </row>
        <row r="4101">
          <cell r="B4101" t="str">
            <v>Shipment</v>
          </cell>
        </row>
        <row r="4102">
          <cell r="B4102" t="str">
            <v>Shipment</v>
          </cell>
        </row>
        <row r="4103">
          <cell r="B4103" t="str">
            <v>Shipment</v>
          </cell>
        </row>
        <row r="4104">
          <cell r="B4104" t="str">
            <v>Shipment</v>
          </cell>
        </row>
        <row r="4105">
          <cell r="B4105" t="str">
            <v>Shipment</v>
          </cell>
        </row>
        <row r="4106">
          <cell r="B4106" t="str">
            <v>Shipment</v>
          </cell>
        </row>
        <row r="4107">
          <cell r="B4107" t="str">
            <v>Shipment</v>
          </cell>
        </row>
        <row r="4108">
          <cell r="B4108" t="str">
            <v>Shipment</v>
          </cell>
        </row>
        <row r="4109">
          <cell r="B4109" t="str">
            <v>Shipment</v>
          </cell>
        </row>
        <row r="4110">
          <cell r="B4110" t="str">
            <v>Shipment</v>
          </cell>
        </row>
        <row r="4111">
          <cell r="B4111" t="str">
            <v>Shipment</v>
          </cell>
        </row>
        <row r="4112">
          <cell r="B4112" t="str">
            <v>Shipment</v>
          </cell>
        </row>
        <row r="4113">
          <cell r="B4113" t="str">
            <v>Shipment</v>
          </cell>
        </row>
        <row r="4114">
          <cell r="B4114" t="str">
            <v>Shipment</v>
          </cell>
        </row>
        <row r="4115">
          <cell r="B4115" t="str">
            <v>Shipment</v>
          </cell>
        </row>
        <row r="4116">
          <cell r="B4116" t="str">
            <v>Shipment</v>
          </cell>
        </row>
        <row r="4117">
          <cell r="B4117" t="str">
            <v>Shipment</v>
          </cell>
        </row>
        <row r="4118">
          <cell r="B4118" t="str">
            <v>Shipment</v>
          </cell>
        </row>
        <row r="4119">
          <cell r="B4119" t="str">
            <v>Shipment</v>
          </cell>
        </row>
        <row r="4120">
          <cell r="B4120" t="str">
            <v>Shipment</v>
          </cell>
        </row>
        <row r="4121">
          <cell r="B4121" t="str">
            <v>Shipment</v>
          </cell>
        </row>
        <row r="4122">
          <cell r="B4122" t="str">
            <v>Shipment</v>
          </cell>
        </row>
        <row r="4123">
          <cell r="B4123" t="str">
            <v>Shipment</v>
          </cell>
        </row>
        <row r="4124">
          <cell r="B4124" t="str">
            <v>Shipment</v>
          </cell>
        </row>
        <row r="4125">
          <cell r="B4125" t="str">
            <v>Shipment</v>
          </cell>
        </row>
        <row r="4126">
          <cell r="B4126" t="str">
            <v>Shipment</v>
          </cell>
        </row>
        <row r="4127">
          <cell r="B4127" t="str">
            <v>Shipment</v>
          </cell>
        </row>
        <row r="4128">
          <cell r="B4128" t="str">
            <v>Shipment</v>
          </cell>
        </row>
        <row r="4129">
          <cell r="B4129" t="str">
            <v>Shipment</v>
          </cell>
        </row>
        <row r="4130">
          <cell r="B4130" t="str">
            <v>Shipment</v>
          </cell>
        </row>
        <row r="4131">
          <cell r="B4131" t="str">
            <v>Shipment</v>
          </cell>
        </row>
        <row r="4132">
          <cell r="B4132" t="str">
            <v>Shipment</v>
          </cell>
        </row>
        <row r="4133">
          <cell r="B4133" t="str">
            <v>Shipment</v>
          </cell>
        </row>
        <row r="4134">
          <cell r="B4134" t="str">
            <v>Shipment</v>
          </cell>
        </row>
        <row r="4135">
          <cell r="B4135" t="str">
            <v>Shipment</v>
          </cell>
        </row>
        <row r="4136">
          <cell r="B4136" t="str">
            <v>Shipment</v>
          </cell>
        </row>
        <row r="4137">
          <cell r="B4137" t="str">
            <v>Shipment</v>
          </cell>
        </row>
        <row r="4138">
          <cell r="B4138" t="str">
            <v>Shipment</v>
          </cell>
        </row>
        <row r="4139">
          <cell r="B4139" t="str">
            <v>Shipment</v>
          </cell>
        </row>
        <row r="4140">
          <cell r="B4140" t="str">
            <v>Shipment</v>
          </cell>
        </row>
        <row r="4141">
          <cell r="B4141" t="str">
            <v>Shipment</v>
          </cell>
        </row>
        <row r="4142">
          <cell r="B4142" t="str">
            <v>Shipment</v>
          </cell>
        </row>
        <row r="4143">
          <cell r="B4143" t="str">
            <v>Shipment</v>
          </cell>
        </row>
        <row r="4144">
          <cell r="B4144" t="str">
            <v>Shipment</v>
          </cell>
        </row>
        <row r="4145">
          <cell r="B4145" t="str">
            <v>Shipment</v>
          </cell>
        </row>
        <row r="4146">
          <cell r="B4146" t="str">
            <v>Shipment</v>
          </cell>
        </row>
        <row r="4147">
          <cell r="B4147" t="str">
            <v>Shipment</v>
          </cell>
        </row>
        <row r="4148">
          <cell r="B4148" t="str">
            <v>Shipment</v>
          </cell>
        </row>
        <row r="4149">
          <cell r="B4149" t="str">
            <v>Shipment</v>
          </cell>
        </row>
        <row r="4150">
          <cell r="B4150" t="str">
            <v>Shipment</v>
          </cell>
        </row>
        <row r="4151">
          <cell r="B4151" t="str">
            <v>Shipment</v>
          </cell>
        </row>
        <row r="4152">
          <cell r="B4152" t="str">
            <v>Shipment</v>
          </cell>
        </row>
        <row r="4153">
          <cell r="B4153" t="str">
            <v>Shipment</v>
          </cell>
        </row>
        <row r="4154">
          <cell r="B4154" t="str">
            <v>Shipment</v>
          </cell>
        </row>
        <row r="4155">
          <cell r="B4155" t="str">
            <v>Shipment</v>
          </cell>
        </row>
        <row r="4156">
          <cell r="B4156" t="str">
            <v>Shipment</v>
          </cell>
        </row>
        <row r="4157">
          <cell r="B4157" t="str">
            <v>Shipment</v>
          </cell>
        </row>
        <row r="4158">
          <cell r="B4158" t="str">
            <v>Shipment</v>
          </cell>
        </row>
        <row r="4159">
          <cell r="B4159" t="str">
            <v>Shipment</v>
          </cell>
        </row>
        <row r="4160">
          <cell r="B4160" t="str">
            <v>Shipment</v>
          </cell>
        </row>
        <row r="4161">
          <cell r="B4161" t="str">
            <v>Shipment</v>
          </cell>
        </row>
        <row r="4162">
          <cell r="B4162" t="str">
            <v>Shipment</v>
          </cell>
        </row>
        <row r="4163">
          <cell r="B4163" t="str">
            <v>Shipment</v>
          </cell>
        </row>
        <row r="4164">
          <cell r="B4164" t="str">
            <v>Shipment</v>
          </cell>
        </row>
        <row r="4165">
          <cell r="B4165" t="str">
            <v>Shipment</v>
          </cell>
        </row>
        <row r="4166">
          <cell r="B4166" t="str">
            <v>Shipment</v>
          </cell>
        </row>
        <row r="4167">
          <cell r="B4167" t="str">
            <v>Shipment</v>
          </cell>
        </row>
        <row r="4168">
          <cell r="B4168" t="str">
            <v>Shipment</v>
          </cell>
        </row>
        <row r="4169">
          <cell r="B4169" t="str">
            <v>Shipment</v>
          </cell>
        </row>
        <row r="4170">
          <cell r="B4170" t="str">
            <v>Shipment</v>
          </cell>
        </row>
        <row r="4171">
          <cell r="B4171" t="str">
            <v>Shipment</v>
          </cell>
        </row>
        <row r="4172">
          <cell r="B4172" t="str">
            <v>Shipment</v>
          </cell>
        </row>
        <row r="4173">
          <cell r="B4173" t="str">
            <v>Shipment</v>
          </cell>
        </row>
        <row r="4174">
          <cell r="B4174" t="str">
            <v>Shipment</v>
          </cell>
        </row>
        <row r="4175">
          <cell r="B4175" t="str">
            <v>Shipment</v>
          </cell>
        </row>
        <row r="4176">
          <cell r="B4176" t="str">
            <v>Shipment</v>
          </cell>
        </row>
        <row r="4177">
          <cell r="B4177" t="str">
            <v>Shipment</v>
          </cell>
        </row>
        <row r="4178">
          <cell r="B4178" t="str">
            <v>Shipment</v>
          </cell>
        </row>
        <row r="4179">
          <cell r="B4179" t="str">
            <v>Shipment</v>
          </cell>
        </row>
        <row r="4180">
          <cell r="B4180" t="str">
            <v>Shipment</v>
          </cell>
        </row>
        <row r="4181">
          <cell r="B4181" t="str">
            <v>Shipment</v>
          </cell>
        </row>
        <row r="4182">
          <cell r="B4182" t="str">
            <v>Shipment</v>
          </cell>
        </row>
        <row r="4183">
          <cell r="B4183" t="str">
            <v>Shipment</v>
          </cell>
        </row>
        <row r="4184">
          <cell r="B4184" t="str">
            <v>Shipment</v>
          </cell>
        </row>
        <row r="4185">
          <cell r="B4185" t="str">
            <v>Shipment</v>
          </cell>
        </row>
        <row r="4186">
          <cell r="B4186" t="str">
            <v>Shipment</v>
          </cell>
        </row>
        <row r="4187">
          <cell r="B4187" t="str">
            <v>Shipment</v>
          </cell>
        </row>
        <row r="4188">
          <cell r="B4188" t="str">
            <v>Shipment</v>
          </cell>
        </row>
        <row r="4189">
          <cell r="B4189" t="str">
            <v>Shipment</v>
          </cell>
        </row>
        <row r="4190">
          <cell r="B4190" t="str">
            <v>Shipment</v>
          </cell>
        </row>
        <row r="4191">
          <cell r="B4191" t="str">
            <v>Shipment</v>
          </cell>
        </row>
        <row r="4192">
          <cell r="B4192" t="str">
            <v>Shipment</v>
          </cell>
        </row>
        <row r="4193">
          <cell r="B4193" t="str">
            <v>Shipment</v>
          </cell>
        </row>
        <row r="4194">
          <cell r="B4194" t="str">
            <v>Shipment</v>
          </cell>
        </row>
        <row r="4195">
          <cell r="B4195" t="str">
            <v>Shipment</v>
          </cell>
        </row>
        <row r="4196">
          <cell r="B4196" t="str">
            <v>Shipment</v>
          </cell>
        </row>
        <row r="4197">
          <cell r="B4197" t="str">
            <v>Shipment</v>
          </cell>
        </row>
        <row r="4198">
          <cell r="B4198" t="str">
            <v>Shipment</v>
          </cell>
        </row>
        <row r="4199">
          <cell r="B4199" t="str">
            <v>Shipment</v>
          </cell>
        </row>
        <row r="4200">
          <cell r="B4200" t="str">
            <v>Shipment</v>
          </cell>
        </row>
        <row r="4201">
          <cell r="B4201" t="str">
            <v>Shipment</v>
          </cell>
        </row>
        <row r="4202">
          <cell r="B4202" t="str">
            <v>Shipment</v>
          </cell>
        </row>
        <row r="4203">
          <cell r="B4203" t="str">
            <v>Shipment</v>
          </cell>
        </row>
        <row r="4204">
          <cell r="B4204" t="str">
            <v>Shipment</v>
          </cell>
        </row>
        <row r="4205">
          <cell r="B4205" t="str">
            <v>Shipment</v>
          </cell>
        </row>
        <row r="4206">
          <cell r="B4206" t="str">
            <v>Shipment</v>
          </cell>
        </row>
        <row r="4207">
          <cell r="B4207" t="str">
            <v>Shipment</v>
          </cell>
        </row>
        <row r="4208">
          <cell r="B4208" t="str">
            <v>Shipment</v>
          </cell>
        </row>
        <row r="4209">
          <cell r="B4209" t="str">
            <v>Shipment</v>
          </cell>
        </row>
        <row r="4210">
          <cell r="B4210" t="str">
            <v>Shipment</v>
          </cell>
        </row>
        <row r="4211">
          <cell r="B4211" t="str">
            <v>Shipment</v>
          </cell>
        </row>
        <row r="4212">
          <cell r="B4212" t="str">
            <v>Shipment</v>
          </cell>
        </row>
        <row r="4213">
          <cell r="B4213" t="str">
            <v>Shipment</v>
          </cell>
        </row>
        <row r="4214">
          <cell r="B4214" t="str">
            <v>Shipment</v>
          </cell>
        </row>
        <row r="4215">
          <cell r="B4215" t="str">
            <v>Shipment</v>
          </cell>
        </row>
        <row r="4216">
          <cell r="B4216" t="str">
            <v>Shipment</v>
          </cell>
        </row>
        <row r="4217">
          <cell r="B4217" t="str">
            <v>Shipment</v>
          </cell>
        </row>
        <row r="4218">
          <cell r="B4218" t="str">
            <v>Shipment</v>
          </cell>
        </row>
        <row r="4219">
          <cell r="B4219" t="str">
            <v>Shipment</v>
          </cell>
        </row>
        <row r="4220">
          <cell r="B4220" t="str">
            <v>Shipment</v>
          </cell>
        </row>
        <row r="4221">
          <cell r="B4221" t="str">
            <v>Shipment</v>
          </cell>
        </row>
        <row r="4222">
          <cell r="B4222" t="str">
            <v>Shipment</v>
          </cell>
        </row>
        <row r="4223">
          <cell r="B4223" t="str">
            <v>Shipment</v>
          </cell>
        </row>
        <row r="4224">
          <cell r="B4224" t="str">
            <v>Shipment</v>
          </cell>
        </row>
        <row r="4225">
          <cell r="B4225" t="str">
            <v>Shipment</v>
          </cell>
        </row>
        <row r="4226">
          <cell r="B4226" t="str">
            <v>Shipment</v>
          </cell>
        </row>
        <row r="4227">
          <cell r="B4227" t="str">
            <v>Shipment</v>
          </cell>
        </row>
        <row r="4228">
          <cell r="B4228" t="str">
            <v>Shipment</v>
          </cell>
        </row>
        <row r="4229">
          <cell r="B4229" t="str">
            <v>Shipment</v>
          </cell>
        </row>
        <row r="4230">
          <cell r="B4230" t="str">
            <v>Shipment</v>
          </cell>
        </row>
        <row r="4231">
          <cell r="B4231" t="str">
            <v>Shipment</v>
          </cell>
        </row>
        <row r="4232">
          <cell r="B4232" t="str">
            <v>Shipment</v>
          </cell>
        </row>
        <row r="4233">
          <cell r="B4233" t="str">
            <v>Shipment</v>
          </cell>
        </row>
        <row r="4234">
          <cell r="B4234" t="str">
            <v>Shipment</v>
          </cell>
        </row>
        <row r="4235">
          <cell r="B4235" t="str">
            <v>Shipment</v>
          </cell>
        </row>
        <row r="4236">
          <cell r="B4236" t="str">
            <v>Shipment</v>
          </cell>
        </row>
        <row r="4237">
          <cell r="B4237" t="str">
            <v>Shipment</v>
          </cell>
        </row>
        <row r="4238">
          <cell r="B4238" t="str">
            <v>Shipment</v>
          </cell>
        </row>
        <row r="4239">
          <cell r="B4239" t="str">
            <v>Shipment</v>
          </cell>
        </row>
        <row r="4240">
          <cell r="B4240" t="str">
            <v>Shipment</v>
          </cell>
        </row>
        <row r="4241">
          <cell r="B4241" t="str">
            <v>Shipment</v>
          </cell>
        </row>
        <row r="4242">
          <cell r="B4242" t="str">
            <v>Shipment</v>
          </cell>
        </row>
        <row r="4243">
          <cell r="B4243" t="str">
            <v>Shipment</v>
          </cell>
        </row>
        <row r="4244">
          <cell r="B4244" t="str">
            <v>Shipment</v>
          </cell>
        </row>
        <row r="4245">
          <cell r="B4245" t="str">
            <v>Shipment</v>
          </cell>
        </row>
        <row r="4246">
          <cell r="B4246" t="str">
            <v>Shipment</v>
          </cell>
        </row>
        <row r="4247">
          <cell r="B4247" t="str">
            <v>Shipment</v>
          </cell>
        </row>
        <row r="4248">
          <cell r="B4248" t="str">
            <v>Shipment</v>
          </cell>
        </row>
        <row r="4249">
          <cell r="B4249" t="str">
            <v>Shipment</v>
          </cell>
        </row>
        <row r="4250">
          <cell r="B4250" t="str">
            <v>Shipment</v>
          </cell>
        </row>
        <row r="4251">
          <cell r="B4251" t="str">
            <v>Shipment</v>
          </cell>
        </row>
        <row r="4252">
          <cell r="B4252" t="str">
            <v>Shipment</v>
          </cell>
        </row>
        <row r="4253">
          <cell r="B4253" t="str">
            <v>Shipment</v>
          </cell>
        </row>
        <row r="4254">
          <cell r="B4254" t="str">
            <v>Shipment</v>
          </cell>
        </row>
        <row r="4255">
          <cell r="B4255" t="str">
            <v>Shipment</v>
          </cell>
        </row>
        <row r="4256">
          <cell r="B4256" t="str">
            <v>Shipment</v>
          </cell>
        </row>
        <row r="4257">
          <cell r="B4257" t="str">
            <v>Shipment</v>
          </cell>
        </row>
        <row r="4258">
          <cell r="B4258" t="str">
            <v>Shipment</v>
          </cell>
        </row>
        <row r="4259">
          <cell r="B4259" t="str">
            <v>Shipment</v>
          </cell>
        </row>
        <row r="4260">
          <cell r="B4260" t="str">
            <v>Shipment</v>
          </cell>
        </row>
        <row r="4261">
          <cell r="B4261" t="str">
            <v>Shipment</v>
          </cell>
        </row>
        <row r="4262">
          <cell r="B4262" t="str">
            <v>Shipment</v>
          </cell>
        </row>
        <row r="4263">
          <cell r="B4263" t="str">
            <v>Shipment</v>
          </cell>
        </row>
        <row r="4264">
          <cell r="B4264" t="str">
            <v>Shipment</v>
          </cell>
        </row>
        <row r="4265">
          <cell r="B4265" t="str">
            <v>Shipment</v>
          </cell>
        </row>
        <row r="4266">
          <cell r="B4266" t="str">
            <v>Shipment</v>
          </cell>
        </row>
        <row r="4267">
          <cell r="B4267" t="str">
            <v>Shipment</v>
          </cell>
        </row>
        <row r="4268">
          <cell r="B4268" t="str">
            <v>Shipment</v>
          </cell>
        </row>
        <row r="4269">
          <cell r="B4269" t="str">
            <v>Shipment</v>
          </cell>
        </row>
        <row r="4270">
          <cell r="B4270" t="str">
            <v>Shipment</v>
          </cell>
        </row>
        <row r="4271">
          <cell r="B4271" t="str">
            <v>Shipment</v>
          </cell>
        </row>
        <row r="4272">
          <cell r="B4272" t="str">
            <v>Shipment</v>
          </cell>
        </row>
        <row r="4273">
          <cell r="B4273" t="str">
            <v>Shipment</v>
          </cell>
        </row>
        <row r="4274">
          <cell r="B4274" t="str">
            <v>Shipment</v>
          </cell>
        </row>
        <row r="4275">
          <cell r="B4275" t="str">
            <v>Shipment</v>
          </cell>
        </row>
        <row r="4276">
          <cell r="B4276" t="str">
            <v>Shipment</v>
          </cell>
        </row>
        <row r="4277">
          <cell r="B4277" t="str">
            <v>Shipment</v>
          </cell>
        </row>
        <row r="4278">
          <cell r="B4278" t="str">
            <v>Shipment</v>
          </cell>
        </row>
        <row r="4279">
          <cell r="B4279" t="str">
            <v>Shipment</v>
          </cell>
        </row>
        <row r="4280">
          <cell r="B4280" t="str">
            <v>Shipment</v>
          </cell>
        </row>
        <row r="4281">
          <cell r="B4281" t="str">
            <v>Shipment</v>
          </cell>
        </row>
        <row r="4282">
          <cell r="B4282" t="str">
            <v>Shipment</v>
          </cell>
        </row>
        <row r="4283">
          <cell r="B4283" t="str">
            <v>Shipment</v>
          </cell>
        </row>
        <row r="4284">
          <cell r="B4284" t="str">
            <v>Shipment</v>
          </cell>
        </row>
        <row r="4285">
          <cell r="B4285" t="str">
            <v>Shipment</v>
          </cell>
        </row>
        <row r="4286">
          <cell r="B4286" t="str">
            <v>Shipment</v>
          </cell>
        </row>
        <row r="4287">
          <cell r="B4287" t="str">
            <v>Shipment</v>
          </cell>
        </row>
        <row r="4288">
          <cell r="B4288" t="str">
            <v>Shipment</v>
          </cell>
        </row>
        <row r="4289">
          <cell r="B4289" t="str">
            <v>Shipment</v>
          </cell>
        </row>
        <row r="4290">
          <cell r="B4290" t="str">
            <v>Shipment</v>
          </cell>
        </row>
        <row r="4291">
          <cell r="B4291" t="str">
            <v>Shipment</v>
          </cell>
        </row>
        <row r="4292">
          <cell r="B4292" t="str">
            <v>Shipment</v>
          </cell>
        </row>
        <row r="4293">
          <cell r="B4293" t="str">
            <v>Shipment</v>
          </cell>
        </row>
        <row r="4294">
          <cell r="B4294" t="str">
            <v>Shipment</v>
          </cell>
        </row>
        <row r="4295">
          <cell r="B4295" t="str">
            <v>Shipment</v>
          </cell>
        </row>
        <row r="4296">
          <cell r="B4296" t="str">
            <v>Shipment</v>
          </cell>
        </row>
        <row r="4297">
          <cell r="B4297" t="str">
            <v>Shipment</v>
          </cell>
        </row>
        <row r="4298">
          <cell r="B4298" t="str">
            <v>Shipment</v>
          </cell>
        </row>
        <row r="4299">
          <cell r="B4299" t="str">
            <v>Shipment</v>
          </cell>
        </row>
        <row r="4300">
          <cell r="B4300" t="str">
            <v>Shipment</v>
          </cell>
        </row>
        <row r="4301">
          <cell r="B4301" t="str">
            <v>Shipment</v>
          </cell>
        </row>
        <row r="4302">
          <cell r="B4302" t="str">
            <v>Shipment</v>
          </cell>
        </row>
        <row r="4303">
          <cell r="B4303" t="str">
            <v>Shipment</v>
          </cell>
        </row>
        <row r="4304">
          <cell r="B4304" t="str">
            <v>Shipment</v>
          </cell>
        </row>
        <row r="4305">
          <cell r="B4305" t="str">
            <v>Shipment</v>
          </cell>
        </row>
        <row r="4306">
          <cell r="B4306" t="str">
            <v>Shipment</v>
          </cell>
        </row>
        <row r="4307">
          <cell r="B4307" t="str">
            <v>Shipment</v>
          </cell>
        </row>
        <row r="4308">
          <cell r="B4308" t="str">
            <v>Shipment</v>
          </cell>
        </row>
        <row r="4309">
          <cell r="B4309" t="str">
            <v>Shipment</v>
          </cell>
        </row>
        <row r="4310">
          <cell r="B4310" t="str">
            <v>Shipment</v>
          </cell>
        </row>
        <row r="4311">
          <cell r="B4311" t="str">
            <v>Shipment</v>
          </cell>
        </row>
        <row r="4312">
          <cell r="B4312" t="str">
            <v>Shipment</v>
          </cell>
        </row>
        <row r="4313">
          <cell r="B4313" t="str">
            <v>Shipment</v>
          </cell>
        </row>
        <row r="4314">
          <cell r="B4314" t="str">
            <v>Shipment</v>
          </cell>
        </row>
        <row r="4315">
          <cell r="B4315" t="str">
            <v>Shipment</v>
          </cell>
        </row>
        <row r="4316">
          <cell r="B4316" t="str">
            <v>Shipment</v>
          </cell>
        </row>
        <row r="4317">
          <cell r="B4317" t="str">
            <v>Shipment</v>
          </cell>
        </row>
        <row r="4318">
          <cell r="B4318" t="str">
            <v>Shipment</v>
          </cell>
        </row>
        <row r="4319">
          <cell r="B4319" t="str">
            <v>Shipment</v>
          </cell>
        </row>
        <row r="4320">
          <cell r="B4320" t="str">
            <v>Shipment</v>
          </cell>
        </row>
        <row r="4321">
          <cell r="B4321" t="str">
            <v>Shipment</v>
          </cell>
        </row>
        <row r="4322">
          <cell r="B4322" t="str">
            <v>Shipment</v>
          </cell>
        </row>
        <row r="4323">
          <cell r="B4323" t="str">
            <v>Shipment</v>
          </cell>
        </row>
        <row r="4324">
          <cell r="B4324" t="str">
            <v>Shipment</v>
          </cell>
        </row>
        <row r="4325">
          <cell r="B4325" t="str">
            <v>Shipment</v>
          </cell>
        </row>
        <row r="4326">
          <cell r="B4326" t="str">
            <v>Shipment</v>
          </cell>
        </row>
        <row r="4327">
          <cell r="B4327" t="str">
            <v>Shipment</v>
          </cell>
        </row>
        <row r="4328">
          <cell r="B4328" t="str">
            <v>Shipment</v>
          </cell>
        </row>
        <row r="4329">
          <cell r="B4329" t="str">
            <v>Shipment</v>
          </cell>
        </row>
        <row r="4330">
          <cell r="B4330" t="str">
            <v>Shipment</v>
          </cell>
        </row>
        <row r="4331">
          <cell r="B4331" t="str">
            <v>Shipment</v>
          </cell>
        </row>
        <row r="4332">
          <cell r="B4332" t="str">
            <v>Shipment</v>
          </cell>
        </row>
        <row r="4333">
          <cell r="B4333" t="str">
            <v>Shipment</v>
          </cell>
        </row>
        <row r="4334">
          <cell r="B4334" t="str">
            <v>Shipment</v>
          </cell>
        </row>
        <row r="4335">
          <cell r="B4335" t="str">
            <v>Shipment</v>
          </cell>
        </row>
        <row r="4336">
          <cell r="B4336" t="str">
            <v>Shipment</v>
          </cell>
        </row>
        <row r="4337">
          <cell r="B4337" t="str">
            <v>Shipment</v>
          </cell>
        </row>
        <row r="4338">
          <cell r="B4338" t="str">
            <v>Shipment</v>
          </cell>
        </row>
        <row r="4339">
          <cell r="B4339" t="str">
            <v>Shipment</v>
          </cell>
        </row>
        <row r="4340">
          <cell r="B4340" t="str">
            <v>Shipment</v>
          </cell>
        </row>
        <row r="4341">
          <cell r="B4341" t="str">
            <v>Shipment</v>
          </cell>
        </row>
        <row r="4342">
          <cell r="B4342" t="str">
            <v>Shipment</v>
          </cell>
        </row>
        <row r="4343">
          <cell r="B4343" t="str">
            <v>Shipment</v>
          </cell>
        </row>
        <row r="4344">
          <cell r="B4344" t="str">
            <v>Shipment</v>
          </cell>
        </row>
        <row r="4345">
          <cell r="B4345" t="str">
            <v>Shipment</v>
          </cell>
        </row>
        <row r="4346">
          <cell r="B4346" t="str">
            <v>Shipment</v>
          </cell>
        </row>
        <row r="4347">
          <cell r="B4347" t="str">
            <v>Shipment</v>
          </cell>
        </row>
        <row r="4348">
          <cell r="B4348" t="str">
            <v>Shipment</v>
          </cell>
        </row>
        <row r="4349">
          <cell r="B4349" t="str">
            <v>Shipment</v>
          </cell>
        </row>
        <row r="4350">
          <cell r="B4350" t="str">
            <v>Shipment</v>
          </cell>
        </row>
        <row r="4351">
          <cell r="B4351" t="str">
            <v>Shipment</v>
          </cell>
        </row>
        <row r="4352">
          <cell r="B4352" t="str">
            <v>Shipment</v>
          </cell>
        </row>
        <row r="4353">
          <cell r="B4353" t="str">
            <v>Shipment</v>
          </cell>
        </row>
        <row r="4354">
          <cell r="B4354" t="str">
            <v>Shipment</v>
          </cell>
        </row>
        <row r="4355">
          <cell r="B4355" t="str">
            <v>Shipment</v>
          </cell>
        </row>
        <row r="4356">
          <cell r="B4356" t="str">
            <v>Shipment</v>
          </cell>
        </row>
        <row r="4357">
          <cell r="B4357" t="str">
            <v>Shipment</v>
          </cell>
        </row>
        <row r="4358">
          <cell r="B4358" t="str">
            <v>Shipment</v>
          </cell>
        </row>
        <row r="4359">
          <cell r="B4359" t="str">
            <v>Shipment</v>
          </cell>
        </row>
        <row r="4360">
          <cell r="B4360" t="str">
            <v>Shipment</v>
          </cell>
        </row>
        <row r="4361">
          <cell r="B4361" t="str">
            <v>Shipment</v>
          </cell>
        </row>
        <row r="4362">
          <cell r="B4362" t="str">
            <v>Shipment</v>
          </cell>
        </row>
        <row r="4363">
          <cell r="B4363" t="str">
            <v>Shipment</v>
          </cell>
        </row>
        <row r="4364">
          <cell r="B4364" t="str">
            <v>Shipment</v>
          </cell>
        </row>
        <row r="4365">
          <cell r="B4365" t="str">
            <v>Shipment</v>
          </cell>
        </row>
        <row r="4366">
          <cell r="B4366" t="str">
            <v>Shipment</v>
          </cell>
        </row>
        <row r="4367">
          <cell r="B4367" t="str">
            <v>Shipment</v>
          </cell>
        </row>
        <row r="4368">
          <cell r="B4368" t="str">
            <v>Shipment</v>
          </cell>
        </row>
        <row r="4369">
          <cell r="B4369" t="str">
            <v>Shipment</v>
          </cell>
        </row>
        <row r="4370">
          <cell r="B4370" t="str">
            <v>Shipment</v>
          </cell>
        </row>
        <row r="4371">
          <cell r="B4371" t="str">
            <v>Shipment</v>
          </cell>
        </row>
        <row r="4372">
          <cell r="B4372" t="str">
            <v>Shipment</v>
          </cell>
        </row>
        <row r="4373">
          <cell r="B4373" t="str">
            <v>Shipment</v>
          </cell>
        </row>
        <row r="4374">
          <cell r="B4374" t="str">
            <v>Shipment</v>
          </cell>
        </row>
        <row r="4375">
          <cell r="B4375" t="str">
            <v>Shipment</v>
          </cell>
        </row>
        <row r="4376">
          <cell r="B4376" t="str">
            <v>Shipment</v>
          </cell>
        </row>
        <row r="4377">
          <cell r="B4377" t="str">
            <v>Shipment</v>
          </cell>
        </row>
        <row r="4378">
          <cell r="B4378" t="str">
            <v>Shipment</v>
          </cell>
        </row>
        <row r="4379">
          <cell r="B4379" t="str">
            <v>Shipment</v>
          </cell>
        </row>
        <row r="4380">
          <cell r="B4380" t="str">
            <v>Shipment</v>
          </cell>
        </row>
        <row r="4381">
          <cell r="B4381" t="str">
            <v>Shipment</v>
          </cell>
        </row>
        <row r="4382">
          <cell r="B4382" t="str">
            <v>Shipment</v>
          </cell>
        </row>
        <row r="4383">
          <cell r="B4383" t="str">
            <v>Shipment</v>
          </cell>
        </row>
        <row r="4384">
          <cell r="B4384" t="str">
            <v>Shipment</v>
          </cell>
        </row>
        <row r="4385">
          <cell r="B4385" t="str">
            <v>Shipment</v>
          </cell>
        </row>
        <row r="4386">
          <cell r="B4386" t="str">
            <v>Shipment</v>
          </cell>
        </row>
        <row r="4387">
          <cell r="B4387" t="str">
            <v>Shipment</v>
          </cell>
        </row>
        <row r="4388">
          <cell r="B4388" t="str">
            <v>Shipment</v>
          </cell>
        </row>
        <row r="4389">
          <cell r="B4389" t="str">
            <v>Shipment</v>
          </cell>
        </row>
        <row r="4390">
          <cell r="B4390" t="str">
            <v>Shipment</v>
          </cell>
        </row>
        <row r="4391">
          <cell r="B4391" t="str">
            <v>Shipment</v>
          </cell>
        </row>
        <row r="4392">
          <cell r="B4392" t="str">
            <v>Shipment</v>
          </cell>
        </row>
        <row r="4393">
          <cell r="B4393" t="str">
            <v>Shipment</v>
          </cell>
        </row>
        <row r="4394">
          <cell r="B4394" t="str">
            <v>Shipment</v>
          </cell>
        </row>
        <row r="4395">
          <cell r="B4395" t="str">
            <v>Shipment</v>
          </cell>
        </row>
        <row r="4396">
          <cell r="B4396" t="str">
            <v>Shipment</v>
          </cell>
        </row>
        <row r="4397">
          <cell r="B4397" t="str">
            <v>Shipment</v>
          </cell>
        </row>
        <row r="4398">
          <cell r="B4398" t="str">
            <v>Shipment</v>
          </cell>
        </row>
        <row r="4399">
          <cell r="B4399" t="str">
            <v>Shipment</v>
          </cell>
        </row>
        <row r="4400">
          <cell r="B4400" t="str">
            <v>Shipment</v>
          </cell>
        </row>
        <row r="4401">
          <cell r="B4401" t="str">
            <v>Shipment</v>
          </cell>
        </row>
        <row r="4402">
          <cell r="B4402" t="str">
            <v>Shipment</v>
          </cell>
        </row>
        <row r="4403">
          <cell r="B4403" t="str">
            <v>Shipment</v>
          </cell>
        </row>
        <row r="4404">
          <cell r="B4404" t="str">
            <v>Shipment</v>
          </cell>
        </row>
        <row r="4405">
          <cell r="B4405" t="str">
            <v>Shipment</v>
          </cell>
        </row>
        <row r="4406">
          <cell r="B4406" t="str">
            <v>Shipment</v>
          </cell>
        </row>
        <row r="4407">
          <cell r="B4407" t="str">
            <v>Shipment</v>
          </cell>
        </row>
        <row r="4408">
          <cell r="B4408" t="str">
            <v>Shipment</v>
          </cell>
        </row>
        <row r="4409">
          <cell r="B4409" t="str">
            <v>Shipment</v>
          </cell>
        </row>
        <row r="4410">
          <cell r="B4410" t="str">
            <v>Shipment</v>
          </cell>
        </row>
        <row r="4411">
          <cell r="B4411" t="str">
            <v>Shipment</v>
          </cell>
        </row>
        <row r="4412">
          <cell r="B4412" t="str">
            <v>Shipment</v>
          </cell>
        </row>
        <row r="4413">
          <cell r="B4413" t="str">
            <v>Shipment</v>
          </cell>
        </row>
        <row r="4414">
          <cell r="B4414" t="str">
            <v>Shipment</v>
          </cell>
        </row>
        <row r="4415">
          <cell r="B4415" t="str">
            <v>Shipment</v>
          </cell>
        </row>
        <row r="4416">
          <cell r="B4416" t="str">
            <v>Shipment</v>
          </cell>
        </row>
        <row r="4417">
          <cell r="B4417" t="str">
            <v>Shipment</v>
          </cell>
        </row>
        <row r="4418">
          <cell r="B4418" t="str">
            <v>Shipment</v>
          </cell>
        </row>
        <row r="4419">
          <cell r="B4419" t="str">
            <v>Shipment</v>
          </cell>
        </row>
        <row r="4420">
          <cell r="B4420" t="str">
            <v>Shipment</v>
          </cell>
        </row>
        <row r="4421">
          <cell r="B4421" t="str">
            <v>Shipment</v>
          </cell>
        </row>
        <row r="4422">
          <cell r="B4422" t="str">
            <v>Shipment</v>
          </cell>
        </row>
        <row r="4423">
          <cell r="B4423" t="str">
            <v>Shipment</v>
          </cell>
        </row>
        <row r="4424">
          <cell r="B4424" t="str">
            <v>Shipment</v>
          </cell>
        </row>
        <row r="4425">
          <cell r="B4425" t="str">
            <v>Shipment</v>
          </cell>
        </row>
        <row r="4426">
          <cell r="B4426" t="str">
            <v>Shipment</v>
          </cell>
        </row>
        <row r="4427">
          <cell r="B4427" t="str">
            <v>Shipment</v>
          </cell>
        </row>
        <row r="4428">
          <cell r="B4428" t="str">
            <v>Shipment</v>
          </cell>
        </row>
        <row r="4429">
          <cell r="B4429" t="str">
            <v>Shipment</v>
          </cell>
        </row>
        <row r="4430">
          <cell r="B4430" t="str">
            <v>Shipment</v>
          </cell>
        </row>
        <row r="4431">
          <cell r="B4431" t="str">
            <v>Shipment</v>
          </cell>
        </row>
        <row r="4432">
          <cell r="B4432" t="str">
            <v>Shipment</v>
          </cell>
        </row>
        <row r="4433">
          <cell r="B4433" t="str">
            <v>Shipment</v>
          </cell>
        </row>
        <row r="4434">
          <cell r="B4434" t="str">
            <v>Shipment</v>
          </cell>
        </row>
        <row r="4435">
          <cell r="B4435" t="str">
            <v>Shipment</v>
          </cell>
        </row>
        <row r="4436">
          <cell r="B4436" t="str">
            <v>Shipment</v>
          </cell>
        </row>
        <row r="4437">
          <cell r="B4437" t="str">
            <v>Shipment</v>
          </cell>
        </row>
        <row r="4438">
          <cell r="B4438" t="str">
            <v>Shipment</v>
          </cell>
        </row>
        <row r="4439">
          <cell r="B4439" t="str">
            <v>Shipment</v>
          </cell>
        </row>
        <row r="4440">
          <cell r="B4440" t="str">
            <v>Shipment</v>
          </cell>
        </row>
        <row r="4441">
          <cell r="B4441" t="str">
            <v>Shipment</v>
          </cell>
        </row>
        <row r="4442">
          <cell r="B4442" t="str">
            <v>Shipment</v>
          </cell>
        </row>
        <row r="4443">
          <cell r="B4443" t="str">
            <v>Shipment</v>
          </cell>
        </row>
        <row r="4444">
          <cell r="B4444" t="str">
            <v>Shipment</v>
          </cell>
        </row>
        <row r="4445">
          <cell r="B4445" t="str">
            <v>Shipment</v>
          </cell>
        </row>
        <row r="4446">
          <cell r="B4446" t="str">
            <v>Shipment</v>
          </cell>
        </row>
        <row r="4447">
          <cell r="B4447" t="str">
            <v>Shipment</v>
          </cell>
        </row>
        <row r="4448">
          <cell r="B4448" t="str">
            <v>Shipment</v>
          </cell>
        </row>
        <row r="4449">
          <cell r="B4449" t="str">
            <v>Shipment</v>
          </cell>
        </row>
        <row r="4450">
          <cell r="B4450" t="str">
            <v>Shipment</v>
          </cell>
        </row>
        <row r="4451">
          <cell r="B4451" t="str">
            <v>Shipment</v>
          </cell>
        </row>
        <row r="4452">
          <cell r="B4452" t="str">
            <v>Shipment</v>
          </cell>
        </row>
        <row r="4453">
          <cell r="B4453" t="str">
            <v>Shipment</v>
          </cell>
        </row>
        <row r="4454">
          <cell r="B4454" t="str">
            <v>Shipment</v>
          </cell>
        </row>
        <row r="4455">
          <cell r="B4455" t="str">
            <v>Shipment</v>
          </cell>
        </row>
        <row r="4456">
          <cell r="B4456" t="str">
            <v>Shipment</v>
          </cell>
        </row>
        <row r="4457">
          <cell r="B4457" t="str">
            <v>Shipment</v>
          </cell>
        </row>
        <row r="4458">
          <cell r="B4458" t="str">
            <v>Shipment</v>
          </cell>
        </row>
        <row r="4459">
          <cell r="B4459" t="str">
            <v>Shipment</v>
          </cell>
        </row>
        <row r="4460">
          <cell r="B4460" t="str">
            <v>Shipment</v>
          </cell>
        </row>
        <row r="4461">
          <cell r="B4461" t="str">
            <v>Shipment</v>
          </cell>
        </row>
        <row r="4462">
          <cell r="B4462" t="str">
            <v>Shipment</v>
          </cell>
        </row>
        <row r="4463">
          <cell r="B4463" t="str">
            <v>Shipment</v>
          </cell>
        </row>
        <row r="4464">
          <cell r="B4464" t="str">
            <v>Shipment</v>
          </cell>
        </row>
        <row r="4465">
          <cell r="B4465" t="str">
            <v>Shipment</v>
          </cell>
        </row>
        <row r="4466">
          <cell r="B4466" t="str">
            <v>Shipment</v>
          </cell>
        </row>
        <row r="4467">
          <cell r="B4467" t="str">
            <v>Shipment</v>
          </cell>
        </row>
        <row r="4468">
          <cell r="B4468" t="str">
            <v>Shipment</v>
          </cell>
        </row>
        <row r="4469">
          <cell r="B4469" t="str">
            <v>Shipment</v>
          </cell>
        </row>
        <row r="4470">
          <cell r="B4470" t="str">
            <v>Shipment</v>
          </cell>
        </row>
        <row r="4471">
          <cell r="B4471" t="str">
            <v>Shipment</v>
          </cell>
        </row>
        <row r="4472">
          <cell r="B4472" t="str">
            <v>Shipment</v>
          </cell>
        </row>
        <row r="4473">
          <cell r="B4473" t="str">
            <v>Shipment</v>
          </cell>
        </row>
        <row r="4474">
          <cell r="B4474" t="str">
            <v>Shipment</v>
          </cell>
        </row>
        <row r="4475">
          <cell r="B4475" t="str">
            <v>Shipment</v>
          </cell>
        </row>
        <row r="4476">
          <cell r="B4476" t="str">
            <v>Shipment</v>
          </cell>
        </row>
        <row r="4477">
          <cell r="B4477" t="str">
            <v>Shipment</v>
          </cell>
        </row>
        <row r="4478">
          <cell r="B4478" t="str">
            <v>Shipment</v>
          </cell>
        </row>
        <row r="4479">
          <cell r="B4479" t="str">
            <v>Shipment</v>
          </cell>
        </row>
        <row r="4480">
          <cell r="B4480" t="str">
            <v>Shipment</v>
          </cell>
        </row>
        <row r="4481">
          <cell r="B4481" t="str">
            <v>Shipment</v>
          </cell>
        </row>
        <row r="4482">
          <cell r="B4482" t="str">
            <v>Shipment</v>
          </cell>
        </row>
        <row r="4483">
          <cell r="B4483" t="str">
            <v>Shipment</v>
          </cell>
        </row>
        <row r="4484">
          <cell r="B4484" t="str">
            <v>Shipment</v>
          </cell>
        </row>
        <row r="4485">
          <cell r="B4485" t="str">
            <v>Shipment</v>
          </cell>
        </row>
        <row r="4486">
          <cell r="B4486" t="str">
            <v>Shipment</v>
          </cell>
        </row>
        <row r="4487">
          <cell r="B4487" t="str">
            <v>Shipment</v>
          </cell>
        </row>
        <row r="4488">
          <cell r="B4488" t="str">
            <v>Shipment</v>
          </cell>
        </row>
        <row r="4489">
          <cell r="B4489" t="str">
            <v>Shipment</v>
          </cell>
        </row>
        <row r="4490">
          <cell r="B4490" t="str">
            <v>Shipment</v>
          </cell>
        </row>
        <row r="4491">
          <cell r="B4491" t="str">
            <v>Shipment</v>
          </cell>
        </row>
        <row r="4492">
          <cell r="B4492" t="str">
            <v>Shipment</v>
          </cell>
        </row>
        <row r="4493">
          <cell r="B4493" t="str">
            <v>Shipment</v>
          </cell>
        </row>
        <row r="4494">
          <cell r="B4494" t="str">
            <v>Shipment</v>
          </cell>
        </row>
        <row r="4495">
          <cell r="B4495" t="str">
            <v>Shipment</v>
          </cell>
        </row>
        <row r="4496">
          <cell r="B4496" t="str">
            <v>Shipment</v>
          </cell>
        </row>
        <row r="4497">
          <cell r="B4497" t="str">
            <v>Shipment</v>
          </cell>
        </row>
        <row r="4498">
          <cell r="B4498" t="str">
            <v>Shipment</v>
          </cell>
        </row>
        <row r="4499">
          <cell r="B4499" t="str">
            <v>Shipment</v>
          </cell>
        </row>
        <row r="4500">
          <cell r="B4500" t="str">
            <v>Shipment</v>
          </cell>
        </row>
        <row r="4501">
          <cell r="B4501" t="str">
            <v>Shipment</v>
          </cell>
        </row>
        <row r="4502">
          <cell r="B4502" t="str">
            <v>Shipment</v>
          </cell>
        </row>
        <row r="4503">
          <cell r="B4503" t="str">
            <v>Shipment</v>
          </cell>
        </row>
        <row r="4504">
          <cell r="B4504" t="str">
            <v>Shipment</v>
          </cell>
        </row>
        <row r="4505">
          <cell r="B4505" t="str">
            <v>Shipment</v>
          </cell>
        </row>
        <row r="4506">
          <cell r="B4506" t="str">
            <v>Shipment</v>
          </cell>
        </row>
        <row r="4507">
          <cell r="B4507" t="str">
            <v>Shipment</v>
          </cell>
        </row>
        <row r="4508">
          <cell r="B4508" t="str">
            <v>Shipment</v>
          </cell>
        </row>
        <row r="4509">
          <cell r="B4509" t="str">
            <v>Shipment</v>
          </cell>
        </row>
        <row r="4510">
          <cell r="B4510" t="str">
            <v>Shipment</v>
          </cell>
        </row>
        <row r="4511">
          <cell r="B4511" t="str">
            <v>Shipment</v>
          </cell>
        </row>
        <row r="4512">
          <cell r="B4512" t="str">
            <v>Shipment</v>
          </cell>
        </row>
        <row r="4513">
          <cell r="B4513" t="str">
            <v>Shipment</v>
          </cell>
        </row>
        <row r="4514">
          <cell r="B4514" t="str">
            <v>Shipment</v>
          </cell>
        </row>
        <row r="4515">
          <cell r="B4515" t="str">
            <v>Shipment</v>
          </cell>
        </row>
        <row r="4516">
          <cell r="B4516" t="str">
            <v>Shipment</v>
          </cell>
        </row>
        <row r="4517">
          <cell r="B4517" t="str">
            <v>Shipment</v>
          </cell>
        </row>
        <row r="4518">
          <cell r="B4518" t="str">
            <v>Shipment</v>
          </cell>
        </row>
        <row r="4519">
          <cell r="B4519" t="str">
            <v>Shipment</v>
          </cell>
        </row>
        <row r="4520">
          <cell r="B4520" t="str">
            <v>Shipment</v>
          </cell>
        </row>
        <row r="4521">
          <cell r="B4521" t="str">
            <v>Shipment</v>
          </cell>
        </row>
        <row r="4522">
          <cell r="B4522" t="str">
            <v>Shipment</v>
          </cell>
        </row>
        <row r="4523">
          <cell r="B4523" t="str">
            <v>Shipment</v>
          </cell>
        </row>
        <row r="4524">
          <cell r="B4524" t="str">
            <v>Shipment</v>
          </cell>
        </row>
        <row r="4525">
          <cell r="B4525" t="str">
            <v>Shipment</v>
          </cell>
        </row>
        <row r="4526">
          <cell r="B4526" t="str">
            <v>Shipment</v>
          </cell>
        </row>
        <row r="4527">
          <cell r="B4527" t="str">
            <v>Shipment</v>
          </cell>
        </row>
        <row r="4528">
          <cell r="B4528" t="str">
            <v>Shipment</v>
          </cell>
        </row>
        <row r="4529">
          <cell r="B4529" t="str">
            <v>Shipment</v>
          </cell>
        </row>
        <row r="4530">
          <cell r="B4530" t="str">
            <v>Shipment</v>
          </cell>
        </row>
        <row r="4531">
          <cell r="B4531" t="str">
            <v>Shipment</v>
          </cell>
        </row>
        <row r="4532">
          <cell r="B4532" t="str">
            <v>Shipment</v>
          </cell>
        </row>
        <row r="4533">
          <cell r="B4533" t="str">
            <v>Shipment</v>
          </cell>
        </row>
        <row r="4534">
          <cell r="B4534" t="str">
            <v>Shipment</v>
          </cell>
        </row>
        <row r="4535">
          <cell r="B4535" t="str">
            <v>Shipment</v>
          </cell>
        </row>
        <row r="4536">
          <cell r="B4536" t="str">
            <v>Shipment</v>
          </cell>
        </row>
        <row r="4537">
          <cell r="B4537" t="str">
            <v>Shipment</v>
          </cell>
        </row>
        <row r="4538">
          <cell r="B4538" t="str">
            <v>Shipment</v>
          </cell>
        </row>
        <row r="4539">
          <cell r="B4539" t="str">
            <v>Shipment</v>
          </cell>
        </row>
        <row r="4540">
          <cell r="B4540" t="str">
            <v>Shipment</v>
          </cell>
        </row>
        <row r="4541">
          <cell r="B4541" t="str">
            <v>Shipment</v>
          </cell>
        </row>
        <row r="4542">
          <cell r="B4542" t="str">
            <v>Shipment</v>
          </cell>
        </row>
        <row r="4543">
          <cell r="B4543" t="str">
            <v>Shipment</v>
          </cell>
        </row>
        <row r="4544">
          <cell r="B4544" t="str">
            <v>Shipment</v>
          </cell>
        </row>
        <row r="4545">
          <cell r="B4545" t="str">
            <v>Shipment</v>
          </cell>
        </row>
        <row r="4546">
          <cell r="B4546" t="str">
            <v>Shipment</v>
          </cell>
        </row>
        <row r="4547">
          <cell r="B4547" t="str">
            <v>Shipment</v>
          </cell>
        </row>
        <row r="4548">
          <cell r="B4548" t="str">
            <v>Shipment</v>
          </cell>
        </row>
        <row r="4549">
          <cell r="B4549" t="str">
            <v>Shipment</v>
          </cell>
        </row>
        <row r="4550">
          <cell r="B4550" t="str">
            <v>Shipment</v>
          </cell>
        </row>
        <row r="4551">
          <cell r="B4551" t="str">
            <v>Shipment</v>
          </cell>
        </row>
        <row r="4552">
          <cell r="B4552" t="str">
            <v>Shipment</v>
          </cell>
        </row>
        <row r="4553">
          <cell r="B4553" t="str">
            <v>Shipment</v>
          </cell>
        </row>
        <row r="4554">
          <cell r="B4554" t="str">
            <v>Shipment</v>
          </cell>
        </row>
        <row r="4555">
          <cell r="B4555" t="str">
            <v>Shipment</v>
          </cell>
        </row>
        <row r="4556">
          <cell r="B4556" t="str">
            <v>Shipment</v>
          </cell>
        </row>
        <row r="4557">
          <cell r="B4557" t="str">
            <v>Shipment</v>
          </cell>
        </row>
        <row r="4558">
          <cell r="B4558" t="str">
            <v>Shipment</v>
          </cell>
        </row>
        <row r="4559">
          <cell r="B4559" t="str">
            <v>Shipment</v>
          </cell>
        </row>
        <row r="4560">
          <cell r="B4560" t="str">
            <v>Shipment</v>
          </cell>
        </row>
        <row r="4561">
          <cell r="B4561" t="str">
            <v>Shipment</v>
          </cell>
        </row>
        <row r="4562">
          <cell r="B4562" t="str">
            <v>Shipment</v>
          </cell>
        </row>
        <row r="4563">
          <cell r="B4563" t="str">
            <v>Shipment</v>
          </cell>
        </row>
        <row r="4564">
          <cell r="B4564" t="str">
            <v>Shipment</v>
          </cell>
        </row>
        <row r="4565">
          <cell r="B4565" t="str">
            <v>Shipment</v>
          </cell>
        </row>
        <row r="4566">
          <cell r="B4566" t="str">
            <v>Shipment</v>
          </cell>
        </row>
        <row r="4567">
          <cell r="B4567" t="str">
            <v>Shipment</v>
          </cell>
        </row>
        <row r="4568">
          <cell r="B4568" t="str">
            <v>Shipment</v>
          </cell>
        </row>
        <row r="4569">
          <cell r="B4569" t="str">
            <v>Shipment</v>
          </cell>
        </row>
        <row r="4570">
          <cell r="B4570" t="str">
            <v>Shipment</v>
          </cell>
        </row>
        <row r="4571">
          <cell r="B4571" t="str">
            <v>Shipment</v>
          </cell>
        </row>
        <row r="4572">
          <cell r="B4572" t="str">
            <v>Shipment</v>
          </cell>
        </row>
        <row r="4573">
          <cell r="B4573" t="str">
            <v>Shipment</v>
          </cell>
        </row>
        <row r="4574">
          <cell r="B4574" t="str">
            <v>Shipment</v>
          </cell>
        </row>
        <row r="4575">
          <cell r="B4575" t="str">
            <v>Shipment</v>
          </cell>
        </row>
        <row r="4576">
          <cell r="B4576" t="str">
            <v>Shipment</v>
          </cell>
        </row>
        <row r="4577">
          <cell r="B4577" t="str">
            <v>Shipment</v>
          </cell>
        </row>
        <row r="4578">
          <cell r="B4578" t="str">
            <v>Shipment</v>
          </cell>
        </row>
        <row r="4579">
          <cell r="B4579" t="str">
            <v>Shipment</v>
          </cell>
        </row>
        <row r="4580">
          <cell r="B4580" t="str">
            <v>Shipment</v>
          </cell>
        </row>
        <row r="4581">
          <cell r="B4581" t="str">
            <v>Shipment</v>
          </cell>
        </row>
        <row r="4582">
          <cell r="B4582" t="str">
            <v>Shipment</v>
          </cell>
        </row>
        <row r="4583">
          <cell r="B4583" t="str">
            <v>Shipment</v>
          </cell>
        </row>
        <row r="4584">
          <cell r="B4584" t="str">
            <v>Shipment</v>
          </cell>
        </row>
        <row r="4585">
          <cell r="B4585" t="str">
            <v>Shipment</v>
          </cell>
        </row>
        <row r="4586">
          <cell r="B4586" t="str">
            <v>Shipment</v>
          </cell>
        </row>
        <row r="4587">
          <cell r="B4587" t="str">
            <v>Shipment</v>
          </cell>
        </row>
        <row r="4588">
          <cell r="B4588" t="str">
            <v>Shipment</v>
          </cell>
        </row>
        <row r="4589">
          <cell r="B4589" t="str">
            <v>Shipment</v>
          </cell>
        </row>
        <row r="4590">
          <cell r="B4590" t="str">
            <v>Shipment</v>
          </cell>
        </row>
        <row r="4591">
          <cell r="B4591" t="str">
            <v>Shipment</v>
          </cell>
        </row>
        <row r="4592">
          <cell r="B4592" t="str">
            <v>Shipment</v>
          </cell>
        </row>
        <row r="4593">
          <cell r="B4593" t="str">
            <v>Shipment</v>
          </cell>
        </row>
        <row r="4594">
          <cell r="B4594" t="str">
            <v>Shipment</v>
          </cell>
        </row>
        <row r="4595">
          <cell r="B4595" t="str">
            <v>Shipment</v>
          </cell>
        </row>
        <row r="4596">
          <cell r="B4596" t="str">
            <v>Shipment</v>
          </cell>
        </row>
        <row r="4597">
          <cell r="B4597" t="str">
            <v>Shipment</v>
          </cell>
        </row>
        <row r="4598">
          <cell r="B4598" t="str">
            <v>Shipment</v>
          </cell>
        </row>
        <row r="4599">
          <cell r="B4599" t="str">
            <v>Shipment</v>
          </cell>
        </row>
        <row r="4600">
          <cell r="B4600" t="str">
            <v>Shipment</v>
          </cell>
        </row>
        <row r="4601">
          <cell r="B4601" t="str">
            <v>Shipment</v>
          </cell>
        </row>
        <row r="4602">
          <cell r="B4602" t="str">
            <v>Shipment</v>
          </cell>
        </row>
        <row r="4603">
          <cell r="B4603" t="str">
            <v>Shipment</v>
          </cell>
        </row>
        <row r="4604">
          <cell r="B4604" t="str">
            <v>Shipment</v>
          </cell>
        </row>
        <row r="4605">
          <cell r="B4605" t="str">
            <v>Shipment</v>
          </cell>
        </row>
        <row r="4606">
          <cell r="B4606" t="str">
            <v>Shipment</v>
          </cell>
        </row>
        <row r="4607">
          <cell r="B4607" t="str">
            <v>Shipment</v>
          </cell>
        </row>
        <row r="4608">
          <cell r="B4608" t="str">
            <v>Shipment</v>
          </cell>
        </row>
        <row r="4609">
          <cell r="B4609" t="str">
            <v>Shipment</v>
          </cell>
        </row>
        <row r="4610">
          <cell r="B4610" t="str">
            <v>Shipment</v>
          </cell>
        </row>
        <row r="4611">
          <cell r="B4611" t="str">
            <v>Shipment</v>
          </cell>
        </row>
        <row r="4612">
          <cell r="B4612" t="str">
            <v>Shipment</v>
          </cell>
        </row>
        <row r="4613">
          <cell r="B4613" t="str">
            <v>Shipment</v>
          </cell>
        </row>
        <row r="4614">
          <cell r="B4614" t="str">
            <v>Shipment</v>
          </cell>
        </row>
        <row r="4615">
          <cell r="B4615" t="str">
            <v>Shipment</v>
          </cell>
        </row>
        <row r="4616">
          <cell r="B4616" t="str">
            <v>Shipment</v>
          </cell>
        </row>
        <row r="4617">
          <cell r="B4617" t="str">
            <v>Shipment</v>
          </cell>
        </row>
        <row r="4618">
          <cell r="B4618" t="str">
            <v>Shipment</v>
          </cell>
        </row>
        <row r="4619">
          <cell r="B4619" t="str">
            <v>Shipment</v>
          </cell>
        </row>
        <row r="4620">
          <cell r="B4620" t="str">
            <v>Shipment</v>
          </cell>
        </row>
        <row r="4621">
          <cell r="B4621" t="str">
            <v>Shipment</v>
          </cell>
        </row>
        <row r="4622">
          <cell r="B4622" t="str">
            <v>Shipment</v>
          </cell>
        </row>
        <row r="4623">
          <cell r="B4623" t="str">
            <v>Shipment</v>
          </cell>
        </row>
        <row r="4624">
          <cell r="B4624" t="str">
            <v>Shipment</v>
          </cell>
        </row>
        <row r="4625">
          <cell r="B4625" t="str">
            <v>Shipment</v>
          </cell>
        </row>
        <row r="4626">
          <cell r="B4626" t="str">
            <v>Shipment</v>
          </cell>
        </row>
        <row r="4627">
          <cell r="B4627" t="str">
            <v>Shipment</v>
          </cell>
        </row>
        <row r="4628">
          <cell r="B4628" t="str">
            <v>Shipment</v>
          </cell>
        </row>
        <row r="4629">
          <cell r="B4629" t="str">
            <v>Shipment</v>
          </cell>
        </row>
        <row r="4630">
          <cell r="B4630" t="str">
            <v>Shipment</v>
          </cell>
        </row>
        <row r="4631">
          <cell r="B4631" t="str">
            <v>Shipment</v>
          </cell>
        </row>
        <row r="4632">
          <cell r="B4632" t="str">
            <v>Shipment</v>
          </cell>
        </row>
        <row r="4633">
          <cell r="B4633" t="str">
            <v>Shipment</v>
          </cell>
        </row>
        <row r="4634">
          <cell r="B4634" t="str">
            <v>Shipment</v>
          </cell>
        </row>
        <row r="4635">
          <cell r="B4635" t="str">
            <v>Shipment</v>
          </cell>
        </row>
        <row r="4636">
          <cell r="B4636" t="str">
            <v>Shipment</v>
          </cell>
        </row>
        <row r="4637">
          <cell r="B4637" t="str">
            <v>Shipment</v>
          </cell>
        </row>
        <row r="4638">
          <cell r="B4638" t="str">
            <v>Shipment</v>
          </cell>
        </row>
        <row r="4639">
          <cell r="B4639" t="str">
            <v>Shipment</v>
          </cell>
        </row>
        <row r="4640">
          <cell r="B4640" t="str">
            <v>Shipment</v>
          </cell>
        </row>
        <row r="4641">
          <cell r="B4641" t="str">
            <v>Shipment</v>
          </cell>
        </row>
        <row r="4642">
          <cell r="B4642" t="str">
            <v>Shipment</v>
          </cell>
        </row>
        <row r="4643">
          <cell r="B4643" t="str">
            <v>Shipment</v>
          </cell>
        </row>
        <row r="4644">
          <cell r="B4644" t="str">
            <v>Shipment</v>
          </cell>
        </row>
        <row r="4645">
          <cell r="B4645" t="str">
            <v>Shipment</v>
          </cell>
        </row>
        <row r="4646">
          <cell r="B4646" t="str">
            <v>Shipment</v>
          </cell>
        </row>
        <row r="4647">
          <cell r="B4647" t="str">
            <v>Shipment</v>
          </cell>
        </row>
        <row r="4648">
          <cell r="B4648" t="str">
            <v>Shipment</v>
          </cell>
        </row>
        <row r="4649">
          <cell r="B4649" t="str">
            <v>Shipment</v>
          </cell>
        </row>
        <row r="4650">
          <cell r="B4650" t="str">
            <v>Shipment</v>
          </cell>
        </row>
        <row r="4651">
          <cell r="B4651" t="str">
            <v>Shipment</v>
          </cell>
        </row>
        <row r="4652">
          <cell r="B4652" t="str">
            <v>Shipment</v>
          </cell>
        </row>
        <row r="4653">
          <cell r="B4653" t="str">
            <v>Shipment</v>
          </cell>
        </row>
        <row r="4654">
          <cell r="B4654" t="str">
            <v>Shipment</v>
          </cell>
        </row>
        <row r="4655">
          <cell r="B4655" t="str">
            <v>Shipment</v>
          </cell>
        </row>
        <row r="4656">
          <cell r="B4656" t="str">
            <v>Shipment</v>
          </cell>
        </row>
        <row r="4657">
          <cell r="B4657" t="str">
            <v>Shipment</v>
          </cell>
        </row>
        <row r="4658">
          <cell r="B4658" t="str">
            <v>Shipment</v>
          </cell>
        </row>
        <row r="4659">
          <cell r="B4659" t="str">
            <v>Shipment</v>
          </cell>
        </row>
        <row r="4660">
          <cell r="B4660" t="str">
            <v>Shipment</v>
          </cell>
        </row>
        <row r="4661">
          <cell r="B4661" t="str">
            <v>Shipment</v>
          </cell>
        </row>
        <row r="4662">
          <cell r="B4662" t="str">
            <v>Shipment</v>
          </cell>
        </row>
        <row r="4663">
          <cell r="B4663" t="str">
            <v>Shipment</v>
          </cell>
        </row>
        <row r="4664">
          <cell r="B4664" t="str">
            <v>Shipment</v>
          </cell>
        </row>
        <row r="4665">
          <cell r="B4665" t="str">
            <v>Shipment</v>
          </cell>
        </row>
        <row r="4666">
          <cell r="B4666" t="str">
            <v>Shipment</v>
          </cell>
        </row>
        <row r="4667">
          <cell r="B4667" t="str">
            <v>Shipment</v>
          </cell>
        </row>
        <row r="4668">
          <cell r="B4668" t="str">
            <v>Shipment</v>
          </cell>
        </row>
        <row r="4669">
          <cell r="B4669" t="str">
            <v>Shipment</v>
          </cell>
        </row>
        <row r="4670">
          <cell r="B4670" t="str">
            <v>Shipment</v>
          </cell>
        </row>
        <row r="4671">
          <cell r="B4671" t="str">
            <v>Shipment</v>
          </cell>
        </row>
        <row r="4672">
          <cell r="B4672" t="str">
            <v>Shipment</v>
          </cell>
        </row>
        <row r="4673">
          <cell r="B4673" t="str">
            <v>Shipment</v>
          </cell>
        </row>
        <row r="4674">
          <cell r="B4674" t="str">
            <v>Shipment</v>
          </cell>
        </row>
        <row r="4675">
          <cell r="B4675" t="str">
            <v>Shipment</v>
          </cell>
        </row>
        <row r="4676">
          <cell r="B4676" t="str">
            <v>Shipment</v>
          </cell>
        </row>
        <row r="4677">
          <cell r="B4677" t="str">
            <v>Shipment</v>
          </cell>
        </row>
        <row r="4678">
          <cell r="B4678" t="str">
            <v>Shipment</v>
          </cell>
        </row>
        <row r="4679">
          <cell r="B4679" t="str">
            <v>Shipment</v>
          </cell>
        </row>
        <row r="4680">
          <cell r="B4680" t="str">
            <v>Shipment</v>
          </cell>
        </row>
        <row r="4681">
          <cell r="B4681" t="str">
            <v>Shipment</v>
          </cell>
        </row>
        <row r="4682">
          <cell r="B4682" t="str">
            <v>Shipment</v>
          </cell>
        </row>
        <row r="4683">
          <cell r="B4683" t="str">
            <v>Shipment</v>
          </cell>
        </row>
        <row r="4684">
          <cell r="B4684" t="str">
            <v>Shipment</v>
          </cell>
        </row>
        <row r="4685">
          <cell r="B4685" t="str">
            <v>Shipment</v>
          </cell>
        </row>
        <row r="4686">
          <cell r="B4686" t="str">
            <v>Shipment</v>
          </cell>
        </row>
        <row r="4687">
          <cell r="B4687" t="str">
            <v>Shipment</v>
          </cell>
        </row>
        <row r="4688">
          <cell r="B4688" t="str">
            <v>Shipment</v>
          </cell>
        </row>
        <row r="4689">
          <cell r="B4689" t="str">
            <v>Shipment</v>
          </cell>
        </row>
        <row r="4690">
          <cell r="B4690" t="str">
            <v>Shipment</v>
          </cell>
        </row>
        <row r="4691">
          <cell r="B4691" t="str">
            <v>Shipment</v>
          </cell>
        </row>
        <row r="4692">
          <cell r="B4692" t="str">
            <v>Shipment</v>
          </cell>
        </row>
        <row r="4693">
          <cell r="B4693" t="str">
            <v>Shipment</v>
          </cell>
        </row>
        <row r="4694">
          <cell r="B4694" t="str">
            <v>Shipment</v>
          </cell>
        </row>
        <row r="4695">
          <cell r="B4695" t="str">
            <v>Shipment</v>
          </cell>
        </row>
        <row r="4696">
          <cell r="B4696" t="str">
            <v>Shipment</v>
          </cell>
        </row>
        <row r="4697">
          <cell r="B4697" t="str">
            <v>Shipment</v>
          </cell>
        </row>
        <row r="4698">
          <cell r="B4698" t="str">
            <v>Shipment</v>
          </cell>
        </row>
        <row r="4699">
          <cell r="B4699" t="str">
            <v>Shipment</v>
          </cell>
        </row>
        <row r="4700">
          <cell r="B4700" t="str">
            <v>Shipment</v>
          </cell>
        </row>
        <row r="4701">
          <cell r="B4701" t="str">
            <v>Shipment</v>
          </cell>
        </row>
        <row r="4702">
          <cell r="B4702" t="str">
            <v>Shipment</v>
          </cell>
        </row>
        <row r="4703">
          <cell r="B4703" t="str">
            <v>Shipment</v>
          </cell>
        </row>
        <row r="4704">
          <cell r="B4704" t="str">
            <v>Shipment</v>
          </cell>
        </row>
        <row r="4705">
          <cell r="B4705" t="str">
            <v>Shipment</v>
          </cell>
        </row>
        <row r="4706">
          <cell r="B4706" t="str">
            <v>Shipment</v>
          </cell>
        </row>
        <row r="4707">
          <cell r="B4707" t="str">
            <v>Shipment</v>
          </cell>
        </row>
        <row r="4708">
          <cell r="B4708" t="str">
            <v>Shipment</v>
          </cell>
        </row>
        <row r="4709">
          <cell r="B4709" t="str">
            <v>Shipment</v>
          </cell>
        </row>
        <row r="4710">
          <cell r="B4710" t="str">
            <v>Shipment</v>
          </cell>
        </row>
        <row r="4711">
          <cell r="B4711" t="str">
            <v>Shipment</v>
          </cell>
        </row>
        <row r="4712">
          <cell r="B4712" t="str">
            <v>Shipment</v>
          </cell>
        </row>
        <row r="4713">
          <cell r="B4713" t="str">
            <v>Shipment</v>
          </cell>
        </row>
        <row r="4714">
          <cell r="B4714" t="str">
            <v>Shipment</v>
          </cell>
        </row>
        <row r="4715">
          <cell r="B4715" t="str">
            <v>Shipment</v>
          </cell>
        </row>
        <row r="4716">
          <cell r="B4716" t="str">
            <v>Shipment</v>
          </cell>
        </row>
        <row r="4717">
          <cell r="B4717" t="str">
            <v>Shipment</v>
          </cell>
        </row>
        <row r="4718">
          <cell r="B4718" t="str">
            <v>Shipment</v>
          </cell>
        </row>
        <row r="4719">
          <cell r="B4719" t="str">
            <v>Shipment</v>
          </cell>
        </row>
        <row r="4720">
          <cell r="B4720" t="str">
            <v>Shipment</v>
          </cell>
        </row>
        <row r="4721">
          <cell r="B4721" t="str">
            <v>Shipment</v>
          </cell>
        </row>
        <row r="4722">
          <cell r="B4722" t="str">
            <v>Shipment</v>
          </cell>
        </row>
        <row r="4723">
          <cell r="B4723" t="str">
            <v>Shipment</v>
          </cell>
        </row>
        <row r="4724">
          <cell r="B4724" t="str">
            <v>Shipment</v>
          </cell>
        </row>
        <row r="4725">
          <cell r="B4725" t="str">
            <v>Shipment</v>
          </cell>
        </row>
        <row r="4726">
          <cell r="B4726" t="str">
            <v>Shipment</v>
          </cell>
        </row>
        <row r="4727">
          <cell r="B4727" t="str">
            <v>Shipment</v>
          </cell>
        </row>
        <row r="4728">
          <cell r="B4728" t="str">
            <v>Shipment</v>
          </cell>
        </row>
        <row r="4729">
          <cell r="B4729" t="str">
            <v>Shipment</v>
          </cell>
        </row>
        <row r="4730">
          <cell r="B4730" t="str">
            <v>Shipment</v>
          </cell>
        </row>
        <row r="4731">
          <cell r="B4731" t="str">
            <v>Shipment</v>
          </cell>
        </row>
        <row r="4732">
          <cell r="B4732" t="str">
            <v>Shipment</v>
          </cell>
        </row>
        <row r="4733">
          <cell r="B4733" t="str">
            <v>Shipment</v>
          </cell>
        </row>
        <row r="4734">
          <cell r="B4734" t="str">
            <v>Shipment</v>
          </cell>
        </row>
        <row r="4735">
          <cell r="B4735" t="str">
            <v>Shipment</v>
          </cell>
        </row>
        <row r="4736">
          <cell r="B4736" t="str">
            <v>Shipment</v>
          </cell>
        </row>
        <row r="4737">
          <cell r="B4737" t="str">
            <v>Shipment</v>
          </cell>
        </row>
        <row r="4738">
          <cell r="B4738" t="str">
            <v>Shipment</v>
          </cell>
        </row>
        <row r="4739">
          <cell r="B4739" t="str">
            <v>Shipment</v>
          </cell>
        </row>
        <row r="4740">
          <cell r="B4740" t="str">
            <v>Shipment</v>
          </cell>
        </row>
        <row r="4741">
          <cell r="B4741" t="str">
            <v>Shipment</v>
          </cell>
        </row>
        <row r="4742">
          <cell r="B4742" t="str">
            <v>Shipment</v>
          </cell>
        </row>
        <row r="4743">
          <cell r="B4743" t="str">
            <v>Shipment</v>
          </cell>
        </row>
        <row r="4744">
          <cell r="B4744" t="str">
            <v>Shipment</v>
          </cell>
        </row>
        <row r="4745">
          <cell r="B4745" t="str">
            <v>Shipment</v>
          </cell>
        </row>
        <row r="4746">
          <cell r="B4746" t="str">
            <v>Shipment</v>
          </cell>
        </row>
        <row r="4747">
          <cell r="B4747" t="str">
            <v>Shipment</v>
          </cell>
        </row>
        <row r="4748">
          <cell r="B4748" t="str">
            <v>Shipment</v>
          </cell>
        </row>
        <row r="4749">
          <cell r="B4749" t="str">
            <v>Shipment</v>
          </cell>
        </row>
        <row r="4750">
          <cell r="B4750" t="str">
            <v>Shipment</v>
          </cell>
        </row>
        <row r="4751">
          <cell r="B4751" t="str">
            <v>Shipment</v>
          </cell>
        </row>
        <row r="4752">
          <cell r="B4752" t="str">
            <v>Shipment</v>
          </cell>
        </row>
        <row r="4753">
          <cell r="B4753" t="str">
            <v>Shipment</v>
          </cell>
        </row>
        <row r="4754">
          <cell r="B4754" t="str">
            <v>Shipment</v>
          </cell>
        </row>
        <row r="4755">
          <cell r="B4755" t="str">
            <v>Shipment</v>
          </cell>
        </row>
        <row r="4756">
          <cell r="B4756" t="str">
            <v>Shipment</v>
          </cell>
        </row>
        <row r="4757">
          <cell r="B4757" t="str">
            <v>Shipment</v>
          </cell>
        </row>
        <row r="4758">
          <cell r="B4758" t="str">
            <v>Shipment</v>
          </cell>
        </row>
        <row r="4759">
          <cell r="B4759" t="str">
            <v>Shipment</v>
          </cell>
        </row>
        <row r="4760">
          <cell r="B4760" t="str">
            <v>Shipment</v>
          </cell>
        </row>
        <row r="4761">
          <cell r="B4761" t="str">
            <v>Shipment</v>
          </cell>
        </row>
        <row r="4762">
          <cell r="B4762" t="str">
            <v>Shipment</v>
          </cell>
        </row>
        <row r="4763">
          <cell r="B4763" t="str">
            <v>Shipment</v>
          </cell>
        </row>
        <row r="4764">
          <cell r="B4764" t="str">
            <v>Shipment</v>
          </cell>
        </row>
        <row r="4765">
          <cell r="B4765" t="str">
            <v>Shipment</v>
          </cell>
        </row>
        <row r="4766">
          <cell r="B4766" t="str">
            <v>Shipment</v>
          </cell>
        </row>
        <row r="4767">
          <cell r="B4767" t="str">
            <v>Shipment</v>
          </cell>
        </row>
        <row r="4768">
          <cell r="B4768" t="str">
            <v>Shipment</v>
          </cell>
        </row>
        <row r="4769">
          <cell r="B4769" t="str">
            <v>Shipment</v>
          </cell>
        </row>
        <row r="4770">
          <cell r="B4770" t="str">
            <v>Shipment</v>
          </cell>
        </row>
        <row r="4771">
          <cell r="B4771" t="str">
            <v>Shipment</v>
          </cell>
        </row>
        <row r="4772">
          <cell r="B4772" t="str">
            <v>Shipment</v>
          </cell>
        </row>
        <row r="4773">
          <cell r="B4773" t="str">
            <v>Shipment</v>
          </cell>
        </row>
        <row r="4774">
          <cell r="B4774" t="str">
            <v>Shipment</v>
          </cell>
        </row>
        <row r="4775">
          <cell r="B4775" t="str">
            <v>Shipment</v>
          </cell>
        </row>
        <row r="4776">
          <cell r="B4776" t="str">
            <v>Shipment</v>
          </cell>
        </row>
        <row r="4777">
          <cell r="B4777" t="str">
            <v>Shipment</v>
          </cell>
        </row>
        <row r="4778">
          <cell r="B4778" t="str">
            <v>Shipment</v>
          </cell>
        </row>
        <row r="4779">
          <cell r="B4779" t="str">
            <v>Shipment</v>
          </cell>
        </row>
        <row r="4780">
          <cell r="B4780" t="str">
            <v>Shipment</v>
          </cell>
        </row>
        <row r="4781">
          <cell r="B4781" t="str">
            <v>Shipment</v>
          </cell>
        </row>
        <row r="4782">
          <cell r="B4782" t="str">
            <v>Shipment</v>
          </cell>
        </row>
        <row r="4783">
          <cell r="B4783" t="str">
            <v>Shipment</v>
          </cell>
        </row>
        <row r="4784">
          <cell r="B4784" t="str">
            <v>Shipment</v>
          </cell>
        </row>
        <row r="4785">
          <cell r="B4785" t="str">
            <v>Shipment</v>
          </cell>
        </row>
        <row r="4786">
          <cell r="B4786" t="str">
            <v>Shipment</v>
          </cell>
        </row>
        <row r="4787">
          <cell r="B4787" t="str">
            <v>Shipment</v>
          </cell>
        </row>
        <row r="4788">
          <cell r="B4788" t="str">
            <v>Shipment</v>
          </cell>
        </row>
        <row r="4789">
          <cell r="B4789" t="str">
            <v>Shipment</v>
          </cell>
        </row>
        <row r="4790">
          <cell r="B4790" t="str">
            <v>Shipment</v>
          </cell>
        </row>
        <row r="4791">
          <cell r="B4791" t="str">
            <v>Shipment</v>
          </cell>
        </row>
        <row r="4792">
          <cell r="B4792" t="str">
            <v>Shipment</v>
          </cell>
        </row>
        <row r="4793">
          <cell r="B4793" t="str">
            <v>Shipment</v>
          </cell>
        </row>
        <row r="4794">
          <cell r="B4794" t="str">
            <v>Shipment</v>
          </cell>
        </row>
        <row r="4795">
          <cell r="B4795" t="str">
            <v>Shipment</v>
          </cell>
        </row>
        <row r="4796">
          <cell r="B4796" t="str">
            <v>Shipment</v>
          </cell>
        </row>
        <row r="4797">
          <cell r="B4797" t="str">
            <v>Shipment</v>
          </cell>
        </row>
        <row r="4798">
          <cell r="B4798" t="str">
            <v>Shipment</v>
          </cell>
        </row>
        <row r="4799">
          <cell r="B4799" t="str">
            <v>Shipment</v>
          </cell>
        </row>
        <row r="4800">
          <cell r="B4800" t="str">
            <v>Shipment</v>
          </cell>
        </row>
        <row r="4801">
          <cell r="B4801" t="str">
            <v>Shipment</v>
          </cell>
        </row>
        <row r="4802">
          <cell r="B4802" t="str">
            <v>Shipment</v>
          </cell>
        </row>
        <row r="4803">
          <cell r="B4803" t="str">
            <v>Shipment</v>
          </cell>
        </row>
        <row r="4804">
          <cell r="B4804" t="str">
            <v>Shipment</v>
          </cell>
        </row>
        <row r="4805">
          <cell r="B4805" t="str">
            <v>Shipment</v>
          </cell>
        </row>
        <row r="4806">
          <cell r="B4806" t="str">
            <v>Shipment</v>
          </cell>
        </row>
        <row r="4807">
          <cell r="B4807" t="str">
            <v>Shipment</v>
          </cell>
        </row>
        <row r="4808">
          <cell r="B4808" t="str">
            <v>Shipment</v>
          </cell>
        </row>
        <row r="4809">
          <cell r="B4809" t="str">
            <v>Shipment</v>
          </cell>
        </row>
        <row r="4810">
          <cell r="B4810" t="str">
            <v>Shipment</v>
          </cell>
        </row>
        <row r="4811">
          <cell r="B4811" t="str">
            <v>Shipment</v>
          </cell>
        </row>
        <row r="4812">
          <cell r="B4812" t="str">
            <v>Shipment</v>
          </cell>
        </row>
        <row r="4813">
          <cell r="B4813" t="str">
            <v>Shipment</v>
          </cell>
        </row>
        <row r="4814">
          <cell r="B4814" t="str">
            <v>Shipment</v>
          </cell>
        </row>
        <row r="4815">
          <cell r="B4815" t="str">
            <v>Shipment</v>
          </cell>
        </row>
        <row r="4816">
          <cell r="B4816" t="str">
            <v>Shipment</v>
          </cell>
        </row>
        <row r="4817">
          <cell r="B4817" t="str">
            <v>Shipment</v>
          </cell>
        </row>
        <row r="4818">
          <cell r="B4818" t="str">
            <v>Shipment</v>
          </cell>
        </row>
        <row r="4819">
          <cell r="B4819" t="str">
            <v>Shipment</v>
          </cell>
        </row>
        <row r="4820">
          <cell r="B4820" t="str">
            <v>Shipment</v>
          </cell>
        </row>
        <row r="4821">
          <cell r="B4821" t="str">
            <v>Shipment</v>
          </cell>
        </row>
        <row r="4822">
          <cell r="B4822" t="str">
            <v>Shipment</v>
          </cell>
        </row>
        <row r="4823">
          <cell r="B4823" t="str">
            <v>Shipment</v>
          </cell>
        </row>
        <row r="4824">
          <cell r="B4824" t="str">
            <v>Shipment</v>
          </cell>
        </row>
        <row r="4825">
          <cell r="B4825" t="str">
            <v>Shipment</v>
          </cell>
        </row>
        <row r="4826">
          <cell r="B4826" t="str">
            <v>Shipment</v>
          </cell>
        </row>
        <row r="4827">
          <cell r="B4827" t="str">
            <v>Shipment</v>
          </cell>
        </row>
        <row r="4828">
          <cell r="B4828" t="str">
            <v>Shipment</v>
          </cell>
        </row>
        <row r="4829">
          <cell r="B4829" t="str">
            <v>Shipment</v>
          </cell>
        </row>
        <row r="4830">
          <cell r="B4830" t="str">
            <v>Shipment</v>
          </cell>
        </row>
        <row r="4831">
          <cell r="B4831" t="str">
            <v>Shipment</v>
          </cell>
        </row>
        <row r="4832">
          <cell r="B4832" t="str">
            <v>Shipment</v>
          </cell>
        </row>
        <row r="4833">
          <cell r="B4833" t="str">
            <v>Shipment</v>
          </cell>
        </row>
        <row r="4834">
          <cell r="B4834" t="str">
            <v>Shipment</v>
          </cell>
        </row>
        <row r="4835">
          <cell r="B4835" t="str">
            <v>Shipment</v>
          </cell>
        </row>
        <row r="4836">
          <cell r="B4836" t="str">
            <v>Shipment</v>
          </cell>
        </row>
        <row r="4837">
          <cell r="B4837" t="str">
            <v>Shipment</v>
          </cell>
        </row>
        <row r="4838">
          <cell r="B4838" t="str">
            <v>Shipment</v>
          </cell>
        </row>
        <row r="4839">
          <cell r="B4839" t="str">
            <v>Shipment</v>
          </cell>
        </row>
        <row r="4840">
          <cell r="B4840" t="str">
            <v>Shipment</v>
          </cell>
        </row>
        <row r="4841">
          <cell r="B4841" t="str">
            <v>Shipment</v>
          </cell>
        </row>
        <row r="4842">
          <cell r="B4842" t="str">
            <v>Shipment</v>
          </cell>
        </row>
        <row r="4843">
          <cell r="B4843" t="str">
            <v>Shipment</v>
          </cell>
        </row>
        <row r="4844">
          <cell r="B4844" t="str">
            <v>Shipment</v>
          </cell>
        </row>
        <row r="4845">
          <cell r="B4845" t="str">
            <v>Shipment</v>
          </cell>
        </row>
        <row r="4846">
          <cell r="B4846" t="str">
            <v>Shipment</v>
          </cell>
        </row>
        <row r="4847">
          <cell r="B4847" t="str">
            <v>Shipment</v>
          </cell>
        </row>
        <row r="4848">
          <cell r="B4848" t="str">
            <v>Shipment</v>
          </cell>
        </row>
        <row r="4849">
          <cell r="B4849" t="str">
            <v>Shipment</v>
          </cell>
        </row>
        <row r="4850">
          <cell r="B4850" t="str">
            <v>Shipment</v>
          </cell>
        </row>
        <row r="4851">
          <cell r="B4851" t="str">
            <v>Shipment</v>
          </cell>
        </row>
        <row r="4852">
          <cell r="B4852" t="str">
            <v>Shipment</v>
          </cell>
        </row>
        <row r="4853">
          <cell r="B4853" t="str">
            <v>Shipment</v>
          </cell>
        </row>
        <row r="4854">
          <cell r="B4854" t="str">
            <v>Shipment</v>
          </cell>
        </row>
        <row r="4855">
          <cell r="B4855" t="str">
            <v>Shipment</v>
          </cell>
        </row>
        <row r="4856">
          <cell r="B4856" t="str">
            <v>Shipment</v>
          </cell>
        </row>
        <row r="4857">
          <cell r="B4857" t="str">
            <v>Shipment</v>
          </cell>
        </row>
        <row r="4858">
          <cell r="B4858" t="str">
            <v>Shipment</v>
          </cell>
        </row>
        <row r="4859">
          <cell r="B4859" t="str">
            <v>Shipment</v>
          </cell>
        </row>
        <row r="4860">
          <cell r="B4860" t="str">
            <v>Shipment</v>
          </cell>
        </row>
        <row r="4861">
          <cell r="B4861" t="str">
            <v>Shipment</v>
          </cell>
        </row>
        <row r="4862">
          <cell r="B4862" t="str">
            <v>Shipment</v>
          </cell>
        </row>
        <row r="4863">
          <cell r="B4863" t="str">
            <v>Shipment</v>
          </cell>
        </row>
        <row r="4864">
          <cell r="B4864" t="str">
            <v>Shipment</v>
          </cell>
        </row>
        <row r="4865">
          <cell r="B4865" t="str">
            <v>Shipment</v>
          </cell>
        </row>
        <row r="4866">
          <cell r="B4866" t="str">
            <v>Shipment</v>
          </cell>
        </row>
        <row r="4867">
          <cell r="B4867" t="str">
            <v>Shipment</v>
          </cell>
        </row>
        <row r="4868">
          <cell r="B4868" t="str">
            <v>Shipment</v>
          </cell>
        </row>
        <row r="4869">
          <cell r="B4869" t="str">
            <v>Shipment</v>
          </cell>
        </row>
        <row r="4870">
          <cell r="B4870" t="str">
            <v>Shipment</v>
          </cell>
        </row>
        <row r="4871">
          <cell r="B4871" t="str">
            <v>Shipment</v>
          </cell>
        </row>
        <row r="4872">
          <cell r="B4872" t="str">
            <v>Shipment</v>
          </cell>
        </row>
        <row r="4873">
          <cell r="B4873" t="str">
            <v>Shipment</v>
          </cell>
        </row>
        <row r="4874">
          <cell r="B4874" t="str">
            <v>Shipment</v>
          </cell>
        </row>
        <row r="4875">
          <cell r="B4875" t="str">
            <v>Shipment</v>
          </cell>
        </row>
        <row r="4876">
          <cell r="B4876" t="str">
            <v>Shipment</v>
          </cell>
        </row>
        <row r="4877">
          <cell r="B4877" t="str">
            <v>Shipment</v>
          </cell>
        </row>
        <row r="4878">
          <cell r="B4878" t="str">
            <v>Shipment</v>
          </cell>
        </row>
        <row r="4879">
          <cell r="B4879" t="str">
            <v>Shipment</v>
          </cell>
        </row>
        <row r="4880">
          <cell r="B4880" t="str">
            <v>Shipment</v>
          </cell>
        </row>
        <row r="4881">
          <cell r="B4881" t="str">
            <v>Shipment</v>
          </cell>
        </row>
        <row r="4882">
          <cell r="B4882" t="str">
            <v>Shipment</v>
          </cell>
        </row>
        <row r="4883">
          <cell r="B4883" t="str">
            <v>Shipment</v>
          </cell>
        </row>
        <row r="4884">
          <cell r="B4884" t="str">
            <v>Shipment</v>
          </cell>
        </row>
        <row r="4885">
          <cell r="B4885" t="str">
            <v>Shipment</v>
          </cell>
        </row>
        <row r="4886">
          <cell r="B4886" t="str">
            <v>Shipment</v>
          </cell>
        </row>
        <row r="4887">
          <cell r="B4887" t="str">
            <v>Shipment</v>
          </cell>
        </row>
        <row r="4888">
          <cell r="B4888" t="str">
            <v>Shipment</v>
          </cell>
        </row>
        <row r="4889">
          <cell r="B4889" t="str">
            <v>Shipment</v>
          </cell>
        </row>
        <row r="4890">
          <cell r="B4890" t="str">
            <v>Shipment</v>
          </cell>
        </row>
        <row r="4891">
          <cell r="B4891" t="str">
            <v>Shipment</v>
          </cell>
        </row>
        <row r="4892">
          <cell r="B4892" t="str">
            <v>Shipment</v>
          </cell>
        </row>
        <row r="4893">
          <cell r="B4893" t="str">
            <v>Shipment</v>
          </cell>
        </row>
        <row r="4894">
          <cell r="B4894" t="str">
            <v>Shipment</v>
          </cell>
        </row>
        <row r="4895">
          <cell r="B4895" t="str">
            <v>Shipment</v>
          </cell>
        </row>
        <row r="4896">
          <cell r="B4896" t="str">
            <v>Shipment</v>
          </cell>
        </row>
        <row r="4897">
          <cell r="B4897" t="str">
            <v>Shipment</v>
          </cell>
        </row>
        <row r="4898">
          <cell r="B4898" t="str">
            <v>Shipment</v>
          </cell>
        </row>
        <row r="4899">
          <cell r="B4899" t="str">
            <v>Shipment</v>
          </cell>
        </row>
        <row r="4900">
          <cell r="B4900" t="str">
            <v>Shipment</v>
          </cell>
        </row>
        <row r="4901">
          <cell r="B4901" t="str">
            <v>Shipment</v>
          </cell>
        </row>
        <row r="4902">
          <cell r="B4902" t="str">
            <v>Shipment</v>
          </cell>
        </row>
        <row r="4903">
          <cell r="B4903" t="str">
            <v>Shipment</v>
          </cell>
        </row>
        <row r="4904">
          <cell r="B4904" t="str">
            <v>Shipment</v>
          </cell>
        </row>
        <row r="4905">
          <cell r="B4905" t="str">
            <v>Shipment</v>
          </cell>
        </row>
        <row r="4906">
          <cell r="B4906" t="str">
            <v>Shipment</v>
          </cell>
        </row>
        <row r="4907">
          <cell r="B4907" t="str">
            <v>Shipment</v>
          </cell>
        </row>
        <row r="4908">
          <cell r="B4908" t="str">
            <v>Shipment</v>
          </cell>
        </row>
        <row r="4909">
          <cell r="B4909" t="str">
            <v>Shipment</v>
          </cell>
        </row>
        <row r="4910">
          <cell r="B4910" t="str">
            <v>Shipment</v>
          </cell>
        </row>
        <row r="4911">
          <cell r="B4911" t="str">
            <v>Shipment</v>
          </cell>
        </row>
        <row r="4912">
          <cell r="B4912" t="str">
            <v>Shipment</v>
          </cell>
        </row>
        <row r="4913">
          <cell r="B4913" t="str">
            <v>Shipment</v>
          </cell>
        </row>
        <row r="4914">
          <cell r="B4914" t="str">
            <v>Shipment</v>
          </cell>
        </row>
        <row r="4915">
          <cell r="B4915" t="str">
            <v>Shipment</v>
          </cell>
        </row>
        <row r="4916">
          <cell r="B4916" t="str">
            <v>Shipment</v>
          </cell>
        </row>
        <row r="4917">
          <cell r="B4917" t="str">
            <v>Shipment</v>
          </cell>
        </row>
        <row r="4918">
          <cell r="B4918" t="str">
            <v>Shipment</v>
          </cell>
        </row>
        <row r="4919">
          <cell r="B4919" t="str">
            <v>Shipment</v>
          </cell>
        </row>
        <row r="4920">
          <cell r="B4920" t="str">
            <v>Shipment</v>
          </cell>
        </row>
        <row r="4921">
          <cell r="B4921" t="str">
            <v>Shipment</v>
          </cell>
        </row>
        <row r="4922">
          <cell r="B4922" t="str">
            <v>Shipment</v>
          </cell>
        </row>
        <row r="4923">
          <cell r="B4923" t="str">
            <v>Shipment</v>
          </cell>
        </row>
        <row r="4924">
          <cell r="B4924" t="str">
            <v>Shipment</v>
          </cell>
        </row>
        <row r="4925">
          <cell r="B4925" t="str">
            <v>Shipment</v>
          </cell>
        </row>
        <row r="4926">
          <cell r="B4926" t="str">
            <v>Shipment</v>
          </cell>
        </row>
        <row r="4927">
          <cell r="B4927" t="str">
            <v>Shipment</v>
          </cell>
        </row>
        <row r="4928">
          <cell r="B4928" t="str">
            <v>Shipment</v>
          </cell>
        </row>
        <row r="4929">
          <cell r="B4929" t="str">
            <v>Shipment</v>
          </cell>
        </row>
        <row r="4930">
          <cell r="B4930" t="str">
            <v>Shipment</v>
          </cell>
        </row>
        <row r="4931">
          <cell r="B4931" t="str">
            <v>Shipment</v>
          </cell>
        </row>
        <row r="4932">
          <cell r="B4932" t="str">
            <v>Shipment</v>
          </cell>
        </row>
        <row r="4933">
          <cell r="B4933" t="str">
            <v>Shipment</v>
          </cell>
        </row>
        <row r="4934">
          <cell r="B4934" t="str">
            <v>Shipment</v>
          </cell>
        </row>
        <row r="4935">
          <cell r="B4935" t="str">
            <v>Shipment</v>
          </cell>
        </row>
        <row r="4936">
          <cell r="B4936" t="str">
            <v>Shipment</v>
          </cell>
        </row>
        <row r="4937">
          <cell r="B4937" t="str">
            <v>Shipment</v>
          </cell>
        </row>
        <row r="4938">
          <cell r="B4938" t="str">
            <v>Shipment</v>
          </cell>
        </row>
        <row r="4939">
          <cell r="B4939" t="str">
            <v>Shipment</v>
          </cell>
        </row>
        <row r="4940">
          <cell r="B4940" t="str">
            <v>Shipment</v>
          </cell>
        </row>
        <row r="4941">
          <cell r="B4941" t="str">
            <v>Shipment</v>
          </cell>
        </row>
        <row r="4942">
          <cell r="B4942" t="str">
            <v>Shipment</v>
          </cell>
        </row>
        <row r="4943">
          <cell r="B4943" t="str">
            <v>Shipment</v>
          </cell>
        </row>
        <row r="4944">
          <cell r="B4944" t="str">
            <v>Shipment</v>
          </cell>
        </row>
        <row r="4945">
          <cell r="B4945" t="str">
            <v>Shipment</v>
          </cell>
        </row>
        <row r="4946">
          <cell r="B4946" t="str">
            <v>Shipment</v>
          </cell>
        </row>
        <row r="4947">
          <cell r="B4947" t="str">
            <v>Shipment</v>
          </cell>
        </row>
        <row r="4948">
          <cell r="B4948" t="str">
            <v>Shipment</v>
          </cell>
        </row>
        <row r="4949">
          <cell r="B4949" t="str">
            <v>Shipment</v>
          </cell>
        </row>
        <row r="4950">
          <cell r="B4950" t="str">
            <v>Shipment</v>
          </cell>
        </row>
        <row r="4951">
          <cell r="B4951" t="str">
            <v>Shipment</v>
          </cell>
        </row>
        <row r="4952">
          <cell r="B4952" t="str">
            <v>Shipment</v>
          </cell>
        </row>
        <row r="4953">
          <cell r="B4953" t="str">
            <v>Shipment</v>
          </cell>
        </row>
        <row r="4954">
          <cell r="B4954" t="str">
            <v>Shipment</v>
          </cell>
        </row>
        <row r="4955">
          <cell r="B4955" t="str">
            <v>Shipment</v>
          </cell>
        </row>
        <row r="4956">
          <cell r="B4956" t="str">
            <v>Shipment</v>
          </cell>
        </row>
        <row r="4957">
          <cell r="B4957" t="str">
            <v>Shipment</v>
          </cell>
        </row>
        <row r="4958">
          <cell r="B4958" t="str">
            <v>Shipment</v>
          </cell>
        </row>
        <row r="4959">
          <cell r="B4959" t="str">
            <v>Shipment</v>
          </cell>
        </row>
        <row r="4960">
          <cell r="B4960" t="str">
            <v>Shipment</v>
          </cell>
        </row>
        <row r="4961">
          <cell r="B4961" t="str">
            <v>Shipment</v>
          </cell>
        </row>
        <row r="4962">
          <cell r="B4962" t="str">
            <v>Shipment</v>
          </cell>
        </row>
        <row r="4963">
          <cell r="B4963" t="str">
            <v>Shipment</v>
          </cell>
        </row>
        <row r="4964">
          <cell r="B4964" t="str">
            <v>Shipment</v>
          </cell>
        </row>
        <row r="4965">
          <cell r="B4965" t="str">
            <v>Shipment</v>
          </cell>
        </row>
        <row r="4966">
          <cell r="B4966" t="str">
            <v>Shipment</v>
          </cell>
        </row>
        <row r="4967">
          <cell r="B4967" t="str">
            <v>Shipment</v>
          </cell>
        </row>
        <row r="4968">
          <cell r="B4968" t="str">
            <v>Shipment</v>
          </cell>
        </row>
        <row r="4969">
          <cell r="B4969" t="str">
            <v>Shipment</v>
          </cell>
        </row>
        <row r="4970">
          <cell r="B4970" t="str">
            <v>Shipment</v>
          </cell>
        </row>
        <row r="4971">
          <cell r="B4971" t="str">
            <v>Shipment</v>
          </cell>
        </row>
        <row r="4972">
          <cell r="B4972" t="str">
            <v>Shipment</v>
          </cell>
        </row>
        <row r="4973">
          <cell r="B4973" t="str">
            <v>Shipment</v>
          </cell>
        </row>
        <row r="4974">
          <cell r="B4974" t="str">
            <v>Shipment</v>
          </cell>
        </row>
        <row r="4975">
          <cell r="B4975" t="str">
            <v>Shipment</v>
          </cell>
        </row>
        <row r="4976">
          <cell r="B4976" t="str">
            <v>Shipment</v>
          </cell>
        </row>
        <row r="4977">
          <cell r="B4977" t="str">
            <v>Shipment</v>
          </cell>
        </row>
        <row r="4978">
          <cell r="B4978" t="str">
            <v>Shipment</v>
          </cell>
        </row>
        <row r="4979">
          <cell r="B4979" t="str">
            <v>Shipment</v>
          </cell>
        </row>
        <row r="4980">
          <cell r="B4980" t="str">
            <v>Shipment</v>
          </cell>
        </row>
        <row r="4981">
          <cell r="B4981" t="str">
            <v>Shipment</v>
          </cell>
        </row>
        <row r="4982">
          <cell r="B4982" t="str">
            <v>Shipment</v>
          </cell>
        </row>
        <row r="4983">
          <cell r="B4983" t="str">
            <v>Shipment</v>
          </cell>
        </row>
        <row r="4984">
          <cell r="B4984" t="str">
            <v>Shipment</v>
          </cell>
        </row>
        <row r="4985">
          <cell r="B4985" t="str">
            <v>Shipment</v>
          </cell>
        </row>
        <row r="4986">
          <cell r="B4986" t="str">
            <v>Shipment</v>
          </cell>
        </row>
        <row r="4987">
          <cell r="B4987" t="str">
            <v>Shipment</v>
          </cell>
        </row>
        <row r="4988">
          <cell r="B4988" t="str">
            <v>Shipment</v>
          </cell>
        </row>
        <row r="4989">
          <cell r="B4989" t="str">
            <v>Shipment</v>
          </cell>
        </row>
        <row r="4990">
          <cell r="B4990" t="str">
            <v>Shipment</v>
          </cell>
        </row>
        <row r="4991">
          <cell r="B4991" t="str">
            <v>Shipment</v>
          </cell>
        </row>
        <row r="4992">
          <cell r="B4992" t="str">
            <v>Shipment</v>
          </cell>
        </row>
        <row r="4993">
          <cell r="B4993" t="str">
            <v>Shipment</v>
          </cell>
        </row>
        <row r="4994">
          <cell r="B4994" t="str">
            <v>Shipment</v>
          </cell>
        </row>
        <row r="4995">
          <cell r="B4995" t="str">
            <v>Shipment</v>
          </cell>
        </row>
        <row r="4996">
          <cell r="B4996" t="str">
            <v>Shipment</v>
          </cell>
        </row>
        <row r="4997">
          <cell r="B4997" t="str">
            <v>Shipment</v>
          </cell>
        </row>
        <row r="4998">
          <cell r="B4998" t="str">
            <v>Shipment</v>
          </cell>
        </row>
        <row r="4999">
          <cell r="B4999" t="str">
            <v>Shipment</v>
          </cell>
        </row>
        <row r="5000">
          <cell r="B5000" t="str">
            <v>Shipment</v>
          </cell>
        </row>
        <row r="5001">
          <cell r="B5001" t="str">
            <v>Shipment</v>
          </cell>
        </row>
        <row r="5002">
          <cell r="B5002" t="str">
            <v>Shipment</v>
          </cell>
        </row>
        <row r="5003">
          <cell r="B5003" t="str">
            <v>Shipment</v>
          </cell>
        </row>
        <row r="5004">
          <cell r="B5004" t="str">
            <v>Shipment</v>
          </cell>
        </row>
        <row r="5005">
          <cell r="B5005" t="str">
            <v>Shipment</v>
          </cell>
        </row>
        <row r="5006">
          <cell r="B5006" t="str">
            <v>Shipment</v>
          </cell>
        </row>
        <row r="5007">
          <cell r="B5007" t="str">
            <v>Shipment</v>
          </cell>
        </row>
        <row r="5008">
          <cell r="B5008" t="str">
            <v>Shipment</v>
          </cell>
        </row>
        <row r="5009">
          <cell r="B5009" t="str">
            <v>Shipment</v>
          </cell>
        </row>
        <row r="5010">
          <cell r="B5010" t="str">
            <v>Shipment</v>
          </cell>
        </row>
        <row r="5011">
          <cell r="B5011" t="str">
            <v>Shipment</v>
          </cell>
        </row>
        <row r="5012">
          <cell r="B5012" t="str">
            <v>Shipment</v>
          </cell>
        </row>
        <row r="5013">
          <cell r="B5013" t="str">
            <v>Shipment</v>
          </cell>
        </row>
        <row r="5014">
          <cell r="B5014" t="str">
            <v>Shipment</v>
          </cell>
        </row>
        <row r="5015">
          <cell r="B5015" t="str">
            <v>Shipment</v>
          </cell>
        </row>
        <row r="5016">
          <cell r="B5016" t="str">
            <v>Shipment</v>
          </cell>
        </row>
        <row r="5017">
          <cell r="B5017" t="str">
            <v>Shipment</v>
          </cell>
        </row>
        <row r="5018">
          <cell r="B5018" t="str">
            <v>Shipment</v>
          </cell>
        </row>
        <row r="5019">
          <cell r="B5019" t="str">
            <v>Shipment</v>
          </cell>
        </row>
        <row r="5020">
          <cell r="B5020" t="str">
            <v>Shipment</v>
          </cell>
        </row>
        <row r="5021">
          <cell r="B5021" t="str">
            <v>Shipment</v>
          </cell>
        </row>
        <row r="5022">
          <cell r="B5022" t="str">
            <v>Shipment</v>
          </cell>
        </row>
        <row r="5023">
          <cell r="B5023" t="str">
            <v>Shipment</v>
          </cell>
        </row>
        <row r="5024">
          <cell r="B5024" t="str">
            <v>Shipment</v>
          </cell>
        </row>
        <row r="5025">
          <cell r="B5025" t="str">
            <v>Shipment</v>
          </cell>
        </row>
        <row r="5026">
          <cell r="B5026" t="str">
            <v>Shipment</v>
          </cell>
        </row>
        <row r="5027">
          <cell r="B5027" t="str">
            <v>Shipment</v>
          </cell>
        </row>
        <row r="5028">
          <cell r="B5028" t="str">
            <v>Shipment</v>
          </cell>
        </row>
        <row r="5029">
          <cell r="B5029" t="str">
            <v>Shipment</v>
          </cell>
        </row>
        <row r="5030">
          <cell r="B5030" t="str">
            <v>Shipment</v>
          </cell>
        </row>
        <row r="5031">
          <cell r="B5031" t="str">
            <v>Shipment</v>
          </cell>
        </row>
        <row r="5032">
          <cell r="B5032" t="str">
            <v>Shipment</v>
          </cell>
        </row>
        <row r="5033">
          <cell r="B5033" t="str">
            <v>Shipment</v>
          </cell>
        </row>
        <row r="5034">
          <cell r="B5034" t="str">
            <v>Shipment</v>
          </cell>
        </row>
        <row r="5035">
          <cell r="B5035" t="str">
            <v>Shipment</v>
          </cell>
        </row>
        <row r="5036">
          <cell r="B5036" t="str">
            <v>Shipment</v>
          </cell>
        </row>
        <row r="5037">
          <cell r="B5037" t="str">
            <v>Shipment</v>
          </cell>
        </row>
        <row r="5038">
          <cell r="B5038" t="str">
            <v>Shipment</v>
          </cell>
        </row>
        <row r="5039">
          <cell r="B5039" t="str">
            <v>Shipment</v>
          </cell>
        </row>
        <row r="5040">
          <cell r="B5040" t="str">
            <v>Shipment</v>
          </cell>
        </row>
        <row r="5041">
          <cell r="B5041" t="str">
            <v>Shipment</v>
          </cell>
        </row>
        <row r="5042">
          <cell r="B5042" t="str">
            <v>Shipment</v>
          </cell>
        </row>
        <row r="5043">
          <cell r="B5043" t="str">
            <v>Shipment</v>
          </cell>
        </row>
        <row r="5044">
          <cell r="B5044" t="str">
            <v>Shipment</v>
          </cell>
        </row>
        <row r="5045">
          <cell r="B5045" t="str">
            <v>Shipment</v>
          </cell>
        </row>
        <row r="5046">
          <cell r="B5046" t="str">
            <v>Shipment</v>
          </cell>
        </row>
        <row r="5047">
          <cell r="B5047" t="str">
            <v>Shipment</v>
          </cell>
        </row>
        <row r="5048">
          <cell r="B5048" t="str">
            <v>Shipment</v>
          </cell>
        </row>
        <row r="5049">
          <cell r="B5049" t="str">
            <v>Shipment</v>
          </cell>
        </row>
        <row r="5050">
          <cell r="B5050" t="str">
            <v>Shipment</v>
          </cell>
        </row>
        <row r="5051">
          <cell r="B5051" t="str">
            <v>Shipment</v>
          </cell>
        </row>
        <row r="5052">
          <cell r="B5052" t="str">
            <v>Shipment</v>
          </cell>
        </row>
        <row r="5053">
          <cell r="B5053" t="str">
            <v>Shipment</v>
          </cell>
        </row>
        <row r="5054">
          <cell r="B5054" t="str">
            <v>Shipment</v>
          </cell>
        </row>
        <row r="5055">
          <cell r="B5055" t="str">
            <v>Shipment</v>
          </cell>
        </row>
        <row r="5056">
          <cell r="B5056" t="str">
            <v>Shipment</v>
          </cell>
        </row>
        <row r="5057">
          <cell r="B5057" t="str">
            <v>Shipment</v>
          </cell>
        </row>
        <row r="5058">
          <cell r="B5058" t="str">
            <v>Shipment</v>
          </cell>
        </row>
        <row r="5059">
          <cell r="B5059" t="str">
            <v>Shipment</v>
          </cell>
        </row>
        <row r="5060">
          <cell r="B5060" t="str">
            <v>Shipment</v>
          </cell>
        </row>
        <row r="5061">
          <cell r="B5061" t="str">
            <v>Shipment</v>
          </cell>
        </row>
        <row r="5062">
          <cell r="B5062" t="str">
            <v>Shipment</v>
          </cell>
        </row>
        <row r="5063">
          <cell r="B5063" t="str">
            <v>Shipment</v>
          </cell>
        </row>
        <row r="5064">
          <cell r="B5064" t="str">
            <v>Shipment</v>
          </cell>
        </row>
        <row r="5065">
          <cell r="B5065" t="str">
            <v>Shipment</v>
          </cell>
        </row>
        <row r="5066">
          <cell r="B5066" t="str">
            <v>Shipment</v>
          </cell>
        </row>
        <row r="5067">
          <cell r="B5067" t="str">
            <v>Shipment</v>
          </cell>
        </row>
        <row r="5068">
          <cell r="B5068" t="str">
            <v>Shipment</v>
          </cell>
        </row>
        <row r="5069">
          <cell r="B5069" t="str">
            <v>Shipment</v>
          </cell>
        </row>
        <row r="5070">
          <cell r="B5070" t="str">
            <v>Shipment</v>
          </cell>
        </row>
        <row r="5071">
          <cell r="B5071" t="str">
            <v>Shipment</v>
          </cell>
        </row>
        <row r="5072">
          <cell r="B5072" t="str">
            <v>Shipment</v>
          </cell>
        </row>
        <row r="5073">
          <cell r="B5073" t="str">
            <v>Shipment</v>
          </cell>
        </row>
        <row r="5074">
          <cell r="B5074" t="str">
            <v>Shipment</v>
          </cell>
        </row>
        <row r="5075">
          <cell r="B5075" t="str">
            <v>Shipment</v>
          </cell>
        </row>
        <row r="5076">
          <cell r="B5076" t="str">
            <v>Shipment</v>
          </cell>
        </row>
        <row r="5077">
          <cell r="B5077" t="str">
            <v>Shipment</v>
          </cell>
        </row>
        <row r="5078">
          <cell r="B5078" t="str">
            <v>Shipment</v>
          </cell>
        </row>
        <row r="5079">
          <cell r="B5079" t="str">
            <v>Shipment</v>
          </cell>
        </row>
        <row r="5080">
          <cell r="B5080" t="str">
            <v>Shipment</v>
          </cell>
        </row>
        <row r="5081">
          <cell r="B5081" t="str">
            <v>Shipment</v>
          </cell>
        </row>
        <row r="5082">
          <cell r="B5082" t="str">
            <v>Shipment</v>
          </cell>
        </row>
        <row r="5083">
          <cell r="B5083" t="str">
            <v>Shipment</v>
          </cell>
        </row>
        <row r="5084">
          <cell r="B5084" t="str">
            <v>Shipment</v>
          </cell>
        </row>
        <row r="5085">
          <cell r="B5085" t="str">
            <v>Shipment</v>
          </cell>
        </row>
        <row r="5086">
          <cell r="B5086" t="str">
            <v>Shipment</v>
          </cell>
        </row>
        <row r="5087">
          <cell r="B5087" t="str">
            <v>Shipment</v>
          </cell>
        </row>
        <row r="5088">
          <cell r="B5088" t="str">
            <v>Shipment</v>
          </cell>
        </row>
        <row r="5089">
          <cell r="B5089" t="str">
            <v>Shipment</v>
          </cell>
        </row>
        <row r="5090">
          <cell r="B5090" t="str">
            <v>Shipment</v>
          </cell>
        </row>
        <row r="5091">
          <cell r="B5091" t="str">
            <v>Shipment</v>
          </cell>
        </row>
        <row r="5092">
          <cell r="B5092" t="str">
            <v>Shipment</v>
          </cell>
        </row>
        <row r="5093">
          <cell r="B5093" t="str">
            <v>Shipment</v>
          </cell>
        </row>
        <row r="5094">
          <cell r="B5094" t="str">
            <v>Shipment</v>
          </cell>
        </row>
        <row r="5095">
          <cell r="B5095" t="str">
            <v>Shipment</v>
          </cell>
        </row>
        <row r="5096">
          <cell r="B5096" t="str">
            <v>Shipment</v>
          </cell>
        </row>
        <row r="5097">
          <cell r="B5097" t="str">
            <v>Shipment</v>
          </cell>
        </row>
        <row r="5098">
          <cell r="B5098" t="str">
            <v>Shipment</v>
          </cell>
        </row>
        <row r="5099">
          <cell r="B5099" t="str">
            <v>Shipment</v>
          </cell>
        </row>
        <row r="5100">
          <cell r="B5100" t="str">
            <v>Shipment</v>
          </cell>
        </row>
        <row r="5101">
          <cell r="B5101" t="str">
            <v>Shipment</v>
          </cell>
        </row>
        <row r="5102">
          <cell r="B5102" t="str">
            <v>Shipment</v>
          </cell>
        </row>
        <row r="5103">
          <cell r="B5103" t="str">
            <v>Shipment</v>
          </cell>
        </row>
        <row r="5104">
          <cell r="B5104" t="str">
            <v>Shipment</v>
          </cell>
        </row>
        <row r="5105">
          <cell r="B5105" t="str">
            <v>Shipment</v>
          </cell>
        </row>
        <row r="5106">
          <cell r="B5106" t="str">
            <v>Shipment</v>
          </cell>
        </row>
        <row r="5107">
          <cell r="B5107" t="str">
            <v>Shipment</v>
          </cell>
        </row>
        <row r="5108">
          <cell r="B5108" t="str">
            <v>Shipment</v>
          </cell>
        </row>
        <row r="5109">
          <cell r="B5109" t="str">
            <v>Shipment</v>
          </cell>
        </row>
        <row r="5110">
          <cell r="B5110" t="str">
            <v>Shipment</v>
          </cell>
        </row>
        <row r="5111">
          <cell r="B5111" t="str">
            <v>Shipment</v>
          </cell>
        </row>
        <row r="5112">
          <cell r="B5112" t="str">
            <v>Shipment</v>
          </cell>
        </row>
        <row r="5113">
          <cell r="B5113" t="str">
            <v>Shipment</v>
          </cell>
        </row>
        <row r="5114">
          <cell r="B5114" t="str">
            <v>Shipment</v>
          </cell>
        </row>
        <row r="5115">
          <cell r="B5115" t="str">
            <v>Shipment</v>
          </cell>
        </row>
        <row r="5116">
          <cell r="B5116" t="str">
            <v>Shipment</v>
          </cell>
        </row>
        <row r="5117">
          <cell r="B5117" t="str">
            <v>Shipment</v>
          </cell>
        </row>
        <row r="5118">
          <cell r="B5118" t="str">
            <v>Shipment</v>
          </cell>
        </row>
        <row r="5119">
          <cell r="B5119" t="str">
            <v>Shipment</v>
          </cell>
        </row>
        <row r="5120">
          <cell r="B5120" t="str">
            <v>Shipment</v>
          </cell>
        </row>
        <row r="5121">
          <cell r="B5121" t="str">
            <v>Shipment</v>
          </cell>
        </row>
        <row r="5122">
          <cell r="B5122" t="str">
            <v>Shipment</v>
          </cell>
        </row>
        <row r="5123">
          <cell r="B5123" t="str">
            <v>Shipment</v>
          </cell>
        </row>
        <row r="5124">
          <cell r="B5124" t="str">
            <v>Shipment</v>
          </cell>
        </row>
        <row r="5125">
          <cell r="B5125" t="str">
            <v>Shipment</v>
          </cell>
        </row>
        <row r="5126">
          <cell r="B5126" t="str">
            <v>Shipment</v>
          </cell>
        </row>
        <row r="5127">
          <cell r="B5127" t="str">
            <v>Shipment</v>
          </cell>
        </row>
        <row r="5128">
          <cell r="B5128" t="str">
            <v>Shipment</v>
          </cell>
        </row>
        <row r="5129">
          <cell r="B5129" t="str">
            <v>Shipment</v>
          </cell>
        </row>
        <row r="5130">
          <cell r="B5130" t="str">
            <v>Shipment</v>
          </cell>
        </row>
        <row r="5131">
          <cell r="B5131" t="str">
            <v>Shipment</v>
          </cell>
        </row>
        <row r="5132">
          <cell r="B5132" t="str">
            <v>Shipment</v>
          </cell>
        </row>
        <row r="5133">
          <cell r="B5133" t="str">
            <v>Shipment</v>
          </cell>
        </row>
        <row r="5134">
          <cell r="B5134" t="str">
            <v>Shipment</v>
          </cell>
        </row>
        <row r="5135">
          <cell r="B5135" t="str">
            <v>Shipment</v>
          </cell>
        </row>
        <row r="5136">
          <cell r="B5136" t="str">
            <v>Shipment</v>
          </cell>
        </row>
        <row r="5137">
          <cell r="B5137" t="str">
            <v>Shipment</v>
          </cell>
        </row>
        <row r="5138">
          <cell r="B5138" t="str">
            <v>Shipment</v>
          </cell>
        </row>
        <row r="5139">
          <cell r="B5139" t="str">
            <v>Shipment</v>
          </cell>
        </row>
        <row r="5140">
          <cell r="B5140" t="str">
            <v>Shipment</v>
          </cell>
        </row>
        <row r="5141">
          <cell r="B5141" t="str">
            <v>Shipment</v>
          </cell>
        </row>
        <row r="5142">
          <cell r="B5142" t="str">
            <v>Shipment</v>
          </cell>
        </row>
        <row r="5143">
          <cell r="B5143" t="str">
            <v>Shipment</v>
          </cell>
        </row>
        <row r="5144">
          <cell r="B5144" t="str">
            <v>Shipment</v>
          </cell>
        </row>
        <row r="5145">
          <cell r="B5145" t="str">
            <v>Shipment</v>
          </cell>
        </row>
        <row r="5146">
          <cell r="B5146" t="str">
            <v>Shipment</v>
          </cell>
        </row>
        <row r="5147">
          <cell r="B5147" t="str">
            <v>Shipment</v>
          </cell>
        </row>
        <row r="5148">
          <cell r="B5148" t="str">
            <v>Shipment</v>
          </cell>
        </row>
        <row r="5149">
          <cell r="B5149" t="str">
            <v>Shipment</v>
          </cell>
        </row>
        <row r="5150">
          <cell r="B5150" t="str">
            <v>Shipment</v>
          </cell>
        </row>
        <row r="5151">
          <cell r="B5151" t="str">
            <v>Shipment</v>
          </cell>
        </row>
        <row r="5152">
          <cell r="B5152" t="str">
            <v>Shipment</v>
          </cell>
        </row>
        <row r="5153">
          <cell r="B5153" t="str">
            <v>Shipment</v>
          </cell>
        </row>
        <row r="5154">
          <cell r="B5154" t="str">
            <v>Shipment</v>
          </cell>
        </row>
        <row r="5155">
          <cell r="B5155" t="str">
            <v>Shipment</v>
          </cell>
        </row>
        <row r="5156">
          <cell r="B5156" t="str">
            <v>Shipment</v>
          </cell>
        </row>
        <row r="5157">
          <cell r="B5157" t="str">
            <v>Shipment</v>
          </cell>
        </row>
        <row r="5158">
          <cell r="B5158" t="str">
            <v>Shipment</v>
          </cell>
        </row>
        <row r="5159">
          <cell r="B5159" t="str">
            <v>Shipment</v>
          </cell>
        </row>
        <row r="5160">
          <cell r="B5160" t="str">
            <v>Shipment</v>
          </cell>
        </row>
        <row r="5161">
          <cell r="B5161" t="str">
            <v>Shipment</v>
          </cell>
        </row>
        <row r="5162">
          <cell r="B5162" t="str">
            <v>Shipment</v>
          </cell>
        </row>
        <row r="5163">
          <cell r="B5163" t="str">
            <v>Shipment</v>
          </cell>
        </row>
        <row r="5164">
          <cell r="B5164" t="str">
            <v>Shipment</v>
          </cell>
        </row>
        <row r="5165">
          <cell r="B5165" t="str">
            <v>Shipment</v>
          </cell>
        </row>
        <row r="5166">
          <cell r="B5166" t="str">
            <v>Shipment</v>
          </cell>
        </row>
        <row r="5167">
          <cell r="B5167" t="str">
            <v>Shipment</v>
          </cell>
        </row>
        <row r="5168">
          <cell r="B5168" t="str">
            <v>Shipment</v>
          </cell>
        </row>
        <row r="5169">
          <cell r="B5169" t="str">
            <v>Shipment</v>
          </cell>
        </row>
        <row r="5170">
          <cell r="B5170" t="str">
            <v>Shipment</v>
          </cell>
        </row>
        <row r="5171">
          <cell r="B5171" t="str">
            <v>Shipment</v>
          </cell>
        </row>
        <row r="5172">
          <cell r="B5172" t="str">
            <v>Shipment</v>
          </cell>
        </row>
        <row r="5173">
          <cell r="B5173" t="str">
            <v>Shipment</v>
          </cell>
        </row>
        <row r="5174">
          <cell r="B5174" t="str">
            <v>Shipment</v>
          </cell>
        </row>
        <row r="5175">
          <cell r="B5175" t="str">
            <v>Shipment</v>
          </cell>
        </row>
        <row r="5176">
          <cell r="B5176" t="str">
            <v>Shipment</v>
          </cell>
        </row>
        <row r="5177">
          <cell r="B5177" t="str">
            <v>Shipment</v>
          </cell>
        </row>
        <row r="5178">
          <cell r="B5178" t="str">
            <v>Shipment</v>
          </cell>
        </row>
        <row r="5179">
          <cell r="B5179" t="str">
            <v>Shipment</v>
          </cell>
        </row>
        <row r="5180">
          <cell r="B5180" t="str">
            <v>Shipment</v>
          </cell>
        </row>
        <row r="5181">
          <cell r="B5181" t="str">
            <v>Shipment</v>
          </cell>
        </row>
        <row r="5182">
          <cell r="B5182" t="str">
            <v>Shipment</v>
          </cell>
        </row>
        <row r="5183">
          <cell r="B5183" t="str">
            <v>Shipment</v>
          </cell>
        </row>
        <row r="5184">
          <cell r="B5184" t="str">
            <v>Shipment</v>
          </cell>
        </row>
        <row r="5185">
          <cell r="B5185" t="str">
            <v>Shipment</v>
          </cell>
        </row>
        <row r="5186">
          <cell r="B5186" t="str">
            <v>Shipment</v>
          </cell>
        </row>
        <row r="5187">
          <cell r="B5187" t="str">
            <v>Shipment</v>
          </cell>
        </row>
        <row r="5188">
          <cell r="B5188" t="str">
            <v>Shipment</v>
          </cell>
        </row>
        <row r="5189">
          <cell r="B5189" t="str">
            <v>Shipment</v>
          </cell>
        </row>
        <row r="5190">
          <cell r="B5190" t="str">
            <v>Shipment</v>
          </cell>
        </row>
        <row r="5191">
          <cell r="B5191" t="str">
            <v>Shipment</v>
          </cell>
        </row>
        <row r="5192">
          <cell r="B5192" t="str">
            <v>Shipment</v>
          </cell>
        </row>
        <row r="5193">
          <cell r="B5193" t="str">
            <v>Shipment</v>
          </cell>
        </row>
        <row r="5194">
          <cell r="B5194" t="str">
            <v>Shipment</v>
          </cell>
        </row>
        <row r="5195">
          <cell r="B5195" t="str">
            <v>Shipment</v>
          </cell>
        </row>
        <row r="5196">
          <cell r="B5196" t="str">
            <v>Shipment</v>
          </cell>
        </row>
        <row r="5197">
          <cell r="B5197" t="str">
            <v>Shipment</v>
          </cell>
        </row>
        <row r="5198">
          <cell r="B5198" t="str">
            <v>Shipment</v>
          </cell>
        </row>
        <row r="5199">
          <cell r="B5199" t="str">
            <v>Shipment</v>
          </cell>
        </row>
        <row r="5200">
          <cell r="B5200" t="str">
            <v>Shipment</v>
          </cell>
        </row>
        <row r="5201">
          <cell r="B5201" t="str">
            <v>Shipment</v>
          </cell>
        </row>
        <row r="5202">
          <cell r="B5202" t="str">
            <v>Shipment</v>
          </cell>
        </row>
        <row r="5203">
          <cell r="B5203" t="str">
            <v>Shipment</v>
          </cell>
        </row>
        <row r="5204">
          <cell r="B5204" t="str">
            <v>Shipment</v>
          </cell>
        </row>
        <row r="5205">
          <cell r="B5205" t="str">
            <v>Shipment</v>
          </cell>
        </row>
        <row r="5206">
          <cell r="B5206" t="str">
            <v>Shipment</v>
          </cell>
        </row>
        <row r="5207">
          <cell r="B5207" t="str">
            <v>Shipment</v>
          </cell>
        </row>
        <row r="5208">
          <cell r="B5208" t="str">
            <v>Shipment</v>
          </cell>
        </row>
        <row r="5209">
          <cell r="B5209" t="str">
            <v>Shipment</v>
          </cell>
        </row>
        <row r="5210">
          <cell r="B5210" t="str">
            <v>Shipment</v>
          </cell>
        </row>
        <row r="5211">
          <cell r="B5211" t="str">
            <v>Shipment</v>
          </cell>
        </row>
        <row r="5212">
          <cell r="B5212" t="str">
            <v>Shipment</v>
          </cell>
        </row>
        <row r="5213">
          <cell r="B5213" t="str">
            <v>Shipment</v>
          </cell>
        </row>
        <row r="5214">
          <cell r="B5214" t="str">
            <v>Shipment</v>
          </cell>
        </row>
        <row r="5215">
          <cell r="B5215" t="str">
            <v>Shipment</v>
          </cell>
        </row>
        <row r="5216">
          <cell r="B5216" t="str">
            <v>Shipment</v>
          </cell>
        </row>
        <row r="5217">
          <cell r="B5217" t="str">
            <v>Shipment</v>
          </cell>
        </row>
        <row r="5218">
          <cell r="B5218" t="str">
            <v>Shipment</v>
          </cell>
        </row>
        <row r="5219">
          <cell r="B5219" t="str">
            <v>Shipment</v>
          </cell>
        </row>
        <row r="5220">
          <cell r="B5220" t="str">
            <v>Shipment</v>
          </cell>
        </row>
        <row r="5221">
          <cell r="B5221" t="str">
            <v>Shipment</v>
          </cell>
        </row>
        <row r="5222">
          <cell r="B5222" t="str">
            <v>Shipment</v>
          </cell>
        </row>
        <row r="5223">
          <cell r="B5223" t="str">
            <v>Shipment</v>
          </cell>
        </row>
        <row r="5224">
          <cell r="B5224" t="str">
            <v>Shipment</v>
          </cell>
        </row>
        <row r="5225">
          <cell r="B5225" t="str">
            <v>Shipment</v>
          </cell>
        </row>
        <row r="5226">
          <cell r="B5226" t="str">
            <v>Shipment</v>
          </cell>
        </row>
        <row r="5227">
          <cell r="B5227" t="str">
            <v>Shipment</v>
          </cell>
        </row>
        <row r="5228">
          <cell r="B5228" t="str">
            <v>Shipment</v>
          </cell>
        </row>
        <row r="5229">
          <cell r="B5229" t="str">
            <v>Shipment</v>
          </cell>
        </row>
        <row r="5230">
          <cell r="B5230" t="str">
            <v>Shipment</v>
          </cell>
        </row>
        <row r="5231">
          <cell r="B5231" t="str">
            <v>Shipment</v>
          </cell>
        </row>
        <row r="5232">
          <cell r="B5232" t="str">
            <v>Shipment</v>
          </cell>
        </row>
        <row r="5233">
          <cell r="B5233" t="str">
            <v>Shipment</v>
          </cell>
        </row>
        <row r="5234">
          <cell r="B5234" t="str">
            <v>Shipment</v>
          </cell>
        </row>
        <row r="5235">
          <cell r="B5235" t="str">
            <v>Shipment</v>
          </cell>
        </row>
        <row r="5236">
          <cell r="B5236" t="str">
            <v>Shipment</v>
          </cell>
        </row>
        <row r="5237">
          <cell r="B5237" t="str">
            <v>Shipment</v>
          </cell>
        </row>
        <row r="5238">
          <cell r="B5238" t="str">
            <v>Shipment</v>
          </cell>
        </row>
        <row r="5239">
          <cell r="B5239" t="str">
            <v>Shipment</v>
          </cell>
        </row>
        <row r="5240">
          <cell r="B5240" t="str">
            <v>Shipment</v>
          </cell>
        </row>
        <row r="5241">
          <cell r="B5241" t="str">
            <v>Shipment</v>
          </cell>
        </row>
        <row r="5242">
          <cell r="B5242" t="str">
            <v>Shipment</v>
          </cell>
        </row>
        <row r="5243">
          <cell r="B5243" t="str">
            <v>Shipment</v>
          </cell>
        </row>
        <row r="5244">
          <cell r="B5244" t="str">
            <v>Shipment</v>
          </cell>
        </row>
        <row r="5245">
          <cell r="B5245" t="str">
            <v>Shipment</v>
          </cell>
        </row>
        <row r="5246">
          <cell r="B5246" t="str">
            <v>Shipment</v>
          </cell>
        </row>
        <row r="5247">
          <cell r="B5247" t="str">
            <v>Shipment</v>
          </cell>
        </row>
        <row r="5248">
          <cell r="B5248" t="str">
            <v>Shipment</v>
          </cell>
        </row>
        <row r="5249">
          <cell r="B5249" t="str">
            <v>Shipment</v>
          </cell>
        </row>
        <row r="5250">
          <cell r="B5250" t="str">
            <v>Shipment</v>
          </cell>
        </row>
        <row r="5251">
          <cell r="B5251" t="str">
            <v>Shipment</v>
          </cell>
        </row>
        <row r="5252">
          <cell r="B5252" t="str">
            <v>Shipment</v>
          </cell>
        </row>
        <row r="5253">
          <cell r="B5253" t="str">
            <v>Shipment</v>
          </cell>
        </row>
        <row r="5254">
          <cell r="B5254" t="str">
            <v>Shipment</v>
          </cell>
        </row>
        <row r="5255">
          <cell r="B5255" t="str">
            <v>Shipment</v>
          </cell>
        </row>
        <row r="5256">
          <cell r="B5256" t="str">
            <v>Shipment</v>
          </cell>
        </row>
        <row r="5257">
          <cell r="B5257" t="str">
            <v>Shipment</v>
          </cell>
        </row>
        <row r="5258">
          <cell r="B5258" t="str">
            <v>Shipment</v>
          </cell>
        </row>
        <row r="5259">
          <cell r="B5259" t="str">
            <v>Shipment</v>
          </cell>
        </row>
        <row r="5260">
          <cell r="B5260" t="str">
            <v>Shipment</v>
          </cell>
        </row>
        <row r="5261">
          <cell r="B5261" t="str">
            <v>Shipment</v>
          </cell>
        </row>
        <row r="5262">
          <cell r="B5262" t="str">
            <v>Shipment</v>
          </cell>
        </row>
        <row r="5263">
          <cell r="B5263" t="str">
            <v>Shipment</v>
          </cell>
        </row>
        <row r="5264">
          <cell r="B5264" t="str">
            <v>Shipment</v>
          </cell>
        </row>
        <row r="5265">
          <cell r="B5265" t="str">
            <v>Shipment</v>
          </cell>
        </row>
        <row r="5266">
          <cell r="B5266" t="str">
            <v>Shipment</v>
          </cell>
        </row>
        <row r="5267">
          <cell r="B5267" t="str">
            <v>Shipment</v>
          </cell>
        </row>
        <row r="5268">
          <cell r="B5268" t="str">
            <v>Shipment</v>
          </cell>
        </row>
        <row r="5269">
          <cell r="B5269" t="str">
            <v>Shipment</v>
          </cell>
        </row>
        <row r="5270">
          <cell r="B5270" t="str">
            <v>Shipment</v>
          </cell>
        </row>
        <row r="5271">
          <cell r="B5271" t="str">
            <v>Shipment</v>
          </cell>
        </row>
        <row r="5272">
          <cell r="B5272" t="str">
            <v>Shipment</v>
          </cell>
        </row>
        <row r="5273">
          <cell r="B5273" t="str">
            <v>Shipment</v>
          </cell>
        </row>
        <row r="5274">
          <cell r="B5274" t="str">
            <v>Shipment</v>
          </cell>
        </row>
        <row r="5275">
          <cell r="B5275" t="str">
            <v>Shipment</v>
          </cell>
        </row>
        <row r="5276">
          <cell r="B5276" t="str">
            <v>Shipment</v>
          </cell>
        </row>
        <row r="5277">
          <cell r="B5277" t="str">
            <v>Shipment</v>
          </cell>
        </row>
        <row r="5278">
          <cell r="B5278" t="str">
            <v>Shipment</v>
          </cell>
        </row>
        <row r="5279">
          <cell r="B5279" t="str">
            <v>Shipment</v>
          </cell>
        </row>
        <row r="5280">
          <cell r="B5280" t="str">
            <v>Shipment</v>
          </cell>
        </row>
        <row r="5281">
          <cell r="B5281" t="str">
            <v>Shipment</v>
          </cell>
        </row>
        <row r="5282">
          <cell r="B5282" t="str">
            <v>Shipment</v>
          </cell>
        </row>
        <row r="5283">
          <cell r="B5283" t="str">
            <v>Shipment</v>
          </cell>
        </row>
        <row r="5284">
          <cell r="B5284" t="str">
            <v>Shipment</v>
          </cell>
        </row>
        <row r="5285">
          <cell r="B5285" t="str">
            <v>Shipment</v>
          </cell>
        </row>
        <row r="5286">
          <cell r="B5286" t="str">
            <v>Shipment</v>
          </cell>
        </row>
        <row r="5287">
          <cell r="B5287" t="str">
            <v>Shipment</v>
          </cell>
        </row>
        <row r="5288">
          <cell r="B5288" t="str">
            <v>Shipment</v>
          </cell>
        </row>
        <row r="5289">
          <cell r="B5289" t="str">
            <v>Shipment</v>
          </cell>
        </row>
        <row r="5290">
          <cell r="B5290" t="str">
            <v>Shipment</v>
          </cell>
        </row>
        <row r="5291">
          <cell r="B5291" t="str">
            <v>Shipment</v>
          </cell>
        </row>
        <row r="5292">
          <cell r="B5292" t="str">
            <v>Shipment</v>
          </cell>
        </row>
        <row r="5293">
          <cell r="B5293" t="str">
            <v>Shipment</v>
          </cell>
        </row>
        <row r="5294">
          <cell r="B5294" t="str">
            <v>Shipment</v>
          </cell>
        </row>
        <row r="5295">
          <cell r="B5295" t="str">
            <v>Shipment</v>
          </cell>
        </row>
        <row r="5296">
          <cell r="B5296" t="str">
            <v>Shipment</v>
          </cell>
        </row>
        <row r="5297">
          <cell r="B5297" t="str">
            <v>Shipment</v>
          </cell>
        </row>
        <row r="5298">
          <cell r="B5298" t="str">
            <v>Shipment</v>
          </cell>
        </row>
        <row r="5299">
          <cell r="B5299" t="str">
            <v>Shipment</v>
          </cell>
        </row>
        <row r="5300">
          <cell r="B5300" t="str">
            <v>Shipment</v>
          </cell>
        </row>
        <row r="5301">
          <cell r="B5301" t="str">
            <v>Shipment</v>
          </cell>
        </row>
        <row r="5302">
          <cell r="B5302" t="str">
            <v>Shipment</v>
          </cell>
        </row>
        <row r="5303">
          <cell r="B5303" t="str">
            <v>Shipment</v>
          </cell>
        </row>
        <row r="5304">
          <cell r="B5304" t="str">
            <v>Shipment</v>
          </cell>
        </row>
        <row r="5305">
          <cell r="B5305" t="str">
            <v>Shipment</v>
          </cell>
        </row>
        <row r="5306">
          <cell r="B5306" t="str">
            <v>Shipment</v>
          </cell>
        </row>
        <row r="5307">
          <cell r="B5307" t="str">
            <v>Shipment</v>
          </cell>
        </row>
        <row r="5308">
          <cell r="B5308" t="str">
            <v>Shipment</v>
          </cell>
        </row>
        <row r="5309">
          <cell r="B5309" t="str">
            <v>Shipment</v>
          </cell>
        </row>
        <row r="5310">
          <cell r="B5310" t="str">
            <v>Shipment</v>
          </cell>
        </row>
        <row r="5311">
          <cell r="B5311" t="str">
            <v>Shipment</v>
          </cell>
        </row>
        <row r="5312">
          <cell r="B5312" t="str">
            <v>Shipment</v>
          </cell>
        </row>
        <row r="5313">
          <cell r="B5313" t="str">
            <v>Shipment</v>
          </cell>
        </row>
        <row r="5314">
          <cell r="B5314" t="str">
            <v>Shipment</v>
          </cell>
        </row>
        <row r="5315">
          <cell r="B5315" t="str">
            <v>Shipment</v>
          </cell>
        </row>
        <row r="5316">
          <cell r="B5316" t="str">
            <v>Shipment</v>
          </cell>
        </row>
        <row r="5317">
          <cell r="B5317" t="str">
            <v>Shipment</v>
          </cell>
        </row>
        <row r="5318">
          <cell r="B5318" t="str">
            <v>Shipment</v>
          </cell>
        </row>
        <row r="5319">
          <cell r="B5319" t="str">
            <v>Shipment</v>
          </cell>
        </row>
        <row r="5320">
          <cell r="B5320" t="str">
            <v>Shipment</v>
          </cell>
        </row>
        <row r="5321">
          <cell r="B5321" t="str">
            <v>Shipment</v>
          </cell>
        </row>
        <row r="5322">
          <cell r="B5322" t="str">
            <v>Shipment</v>
          </cell>
        </row>
        <row r="5323">
          <cell r="B5323" t="str">
            <v>Shipment</v>
          </cell>
        </row>
        <row r="5324">
          <cell r="B5324" t="str">
            <v>Shipment</v>
          </cell>
        </row>
        <row r="5325">
          <cell r="B5325" t="str">
            <v>Shipment</v>
          </cell>
        </row>
        <row r="5326">
          <cell r="B5326" t="str">
            <v>Shipment</v>
          </cell>
        </row>
        <row r="5327">
          <cell r="B5327" t="str">
            <v>Shipment</v>
          </cell>
        </row>
        <row r="5328">
          <cell r="B5328" t="str">
            <v>Shipment</v>
          </cell>
        </row>
        <row r="5329">
          <cell r="B5329" t="str">
            <v>Shipment</v>
          </cell>
        </row>
        <row r="5330">
          <cell r="B5330" t="str">
            <v>Shipment</v>
          </cell>
        </row>
        <row r="5331">
          <cell r="B5331" t="str">
            <v>Shipment</v>
          </cell>
        </row>
        <row r="5332">
          <cell r="B5332" t="str">
            <v>Shipment</v>
          </cell>
        </row>
        <row r="5333">
          <cell r="B5333" t="str">
            <v>Shipment</v>
          </cell>
        </row>
        <row r="5334">
          <cell r="B5334" t="str">
            <v>Shipment</v>
          </cell>
        </row>
        <row r="5335">
          <cell r="B5335" t="str">
            <v>Shipment</v>
          </cell>
        </row>
        <row r="5336">
          <cell r="B5336" t="str">
            <v>Shipment</v>
          </cell>
        </row>
        <row r="5337">
          <cell r="B5337" t="str">
            <v>Shipment</v>
          </cell>
        </row>
        <row r="5338">
          <cell r="B5338" t="str">
            <v>Shipment</v>
          </cell>
        </row>
        <row r="5339">
          <cell r="B5339" t="str">
            <v>Shipment</v>
          </cell>
        </row>
        <row r="5340">
          <cell r="B5340" t="str">
            <v>Shipment</v>
          </cell>
        </row>
        <row r="5341">
          <cell r="B5341" t="str">
            <v>Shipment</v>
          </cell>
        </row>
        <row r="5342">
          <cell r="B5342" t="str">
            <v>Shipment</v>
          </cell>
        </row>
        <row r="5343">
          <cell r="B5343" t="str">
            <v>Shipment</v>
          </cell>
        </row>
        <row r="5344">
          <cell r="B5344" t="str">
            <v>Shipment</v>
          </cell>
        </row>
        <row r="5345">
          <cell r="B5345" t="str">
            <v>Shipment</v>
          </cell>
        </row>
        <row r="5346">
          <cell r="B5346" t="str">
            <v>Shipment</v>
          </cell>
        </row>
        <row r="5347">
          <cell r="B5347" t="str">
            <v>Shipment</v>
          </cell>
        </row>
        <row r="5348">
          <cell r="B5348" t="str">
            <v>Shipment</v>
          </cell>
        </row>
        <row r="5349">
          <cell r="B5349" t="str">
            <v>Shipment</v>
          </cell>
        </row>
        <row r="5350">
          <cell r="B5350" t="str">
            <v>Shipment</v>
          </cell>
        </row>
        <row r="5351">
          <cell r="B5351" t="str">
            <v>Shipment</v>
          </cell>
        </row>
        <row r="5352">
          <cell r="B5352" t="str">
            <v>Shipment</v>
          </cell>
        </row>
        <row r="5353">
          <cell r="B5353" t="str">
            <v>Shipment</v>
          </cell>
        </row>
        <row r="5354">
          <cell r="B5354" t="str">
            <v>Shipment</v>
          </cell>
        </row>
        <row r="5355">
          <cell r="B5355" t="str">
            <v>Shipment</v>
          </cell>
        </row>
        <row r="5356">
          <cell r="B5356" t="str">
            <v>Shipment</v>
          </cell>
        </row>
        <row r="5357">
          <cell r="B5357" t="str">
            <v>Shipment</v>
          </cell>
        </row>
        <row r="5358">
          <cell r="B5358" t="str">
            <v>Shipment</v>
          </cell>
        </row>
        <row r="5359">
          <cell r="B5359" t="str">
            <v>Shipment</v>
          </cell>
        </row>
        <row r="5360">
          <cell r="B5360" t="str">
            <v>Shipment</v>
          </cell>
        </row>
        <row r="5361">
          <cell r="B5361" t="str">
            <v>Shipment</v>
          </cell>
        </row>
        <row r="5362">
          <cell r="B5362" t="str">
            <v>Shipment</v>
          </cell>
        </row>
        <row r="5363">
          <cell r="B5363" t="str">
            <v>Shipment</v>
          </cell>
        </row>
        <row r="5364">
          <cell r="B5364" t="str">
            <v>Shipment</v>
          </cell>
        </row>
        <row r="5365">
          <cell r="B5365" t="str">
            <v>Shipment</v>
          </cell>
        </row>
        <row r="5366">
          <cell r="B5366" t="str">
            <v>Shipment</v>
          </cell>
        </row>
        <row r="5367">
          <cell r="B5367" t="str">
            <v>Shipment</v>
          </cell>
        </row>
        <row r="5368">
          <cell r="B5368" t="str">
            <v>Shipment</v>
          </cell>
        </row>
        <row r="5369">
          <cell r="B5369" t="str">
            <v>Shipment</v>
          </cell>
        </row>
        <row r="5370">
          <cell r="B5370" t="str">
            <v>Shipment</v>
          </cell>
        </row>
        <row r="5371">
          <cell r="B5371" t="str">
            <v>Shipment</v>
          </cell>
        </row>
        <row r="5372">
          <cell r="B5372" t="str">
            <v>Shipment</v>
          </cell>
        </row>
        <row r="5373">
          <cell r="B5373" t="str">
            <v>Shipment</v>
          </cell>
        </row>
        <row r="5374">
          <cell r="B5374" t="str">
            <v>Shipment</v>
          </cell>
        </row>
        <row r="5375">
          <cell r="B5375" t="str">
            <v>Shipment</v>
          </cell>
        </row>
        <row r="5376">
          <cell r="B5376" t="str">
            <v>Shipment</v>
          </cell>
        </row>
        <row r="5377">
          <cell r="B5377" t="str">
            <v>Shipment</v>
          </cell>
        </row>
        <row r="5378">
          <cell r="B5378" t="str">
            <v>Shipment</v>
          </cell>
        </row>
        <row r="5379">
          <cell r="B5379" t="str">
            <v>Shipment</v>
          </cell>
        </row>
        <row r="5380">
          <cell r="B5380" t="str">
            <v>Shipment</v>
          </cell>
        </row>
        <row r="5381">
          <cell r="B5381" t="str">
            <v>Shipment</v>
          </cell>
        </row>
        <row r="5382">
          <cell r="B5382" t="str">
            <v>Shipment</v>
          </cell>
        </row>
        <row r="5383">
          <cell r="B5383" t="str">
            <v>Shipment</v>
          </cell>
        </row>
        <row r="5384">
          <cell r="B5384" t="str">
            <v>Shipment</v>
          </cell>
        </row>
        <row r="5385">
          <cell r="B5385" t="str">
            <v>Shipment</v>
          </cell>
        </row>
        <row r="5386">
          <cell r="B5386" t="str">
            <v>Shipment</v>
          </cell>
        </row>
        <row r="5387">
          <cell r="B5387" t="str">
            <v>Shipment</v>
          </cell>
        </row>
        <row r="5388">
          <cell r="B5388" t="str">
            <v>Shipment</v>
          </cell>
        </row>
        <row r="5389">
          <cell r="B5389" t="str">
            <v>Shipment</v>
          </cell>
        </row>
        <row r="5390">
          <cell r="B5390" t="str">
            <v>Shipment</v>
          </cell>
        </row>
        <row r="5391">
          <cell r="B5391" t="str">
            <v>Shipment</v>
          </cell>
        </row>
        <row r="5392">
          <cell r="B5392" t="str">
            <v>Shipment</v>
          </cell>
        </row>
        <row r="5393">
          <cell r="B5393" t="str">
            <v>Shipment</v>
          </cell>
        </row>
        <row r="5394">
          <cell r="B5394" t="str">
            <v>Shipment</v>
          </cell>
        </row>
        <row r="5395">
          <cell r="B5395" t="str">
            <v>Shipment</v>
          </cell>
        </row>
        <row r="5396">
          <cell r="B5396" t="str">
            <v>Shipment</v>
          </cell>
        </row>
        <row r="5397">
          <cell r="B5397" t="str">
            <v>Shipment</v>
          </cell>
        </row>
        <row r="5398">
          <cell r="B5398" t="str">
            <v>Shipment</v>
          </cell>
        </row>
        <row r="5399">
          <cell r="B5399" t="str">
            <v>Shipment</v>
          </cell>
        </row>
        <row r="5400">
          <cell r="B5400" t="str">
            <v>Shipment</v>
          </cell>
        </row>
        <row r="5401">
          <cell r="B5401" t="str">
            <v>Shipment</v>
          </cell>
        </row>
        <row r="5402">
          <cell r="B5402" t="str">
            <v>Shipment</v>
          </cell>
        </row>
        <row r="5403">
          <cell r="B5403" t="str">
            <v>Shipment</v>
          </cell>
        </row>
        <row r="5404">
          <cell r="B5404" t="str">
            <v>Shipment</v>
          </cell>
        </row>
        <row r="5405">
          <cell r="B5405" t="str">
            <v>Shipment</v>
          </cell>
        </row>
        <row r="5406">
          <cell r="B5406" t="str">
            <v>Shipment</v>
          </cell>
        </row>
        <row r="5407">
          <cell r="B5407" t="str">
            <v>Shipment</v>
          </cell>
        </row>
        <row r="5408">
          <cell r="B5408" t="str">
            <v>Shipment</v>
          </cell>
        </row>
        <row r="5409">
          <cell r="B5409" t="str">
            <v>Shipment</v>
          </cell>
        </row>
        <row r="5410">
          <cell r="B5410" t="str">
            <v>Shipment</v>
          </cell>
        </row>
        <row r="5411">
          <cell r="B5411" t="str">
            <v>Shipment</v>
          </cell>
        </row>
        <row r="5412">
          <cell r="B5412" t="str">
            <v>Shipment</v>
          </cell>
        </row>
        <row r="5413">
          <cell r="B5413" t="str">
            <v>Shipment</v>
          </cell>
        </row>
        <row r="5414">
          <cell r="B5414" t="str">
            <v>Shipment</v>
          </cell>
        </row>
        <row r="5415">
          <cell r="B5415" t="str">
            <v>Shipment</v>
          </cell>
        </row>
        <row r="5416">
          <cell r="B5416" t="str">
            <v>Shipment</v>
          </cell>
        </row>
        <row r="5417">
          <cell r="B5417" t="str">
            <v>Shipment</v>
          </cell>
        </row>
        <row r="5418">
          <cell r="B5418" t="str">
            <v>Shipment</v>
          </cell>
        </row>
        <row r="5419">
          <cell r="B5419" t="str">
            <v>Shipment</v>
          </cell>
        </row>
        <row r="5420">
          <cell r="B5420" t="str">
            <v>Shipment</v>
          </cell>
        </row>
        <row r="5421">
          <cell r="B5421" t="str">
            <v>Shipment</v>
          </cell>
        </row>
        <row r="5422">
          <cell r="B5422" t="str">
            <v>Shipment</v>
          </cell>
        </row>
        <row r="5423">
          <cell r="B5423" t="str">
            <v>Shipment</v>
          </cell>
        </row>
        <row r="5424">
          <cell r="B5424" t="str">
            <v>Shipment</v>
          </cell>
        </row>
        <row r="5425">
          <cell r="B5425" t="str">
            <v>Shipment</v>
          </cell>
        </row>
        <row r="5426">
          <cell r="B5426" t="str">
            <v>Shipment</v>
          </cell>
        </row>
        <row r="5427">
          <cell r="B5427" t="str">
            <v>Shipment</v>
          </cell>
        </row>
        <row r="5428">
          <cell r="B5428" t="str">
            <v>Shipment</v>
          </cell>
        </row>
        <row r="5429">
          <cell r="B5429" t="str">
            <v>Shipment</v>
          </cell>
        </row>
        <row r="5430">
          <cell r="B5430" t="str">
            <v>Shipment</v>
          </cell>
        </row>
        <row r="5431">
          <cell r="B5431" t="str">
            <v>Shipment</v>
          </cell>
        </row>
        <row r="5432">
          <cell r="B5432" t="str">
            <v>Shipment</v>
          </cell>
        </row>
        <row r="5433">
          <cell r="B5433" t="str">
            <v>Shipment</v>
          </cell>
        </row>
        <row r="5434">
          <cell r="B5434" t="str">
            <v>Shipment</v>
          </cell>
        </row>
        <row r="5435">
          <cell r="B5435" t="str">
            <v>Shipment</v>
          </cell>
        </row>
        <row r="5436">
          <cell r="B5436" t="str">
            <v>Shipment</v>
          </cell>
        </row>
        <row r="5437">
          <cell r="B5437" t="str">
            <v>Shipment</v>
          </cell>
        </row>
        <row r="5438">
          <cell r="B5438" t="str">
            <v>Shipment</v>
          </cell>
        </row>
        <row r="5439">
          <cell r="B5439" t="str">
            <v>Shipment</v>
          </cell>
        </row>
        <row r="5440">
          <cell r="B5440" t="str">
            <v>Shipment</v>
          </cell>
        </row>
        <row r="5441">
          <cell r="B5441" t="str">
            <v>Shipment</v>
          </cell>
        </row>
        <row r="5442">
          <cell r="B5442" t="str">
            <v>Shipment</v>
          </cell>
        </row>
        <row r="5443">
          <cell r="B5443" t="str">
            <v>Shipment</v>
          </cell>
        </row>
        <row r="5444">
          <cell r="B5444" t="str">
            <v>Shipment</v>
          </cell>
        </row>
        <row r="5445">
          <cell r="B5445" t="str">
            <v>Shipment</v>
          </cell>
        </row>
        <row r="5446">
          <cell r="B5446" t="str">
            <v>Shipment</v>
          </cell>
        </row>
        <row r="5447">
          <cell r="B5447" t="str">
            <v>Shipment</v>
          </cell>
        </row>
        <row r="5448">
          <cell r="B5448" t="str">
            <v>Shipment</v>
          </cell>
        </row>
        <row r="5449">
          <cell r="B5449" t="str">
            <v>Shipment</v>
          </cell>
        </row>
        <row r="5450">
          <cell r="B5450" t="str">
            <v>Shipment</v>
          </cell>
        </row>
        <row r="5451">
          <cell r="B5451" t="str">
            <v>Shipment</v>
          </cell>
        </row>
        <row r="5452">
          <cell r="B5452" t="str">
            <v>Shipment</v>
          </cell>
        </row>
        <row r="5453">
          <cell r="B5453" t="str">
            <v>Shipment</v>
          </cell>
        </row>
        <row r="5454">
          <cell r="B5454" t="str">
            <v>Shipment</v>
          </cell>
        </row>
        <row r="5455">
          <cell r="B5455" t="str">
            <v>Shipment</v>
          </cell>
        </row>
        <row r="5456">
          <cell r="B5456" t="str">
            <v>Shipment</v>
          </cell>
        </row>
        <row r="5457">
          <cell r="B5457" t="str">
            <v>Shipment</v>
          </cell>
        </row>
        <row r="5458">
          <cell r="B5458" t="str">
            <v>Shipment</v>
          </cell>
        </row>
        <row r="5459">
          <cell r="B5459" t="str">
            <v>Shipment</v>
          </cell>
        </row>
        <row r="5460">
          <cell r="B5460" t="str">
            <v>Shipment</v>
          </cell>
        </row>
        <row r="5461">
          <cell r="B5461" t="str">
            <v>Shipment</v>
          </cell>
        </row>
        <row r="5462">
          <cell r="B5462" t="str">
            <v>Shipment</v>
          </cell>
        </row>
        <row r="5463">
          <cell r="B5463" t="str">
            <v>Shipment</v>
          </cell>
        </row>
        <row r="5464">
          <cell r="B5464" t="str">
            <v>Shipment</v>
          </cell>
        </row>
        <row r="5465">
          <cell r="B5465" t="str">
            <v>Shipment</v>
          </cell>
        </row>
        <row r="5466">
          <cell r="B5466" t="str">
            <v>Shipment</v>
          </cell>
        </row>
        <row r="5467">
          <cell r="B5467" t="str">
            <v>Shipment</v>
          </cell>
        </row>
        <row r="5468">
          <cell r="B5468" t="str">
            <v>Shipment</v>
          </cell>
        </row>
        <row r="5469">
          <cell r="B5469" t="str">
            <v>Shipment</v>
          </cell>
        </row>
        <row r="5470">
          <cell r="B5470" t="str">
            <v>Shipment</v>
          </cell>
        </row>
        <row r="5471">
          <cell r="B5471" t="str">
            <v>Shipment</v>
          </cell>
        </row>
        <row r="5472">
          <cell r="B5472" t="str">
            <v>Shipment</v>
          </cell>
        </row>
        <row r="5473">
          <cell r="B5473" t="str">
            <v>Shipment</v>
          </cell>
        </row>
        <row r="5474">
          <cell r="B5474" t="str">
            <v>Shipment</v>
          </cell>
        </row>
        <row r="5475">
          <cell r="B5475" t="str">
            <v>Shipment</v>
          </cell>
        </row>
        <row r="5476">
          <cell r="B5476" t="str">
            <v>Shipment</v>
          </cell>
        </row>
        <row r="5477">
          <cell r="B5477" t="str">
            <v>Shipment</v>
          </cell>
        </row>
        <row r="5478">
          <cell r="B5478" t="str">
            <v>Shipment</v>
          </cell>
        </row>
        <row r="5479">
          <cell r="B5479" t="str">
            <v>Shipment</v>
          </cell>
        </row>
        <row r="5480">
          <cell r="B5480" t="str">
            <v>Shipment</v>
          </cell>
        </row>
        <row r="5481">
          <cell r="B5481" t="str">
            <v>Shipment</v>
          </cell>
        </row>
        <row r="5482">
          <cell r="B5482" t="str">
            <v>Shipment</v>
          </cell>
        </row>
        <row r="5483">
          <cell r="B5483" t="str">
            <v>Shipment</v>
          </cell>
        </row>
        <row r="5484">
          <cell r="B5484" t="str">
            <v>Shipment</v>
          </cell>
        </row>
        <row r="5485">
          <cell r="B5485" t="str">
            <v>Shipment</v>
          </cell>
        </row>
        <row r="5486">
          <cell r="B5486" t="str">
            <v>Shipment</v>
          </cell>
        </row>
        <row r="5487">
          <cell r="B5487" t="str">
            <v>Shipment</v>
          </cell>
        </row>
        <row r="5488">
          <cell r="B5488" t="str">
            <v>Shipment</v>
          </cell>
        </row>
        <row r="5489">
          <cell r="B5489" t="str">
            <v>Shipment</v>
          </cell>
        </row>
        <row r="5490">
          <cell r="B5490" t="str">
            <v>Shipment</v>
          </cell>
        </row>
        <row r="5491">
          <cell r="B5491" t="str">
            <v>Shipment</v>
          </cell>
        </row>
        <row r="5492">
          <cell r="B5492" t="str">
            <v>Shipment</v>
          </cell>
        </row>
        <row r="5493">
          <cell r="B5493" t="str">
            <v>Shipment</v>
          </cell>
        </row>
        <row r="5494">
          <cell r="B5494" t="str">
            <v>Shipment</v>
          </cell>
        </row>
        <row r="5495">
          <cell r="B5495" t="str">
            <v>Shipment</v>
          </cell>
        </row>
        <row r="5496">
          <cell r="B5496" t="str">
            <v>Shipment</v>
          </cell>
        </row>
        <row r="5497">
          <cell r="B5497" t="str">
            <v>Shipment</v>
          </cell>
        </row>
        <row r="5498">
          <cell r="B5498" t="str">
            <v>Shipment</v>
          </cell>
        </row>
        <row r="5499">
          <cell r="B5499" t="str">
            <v>Shipment</v>
          </cell>
        </row>
        <row r="5500">
          <cell r="B5500" t="str">
            <v>Shipment</v>
          </cell>
        </row>
        <row r="5501">
          <cell r="B5501" t="str">
            <v>Shipment</v>
          </cell>
        </row>
        <row r="5502">
          <cell r="B5502" t="str">
            <v>Shipment</v>
          </cell>
        </row>
        <row r="5503">
          <cell r="B5503" t="str">
            <v>Shipment</v>
          </cell>
        </row>
        <row r="5504">
          <cell r="B5504" t="str">
            <v>Shipment</v>
          </cell>
        </row>
        <row r="5505">
          <cell r="B5505" t="str">
            <v>Shipment</v>
          </cell>
        </row>
        <row r="5506">
          <cell r="B5506" t="str">
            <v>Shipment</v>
          </cell>
        </row>
        <row r="5507">
          <cell r="B5507" t="str">
            <v>Shipment</v>
          </cell>
        </row>
        <row r="5508">
          <cell r="B5508" t="str">
            <v>Shipment</v>
          </cell>
        </row>
        <row r="5509">
          <cell r="B5509" t="str">
            <v>Shipment</v>
          </cell>
        </row>
        <row r="5510">
          <cell r="B5510" t="str">
            <v>Shipment</v>
          </cell>
        </row>
        <row r="5511">
          <cell r="B5511" t="str">
            <v>Shipment</v>
          </cell>
        </row>
        <row r="5512">
          <cell r="B5512" t="str">
            <v>Shipment</v>
          </cell>
        </row>
        <row r="5513">
          <cell r="B5513" t="str">
            <v>Shipment</v>
          </cell>
        </row>
        <row r="5514">
          <cell r="B5514" t="str">
            <v>Shipment</v>
          </cell>
        </row>
        <row r="5515">
          <cell r="B5515" t="str">
            <v>Shipment</v>
          </cell>
        </row>
        <row r="5516">
          <cell r="B5516" t="str">
            <v>Shipment</v>
          </cell>
        </row>
        <row r="5517">
          <cell r="B5517" t="str">
            <v>Shipment</v>
          </cell>
        </row>
        <row r="5518">
          <cell r="B5518" t="str">
            <v>Shipment</v>
          </cell>
        </row>
        <row r="5519">
          <cell r="B5519" t="str">
            <v>Shipment</v>
          </cell>
        </row>
        <row r="5520">
          <cell r="B5520" t="str">
            <v>Shipment</v>
          </cell>
        </row>
        <row r="5521">
          <cell r="B5521" t="str">
            <v>Shipment</v>
          </cell>
        </row>
        <row r="5522">
          <cell r="B5522" t="str">
            <v>Shipment</v>
          </cell>
        </row>
        <row r="5523">
          <cell r="B5523" t="str">
            <v>Shipment</v>
          </cell>
        </row>
        <row r="5524">
          <cell r="B5524" t="str">
            <v>Shipment</v>
          </cell>
        </row>
        <row r="5525">
          <cell r="B5525" t="str">
            <v>Shipment</v>
          </cell>
        </row>
        <row r="5526">
          <cell r="B5526" t="str">
            <v>Shipment</v>
          </cell>
        </row>
        <row r="5527">
          <cell r="B5527" t="str">
            <v>Shipment</v>
          </cell>
        </row>
        <row r="5528">
          <cell r="B5528" t="str">
            <v>Shipment</v>
          </cell>
        </row>
        <row r="5529">
          <cell r="B5529" t="str">
            <v>Shipment</v>
          </cell>
        </row>
        <row r="5530">
          <cell r="B5530" t="str">
            <v>Shipment</v>
          </cell>
        </row>
        <row r="5531">
          <cell r="B5531" t="str">
            <v>Shipment</v>
          </cell>
        </row>
        <row r="5532">
          <cell r="B5532" t="str">
            <v>Shipment</v>
          </cell>
        </row>
        <row r="5533">
          <cell r="B5533" t="str">
            <v>Shipment</v>
          </cell>
        </row>
        <row r="5534">
          <cell r="B5534" t="str">
            <v>Shipment</v>
          </cell>
        </row>
        <row r="5535">
          <cell r="B5535" t="str">
            <v>Shipment</v>
          </cell>
        </row>
        <row r="5536">
          <cell r="B5536" t="str">
            <v>Shipment</v>
          </cell>
        </row>
        <row r="5537">
          <cell r="B5537" t="str">
            <v>Shipment</v>
          </cell>
        </row>
        <row r="5538">
          <cell r="B5538" t="str">
            <v>Shipment</v>
          </cell>
        </row>
        <row r="5539">
          <cell r="B5539" t="str">
            <v>Shipment</v>
          </cell>
        </row>
        <row r="5540">
          <cell r="B5540" t="str">
            <v>Shipment</v>
          </cell>
        </row>
        <row r="5541">
          <cell r="B5541" t="str">
            <v>Shipment</v>
          </cell>
        </row>
        <row r="5542">
          <cell r="B5542" t="str">
            <v>Shipment</v>
          </cell>
        </row>
        <row r="5543">
          <cell r="B5543" t="str">
            <v>Shipment</v>
          </cell>
        </row>
        <row r="5544">
          <cell r="B5544" t="str">
            <v>Shipment</v>
          </cell>
        </row>
        <row r="5545">
          <cell r="B5545" t="str">
            <v>Shipment</v>
          </cell>
        </row>
        <row r="5546">
          <cell r="B5546" t="str">
            <v>Shipment</v>
          </cell>
        </row>
        <row r="5547">
          <cell r="B5547" t="str">
            <v>Shipment</v>
          </cell>
        </row>
        <row r="5548">
          <cell r="B5548" t="str">
            <v>Shipment</v>
          </cell>
        </row>
        <row r="5549">
          <cell r="B5549" t="str">
            <v>Shipment</v>
          </cell>
        </row>
        <row r="5550">
          <cell r="B5550" t="str">
            <v>Shipment</v>
          </cell>
        </row>
        <row r="5551">
          <cell r="B5551" t="str">
            <v>Shipment</v>
          </cell>
        </row>
        <row r="5552">
          <cell r="B5552" t="str">
            <v>Shipment</v>
          </cell>
        </row>
        <row r="5553">
          <cell r="B5553" t="str">
            <v>Shipment</v>
          </cell>
        </row>
        <row r="5554">
          <cell r="B5554" t="str">
            <v>Shipment</v>
          </cell>
        </row>
        <row r="5555">
          <cell r="B5555" t="str">
            <v>Shipment</v>
          </cell>
        </row>
        <row r="5556">
          <cell r="B5556" t="str">
            <v>Shipment</v>
          </cell>
        </row>
        <row r="5557">
          <cell r="B5557" t="str">
            <v>Shipment</v>
          </cell>
        </row>
        <row r="5558">
          <cell r="B5558" t="str">
            <v>Shipment</v>
          </cell>
        </row>
        <row r="5559">
          <cell r="B5559" t="str">
            <v>Shipment</v>
          </cell>
        </row>
        <row r="5560">
          <cell r="B5560" t="str">
            <v>Shipment</v>
          </cell>
        </row>
        <row r="5561">
          <cell r="B5561" t="str">
            <v>Shipment</v>
          </cell>
        </row>
        <row r="5562">
          <cell r="B5562" t="str">
            <v>Shipment</v>
          </cell>
        </row>
        <row r="5563">
          <cell r="B5563" t="str">
            <v>Shipment</v>
          </cell>
        </row>
        <row r="5564">
          <cell r="B5564" t="str">
            <v>Shipment</v>
          </cell>
        </row>
        <row r="5565">
          <cell r="B5565" t="str">
            <v>Shipment</v>
          </cell>
        </row>
        <row r="5566">
          <cell r="B5566" t="str">
            <v>Shipment</v>
          </cell>
        </row>
        <row r="5567">
          <cell r="B5567" t="str">
            <v>Shipment</v>
          </cell>
        </row>
        <row r="5568">
          <cell r="B5568" t="str">
            <v>Shipment</v>
          </cell>
        </row>
        <row r="5569">
          <cell r="B5569" t="str">
            <v>Shipment</v>
          </cell>
        </row>
        <row r="5570">
          <cell r="B5570" t="str">
            <v>Shipment</v>
          </cell>
        </row>
        <row r="5571">
          <cell r="B5571" t="str">
            <v>Shipment</v>
          </cell>
        </row>
        <row r="5572">
          <cell r="B5572" t="str">
            <v>Shipment</v>
          </cell>
        </row>
        <row r="5573">
          <cell r="B5573" t="str">
            <v>Shipment</v>
          </cell>
        </row>
        <row r="5574">
          <cell r="B5574" t="str">
            <v>Shipment</v>
          </cell>
        </row>
        <row r="5575">
          <cell r="B5575" t="str">
            <v>Shipment</v>
          </cell>
        </row>
        <row r="5576">
          <cell r="B5576" t="str">
            <v>Shipment</v>
          </cell>
        </row>
        <row r="5577">
          <cell r="B5577" t="str">
            <v>Shipment</v>
          </cell>
        </row>
        <row r="5578">
          <cell r="B5578" t="str">
            <v>Shipment</v>
          </cell>
        </row>
        <row r="5579">
          <cell r="B5579" t="str">
            <v>Shipment</v>
          </cell>
        </row>
        <row r="5580">
          <cell r="B5580" t="str">
            <v>Shipment</v>
          </cell>
        </row>
        <row r="5581">
          <cell r="B5581" t="str">
            <v>Shipment</v>
          </cell>
        </row>
        <row r="5582">
          <cell r="B5582" t="str">
            <v>Shipment</v>
          </cell>
        </row>
        <row r="5583">
          <cell r="B5583" t="str">
            <v>Shipment</v>
          </cell>
        </row>
        <row r="5584">
          <cell r="B5584" t="str">
            <v>Shipment</v>
          </cell>
        </row>
        <row r="5585">
          <cell r="B5585" t="str">
            <v>Shipment</v>
          </cell>
        </row>
        <row r="5586">
          <cell r="B5586" t="str">
            <v>Shipment</v>
          </cell>
        </row>
        <row r="5587">
          <cell r="B5587" t="str">
            <v>Shipment</v>
          </cell>
        </row>
        <row r="5588">
          <cell r="B5588" t="str">
            <v>Shipment</v>
          </cell>
        </row>
        <row r="5589">
          <cell r="B5589" t="str">
            <v>Shipment</v>
          </cell>
        </row>
        <row r="5590">
          <cell r="B5590" t="str">
            <v>Shipment</v>
          </cell>
        </row>
        <row r="5591">
          <cell r="B5591" t="str">
            <v>Shipment</v>
          </cell>
        </row>
        <row r="5592">
          <cell r="B5592" t="str">
            <v>Shipment</v>
          </cell>
        </row>
        <row r="5593">
          <cell r="B5593" t="str">
            <v>Shipment</v>
          </cell>
        </row>
        <row r="5594">
          <cell r="B5594" t="str">
            <v>Shipment</v>
          </cell>
        </row>
        <row r="5595">
          <cell r="B5595" t="str">
            <v>Shipment</v>
          </cell>
        </row>
        <row r="5596">
          <cell r="B5596" t="str">
            <v>Shipment</v>
          </cell>
        </row>
        <row r="5597">
          <cell r="B5597" t="str">
            <v>Shipment</v>
          </cell>
        </row>
        <row r="5598">
          <cell r="B5598" t="str">
            <v>Shipment</v>
          </cell>
        </row>
        <row r="5599">
          <cell r="B5599" t="str">
            <v>Shipment</v>
          </cell>
        </row>
        <row r="5600">
          <cell r="B5600" t="str">
            <v>Shipment</v>
          </cell>
        </row>
        <row r="5601">
          <cell r="B5601" t="str">
            <v>Shipment</v>
          </cell>
        </row>
        <row r="5602">
          <cell r="B5602" t="str">
            <v>Shipment</v>
          </cell>
        </row>
        <row r="5603">
          <cell r="B5603" t="str">
            <v>Shipment</v>
          </cell>
        </row>
        <row r="5604">
          <cell r="B5604" t="str">
            <v>Shipment</v>
          </cell>
        </row>
        <row r="5605">
          <cell r="B5605" t="str">
            <v>Shipment</v>
          </cell>
        </row>
        <row r="5606">
          <cell r="B5606" t="str">
            <v>Shipment</v>
          </cell>
        </row>
        <row r="5607">
          <cell r="B5607" t="str">
            <v>Shipment</v>
          </cell>
        </row>
        <row r="5608">
          <cell r="B5608" t="str">
            <v>Shipment</v>
          </cell>
        </row>
        <row r="5609">
          <cell r="B5609" t="str">
            <v>Shipment</v>
          </cell>
        </row>
        <row r="5610">
          <cell r="B5610" t="str">
            <v>Shipment</v>
          </cell>
        </row>
        <row r="5611">
          <cell r="B5611" t="str">
            <v>Shipment</v>
          </cell>
        </row>
        <row r="5612">
          <cell r="B5612" t="str">
            <v>Shipment</v>
          </cell>
        </row>
        <row r="5613">
          <cell r="B5613" t="str">
            <v>Shipment</v>
          </cell>
        </row>
        <row r="5614">
          <cell r="B5614" t="str">
            <v>Shipment</v>
          </cell>
        </row>
        <row r="5615">
          <cell r="B5615" t="str">
            <v>Shipment</v>
          </cell>
        </row>
        <row r="5616">
          <cell r="B5616" t="str">
            <v>Shipment</v>
          </cell>
        </row>
        <row r="5617">
          <cell r="B5617" t="str">
            <v>Shipment</v>
          </cell>
        </row>
        <row r="5618">
          <cell r="B5618" t="str">
            <v>Shipment</v>
          </cell>
        </row>
        <row r="5619">
          <cell r="B5619" t="str">
            <v>Shipment</v>
          </cell>
        </row>
        <row r="5620">
          <cell r="B5620" t="str">
            <v>Shipment</v>
          </cell>
        </row>
        <row r="5621">
          <cell r="B5621" t="str">
            <v>Shipment</v>
          </cell>
        </row>
        <row r="5622">
          <cell r="B5622" t="str">
            <v>Shipment</v>
          </cell>
        </row>
        <row r="5623">
          <cell r="B5623" t="str">
            <v>Shipment</v>
          </cell>
        </row>
        <row r="5624">
          <cell r="B5624" t="str">
            <v>Shipment</v>
          </cell>
        </row>
        <row r="5625">
          <cell r="B5625" t="str">
            <v>Shipment</v>
          </cell>
        </row>
        <row r="5626">
          <cell r="B5626" t="str">
            <v>Shipment</v>
          </cell>
        </row>
        <row r="5627">
          <cell r="B5627" t="str">
            <v>Shipment</v>
          </cell>
        </row>
        <row r="5628">
          <cell r="B5628" t="str">
            <v>Shipment</v>
          </cell>
        </row>
        <row r="5629">
          <cell r="B5629" t="str">
            <v>Shipment</v>
          </cell>
        </row>
        <row r="5630">
          <cell r="B5630" t="str">
            <v>Shipment</v>
          </cell>
        </row>
        <row r="5631">
          <cell r="B5631" t="str">
            <v>Shipment</v>
          </cell>
        </row>
        <row r="5632">
          <cell r="B5632" t="str">
            <v>Shipment</v>
          </cell>
        </row>
        <row r="5633">
          <cell r="B5633" t="str">
            <v>Shipment</v>
          </cell>
        </row>
        <row r="5634">
          <cell r="B5634" t="str">
            <v>Shipment</v>
          </cell>
        </row>
        <row r="5635">
          <cell r="B5635" t="str">
            <v>Shipment</v>
          </cell>
        </row>
        <row r="5636">
          <cell r="B5636" t="str">
            <v>Shipment</v>
          </cell>
        </row>
        <row r="5637">
          <cell r="B5637" t="str">
            <v>Shipment</v>
          </cell>
        </row>
        <row r="5638">
          <cell r="B5638" t="str">
            <v>Shipment</v>
          </cell>
        </row>
        <row r="5639">
          <cell r="B5639" t="str">
            <v>Shipment</v>
          </cell>
        </row>
        <row r="5640">
          <cell r="B5640" t="str">
            <v>Shipment</v>
          </cell>
        </row>
        <row r="5641">
          <cell r="B5641" t="str">
            <v>Shipment</v>
          </cell>
        </row>
        <row r="5642">
          <cell r="B5642" t="str">
            <v>Shipment</v>
          </cell>
        </row>
        <row r="5643">
          <cell r="B5643" t="str">
            <v>Shipment</v>
          </cell>
        </row>
        <row r="5644">
          <cell r="B5644" t="str">
            <v>Shipment</v>
          </cell>
        </row>
        <row r="5645">
          <cell r="B5645" t="str">
            <v>Shipment</v>
          </cell>
        </row>
        <row r="5646">
          <cell r="B5646" t="str">
            <v>Shipment</v>
          </cell>
        </row>
        <row r="5647">
          <cell r="B5647" t="str">
            <v>Shipment</v>
          </cell>
        </row>
        <row r="5648">
          <cell r="B5648" t="str">
            <v>Shipment</v>
          </cell>
        </row>
        <row r="5649">
          <cell r="B5649" t="str">
            <v>Shipment</v>
          </cell>
        </row>
        <row r="5650">
          <cell r="B5650" t="str">
            <v>Shipment</v>
          </cell>
        </row>
        <row r="5651">
          <cell r="B5651" t="str">
            <v>Shipment</v>
          </cell>
        </row>
        <row r="5652">
          <cell r="B5652" t="str">
            <v>Shipment</v>
          </cell>
        </row>
        <row r="5653">
          <cell r="B5653" t="str">
            <v>Shipment</v>
          </cell>
        </row>
        <row r="5654">
          <cell r="B5654" t="str">
            <v>Shipment</v>
          </cell>
        </row>
        <row r="5655">
          <cell r="B5655" t="str">
            <v>Shipment</v>
          </cell>
        </row>
        <row r="5656">
          <cell r="B5656" t="str">
            <v>Shipment</v>
          </cell>
        </row>
        <row r="5657">
          <cell r="B5657" t="str">
            <v>Shipment</v>
          </cell>
        </row>
        <row r="5658">
          <cell r="B5658" t="str">
            <v>Shipment</v>
          </cell>
        </row>
        <row r="5659">
          <cell r="B5659" t="str">
            <v>Shipment</v>
          </cell>
        </row>
        <row r="5660">
          <cell r="B5660" t="str">
            <v>Shipment</v>
          </cell>
        </row>
        <row r="5661">
          <cell r="B5661" t="str">
            <v>Shipment</v>
          </cell>
        </row>
        <row r="5662">
          <cell r="B5662" t="str">
            <v>Shipment</v>
          </cell>
        </row>
        <row r="5663">
          <cell r="B5663" t="str">
            <v>Shipment</v>
          </cell>
        </row>
        <row r="5664">
          <cell r="B5664" t="str">
            <v>Shipment</v>
          </cell>
        </row>
        <row r="5665">
          <cell r="B5665" t="str">
            <v>Shipment</v>
          </cell>
        </row>
        <row r="5666">
          <cell r="B5666" t="str">
            <v>Shipment</v>
          </cell>
        </row>
        <row r="5667">
          <cell r="B5667" t="str">
            <v>Shipment</v>
          </cell>
        </row>
        <row r="5668">
          <cell r="B5668" t="str">
            <v>Shipment</v>
          </cell>
        </row>
        <row r="5669">
          <cell r="B5669" t="str">
            <v>Shipment</v>
          </cell>
        </row>
        <row r="5670">
          <cell r="B5670" t="str">
            <v>Shipment</v>
          </cell>
        </row>
        <row r="5671">
          <cell r="B5671" t="str">
            <v>Shipment</v>
          </cell>
        </row>
        <row r="5672">
          <cell r="B5672" t="str">
            <v>Shipment</v>
          </cell>
        </row>
        <row r="5673">
          <cell r="B5673" t="str">
            <v>Shipment</v>
          </cell>
        </row>
        <row r="5674">
          <cell r="B5674" t="str">
            <v>Shipment</v>
          </cell>
        </row>
        <row r="5675">
          <cell r="B5675" t="str">
            <v>Shipment</v>
          </cell>
        </row>
        <row r="5676">
          <cell r="B5676" t="str">
            <v>Shipment</v>
          </cell>
        </row>
        <row r="5677">
          <cell r="B5677" t="str">
            <v>Shipment</v>
          </cell>
        </row>
        <row r="5678">
          <cell r="B5678" t="str">
            <v>Shipment</v>
          </cell>
        </row>
        <row r="5679">
          <cell r="B5679" t="str">
            <v>Shipment</v>
          </cell>
        </row>
        <row r="5680">
          <cell r="B5680" t="str">
            <v>Shipment</v>
          </cell>
        </row>
        <row r="5681">
          <cell r="B5681" t="str">
            <v>Shipment</v>
          </cell>
        </row>
        <row r="5682">
          <cell r="B5682" t="str">
            <v>Shipment</v>
          </cell>
        </row>
        <row r="5683">
          <cell r="B5683" t="str">
            <v>Shipment</v>
          </cell>
        </row>
        <row r="5684">
          <cell r="B5684" t="str">
            <v>Shipment</v>
          </cell>
        </row>
        <row r="5685">
          <cell r="B5685" t="str">
            <v>Shipment</v>
          </cell>
        </row>
        <row r="5686">
          <cell r="B5686" t="str">
            <v>Shipment</v>
          </cell>
        </row>
        <row r="5687">
          <cell r="B5687" t="str">
            <v>Shipment</v>
          </cell>
        </row>
        <row r="5688">
          <cell r="B5688" t="str">
            <v>Shipment</v>
          </cell>
        </row>
        <row r="5689">
          <cell r="B5689" t="str">
            <v>Shipment</v>
          </cell>
        </row>
        <row r="5690">
          <cell r="B5690" t="str">
            <v>Shipment</v>
          </cell>
        </row>
        <row r="5691">
          <cell r="B5691" t="str">
            <v>Shipment</v>
          </cell>
        </row>
        <row r="5692">
          <cell r="B5692" t="str">
            <v>Shipment</v>
          </cell>
        </row>
        <row r="5693">
          <cell r="B5693" t="str">
            <v>Shipment</v>
          </cell>
        </row>
        <row r="5694">
          <cell r="B5694" t="str">
            <v>Shipment</v>
          </cell>
        </row>
        <row r="5695">
          <cell r="B5695" t="str">
            <v>Shipment</v>
          </cell>
        </row>
        <row r="5696">
          <cell r="B5696" t="str">
            <v>Shipment</v>
          </cell>
        </row>
        <row r="5697">
          <cell r="B5697" t="str">
            <v>Shipment</v>
          </cell>
        </row>
        <row r="5698">
          <cell r="B5698" t="str">
            <v>Shipment</v>
          </cell>
        </row>
        <row r="5699">
          <cell r="B5699" t="str">
            <v>Shipment</v>
          </cell>
        </row>
        <row r="5700">
          <cell r="B5700" t="str">
            <v>Shipment</v>
          </cell>
        </row>
        <row r="5701">
          <cell r="B5701" t="str">
            <v>Shipment</v>
          </cell>
        </row>
        <row r="5702">
          <cell r="B5702" t="str">
            <v>Shipment</v>
          </cell>
        </row>
        <row r="5703">
          <cell r="B5703" t="str">
            <v>Shipment</v>
          </cell>
        </row>
        <row r="5704">
          <cell r="B5704" t="str">
            <v>Shipment</v>
          </cell>
        </row>
        <row r="5705">
          <cell r="B5705" t="str">
            <v>Shipment</v>
          </cell>
        </row>
        <row r="5706">
          <cell r="B5706" t="str">
            <v>Shipment</v>
          </cell>
        </row>
        <row r="5707">
          <cell r="B5707" t="str">
            <v>Shipment</v>
          </cell>
        </row>
        <row r="5708">
          <cell r="B5708" t="str">
            <v>Shipment</v>
          </cell>
        </row>
        <row r="5709">
          <cell r="B5709" t="str">
            <v>Shipment</v>
          </cell>
        </row>
        <row r="5710">
          <cell r="B5710" t="str">
            <v>Shipment</v>
          </cell>
        </row>
        <row r="5711">
          <cell r="B5711" t="str">
            <v>Shipment</v>
          </cell>
        </row>
        <row r="5712">
          <cell r="B5712" t="str">
            <v>Shipment</v>
          </cell>
        </row>
        <row r="5713">
          <cell r="B5713" t="str">
            <v>Shipment</v>
          </cell>
        </row>
        <row r="5714">
          <cell r="B5714" t="str">
            <v>Shipment</v>
          </cell>
        </row>
        <row r="5715">
          <cell r="B5715" t="str">
            <v>Shipment</v>
          </cell>
        </row>
        <row r="5716">
          <cell r="B5716" t="str">
            <v>Shipment</v>
          </cell>
        </row>
        <row r="5717">
          <cell r="B5717" t="str">
            <v>Shipment</v>
          </cell>
        </row>
        <row r="5718">
          <cell r="B5718" t="str">
            <v>Shipment</v>
          </cell>
        </row>
        <row r="5719">
          <cell r="B5719" t="str">
            <v>Shipment</v>
          </cell>
        </row>
        <row r="5720">
          <cell r="B5720" t="str">
            <v>Shipment</v>
          </cell>
        </row>
        <row r="5721">
          <cell r="B5721" t="str">
            <v>Shipment</v>
          </cell>
        </row>
        <row r="5722">
          <cell r="B5722" t="str">
            <v>Shipment</v>
          </cell>
        </row>
        <row r="5723">
          <cell r="B5723" t="str">
            <v>Shipment</v>
          </cell>
        </row>
        <row r="5724">
          <cell r="B5724" t="str">
            <v>Shipment</v>
          </cell>
        </row>
        <row r="5725">
          <cell r="B5725" t="str">
            <v>Shipment</v>
          </cell>
        </row>
        <row r="5726">
          <cell r="B5726" t="str">
            <v>Shipment</v>
          </cell>
        </row>
        <row r="5727">
          <cell r="B5727" t="str">
            <v>Shipment</v>
          </cell>
        </row>
        <row r="5728">
          <cell r="B5728" t="str">
            <v>Shipment</v>
          </cell>
        </row>
        <row r="5729">
          <cell r="B5729" t="str">
            <v>Shipment</v>
          </cell>
        </row>
        <row r="5730">
          <cell r="B5730" t="str">
            <v>Shipment</v>
          </cell>
        </row>
        <row r="5731">
          <cell r="B5731" t="str">
            <v>Shipment</v>
          </cell>
        </row>
        <row r="5732">
          <cell r="B5732" t="str">
            <v>Shipment</v>
          </cell>
        </row>
        <row r="5733">
          <cell r="B5733" t="str">
            <v>Shipment</v>
          </cell>
        </row>
        <row r="5734">
          <cell r="B5734" t="str">
            <v>Shipment</v>
          </cell>
        </row>
        <row r="5735">
          <cell r="B5735" t="str">
            <v>Shipment</v>
          </cell>
        </row>
        <row r="5736">
          <cell r="B5736" t="str">
            <v>Shipment</v>
          </cell>
        </row>
        <row r="5737">
          <cell r="B5737" t="str">
            <v>Shipment</v>
          </cell>
        </row>
        <row r="5738">
          <cell r="B5738" t="str">
            <v>Shipment</v>
          </cell>
        </row>
        <row r="5739">
          <cell r="B5739" t="str">
            <v>Shipment</v>
          </cell>
        </row>
        <row r="5740">
          <cell r="B5740" t="str">
            <v>Shipment</v>
          </cell>
        </row>
        <row r="5741">
          <cell r="B5741" t="str">
            <v>Shipment</v>
          </cell>
        </row>
        <row r="5742">
          <cell r="B5742" t="str">
            <v>Shipment</v>
          </cell>
        </row>
        <row r="5743">
          <cell r="B5743" t="str">
            <v>Shipment</v>
          </cell>
        </row>
        <row r="5744">
          <cell r="B5744" t="str">
            <v>Shipment</v>
          </cell>
        </row>
        <row r="5745">
          <cell r="B5745" t="str">
            <v>Shipment</v>
          </cell>
        </row>
        <row r="5746">
          <cell r="B5746" t="str">
            <v>Shipment</v>
          </cell>
        </row>
        <row r="5747">
          <cell r="B5747" t="str">
            <v>Shipment</v>
          </cell>
        </row>
        <row r="5748">
          <cell r="B5748" t="str">
            <v>Shipment</v>
          </cell>
        </row>
        <row r="5749">
          <cell r="B5749" t="str">
            <v>Shipment</v>
          </cell>
        </row>
        <row r="5750">
          <cell r="B5750" t="str">
            <v>Shipment</v>
          </cell>
        </row>
        <row r="5751">
          <cell r="B5751" t="str">
            <v>Shipment</v>
          </cell>
        </row>
        <row r="5752">
          <cell r="B5752" t="str">
            <v>Shipment</v>
          </cell>
        </row>
        <row r="5753">
          <cell r="B5753" t="str">
            <v>Shipment</v>
          </cell>
        </row>
        <row r="5754">
          <cell r="B5754" t="str">
            <v>Shipment</v>
          </cell>
        </row>
        <row r="5755">
          <cell r="B5755" t="str">
            <v>Shipment</v>
          </cell>
        </row>
        <row r="5756">
          <cell r="B5756" t="str">
            <v>Shipment</v>
          </cell>
        </row>
        <row r="5757">
          <cell r="B5757" t="str">
            <v>Shipment</v>
          </cell>
        </row>
        <row r="5758">
          <cell r="B5758" t="str">
            <v>Shipment</v>
          </cell>
        </row>
        <row r="5759">
          <cell r="B5759" t="str">
            <v>Shipment</v>
          </cell>
        </row>
        <row r="5760">
          <cell r="B5760" t="str">
            <v>Shipment</v>
          </cell>
        </row>
        <row r="5761">
          <cell r="B5761" t="str">
            <v>Shipment</v>
          </cell>
        </row>
        <row r="5762">
          <cell r="B5762" t="str">
            <v>Shipment</v>
          </cell>
        </row>
        <row r="5763">
          <cell r="B5763" t="str">
            <v>Shipment</v>
          </cell>
        </row>
        <row r="5764">
          <cell r="B5764" t="str">
            <v>Shipment</v>
          </cell>
        </row>
        <row r="5765">
          <cell r="B5765" t="str">
            <v>Shipment</v>
          </cell>
        </row>
        <row r="5766">
          <cell r="B5766" t="str">
            <v>Shipment</v>
          </cell>
        </row>
        <row r="5767">
          <cell r="B5767" t="str">
            <v>Shipment</v>
          </cell>
        </row>
        <row r="5768">
          <cell r="B5768" t="str">
            <v>Shipment</v>
          </cell>
        </row>
        <row r="5769">
          <cell r="B5769" t="str">
            <v>Shipment</v>
          </cell>
        </row>
        <row r="5770">
          <cell r="B5770" t="str">
            <v>Shipment</v>
          </cell>
        </row>
        <row r="5771">
          <cell r="B5771" t="str">
            <v>Shipment</v>
          </cell>
        </row>
        <row r="5772">
          <cell r="B5772" t="str">
            <v>Shipment</v>
          </cell>
        </row>
        <row r="5773">
          <cell r="B5773" t="str">
            <v>Shipment</v>
          </cell>
        </row>
        <row r="5774">
          <cell r="B5774" t="str">
            <v>Shipment</v>
          </cell>
        </row>
        <row r="5775">
          <cell r="B5775" t="str">
            <v>Shipment</v>
          </cell>
        </row>
        <row r="5776">
          <cell r="B5776" t="str">
            <v>Shipment</v>
          </cell>
        </row>
        <row r="5777">
          <cell r="B5777" t="str">
            <v>Shipment</v>
          </cell>
        </row>
        <row r="5778">
          <cell r="B5778" t="str">
            <v>Shipment</v>
          </cell>
        </row>
        <row r="5779">
          <cell r="B5779" t="str">
            <v>Shipment</v>
          </cell>
        </row>
        <row r="5780">
          <cell r="B5780" t="str">
            <v>Shipment</v>
          </cell>
        </row>
        <row r="5781">
          <cell r="B5781" t="str">
            <v>Shipment</v>
          </cell>
        </row>
        <row r="5782">
          <cell r="B5782" t="str">
            <v>Shipment</v>
          </cell>
        </row>
        <row r="5783">
          <cell r="B5783" t="str">
            <v>Shipment</v>
          </cell>
        </row>
        <row r="5784">
          <cell r="B5784" t="str">
            <v>Shipment</v>
          </cell>
        </row>
        <row r="5785">
          <cell r="B5785" t="str">
            <v>Shipment</v>
          </cell>
        </row>
        <row r="5786">
          <cell r="B5786" t="str">
            <v>Shipment</v>
          </cell>
        </row>
        <row r="5787">
          <cell r="B5787" t="str">
            <v>Shipment</v>
          </cell>
        </row>
        <row r="5788">
          <cell r="B5788" t="str">
            <v>Shipment</v>
          </cell>
        </row>
        <row r="5789">
          <cell r="B5789" t="str">
            <v>Shipment</v>
          </cell>
        </row>
        <row r="5790">
          <cell r="B5790" t="str">
            <v>Shipment</v>
          </cell>
        </row>
        <row r="5791">
          <cell r="B5791" t="str">
            <v>Shipment</v>
          </cell>
        </row>
        <row r="5792">
          <cell r="B5792" t="str">
            <v>Shipment</v>
          </cell>
        </row>
        <row r="5793">
          <cell r="B5793" t="str">
            <v>Shipment</v>
          </cell>
        </row>
        <row r="5794">
          <cell r="B5794" t="str">
            <v>Shipment</v>
          </cell>
        </row>
        <row r="5795">
          <cell r="B5795" t="str">
            <v>Shipment</v>
          </cell>
        </row>
        <row r="5796">
          <cell r="B5796" t="str">
            <v>Shipment</v>
          </cell>
        </row>
        <row r="5797">
          <cell r="B5797" t="str">
            <v>Shipment</v>
          </cell>
        </row>
        <row r="5798">
          <cell r="B5798" t="str">
            <v>Shipment</v>
          </cell>
        </row>
        <row r="5799">
          <cell r="B5799" t="str">
            <v>Shipment</v>
          </cell>
        </row>
        <row r="5800">
          <cell r="B5800" t="str">
            <v>Shipment</v>
          </cell>
        </row>
        <row r="5801">
          <cell r="B5801" t="str">
            <v>Shipment</v>
          </cell>
        </row>
        <row r="5802">
          <cell r="B5802" t="str">
            <v>Shipment</v>
          </cell>
        </row>
        <row r="5803">
          <cell r="B5803" t="str">
            <v>Shipment</v>
          </cell>
        </row>
        <row r="5804">
          <cell r="B5804" t="str">
            <v>Shipment</v>
          </cell>
        </row>
        <row r="5805">
          <cell r="B5805" t="str">
            <v>Shipment</v>
          </cell>
        </row>
        <row r="5806">
          <cell r="B5806" t="str">
            <v>Shipment</v>
          </cell>
        </row>
        <row r="5807">
          <cell r="B5807" t="str">
            <v>Shipment</v>
          </cell>
        </row>
        <row r="5808">
          <cell r="B5808" t="str">
            <v>Shipment</v>
          </cell>
        </row>
        <row r="5809">
          <cell r="B5809" t="str">
            <v>Shipment</v>
          </cell>
        </row>
        <row r="5810">
          <cell r="B5810" t="str">
            <v>Shipment</v>
          </cell>
        </row>
        <row r="5811">
          <cell r="B5811" t="str">
            <v>Shipment</v>
          </cell>
        </row>
        <row r="5812">
          <cell r="B5812" t="str">
            <v>Shipment</v>
          </cell>
        </row>
        <row r="5813">
          <cell r="B5813" t="str">
            <v>Shipment</v>
          </cell>
        </row>
        <row r="5814">
          <cell r="B5814" t="str">
            <v>Shipment</v>
          </cell>
        </row>
        <row r="5815">
          <cell r="B5815" t="str">
            <v>Shipment</v>
          </cell>
        </row>
        <row r="5816">
          <cell r="B5816" t="str">
            <v>Shipment</v>
          </cell>
        </row>
        <row r="5817">
          <cell r="B5817" t="str">
            <v>Shipment</v>
          </cell>
        </row>
        <row r="5818">
          <cell r="B5818" t="str">
            <v>Shipment</v>
          </cell>
        </row>
        <row r="5819">
          <cell r="B5819" t="str">
            <v>Shipment</v>
          </cell>
        </row>
        <row r="5820">
          <cell r="B5820" t="str">
            <v>Shipment</v>
          </cell>
        </row>
        <row r="5821">
          <cell r="B5821" t="str">
            <v>Shipment</v>
          </cell>
        </row>
        <row r="5822">
          <cell r="B5822" t="str">
            <v>Shipment</v>
          </cell>
        </row>
        <row r="5823">
          <cell r="B5823" t="str">
            <v>Shipment</v>
          </cell>
        </row>
        <row r="5824">
          <cell r="B5824" t="str">
            <v>Shipment</v>
          </cell>
        </row>
        <row r="5825">
          <cell r="B5825" t="str">
            <v>Shipment</v>
          </cell>
        </row>
        <row r="5826">
          <cell r="B5826" t="str">
            <v>Shipment</v>
          </cell>
        </row>
        <row r="5827">
          <cell r="B5827" t="str">
            <v>Shipment</v>
          </cell>
        </row>
        <row r="5828">
          <cell r="B5828" t="str">
            <v>Shipment</v>
          </cell>
        </row>
        <row r="5829">
          <cell r="B5829" t="str">
            <v>Shipment</v>
          </cell>
        </row>
        <row r="5830">
          <cell r="B5830" t="str">
            <v>Shipment</v>
          </cell>
        </row>
        <row r="5831">
          <cell r="B5831" t="str">
            <v>Shipment</v>
          </cell>
        </row>
        <row r="5832">
          <cell r="B5832" t="str">
            <v>Shipment</v>
          </cell>
        </row>
        <row r="5833">
          <cell r="B5833" t="str">
            <v>Shipment</v>
          </cell>
        </row>
        <row r="5834">
          <cell r="B5834" t="str">
            <v>Shipment</v>
          </cell>
        </row>
        <row r="5835">
          <cell r="B5835" t="str">
            <v>Shipment</v>
          </cell>
        </row>
        <row r="5836">
          <cell r="B5836" t="str">
            <v>Shipment</v>
          </cell>
        </row>
        <row r="5837">
          <cell r="B5837" t="str">
            <v>Shipment</v>
          </cell>
        </row>
        <row r="5838">
          <cell r="B5838" t="str">
            <v>Shipment</v>
          </cell>
        </row>
        <row r="5839">
          <cell r="B5839" t="str">
            <v>Shipment</v>
          </cell>
        </row>
        <row r="5840">
          <cell r="B5840" t="str">
            <v>Shipment</v>
          </cell>
        </row>
        <row r="5841">
          <cell r="B5841" t="str">
            <v>Shipment</v>
          </cell>
        </row>
        <row r="5842">
          <cell r="B5842" t="str">
            <v>Shipment</v>
          </cell>
        </row>
        <row r="5843">
          <cell r="B5843" t="str">
            <v>Shipment</v>
          </cell>
        </row>
        <row r="5844">
          <cell r="B5844" t="str">
            <v>Shipment</v>
          </cell>
        </row>
        <row r="5845">
          <cell r="B5845" t="str">
            <v>Shipment</v>
          </cell>
        </row>
        <row r="5846">
          <cell r="B5846" t="str">
            <v>Shipment</v>
          </cell>
        </row>
        <row r="5847">
          <cell r="B5847" t="str">
            <v>Shipment</v>
          </cell>
        </row>
        <row r="5848">
          <cell r="B5848" t="str">
            <v>Shipment</v>
          </cell>
        </row>
        <row r="5849">
          <cell r="B5849" t="str">
            <v>Shipment</v>
          </cell>
        </row>
        <row r="5850">
          <cell r="B5850" t="str">
            <v>Shipment</v>
          </cell>
        </row>
        <row r="5851">
          <cell r="B5851" t="str">
            <v>Shipment</v>
          </cell>
        </row>
        <row r="5852">
          <cell r="B5852" t="str">
            <v>Shipment</v>
          </cell>
        </row>
        <row r="5853">
          <cell r="B5853" t="str">
            <v>Shipment</v>
          </cell>
        </row>
        <row r="5854">
          <cell r="B5854" t="str">
            <v>Shipment</v>
          </cell>
        </row>
        <row r="5855">
          <cell r="B5855" t="str">
            <v>Shipment</v>
          </cell>
        </row>
        <row r="5856">
          <cell r="B5856" t="str">
            <v>Shipment</v>
          </cell>
        </row>
        <row r="5857">
          <cell r="B5857" t="str">
            <v>Shipment</v>
          </cell>
        </row>
        <row r="5858">
          <cell r="B5858" t="str">
            <v>Shipment</v>
          </cell>
        </row>
        <row r="5859">
          <cell r="B5859" t="str">
            <v>Shipment</v>
          </cell>
        </row>
        <row r="5860">
          <cell r="B5860" t="str">
            <v>Shipment</v>
          </cell>
        </row>
        <row r="5861">
          <cell r="B5861" t="str">
            <v>Shipment</v>
          </cell>
        </row>
        <row r="5862">
          <cell r="B5862" t="str">
            <v>Shipment</v>
          </cell>
        </row>
        <row r="5863">
          <cell r="B5863" t="str">
            <v>Shipment</v>
          </cell>
        </row>
        <row r="5864">
          <cell r="B5864" t="str">
            <v>Shipment</v>
          </cell>
        </row>
        <row r="5865">
          <cell r="B5865" t="str">
            <v>Shipment</v>
          </cell>
        </row>
        <row r="5866">
          <cell r="B5866" t="str">
            <v>Shipment</v>
          </cell>
        </row>
        <row r="5867">
          <cell r="B5867" t="str">
            <v>Shipment</v>
          </cell>
        </row>
        <row r="5868">
          <cell r="B5868" t="str">
            <v>Shipment</v>
          </cell>
        </row>
        <row r="5869">
          <cell r="B5869" t="str">
            <v>Shipment</v>
          </cell>
        </row>
        <row r="5870">
          <cell r="B5870" t="str">
            <v>Shipment</v>
          </cell>
        </row>
        <row r="5871">
          <cell r="B5871" t="str">
            <v>Shipment</v>
          </cell>
        </row>
        <row r="5872">
          <cell r="B5872" t="str">
            <v>Shipment</v>
          </cell>
        </row>
        <row r="5873">
          <cell r="B5873" t="str">
            <v>Shipment</v>
          </cell>
        </row>
        <row r="5874">
          <cell r="B5874" t="str">
            <v>Shipment</v>
          </cell>
        </row>
        <row r="5875">
          <cell r="B5875" t="str">
            <v>Shipment</v>
          </cell>
        </row>
        <row r="5876">
          <cell r="B5876" t="str">
            <v>Shipment</v>
          </cell>
        </row>
        <row r="5877">
          <cell r="B5877" t="str">
            <v>Shipment</v>
          </cell>
        </row>
        <row r="5878">
          <cell r="B5878" t="str">
            <v>Shipment</v>
          </cell>
        </row>
        <row r="5879">
          <cell r="B5879" t="str">
            <v>Shipment</v>
          </cell>
        </row>
        <row r="5880">
          <cell r="B5880" t="str">
            <v>Shipment</v>
          </cell>
        </row>
        <row r="5881">
          <cell r="B5881" t="str">
            <v>Shipment</v>
          </cell>
        </row>
        <row r="5882">
          <cell r="B5882" t="str">
            <v>Shipment</v>
          </cell>
        </row>
        <row r="5883">
          <cell r="B5883" t="str">
            <v>Shipment</v>
          </cell>
        </row>
        <row r="5884">
          <cell r="B5884" t="str">
            <v>Shipment</v>
          </cell>
        </row>
        <row r="5885">
          <cell r="B5885" t="str">
            <v>Shipment</v>
          </cell>
        </row>
        <row r="5886">
          <cell r="B5886" t="str">
            <v>Shipment</v>
          </cell>
        </row>
        <row r="5887">
          <cell r="B5887" t="str">
            <v>Shipment</v>
          </cell>
        </row>
        <row r="5888">
          <cell r="B5888" t="str">
            <v>Shipment</v>
          </cell>
        </row>
        <row r="5889">
          <cell r="B5889" t="str">
            <v>Shipment</v>
          </cell>
        </row>
        <row r="5890">
          <cell r="B5890" t="str">
            <v>Shipment</v>
          </cell>
        </row>
        <row r="5891">
          <cell r="B5891" t="str">
            <v>Shipment</v>
          </cell>
        </row>
        <row r="5892">
          <cell r="B5892" t="str">
            <v>Shipment</v>
          </cell>
        </row>
        <row r="5893">
          <cell r="B5893" t="str">
            <v>Shipment</v>
          </cell>
        </row>
        <row r="5894">
          <cell r="B5894" t="str">
            <v>Shipment</v>
          </cell>
        </row>
        <row r="5895">
          <cell r="B5895" t="str">
            <v>Shipment</v>
          </cell>
        </row>
        <row r="5896">
          <cell r="B5896" t="str">
            <v>Shipment</v>
          </cell>
        </row>
        <row r="5897">
          <cell r="B5897" t="str">
            <v>Shipment</v>
          </cell>
        </row>
        <row r="5898">
          <cell r="B5898" t="str">
            <v>Shipment</v>
          </cell>
        </row>
        <row r="5899">
          <cell r="B5899" t="str">
            <v>Shipment</v>
          </cell>
        </row>
        <row r="5900">
          <cell r="B5900" t="str">
            <v>Shipment</v>
          </cell>
        </row>
        <row r="5901">
          <cell r="B5901" t="str">
            <v>Shipment</v>
          </cell>
        </row>
        <row r="5902">
          <cell r="B5902" t="str">
            <v>Shipment</v>
          </cell>
        </row>
        <row r="5903">
          <cell r="B5903" t="str">
            <v>Shipment</v>
          </cell>
        </row>
        <row r="5904">
          <cell r="B5904" t="str">
            <v>Shipment</v>
          </cell>
        </row>
        <row r="5905">
          <cell r="B5905" t="str">
            <v>Shipment</v>
          </cell>
        </row>
        <row r="5906">
          <cell r="B5906" t="str">
            <v>Shipment</v>
          </cell>
        </row>
        <row r="5907">
          <cell r="B5907" t="str">
            <v>Shipment</v>
          </cell>
        </row>
        <row r="5908">
          <cell r="B5908" t="str">
            <v>Shipment</v>
          </cell>
        </row>
        <row r="5909">
          <cell r="B5909" t="str">
            <v>Shipment</v>
          </cell>
        </row>
        <row r="5910">
          <cell r="B5910" t="str">
            <v>Shipment</v>
          </cell>
        </row>
        <row r="5911">
          <cell r="B5911" t="str">
            <v>Shipment</v>
          </cell>
        </row>
        <row r="5912">
          <cell r="B5912" t="str">
            <v>Shipment</v>
          </cell>
        </row>
        <row r="5913">
          <cell r="B5913" t="str">
            <v>Shipment</v>
          </cell>
        </row>
        <row r="5914">
          <cell r="B5914" t="str">
            <v>Shipment</v>
          </cell>
        </row>
        <row r="5915">
          <cell r="B5915" t="str">
            <v>Shipment</v>
          </cell>
        </row>
        <row r="5916">
          <cell r="B5916" t="str">
            <v>Shipment</v>
          </cell>
        </row>
        <row r="5917">
          <cell r="B5917" t="str">
            <v>Shipment</v>
          </cell>
        </row>
        <row r="5918">
          <cell r="B5918" t="str">
            <v>Shipment</v>
          </cell>
        </row>
        <row r="5919">
          <cell r="B5919" t="str">
            <v>Shipment</v>
          </cell>
        </row>
        <row r="5920">
          <cell r="B5920" t="str">
            <v>Shipment</v>
          </cell>
        </row>
        <row r="5921">
          <cell r="B5921" t="str">
            <v>Shipment</v>
          </cell>
        </row>
        <row r="5922">
          <cell r="B5922" t="str">
            <v>Shipment</v>
          </cell>
        </row>
        <row r="5923">
          <cell r="B5923" t="str">
            <v>Shipment</v>
          </cell>
        </row>
        <row r="5924">
          <cell r="B5924" t="str">
            <v>Shipment</v>
          </cell>
        </row>
        <row r="5925">
          <cell r="B5925" t="str">
            <v>Shipment</v>
          </cell>
        </row>
        <row r="5926">
          <cell r="B5926" t="str">
            <v>Shipment</v>
          </cell>
        </row>
        <row r="5927">
          <cell r="B5927" t="str">
            <v>Shipment</v>
          </cell>
        </row>
        <row r="5928">
          <cell r="B5928" t="str">
            <v>Shipment</v>
          </cell>
        </row>
        <row r="5929">
          <cell r="B5929" t="str">
            <v>Shipment</v>
          </cell>
        </row>
        <row r="5930">
          <cell r="B5930" t="str">
            <v>Shipment</v>
          </cell>
        </row>
        <row r="5931">
          <cell r="B5931" t="str">
            <v>Shipment</v>
          </cell>
        </row>
        <row r="5932">
          <cell r="B5932" t="str">
            <v>Shipment</v>
          </cell>
        </row>
        <row r="5933">
          <cell r="B5933" t="str">
            <v>Shipment</v>
          </cell>
        </row>
        <row r="5934">
          <cell r="B5934" t="str">
            <v>Shipment</v>
          </cell>
        </row>
        <row r="5935">
          <cell r="B5935" t="str">
            <v>Shipment</v>
          </cell>
        </row>
        <row r="5936">
          <cell r="B5936" t="str">
            <v>Shipment</v>
          </cell>
        </row>
        <row r="5937">
          <cell r="B5937" t="str">
            <v>Shipment</v>
          </cell>
        </row>
        <row r="5938">
          <cell r="B5938" t="str">
            <v>Shipment</v>
          </cell>
        </row>
        <row r="5939">
          <cell r="B5939" t="str">
            <v>Shipment</v>
          </cell>
        </row>
        <row r="5940">
          <cell r="B5940" t="str">
            <v>Shipment</v>
          </cell>
        </row>
        <row r="5941">
          <cell r="B5941" t="str">
            <v>Shipment</v>
          </cell>
        </row>
        <row r="5942">
          <cell r="B5942" t="str">
            <v>Shipment</v>
          </cell>
        </row>
        <row r="5943">
          <cell r="B5943" t="str">
            <v>Shipment</v>
          </cell>
        </row>
        <row r="5944">
          <cell r="B5944" t="str">
            <v>Shipment</v>
          </cell>
        </row>
        <row r="5945">
          <cell r="B5945" t="str">
            <v>Shipment</v>
          </cell>
        </row>
        <row r="5946">
          <cell r="B5946" t="str">
            <v>Shipment</v>
          </cell>
        </row>
        <row r="5947">
          <cell r="B5947" t="str">
            <v>Shipment</v>
          </cell>
        </row>
        <row r="5948">
          <cell r="B5948" t="str">
            <v>Shipment</v>
          </cell>
        </row>
        <row r="5949">
          <cell r="B5949" t="str">
            <v>Shipment</v>
          </cell>
        </row>
        <row r="5950">
          <cell r="B5950" t="str">
            <v>Shipment</v>
          </cell>
        </row>
        <row r="5951">
          <cell r="B5951" t="str">
            <v>Shipment</v>
          </cell>
        </row>
        <row r="5952">
          <cell r="B5952" t="str">
            <v>Shipment</v>
          </cell>
        </row>
        <row r="5953">
          <cell r="B5953" t="str">
            <v>Shipment</v>
          </cell>
        </row>
        <row r="5954">
          <cell r="B5954" t="str">
            <v>Shipment</v>
          </cell>
        </row>
        <row r="5955">
          <cell r="B5955" t="str">
            <v>Shipment</v>
          </cell>
        </row>
        <row r="5956">
          <cell r="B5956" t="str">
            <v>Shipment</v>
          </cell>
        </row>
        <row r="5957">
          <cell r="B5957" t="str">
            <v>Shipment</v>
          </cell>
        </row>
        <row r="5958">
          <cell r="B5958" t="str">
            <v>Shipment</v>
          </cell>
        </row>
        <row r="5959">
          <cell r="B5959" t="str">
            <v>Shipment</v>
          </cell>
        </row>
        <row r="5960">
          <cell r="B5960" t="str">
            <v>Shipment</v>
          </cell>
        </row>
        <row r="5961">
          <cell r="B5961" t="str">
            <v>Shipment</v>
          </cell>
        </row>
        <row r="5962">
          <cell r="B5962" t="str">
            <v>Shipment</v>
          </cell>
        </row>
        <row r="5963">
          <cell r="B5963" t="str">
            <v>Shipment</v>
          </cell>
        </row>
        <row r="5964">
          <cell r="B5964" t="str">
            <v>Shipment</v>
          </cell>
        </row>
        <row r="5965">
          <cell r="B5965" t="str">
            <v>Shipment</v>
          </cell>
        </row>
        <row r="5966">
          <cell r="B5966" t="str">
            <v>Shipment</v>
          </cell>
        </row>
        <row r="5967">
          <cell r="B5967" t="str">
            <v>Shipment</v>
          </cell>
        </row>
        <row r="5968">
          <cell r="B5968" t="str">
            <v>Shipment</v>
          </cell>
        </row>
        <row r="5969">
          <cell r="B5969" t="str">
            <v>Shipment</v>
          </cell>
        </row>
        <row r="5970">
          <cell r="B5970" t="str">
            <v>Shipment</v>
          </cell>
        </row>
        <row r="5971">
          <cell r="B5971" t="str">
            <v>Shipment</v>
          </cell>
        </row>
        <row r="5972">
          <cell r="B5972" t="str">
            <v>Shipment</v>
          </cell>
        </row>
        <row r="5973">
          <cell r="B5973" t="str">
            <v>Shipment</v>
          </cell>
        </row>
        <row r="5974">
          <cell r="B5974" t="str">
            <v>Shipment</v>
          </cell>
        </row>
        <row r="5975">
          <cell r="B5975" t="str">
            <v>Shipment</v>
          </cell>
        </row>
        <row r="5976">
          <cell r="B5976" t="str">
            <v>Shipment</v>
          </cell>
        </row>
        <row r="5977">
          <cell r="B5977" t="str">
            <v>Shipment</v>
          </cell>
        </row>
        <row r="5978">
          <cell r="B5978" t="str">
            <v>Shipment</v>
          </cell>
        </row>
        <row r="5979">
          <cell r="B5979" t="str">
            <v>Shipment</v>
          </cell>
        </row>
        <row r="5980">
          <cell r="B5980" t="str">
            <v>Shipment</v>
          </cell>
        </row>
        <row r="5981">
          <cell r="B5981" t="str">
            <v>Shipment</v>
          </cell>
        </row>
        <row r="5982">
          <cell r="B5982" t="str">
            <v>Shipment</v>
          </cell>
        </row>
        <row r="5983">
          <cell r="B5983" t="str">
            <v>Shipment</v>
          </cell>
        </row>
        <row r="5984">
          <cell r="B5984" t="str">
            <v>Shipment</v>
          </cell>
        </row>
        <row r="5985">
          <cell r="B5985" t="str">
            <v>Shipment</v>
          </cell>
        </row>
        <row r="5986">
          <cell r="B5986" t="str">
            <v>Shipment</v>
          </cell>
        </row>
        <row r="5987">
          <cell r="B5987" t="str">
            <v>Shipment</v>
          </cell>
        </row>
        <row r="5988">
          <cell r="B5988" t="str">
            <v>Shipment</v>
          </cell>
        </row>
        <row r="5989">
          <cell r="B5989" t="str">
            <v>Shipment</v>
          </cell>
        </row>
        <row r="5990">
          <cell r="B5990" t="str">
            <v>Shipment</v>
          </cell>
        </row>
        <row r="5991">
          <cell r="B5991" t="str">
            <v>Shipment</v>
          </cell>
        </row>
        <row r="5992">
          <cell r="B5992" t="str">
            <v>Shipment</v>
          </cell>
        </row>
        <row r="5993">
          <cell r="B5993" t="str">
            <v>Shipment</v>
          </cell>
        </row>
        <row r="5994">
          <cell r="B5994" t="str">
            <v>Shipment</v>
          </cell>
        </row>
        <row r="5995">
          <cell r="B5995" t="str">
            <v>Shipment</v>
          </cell>
        </row>
        <row r="5996">
          <cell r="B5996" t="str">
            <v>Shipment</v>
          </cell>
        </row>
        <row r="5997">
          <cell r="B5997" t="str">
            <v>Shipment</v>
          </cell>
        </row>
        <row r="5998">
          <cell r="B5998" t="str">
            <v>Shipment</v>
          </cell>
        </row>
        <row r="5999">
          <cell r="B5999" t="str">
            <v>Shipment</v>
          </cell>
        </row>
        <row r="6000">
          <cell r="B6000" t="str">
            <v>Shipment</v>
          </cell>
        </row>
        <row r="6001">
          <cell r="B6001" t="str">
            <v>Shipment</v>
          </cell>
        </row>
        <row r="6002">
          <cell r="B6002" t="str">
            <v>Shipment</v>
          </cell>
        </row>
        <row r="6003">
          <cell r="B6003" t="str">
            <v>Shipment</v>
          </cell>
        </row>
        <row r="6004">
          <cell r="B6004" t="str">
            <v>Shipment</v>
          </cell>
        </row>
        <row r="6005">
          <cell r="B6005" t="str">
            <v>Shipment</v>
          </cell>
        </row>
        <row r="6006">
          <cell r="B6006" t="str">
            <v>Shipment</v>
          </cell>
        </row>
        <row r="6007">
          <cell r="B6007" t="str">
            <v>Shipment</v>
          </cell>
        </row>
        <row r="6008">
          <cell r="B6008" t="str">
            <v>Shipment</v>
          </cell>
        </row>
        <row r="6009">
          <cell r="B6009" t="str">
            <v>Shipment</v>
          </cell>
        </row>
        <row r="6010">
          <cell r="B6010" t="str">
            <v>Shipment</v>
          </cell>
        </row>
        <row r="6011">
          <cell r="B6011" t="str">
            <v>Shipment</v>
          </cell>
        </row>
        <row r="6012">
          <cell r="B6012" t="str">
            <v>Shipment</v>
          </cell>
        </row>
        <row r="6013">
          <cell r="B6013" t="str">
            <v>Shipment</v>
          </cell>
        </row>
        <row r="6014">
          <cell r="B6014" t="str">
            <v>Shipment</v>
          </cell>
        </row>
        <row r="6015">
          <cell r="B6015" t="str">
            <v>Shipment</v>
          </cell>
        </row>
        <row r="6016">
          <cell r="B6016" t="str">
            <v>Shipment</v>
          </cell>
        </row>
        <row r="6017">
          <cell r="B6017" t="str">
            <v>Shipment</v>
          </cell>
        </row>
        <row r="6018">
          <cell r="B6018" t="str">
            <v>Shipment</v>
          </cell>
        </row>
        <row r="6019">
          <cell r="B6019" t="str">
            <v>Shipment</v>
          </cell>
        </row>
        <row r="6020">
          <cell r="B6020" t="str">
            <v>Shipment</v>
          </cell>
        </row>
        <row r="6021">
          <cell r="B6021" t="str">
            <v>Shipment</v>
          </cell>
        </row>
        <row r="6022">
          <cell r="B6022" t="str">
            <v>Shipment</v>
          </cell>
        </row>
        <row r="6023">
          <cell r="B6023" t="str">
            <v>Shipment</v>
          </cell>
        </row>
        <row r="6024">
          <cell r="B6024" t="str">
            <v>Shipment</v>
          </cell>
        </row>
        <row r="6025">
          <cell r="B6025" t="str">
            <v>Shipment</v>
          </cell>
        </row>
        <row r="6026">
          <cell r="B6026" t="str">
            <v>Shipment</v>
          </cell>
        </row>
        <row r="6027">
          <cell r="B6027" t="str">
            <v>Shipment</v>
          </cell>
        </row>
        <row r="6028">
          <cell r="B6028" t="str">
            <v>Shipment</v>
          </cell>
        </row>
        <row r="6029">
          <cell r="B6029" t="str">
            <v>Shipment</v>
          </cell>
        </row>
        <row r="6030">
          <cell r="B6030" t="str">
            <v>Shipment</v>
          </cell>
        </row>
        <row r="6031">
          <cell r="B6031" t="str">
            <v>Shipment</v>
          </cell>
        </row>
        <row r="6032">
          <cell r="B6032" t="str">
            <v>Shipment</v>
          </cell>
        </row>
        <row r="6033">
          <cell r="B6033" t="str">
            <v>Shipment</v>
          </cell>
        </row>
        <row r="6034">
          <cell r="B6034" t="str">
            <v>Shipment</v>
          </cell>
        </row>
        <row r="6035">
          <cell r="B6035" t="str">
            <v>Shipment</v>
          </cell>
        </row>
        <row r="6036">
          <cell r="B6036" t="str">
            <v>Shipment</v>
          </cell>
        </row>
        <row r="6037">
          <cell r="B6037" t="str">
            <v>Shipment</v>
          </cell>
        </row>
        <row r="6038">
          <cell r="B6038" t="str">
            <v>Shipment</v>
          </cell>
        </row>
        <row r="6039">
          <cell r="B6039" t="str">
            <v>Shipment</v>
          </cell>
        </row>
        <row r="6040">
          <cell r="B6040" t="str">
            <v>Shipment</v>
          </cell>
        </row>
        <row r="6041">
          <cell r="B6041" t="str">
            <v>Shipment</v>
          </cell>
        </row>
        <row r="6042">
          <cell r="B6042" t="str">
            <v>Shipment</v>
          </cell>
        </row>
        <row r="6043">
          <cell r="B6043" t="str">
            <v>Shipment</v>
          </cell>
        </row>
        <row r="6044">
          <cell r="B6044" t="str">
            <v>Shipment</v>
          </cell>
        </row>
        <row r="6045">
          <cell r="B6045" t="str">
            <v>Shipment</v>
          </cell>
        </row>
        <row r="6046">
          <cell r="B6046" t="str">
            <v>Shipment</v>
          </cell>
        </row>
        <row r="6047">
          <cell r="B6047" t="str">
            <v>Shipment</v>
          </cell>
        </row>
        <row r="6048">
          <cell r="B6048" t="str">
            <v>Shipment</v>
          </cell>
        </row>
        <row r="6049">
          <cell r="B6049" t="str">
            <v>Shipment</v>
          </cell>
        </row>
        <row r="6050">
          <cell r="B6050" t="str">
            <v>Shipment</v>
          </cell>
        </row>
        <row r="6051">
          <cell r="B6051" t="str">
            <v>Shipment</v>
          </cell>
        </row>
        <row r="6052">
          <cell r="B6052" t="str">
            <v>Shipment</v>
          </cell>
        </row>
        <row r="6053">
          <cell r="B6053" t="str">
            <v>Shipment</v>
          </cell>
        </row>
        <row r="6054">
          <cell r="B6054" t="str">
            <v>Shipment</v>
          </cell>
        </row>
        <row r="6055">
          <cell r="B6055" t="str">
            <v>Shipment</v>
          </cell>
        </row>
        <row r="6056">
          <cell r="B6056" t="str">
            <v>Shipment</v>
          </cell>
        </row>
        <row r="6057">
          <cell r="B6057" t="str">
            <v>Shipment</v>
          </cell>
        </row>
        <row r="6058">
          <cell r="B6058" t="str">
            <v>Shipment</v>
          </cell>
        </row>
        <row r="6059">
          <cell r="B6059" t="str">
            <v>Shipment</v>
          </cell>
        </row>
        <row r="6060">
          <cell r="B6060" t="str">
            <v>Shipment</v>
          </cell>
        </row>
        <row r="6061">
          <cell r="B6061" t="str">
            <v>Shipment</v>
          </cell>
        </row>
        <row r="6062">
          <cell r="B6062" t="str">
            <v>Shipment</v>
          </cell>
        </row>
        <row r="6063">
          <cell r="B6063" t="str">
            <v>Shipment</v>
          </cell>
        </row>
        <row r="6064">
          <cell r="B6064" t="str">
            <v>Shipment</v>
          </cell>
        </row>
        <row r="6065">
          <cell r="B6065" t="str">
            <v>Shipment</v>
          </cell>
        </row>
        <row r="6066">
          <cell r="B6066" t="str">
            <v>Shipment</v>
          </cell>
        </row>
        <row r="6067">
          <cell r="B6067" t="str">
            <v>Shipment</v>
          </cell>
        </row>
        <row r="6068">
          <cell r="B6068" t="str">
            <v>Shipment</v>
          </cell>
        </row>
        <row r="6069">
          <cell r="B6069" t="str">
            <v>Shipment</v>
          </cell>
        </row>
        <row r="6070">
          <cell r="B6070" t="str">
            <v>Shipment</v>
          </cell>
        </row>
        <row r="6071">
          <cell r="B6071" t="str">
            <v>Shipment</v>
          </cell>
        </row>
        <row r="6072">
          <cell r="B6072" t="str">
            <v>Shipment</v>
          </cell>
        </row>
        <row r="6073">
          <cell r="B6073" t="str">
            <v>Shipment</v>
          </cell>
        </row>
        <row r="6074">
          <cell r="B6074" t="str">
            <v>Shipment</v>
          </cell>
        </row>
        <row r="6075">
          <cell r="B6075" t="str">
            <v>Shipment</v>
          </cell>
        </row>
        <row r="6076">
          <cell r="B6076" t="str">
            <v>Shipment</v>
          </cell>
        </row>
        <row r="6077">
          <cell r="B6077" t="str">
            <v>Shipment</v>
          </cell>
        </row>
        <row r="6078">
          <cell r="B6078" t="str">
            <v>Shipment</v>
          </cell>
        </row>
        <row r="6079">
          <cell r="B6079" t="str">
            <v>Shipment</v>
          </cell>
        </row>
        <row r="6080">
          <cell r="B6080" t="str">
            <v>Shipment</v>
          </cell>
        </row>
        <row r="6081">
          <cell r="B6081" t="str">
            <v>Shipment</v>
          </cell>
        </row>
        <row r="6082">
          <cell r="B6082" t="str">
            <v>Shipment</v>
          </cell>
        </row>
        <row r="6083">
          <cell r="B6083" t="str">
            <v>Shipment</v>
          </cell>
        </row>
        <row r="6084">
          <cell r="B6084" t="str">
            <v>Shipment</v>
          </cell>
        </row>
        <row r="6085">
          <cell r="B6085" t="str">
            <v>Shipment</v>
          </cell>
        </row>
        <row r="6086">
          <cell r="B6086" t="str">
            <v>Shipment</v>
          </cell>
        </row>
        <row r="6087">
          <cell r="B6087" t="str">
            <v>Shipment</v>
          </cell>
        </row>
        <row r="6088">
          <cell r="B6088" t="str">
            <v>Shipment</v>
          </cell>
        </row>
        <row r="6089">
          <cell r="B6089" t="str">
            <v>Shipment</v>
          </cell>
        </row>
        <row r="6090">
          <cell r="B6090" t="str">
            <v>Shipment</v>
          </cell>
        </row>
        <row r="6091">
          <cell r="B6091" t="str">
            <v>Shipment</v>
          </cell>
        </row>
        <row r="6092">
          <cell r="B6092" t="str">
            <v>Shipment</v>
          </cell>
        </row>
        <row r="6093">
          <cell r="B6093" t="str">
            <v>Shipment</v>
          </cell>
        </row>
        <row r="6094">
          <cell r="B6094" t="str">
            <v>Shipment</v>
          </cell>
        </row>
        <row r="6095">
          <cell r="B6095" t="str">
            <v>Shipment</v>
          </cell>
        </row>
        <row r="6096">
          <cell r="B6096" t="str">
            <v>Shipment</v>
          </cell>
        </row>
        <row r="6097">
          <cell r="B6097" t="str">
            <v>Shipment</v>
          </cell>
        </row>
        <row r="6098">
          <cell r="B6098" t="str">
            <v>Shipment</v>
          </cell>
        </row>
        <row r="6099">
          <cell r="B6099" t="str">
            <v>Shipment</v>
          </cell>
        </row>
        <row r="6100">
          <cell r="B6100" t="str">
            <v>Shipment</v>
          </cell>
        </row>
        <row r="6101">
          <cell r="B6101" t="str">
            <v>Shipment</v>
          </cell>
        </row>
        <row r="6102">
          <cell r="B6102" t="str">
            <v>Shipment</v>
          </cell>
        </row>
        <row r="6103">
          <cell r="B6103" t="str">
            <v>Shipment</v>
          </cell>
        </row>
        <row r="6104">
          <cell r="B6104" t="str">
            <v>Shipment</v>
          </cell>
        </row>
        <row r="6105">
          <cell r="B6105" t="str">
            <v>Shipment</v>
          </cell>
        </row>
        <row r="6106">
          <cell r="B6106" t="str">
            <v>Shipment</v>
          </cell>
        </row>
        <row r="6107">
          <cell r="B6107" t="str">
            <v>Shipment</v>
          </cell>
        </row>
        <row r="6108">
          <cell r="B6108" t="str">
            <v>Shipment</v>
          </cell>
        </row>
        <row r="6109">
          <cell r="B6109" t="str">
            <v>Shipment</v>
          </cell>
        </row>
        <row r="6110">
          <cell r="B6110" t="str">
            <v>Shipment</v>
          </cell>
        </row>
        <row r="6111">
          <cell r="B6111" t="str">
            <v>Shipment</v>
          </cell>
        </row>
        <row r="6112">
          <cell r="B6112" t="str">
            <v>Shipment</v>
          </cell>
        </row>
        <row r="6113">
          <cell r="B6113" t="str">
            <v>Shipment</v>
          </cell>
        </row>
        <row r="6114">
          <cell r="B6114" t="str">
            <v>Shipment</v>
          </cell>
        </row>
        <row r="6115">
          <cell r="B6115" t="str">
            <v>Shipment</v>
          </cell>
        </row>
        <row r="6116">
          <cell r="B6116" t="str">
            <v>Shipment</v>
          </cell>
        </row>
        <row r="6117">
          <cell r="B6117" t="str">
            <v>Shipment</v>
          </cell>
        </row>
        <row r="6118">
          <cell r="B6118" t="str">
            <v>Shipment</v>
          </cell>
        </row>
        <row r="6119">
          <cell r="B6119" t="str">
            <v>Shipment</v>
          </cell>
        </row>
        <row r="6120">
          <cell r="B6120" t="str">
            <v>Shipment</v>
          </cell>
        </row>
        <row r="6121">
          <cell r="B6121" t="str">
            <v>Shipment</v>
          </cell>
        </row>
        <row r="6122">
          <cell r="B6122" t="str">
            <v>Shipment</v>
          </cell>
        </row>
        <row r="6123">
          <cell r="B6123" t="str">
            <v>Shipment</v>
          </cell>
        </row>
        <row r="6124">
          <cell r="B6124" t="str">
            <v>Shipment</v>
          </cell>
        </row>
        <row r="6125">
          <cell r="B6125" t="str">
            <v>Shipment</v>
          </cell>
        </row>
        <row r="6126">
          <cell r="B6126" t="str">
            <v>Shipment</v>
          </cell>
        </row>
        <row r="6127">
          <cell r="B6127" t="str">
            <v>Shipment</v>
          </cell>
        </row>
        <row r="6128">
          <cell r="B6128" t="str">
            <v>Shipment</v>
          </cell>
        </row>
        <row r="6129">
          <cell r="B6129" t="str">
            <v>Shipment</v>
          </cell>
        </row>
        <row r="6130">
          <cell r="B6130" t="str">
            <v>Shipment</v>
          </cell>
        </row>
        <row r="6131">
          <cell r="B6131" t="str">
            <v>Shipment</v>
          </cell>
        </row>
        <row r="6132">
          <cell r="B6132" t="str">
            <v>Shipment</v>
          </cell>
        </row>
        <row r="6133">
          <cell r="B6133" t="str">
            <v>Shipment</v>
          </cell>
        </row>
        <row r="6134">
          <cell r="B6134" t="str">
            <v>Shipment</v>
          </cell>
        </row>
        <row r="6135">
          <cell r="B6135" t="str">
            <v>Shipment</v>
          </cell>
        </row>
        <row r="6136">
          <cell r="B6136" t="str">
            <v>Shipment</v>
          </cell>
        </row>
        <row r="6137">
          <cell r="B6137" t="str">
            <v>Shipment</v>
          </cell>
        </row>
        <row r="6138">
          <cell r="B6138" t="str">
            <v>Shipment</v>
          </cell>
        </row>
        <row r="6139">
          <cell r="B6139" t="str">
            <v>Shipment</v>
          </cell>
        </row>
        <row r="6140">
          <cell r="B6140" t="str">
            <v>Shipment</v>
          </cell>
        </row>
        <row r="6141">
          <cell r="B6141" t="str">
            <v>Shipment</v>
          </cell>
        </row>
        <row r="6142">
          <cell r="B6142" t="str">
            <v>Shipment</v>
          </cell>
        </row>
        <row r="6143">
          <cell r="B6143" t="str">
            <v>Shipment</v>
          </cell>
        </row>
        <row r="6144">
          <cell r="B6144" t="str">
            <v>Shipment</v>
          </cell>
        </row>
        <row r="6145">
          <cell r="B6145" t="str">
            <v>Shipment</v>
          </cell>
        </row>
        <row r="6146">
          <cell r="B6146" t="str">
            <v>Shipment</v>
          </cell>
        </row>
        <row r="6147">
          <cell r="B6147" t="str">
            <v>Shipment</v>
          </cell>
        </row>
        <row r="6148">
          <cell r="B6148" t="str">
            <v>Shipment</v>
          </cell>
        </row>
        <row r="6149">
          <cell r="B6149" t="str">
            <v>Shipment</v>
          </cell>
        </row>
        <row r="6150">
          <cell r="B6150" t="str">
            <v>Shipment</v>
          </cell>
        </row>
        <row r="6151">
          <cell r="B6151" t="str">
            <v>Shipment</v>
          </cell>
        </row>
        <row r="6152">
          <cell r="B6152" t="str">
            <v>Shipment</v>
          </cell>
        </row>
        <row r="6153">
          <cell r="B6153" t="str">
            <v>Shipment</v>
          </cell>
        </row>
        <row r="6154">
          <cell r="B6154" t="str">
            <v>Shipment</v>
          </cell>
        </row>
        <row r="6155">
          <cell r="B6155" t="str">
            <v>Shipment</v>
          </cell>
        </row>
        <row r="6156">
          <cell r="B6156" t="str">
            <v>Shipment</v>
          </cell>
        </row>
        <row r="6157">
          <cell r="B6157" t="str">
            <v>Shipment</v>
          </cell>
        </row>
        <row r="6158">
          <cell r="B6158" t="str">
            <v>Shipment</v>
          </cell>
        </row>
        <row r="6159">
          <cell r="B6159" t="str">
            <v>Shipment</v>
          </cell>
        </row>
        <row r="6160">
          <cell r="B6160" t="str">
            <v>Shipment</v>
          </cell>
        </row>
        <row r="6161">
          <cell r="B6161" t="str">
            <v>Shipment</v>
          </cell>
        </row>
        <row r="6162">
          <cell r="B6162" t="str">
            <v>Shipment</v>
          </cell>
        </row>
        <row r="6163">
          <cell r="B6163" t="str">
            <v>Shipment</v>
          </cell>
        </row>
        <row r="6164">
          <cell r="B6164" t="str">
            <v>Shipment</v>
          </cell>
        </row>
        <row r="6165">
          <cell r="B6165" t="str">
            <v>Shipment</v>
          </cell>
        </row>
        <row r="6166">
          <cell r="B6166" t="str">
            <v>Shipment</v>
          </cell>
        </row>
        <row r="6167">
          <cell r="B6167" t="str">
            <v>Shipment</v>
          </cell>
        </row>
        <row r="6168">
          <cell r="B6168" t="str">
            <v>Shipment</v>
          </cell>
        </row>
        <row r="6169">
          <cell r="B6169" t="str">
            <v>Shipment</v>
          </cell>
        </row>
        <row r="6170">
          <cell r="B6170" t="str">
            <v>Shipment</v>
          </cell>
        </row>
        <row r="6171">
          <cell r="B6171" t="str">
            <v>Shipment</v>
          </cell>
        </row>
        <row r="6172">
          <cell r="B6172" t="str">
            <v>Shipment</v>
          </cell>
        </row>
        <row r="6173">
          <cell r="B6173" t="str">
            <v>Shipment</v>
          </cell>
        </row>
        <row r="6174">
          <cell r="B6174" t="str">
            <v>Shipment</v>
          </cell>
        </row>
        <row r="6175">
          <cell r="B6175" t="str">
            <v>Shipment</v>
          </cell>
        </row>
        <row r="6176">
          <cell r="B6176" t="str">
            <v>Shipment</v>
          </cell>
        </row>
        <row r="6177">
          <cell r="B6177" t="str">
            <v>Shipment</v>
          </cell>
        </row>
        <row r="6178">
          <cell r="B6178" t="str">
            <v>Shipment</v>
          </cell>
        </row>
        <row r="6179">
          <cell r="B6179" t="str">
            <v>Shipment</v>
          </cell>
        </row>
        <row r="6180">
          <cell r="B6180" t="str">
            <v>Shipment</v>
          </cell>
        </row>
        <row r="6181">
          <cell r="B6181" t="str">
            <v>Shipment</v>
          </cell>
        </row>
        <row r="6182">
          <cell r="B6182" t="str">
            <v>Shipment</v>
          </cell>
        </row>
        <row r="6183">
          <cell r="B6183" t="str">
            <v>Shipment</v>
          </cell>
        </row>
        <row r="6184">
          <cell r="B6184" t="str">
            <v>Shipment</v>
          </cell>
        </row>
        <row r="6185">
          <cell r="B6185" t="str">
            <v>Shipment</v>
          </cell>
        </row>
        <row r="6186">
          <cell r="B6186" t="str">
            <v>Shipment</v>
          </cell>
        </row>
        <row r="6187">
          <cell r="B6187" t="str">
            <v>Shipment</v>
          </cell>
        </row>
        <row r="6188">
          <cell r="B6188" t="str">
            <v>Shipment</v>
          </cell>
        </row>
        <row r="6189">
          <cell r="B6189" t="str">
            <v>Shipment</v>
          </cell>
        </row>
        <row r="6190">
          <cell r="B6190" t="str">
            <v>Shipment</v>
          </cell>
        </row>
        <row r="6191">
          <cell r="B6191" t="str">
            <v>Shipment</v>
          </cell>
        </row>
        <row r="6192">
          <cell r="B6192" t="str">
            <v>Shipment</v>
          </cell>
        </row>
        <row r="6193">
          <cell r="B6193" t="str">
            <v>Shipment</v>
          </cell>
        </row>
        <row r="6194">
          <cell r="B6194" t="str">
            <v>Shipment</v>
          </cell>
        </row>
        <row r="6195">
          <cell r="B6195" t="str">
            <v>Shipment</v>
          </cell>
        </row>
        <row r="6196">
          <cell r="B6196" t="str">
            <v>Shipment</v>
          </cell>
        </row>
        <row r="6197">
          <cell r="B6197" t="str">
            <v>Shipment</v>
          </cell>
        </row>
        <row r="6198">
          <cell r="B6198" t="str">
            <v>Shipment</v>
          </cell>
        </row>
        <row r="6199">
          <cell r="B6199" t="str">
            <v>Shipment</v>
          </cell>
        </row>
        <row r="6200">
          <cell r="B6200" t="str">
            <v>Shipment</v>
          </cell>
        </row>
        <row r="6201">
          <cell r="B6201" t="str">
            <v>Shipment</v>
          </cell>
        </row>
        <row r="6202">
          <cell r="B6202" t="str">
            <v>Shipment</v>
          </cell>
        </row>
        <row r="6203">
          <cell r="B6203" t="str">
            <v>Shipment</v>
          </cell>
        </row>
        <row r="6204">
          <cell r="B6204" t="str">
            <v>Shipment</v>
          </cell>
        </row>
        <row r="6205">
          <cell r="B6205" t="str">
            <v>Shipment</v>
          </cell>
        </row>
        <row r="6206">
          <cell r="B6206" t="str">
            <v>Shipment</v>
          </cell>
        </row>
        <row r="6207">
          <cell r="B6207" t="str">
            <v>Shipment</v>
          </cell>
        </row>
        <row r="6208">
          <cell r="B6208" t="str">
            <v>Shipment</v>
          </cell>
        </row>
        <row r="6209">
          <cell r="B6209" t="str">
            <v>Shipment</v>
          </cell>
        </row>
        <row r="6210">
          <cell r="B6210" t="str">
            <v>Shipment</v>
          </cell>
        </row>
        <row r="6211">
          <cell r="B6211" t="str">
            <v>Shipment</v>
          </cell>
        </row>
        <row r="6212">
          <cell r="B6212" t="str">
            <v>Shipment</v>
          </cell>
        </row>
        <row r="6213">
          <cell r="B6213" t="str">
            <v>Shipment</v>
          </cell>
        </row>
        <row r="6214">
          <cell r="B6214" t="str">
            <v>Shipment</v>
          </cell>
        </row>
        <row r="6215">
          <cell r="B6215" t="str">
            <v>Shipment</v>
          </cell>
        </row>
        <row r="6216">
          <cell r="B6216" t="str">
            <v>Shipment</v>
          </cell>
        </row>
        <row r="6217">
          <cell r="B6217" t="str">
            <v>Shipment</v>
          </cell>
        </row>
        <row r="6218">
          <cell r="B6218" t="str">
            <v>Shipment</v>
          </cell>
        </row>
        <row r="6219">
          <cell r="B6219" t="str">
            <v>Shipment</v>
          </cell>
        </row>
        <row r="6220">
          <cell r="B6220" t="str">
            <v>Shipment</v>
          </cell>
        </row>
        <row r="6221">
          <cell r="B6221" t="str">
            <v>Shipment</v>
          </cell>
        </row>
        <row r="6222">
          <cell r="B6222" t="str">
            <v>Shipment</v>
          </cell>
        </row>
        <row r="6223">
          <cell r="B6223" t="str">
            <v>Shipment</v>
          </cell>
        </row>
        <row r="6224">
          <cell r="B6224" t="str">
            <v>Shipment</v>
          </cell>
        </row>
        <row r="6225">
          <cell r="B6225" t="str">
            <v>Shipment</v>
          </cell>
        </row>
        <row r="6226">
          <cell r="B6226" t="str">
            <v>Shipment</v>
          </cell>
        </row>
        <row r="6227">
          <cell r="B6227" t="str">
            <v>Shipment</v>
          </cell>
        </row>
        <row r="6228">
          <cell r="B6228" t="str">
            <v>Shipment</v>
          </cell>
        </row>
        <row r="6229">
          <cell r="B6229" t="str">
            <v>Shipment</v>
          </cell>
        </row>
        <row r="6230">
          <cell r="B6230" t="str">
            <v>Shipment</v>
          </cell>
        </row>
        <row r="6231">
          <cell r="B6231" t="str">
            <v>Shipment</v>
          </cell>
        </row>
        <row r="6232">
          <cell r="B6232" t="str">
            <v>Shipment</v>
          </cell>
        </row>
        <row r="6233">
          <cell r="B6233" t="str">
            <v>Shipment</v>
          </cell>
        </row>
        <row r="6234">
          <cell r="B6234" t="str">
            <v>Shipment</v>
          </cell>
        </row>
        <row r="6235">
          <cell r="B6235" t="str">
            <v>Shipment</v>
          </cell>
        </row>
        <row r="6236">
          <cell r="B6236" t="str">
            <v>Shipment</v>
          </cell>
        </row>
        <row r="6237">
          <cell r="B6237" t="str">
            <v>Shipment</v>
          </cell>
        </row>
        <row r="6238">
          <cell r="B6238" t="str">
            <v>Shipment</v>
          </cell>
        </row>
        <row r="6239">
          <cell r="B6239" t="str">
            <v>Shipment</v>
          </cell>
        </row>
        <row r="6240">
          <cell r="B6240" t="str">
            <v>Shipment</v>
          </cell>
        </row>
        <row r="6241">
          <cell r="B6241" t="str">
            <v>Shipment</v>
          </cell>
        </row>
        <row r="6242">
          <cell r="B6242" t="str">
            <v>Shipment</v>
          </cell>
        </row>
        <row r="6243">
          <cell r="B6243" t="str">
            <v>Shipment</v>
          </cell>
        </row>
        <row r="6244">
          <cell r="B6244" t="str">
            <v>Shipment</v>
          </cell>
        </row>
        <row r="6245">
          <cell r="B6245" t="str">
            <v>Shipment</v>
          </cell>
        </row>
        <row r="6246">
          <cell r="B6246" t="str">
            <v>Shipment</v>
          </cell>
        </row>
        <row r="6247">
          <cell r="B6247" t="str">
            <v>Shipment</v>
          </cell>
        </row>
        <row r="6248">
          <cell r="B6248" t="str">
            <v>Shipment</v>
          </cell>
        </row>
        <row r="6249">
          <cell r="B6249" t="str">
            <v>Shipment</v>
          </cell>
        </row>
        <row r="6250">
          <cell r="B6250" t="str">
            <v>Shipment</v>
          </cell>
        </row>
        <row r="6251">
          <cell r="B6251" t="str">
            <v>Shipment</v>
          </cell>
        </row>
        <row r="6252">
          <cell r="B6252" t="str">
            <v>Shipment</v>
          </cell>
        </row>
        <row r="6253">
          <cell r="B6253" t="str">
            <v>Shipment</v>
          </cell>
        </row>
        <row r="6254">
          <cell r="B6254" t="str">
            <v>Shipment</v>
          </cell>
        </row>
        <row r="6255">
          <cell r="B6255" t="str">
            <v>Shipment</v>
          </cell>
        </row>
        <row r="6256">
          <cell r="B6256" t="str">
            <v>Shipment</v>
          </cell>
        </row>
        <row r="6257">
          <cell r="B6257" t="str">
            <v>Shipment</v>
          </cell>
        </row>
        <row r="6258">
          <cell r="B6258" t="str">
            <v>Shipment</v>
          </cell>
        </row>
        <row r="6259">
          <cell r="B6259" t="str">
            <v>Shipment</v>
          </cell>
        </row>
        <row r="6260">
          <cell r="B6260" t="str">
            <v>Shipment</v>
          </cell>
        </row>
        <row r="6261">
          <cell r="B6261" t="str">
            <v>Shipment</v>
          </cell>
        </row>
        <row r="6262">
          <cell r="B6262" t="str">
            <v>Shipment</v>
          </cell>
        </row>
        <row r="6263">
          <cell r="B6263" t="str">
            <v>Shipment</v>
          </cell>
        </row>
        <row r="6264">
          <cell r="B6264" t="str">
            <v>Shipment</v>
          </cell>
        </row>
        <row r="6265">
          <cell r="B6265" t="str">
            <v>Shipment</v>
          </cell>
        </row>
        <row r="6266">
          <cell r="B6266" t="str">
            <v>Shipment</v>
          </cell>
        </row>
        <row r="6267">
          <cell r="B6267" t="str">
            <v>Shipment</v>
          </cell>
        </row>
        <row r="6268">
          <cell r="B6268" t="str">
            <v>Shipment</v>
          </cell>
        </row>
        <row r="6269">
          <cell r="B6269" t="str">
            <v>Shipment</v>
          </cell>
        </row>
        <row r="6270">
          <cell r="B6270" t="str">
            <v>Shipment</v>
          </cell>
        </row>
        <row r="6271">
          <cell r="B6271" t="str">
            <v>Shipment</v>
          </cell>
        </row>
        <row r="6272">
          <cell r="B6272" t="str">
            <v>Shipment</v>
          </cell>
        </row>
        <row r="6273">
          <cell r="B6273" t="str">
            <v>Shipment</v>
          </cell>
        </row>
        <row r="6274">
          <cell r="B6274" t="str">
            <v>Shipment</v>
          </cell>
        </row>
        <row r="6275">
          <cell r="B6275" t="str">
            <v>Shipment</v>
          </cell>
        </row>
        <row r="6276">
          <cell r="B6276" t="str">
            <v>Shipment</v>
          </cell>
        </row>
        <row r="6277">
          <cell r="B6277" t="str">
            <v>Shipment</v>
          </cell>
        </row>
        <row r="6278">
          <cell r="B6278" t="str">
            <v>Shipment</v>
          </cell>
        </row>
        <row r="6279">
          <cell r="B6279" t="str">
            <v>Shipment</v>
          </cell>
        </row>
        <row r="6280">
          <cell r="B6280" t="str">
            <v>Shipment</v>
          </cell>
        </row>
        <row r="6281">
          <cell r="B6281" t="str">
            <v>Shipment</v>
          </cell>
        </row>
        <row r="6282">
          <cell r="B6282" t="str">
            <v>Shipment</v>
          </cell>
        </row>
        <row r="6283">
          <cell r="B6283" t="str">
            <v>Shipment</v>
          </cell>
        </row>
        <row r="6284">
          <cell r="B6284" t="str">
            <v>Shipment</v>
          </cell>
        </row>
        <row r="6285">
          <cell r="B6285" t="str">
            <v>Shipment</v>
          </cell>
        </row>
        <row r="6286">
          <cell r="B6286" t="str">
            <v>Shipment</v>
          </cell>
        </row>
        <row r="6287">
          <cell r="B6287" t="str">
            <v>Shipment</v>
          </cell>
        </row>
        <row r="6288">
          <cell r="B6288" t="str">
            <v>Shipment</v>
          </cell>
        </row>
        <row r="6289">
          <cell r="B6289" t="str">
            <v>Shipment</v>
          </cell>
        </row>
        <row r="6290">
          <cell r="B6290" t="str">
            <v>Shipment</v>
          </cell>
        </row>
        <row r="6291">
          <cell r="B6291" t="str">
            <v>Shipment</v>
          </cell>
        </row>
        <row r="6292">
          <cell r="B6292" t="str">
            <v>Shipment</v>
          </cell>
        </row>
        <row r="6293">
          <cell r="B6293" t="str">
            <v>Shipment</v>
          </cell>
        </row>
        <row r="6294">
          <cell r="B6294" t="str">
            <v>Shipment</v>
          </cell>
        </row>
        <row r="6295">
          <cell r="B6295" t="str">
            <v>Shipment</v>
          </cell>
        </row>
        <row r="6296">
          <cell r="B6296" t="str">
            <v>Shipment</v>
          </cell>
        </row>
        <row r="6297">
          <cell r="B6297" t="str">
            <v>Shipment</v>
          </cell>
        </row>
        <row r="6298">
          <cell r="B6298" t="str">
            <v>Shipment</v>
          </cell>
        </row>
        <row r="6299">
          <cell r="B6299" t="str">
            <v>Shipment</v>
          </cell>
        </row>
        <row r="6300">
          <cell r="B6300" t="str">
            <v>Shipment</v>
          </cell>
        </row>
        <row r="6301">
          <cell r="B6301" t="str">
            <v>Shipment</v>
          </cell>
        </row>
        <row r="6302">
          <cell r="B6302" t="str">
            <v>Shipment</v>
          </cell>
        </row>
        <row r="6303">
          <cell r="B6303" t="str">
            <v>Shipment</v>
          </cell>
        </row>
        <row r="6304">
          <cell r="B6304" t="str">
            <v>Shipment</v>
          </cell>
        </row>
        <row r="6305">
          <cell r="B6305" t="str">
            <v>Shipment</v>
          </cell>
        </row>
        <row r="6306">
          <cell r="B6306" t="str">
            <v>Shipment</v>
          </cell>
        </row>
        <row r="6307">
          <cell r="B6307" t="str">
            <v>Shipment</v>
          </cell>
        </row>
        <row r="6308">
          <cell r="B6308" t="str">
            <v>Shipment</v>
          </cell>
        </row>
        <row r="6309">
          <cell r="B6309" t="str">
            <v>Shipment</v>
          </cell>
        </row>
        <row r="6310">
          <cell r="B6310" t="str">
            <v>Shipment</v>
          </cell>
        </row>
        <row r="6311">
          <cell r="B6311" t="str">
            <v>Shipment</v>
          </cell>
        </row>
        <row r="6312">
          <cell r="B6312" t="str">
            <v>Shipment</v>
          </cell>
        </row>
        <row r="6313">
          <cell r="B6313" t="str">
            <v>Shipment</v>
          </cell>
        </row>
        <row r="6314">
          <cell r="B6314" t="str">
            <v>Shipment</v>
          </cell>
        </row>
        <row r="6315">
          <cell r="B6315" t="str">
            <v>Shipment</v>
          </cell>
        </row>
        <row r="6316">
          <cell r="B6316" t="str">
            <v>Shipment</v>
          </cell>
        </row>
        <row r="6317">
          <cell r="B6317" t="str">
            <v>Shipment</v>
          </cell>
        </row>
        <row r="6318">
          <cell r="B6318" t="str">
            <v>Shipment</v>
          </cell>
        </row>
        <row r="6319">
          <cell r="B6319" t="str">
            <v>Shipment</v>
          </cell>
        </row>
        <row r="6320">
          <cell r="B6320" t="str">
            <v>Shipment</v>
          </cell>
        </row>
        <row r="6321">
          <cell r="B6321" t="str">
            <v>Shipment</v>
          </cell>
        </row>
        <row r="6322">
          <cell r="B6322" t="str">
            <v>Shipment</v>
          </cell>
        </row>
        <row r="6323">
          <cell r="B6323" t="str">
            <v>Shipment</v>
          </cell>
        </row>
        <row r="6324">
          <cell r="B6324" t="str">
            <v>Shipment</v>
          </cell>
        </row>
        <row r="6325">
          <cell r="B6325" t="str">
            <v>Shipment</v>
          </cell>
        </row>
        <row r="6326">
          <cell r="B6326" t="str">
            <v>Shipment</v>
          </cell>
        </row>
        <row r="6327">
          <cell r="B6327" t="str">
            <v>Shipment</v>
          </cell>
        </row>
        <row r="6328">
          <cell r="B6328" t="str">
            <v>Shipment</v>
          </cell>
        </row>
        <row r="6329">
          <cell r="B6329" t="str">
            <v>Shipment</v>
          </cell>
        </row>
        <row r="6330">
          <cell r="B6330" t="str">
            <v>Shipment</v>
          </cell>
        </row>
        <row r="6331">
          <cell r="B6331" t="str">
            <v>Shipment</v>
          </cell>
        </row>
        <row r="6332">
          <cell r="B6332" t="str">
            <v>Shipment</v>
          </cell>
        </row>
        <row r="6333">
          <cell r="B6333" t="str">
            <v>Shipment</v>
          </cell>
        </row>
        <row r="6334">
          <cell r="B6334" t="str">
            <v>Shipment</v>
          </cell>
        </row>
        <row r="6335">
          <cell r="B6335" t="str">
            <v>Shipment</v>
          </cell>
        </row>
        <row r="6336">
          <cell r="B6336" t="str">
            <v>Shipment</v>
          </cell>
        </row>
        <row r="6337">
          <cell r="B6337" t="str">
            <v>Shipment</v>
          </cell>
        </row>
        <row r="6338">
          <cell r="B6338" t="str">
            <v>Shipment</v>
          </cell>
        </row>
        <row r="6339">
          <cell r="B6339" t="str">
            <v>Shipment</v>
          </cell>
        </row>
        <row r="6340">
          <cell r="B6340" t="str">
            <v>Shipment</v>
          </cell>
        </row>
        <row r="6341">
          <cell r="B6341" t="str">
            <v>Shipment</v>
          </cell>
        </row>
        <row r="6342">
          <cell r="B6342" t="str">
            <v>Shipment</v>
          </cell>
        </row>
        <row r="6343">
          <cell r="B6343" t="str">
            <v>Shipment</v>
          </cell>
        </row>
        <row r="6344">
          <cell r="B6344" t="str">
            <v>Shipment</v>
          </cell>
        </row>
        <row r="6345">
          <cell r="B6345" t="str">
            <v>Shipment</v>
          </cell>
        </row>
        <row r="6346">
          <cell r="B6346" t="str">
            <v>Shipment</v>
          </cell>
        </row>
        <row r="6347">
          <cell r="B6347" t="str">
            <v>Shipment</v>
          </cell>
        </row>
        <row r="6348">
          <cell r="B6348" t="str">
            <v>Shipment</v>
          </cell>
        </row>
        <row r="6349">
          <cell r="B6349" t="str">
            <v>Shipment</v>
          </cell>
        </row>
        <row r="6350">
          <cell r="B6350" t="str">
            <v>Shipment</v>
          </cell>
        </row>
        <row r="6351">
          <cell r="B6351" t="str">
            <v>Shipment</v>
          </cell>
        </row>
        <row r="6352">
          <cell r="B6352" t="str">
            <v>Shipment</v>
          </cell>
        </row>
        <row r="6353">
          <cell r="B6353" t="str">
            <v>Shipment</v>
          </cell>
        </row>
        <row r="6354">
          <cell r="B6354" t="str">
            <v>Shipment</v>
          </cell>
        </row>
        <row r="6355">
          <cell r="B6355" t="str">
            <v>Shipment</v>
          </cell>
        </row>
        <row r="6356">
          <cell r="B6356" t="str">
            <v>Shipment</v>
          </cell>
        </row>
        <row r="6357">
          <cell r="B6357" t="str">
            <v>Shipment</v>
          </cell>
        </row>
        <row r="6358">
          <cell r="B6358" t="str">
            <v>Shipment</v>
          </cell>
        </row>
        <row r="6359">
          <cell r="B6359" t="str">
            <v>Shipment</v>
          </cell>
        </row>
        <row r="6360">
          <cell r="B6360" t="str">
            <v>Shipment</v>
          </cell>
        </row>
        <row r="6361">
          <cell r="B6361" t="str">
            <v>Shipment</v>
          </cell>
        </row>
        <row r="6362">
          <cell r="B6362" t="str">
            <v>Shipment</v>
          </cell>
        </row>
        <row r="6363">
          <cell r="B6363" t="str">
            <v>Shipment</v>
          </cell>
        </row>
        <row r="6364">
          <cell r="B6364" t="str">
            <v>Shipment</v>
          </cell>
        </row>
        <row r="6365">
          <cell r="B6365" t="str">
            <v>Shipment</v>
          </cell>
        </row>
        <row r="6366">
          <cell r="B6366" t="str">
            <v>Shipment</v>
          </cell>
        </row>
        <row r="6367">
          <cell r="B6367" t="str">
            <v>Shipment</v>
          </cell>
        </row>
        <row r="6368">
          <cell r="B6368" t="str">
            <v>Shipment</v>
          </cell>
        </row>
        <row r="6369">
          <cell r="B6369" t="str">
            <v>Shipment</v>
          </cell>
        </row>
        <row r="6370">
          <cell r="B6370" t="str">
            <v>Shipment</v>
          </cell>
        </row>
        <row r="6371">
          <cell r="B6371" t="str">
            <v>Shipment</v>
          </cell>
        </row>
        <row r="6372">
          <cell r="B6372" t="str">
            <v>Shipment</v>
          </cell>
        </row>
        <row r="6373">
          <cell r="B6373" t="str">
            <v>Shipment</v>
          </cell>
        </row>
        <row r="6374">
          <cell r="B6374" t="str">
            <v>Shipment</v>
          </cell>
        </row>
        <row r="6375">
          <cell r="B6375" t="str">
            <v>Shipment</v>
          </cell>
        </row>
        <row r="6376">
          <cell r="B6376" t="str">
            <v>Shipment</v>
          </cell>
        </row>
        <row r="6377">
          <cell r="B6377" t="str">
            <v>Shipment</v>
          </cell>
        </row>
        <row r="6378">
          <cell r="B6378" t="str">
            <v>Shipment</v>
          </cell>
        </row>
        <row r="6379">
          <cell r="B6379" t="str">
            <v>Shipment</v>
          </cell>
        </row>
        <row r="6380">
          <cell r="B6380" t="str">
            <v>Shipment</v>
          </cell>
        </row>
        <row r="6381">
          <cell r="B6381" t="str">
            <v>Shipment</v>
          </cell>
        </row>
        <row r="6382">
          <cell r="B6382" t="str">
            <v>Shipment</v>
          </cell>
        </row>
        <row r="6383">
          <cell r="B6383" t="str">
            <v>Shipment</v>
          </cell>
        </row>
        <row r="6384">
          <cell r="B6384" t="str">
            <v>Shipment</v>
          </cell>
        </row>
        <row r="6385">
          <cell r="B6385" t="str">
            <v>Shipment</v>
          </cell>
        </row>
        <row r="6386">
          <cell r="B6386" t="str">
            <v>Shipment</v>
          </cell>
        </row>
        <row r="6387">
          <cell r="B6387" t="str">
            <v>Shipment</v>
          </cell>
        </row>
        <row r="6388">
          <cell r="B6388" t="str">
            <v>Shipment</v>
          </cell>
        </row>
        <row r="6389">
          <cell r="B6389" t="str">
            <v>Shipment</v>
          </cell>
        </row>
        <row r="6390">
          <cell r="B6390" t="str">
            <v>Shipment</v>
          </cell>
        </row>
        <row r="6391">
          <cell r="B6391" t="str">
            <v>Shipment</v>
          </cell>
        </row>
        <row r="6392">
          <cell r="B6392" t="str">
            <v>Shipment</v>
          </cell>
        </row>
        <row r="6393">
          <cell r="B6393" t="str">
            <v>Shipment</v>
          </cell>
        </row>
        <row r="6394">
          <cell r="B6394" t="str">
            <v>Shipment</v>
          </cell>
        </row>
        <row r="6395">
          <cell r="B6395" t="str">
            <v>Shipment</v>
          </cell>
        </row>
        <row r="6396">
          <cell r="B6396" t="str">
            <v>Shipment</v>
          </cell>
        </row>
        <row r="6397">
          <cell r="B6397" t="str">
            <v>Shipment</v>
          </cell>
        </row>
        <row r="6398">
          <cell r="B6398" t="str">
            <v>Shipment</v>
          </cell>
        </row>
        <row r="6399">
          <cell r="B6399" t="str">
            <v>Shipment</v>
          </cell>
        </row>
        <row r="6400">
          <cell r="B6400" t="str">
            <v>Shipment</v>
          </cell>
        </row>
        <row r="6401">
          <cell r="B6401" t="str">
            <v>Shipment</v>
          </cell>
        </row>
        <row r="6402">
          <cell r="B6402" t="str">
            <v>Shipment</v>
          </cell>
        </row>
        <row r="6403">
          <cell r="B6403" t="str">
            <v>Shipment</v>
          </cell>
        </row>
        <row r="6404">
          <cell r="B6404" t="str">
            <v>Shipment</v>
          </cell>
        </row>
        <row r="6405">
          <cell r="B6405" t="str">
            <v>Shipment</v>
          </cell>
        </row>
        <row r="6406">
          <cell r="B6406" t="str">
            <v>Shipment</v>
          </cell>
        </row>
        <row r="6407">
          <cell r="B6407" t="str">
            <v>Shipment</v>
          </cell>
        </row>
        <row r="6408">
          <cell r="B6408" t="str">
            <v>Shipment</v>
          </cell>
        </row>
        <row r="6409">
          <cell r="B6409" t="str">
            <v>Shipment</v>
          </cell>
        </row>
        <row r="6410">
          <cell r="B6410" t="str">
            <v>Shipment</v>
          </cell>
        </row>
        <row r="6411">
          <cell r="B6411" t="str">
            <v>Shipment</v>
          </cell>
        </row>
        <row r="6412">
          <cell r="B6412" t="str">
            <v>Shipment</v>
          </cell>
        </row>
        <row r="6413">
          <cell r="B6413" t="str">
            <v>Shipment</v>
          </cell>
        </row>
        <row r="6414">
          <cell r="B6414" t="str">
            <v>Shipment</v>
          </cell>
        </row>
        <row r="6415">
          <cell r="B6415" t="str">
            <v>Shipment</v>
          </cell>
        </row>
        <row r="6416">
          <cell r="B6416" t="str">
            <v>Shipment</v>
          </cell>
        </row>
        <row r="6417">
          <cell r="B6417" t="str">
            <v>Shipment</v>
          </cell>
        </row>
        <row r="6418">
          <cell r="B6418" t="str">
            <v>Shipment</v>
          </cell>
        </row>
        <row r="6419">
          <cell r="B6419" t="str">
            <v>Shipment</v>
          </cell>
        </row>
        <row r="6420">
          <cell r="B6420" t="str">
            <v>Shipment</v>
          </cell>
        </row>
        <row r="6421">
          <cell r="B6421" t="str">
            <v>Shipment</v>
          </cell>
        </row>
        <row r="6422">
          <cell r="B6422" t="str">
            <v>Shipment</v>
          </cell>
        </row>
        <row r="6423">
          <cell r="B6423" t="str">
            <v>Shipment</v>
          </cell>
        </row>
        <row r="6424">
          <cell r="B6424" t="str">
            <v>Shipment</v>
          </cell>
        </row>
        <row r="6425">
          <cell r="B6425" t="str">
            <v>Shipment</v>
          </cell>
        </row>
        <row r="6426">
          <cell r="B6426" t="str">
            <v>Shipment</v>
          </cell>
        </row>
        <row r="6427">
          <cell r="B6427" t="str">
            <v>Shipment</v>
          </cell>
        </row>
        <row r="6428">
          <cell r="B6428" t="str">
            <v>Shipment</v>
          </cell>
        </row>
        <row r="6429">
          <cell r="B6429" t="str">
            <v>Shipment</v>
          </cell>
        </row>
        <row r="6430">
          <cell r="B6430" t="str">
            <v>Shipment</v>
          </cell>
        </row>
        <row r="6431">
          <cell r="B6431" t="str">
            <v>Shipment</v>
          </cell>
        </row>
        <row r="6432">
          <cell r="B6432" t="str">
            <v>Shipment</v>
          </cell>
        </row>
        <row r="6433">
          <cell r="B6433" t="str">
            <v>Shipment</v>
          </cell>
        </row>
        <row r="6434">
          <cell r="B6434" t="str">
            <v>Shipment</v>
          </cell>
        </row>
        <row r="6435">
          <cell r="B6435" t="str">
            <v>Shipment</v>
          </cell>
        </row>
        <row r="6436">
          <cell r="B6436" t="str">
            <v>Shipment</v>
          </cell>
        </row>
        <row r="6437">
          <cell r="B6437" t="str">
            <v>Shipment</v>
          </cell>
        </row>
        <row r="6438">
          <cell r="B6438" t="str">
            <v>Shipment</v>
          </cell>
        </row>
        <row r="6439">
          <cell r="B6439" t="str">
            <v>Shipment</v>
          </cell>
        </row>
        <row r="6440">
          <cell r="B6440" t="str">
            <v>Shipment</v>
          </cell>
        </row>
        <row r="6441">
          <cell r="B6441" t="str">
            <v>Shipment</v>
          </cell>
        </row>
        <row r="6442">
          <cell r="B6442" t="str">
            <v>Shipment</v>
          </cell>
        </row>
        <row r="6443">
          <cell r="B6443" t="str">
            <v>Shipment</v>
          </cell>
        </row>
        <row r="6444">
          <cell r="B6444" t="str">
            <v>Shipment</v>
          </cell>
        </row>
        <row r="6445">
          <cell r="B6445" t="str">
            <v>Shipment</v>
          </cell>
        </row>
        <row r="6446">
          <cell r="B6446" t="str">
            <v>Shipment</v>
          </cell>
        </row>
        <row r="6447">
          <cell r="B6447" t="str">
            <v>Shipment</v>
          </cell>
        </row>
        <row r="6448">
          <cell r="B6448" t="str">
            <v>Shipment</v>
          </cell>
        </row>
        <row r="6449">
          <cell r="B6449" t="str">
            <v>Shipment</v>
          </cell>
        </row>
        <row r="6450">
          <cell r="B6450" t="str">
            <v>Shipment</v>
          </cell>
        </row>
        <row r="6451">
          <cell r="B6451" t="str">
            <v>Shipment</v>
          </cell>
        </row>
        <row r="6452">
          <cell r="B6452" t="str">
            <v>Shipment</v>
          </cell>
        </row>
        <row r="6453">
          <cell r="B6453" t="str">
            <v>Shipment</v>
          </cell>
        </row>
        <row r="6454">
          <cell r="B6454" t="str">
            <v>Shipment</v>
          </cell>
        </row>
        <row r="6455">
          <cell r="B6455" t="str">
            <v>Shipment</v>
          </cell>
        </row>
        <row r="6456">
          <cell r="B6456" t="str">
            <v>Shipment</v>
          </cell>
        </row>
        <row r="6457">
          <cell r="B6457" t="str">
            <v>Shipment</v>
          </cell>
        </row>
        <row r="6458">
          <cell r="B6458" t="str">
            <v>Shipment</v>
          </cell>
        </row>
        <row r="6459">
          <cell r="B6459" t="str">
            <v>Shipment</v>
          </cell>
        </row>
        <row r="6460">
          <cell r="B6460" t="str">
            <v>Shipment</v>
          </cell>
        </row>
        <row r="6461">
          <cell r="B6461" t="str">
            <v>Shipment</v>
          </cell>
        </row>
        <row r="6462">
          <cell r="B6462" t="str">
            <v>Shipment</v>
          </cell>
        </row>
        <row r="6463">
          <cell r="B6463" t="str">
            <v>Shipment</v>
          </cell>
        </row>
        <row r="6464">
          <cell r="B6464" t="str">
            <v>Shipment</v>
          </cell>
        </row>
        <row r="6465">
          <cell r="B6465" t="str">
            <v>Shipment</v>
          </cell>
        </row>
        <row r="6466">
          <cell r="B6466" t="str">
            <v>Shipment</v>
          </cell>
        </row>
        <row r="6467">
          <cell r="B6467" t="str">
            <v>Shipment</v>
          </cell>
        </row>
        <row r="6468">
          <cell r="B6468" t="str">
            <v>Shipment</v>
          </cell>
        </row>
        <row r="6469">
          <cell r="B6469" t="str">
            <v>Shipment</v>
          </cell>
        </row>
        <row r="6470">
          <cell r="B6470" t="str">
            <v>Shipment</v>
          </cell>
        </row>
        <row r="6471">
          <cell r="B6471" t="str">
            <v>Shipment</v>
          </cell>
        </row>
        <row r="6472">
          <cell r="B6472" t="str">
            <v>Shipment</v>
          </cell>
        </row>
        <row r="6473">
          <cell r="B6473" t="str">
            <v>Shipment</v>
          </cell>
        </row>
        <row r="6474">
          <cell r="B6474" t="str">
            <v>Shipment</v>
          </cell>
        </row>
        <row r="6475">
          <cell r="B6475" t="str">
            <v>Shipment</v>
          </cell>
        </row>
        <row r="6476">
          <cell r="B6476" t="str">
            <v>Shipment</v>
          </cell>
        </row>
        <row r="6477">
          <cell r="B6477" t="str">
            <v>Shipment</v>
          </cell>
        </row>
        <row r="6478">
          <cell r="B6478" t="str">
            <v>Shipment</v>
          </cell>
        </row>
        <row r="6479">
          <cell r="B6479" t="str">
            <v>Shipment</v>
          </cell>
        </row>
        <row r="6480">
          <cell r="B6480" t="str">
            <v>Shipment</v>
          </cell>
        </row>
        <row r="6481">
          <cell r="B6481" t="str">
            <v>Shipment</v>
          </cell>
        </row>
        <row r="6482">
          <cell r="B6482" t="str">
            <v>Shipment</v>
          </cell>
        </row>
        <row r="6483">
          <cell r="B6483" t="str">
            <v>Shipment</v>
          </cell>
        </row>
        <row r="6484">
          <cell r="B6484" t="str">
            <v>Shipment</v>
          </cell>
        </row>
        <row r="6485">
          <cell r="B6485" t="str">
            <v>Shipment</v>
          </cell>
        </row>
        <row r="6486">
          <cell r="B6486" t="str">
            <v>Shipment</v>
          </cell>
        </row>
        <row r="6487">
          <cell r="B6487" t="str">
            <v>Shipment</v>
          </cell>
        </row>
        <row r="6488">
          <cell r="B6488" t="str">
            <v>Shipment</v>
          </cell>
        </row>
        <row r="6489">
          <cell r="B6489" t="str">
            <v>Shipment</v>
          </cell>
        </row>
        <row r="6490">
          <cell r="B6490" t="str">
            <v>Shipment</v>
          </cell>
        </row>
        <row r="6491">
          <cell r="B6491" t="str">
            <v>Shipment</v>
          </cell>
        </row>
        <row r="6492">
          <cell r="B6492" t="str">
            <v>Shipment</v>
          </cell>
        </row>
        <row r="6493">
          <cell r="B6493" t="str">
            <v>Shipment</v>
          </cell>
        </row>
        <row r="6494">
          <cell r="B6494" t="str">
            <v>Shipment</v>
          </cell>
        </row>
        <row r="6495">
          <cell r="B6495" t="str">
            <v>Shipment</v>
          </cell>
        </row>
        <row r="6496">
          <cell r="B6496" t="str">
            <v>Shipment</v>
          </cell>
        </row>
        <row r="6497">
          <cell r="B6497" t="str">
            <v>Shipment</v>
          </cell>
        </row>
        <row r="6498">
          <cell r="B6498" t="str">
            <v>Shipment</v>
          </cell>
        </row>
        <row r="6499">
          <cell r="B6499" t="str">
            <v>Shipment</v>
          </cell>
        </row>
        <row r="6500">
          <cell r="B6500" t="str">
            <v>Shipment</v>
          </cell>
        </row>
        <row r="6501">
          <cell r="B6501" t="str">
            <v>Shipment</v>
          </cell>
        </row>
        <row r="6502">
          <cell r="B6502" t="str">
            <v>Shipment</v>
          </cell>
        </row>
        <row r="6503">
          <cell r="B6503" t="str">
            <v>Shipment</v>
          </cell>
        </row>
        <row r="6504">
          <cell r="B6504" t="str">
            <v>Shipment</v>
          </cell>
        </row>
        <row r="6505">
          <cell r="B6505" t="str">
            <v>Shipment</v>
          </cell>
        </row>
        <row r="6506">
          <cell r="B6506" t="str">
            <v>Shipment</v>
          </cell>
        </row>
        <row r="6507">
          <cell r="B6507" t="str">
            <v>Shipment</v>
          </cell>
        </row>
        <row r="6508">
          <cell r="B6508" t="str">
            <v>Shipment</v>
          </cell>
        </row>
        <row r="6509">
          <cell r="B6509" t="str">
            <v>Shipment</v>
          </cell>
        </row>
        <row r="6510">
          <cell r="B6510" t="str">
            <v>Shipment</v>
          </cell>
        </row>
        <row r="6511">
          <cell r="B6511" t="str">
            <v>Shipment</v>
          </cell>
        </row>
        <row r="6512">
          <cell r="B6512" t="str">
            <v>Shipment</v>
          </cell>
        </row>
        <row r="6513">
          <cell r="B6513" t="str">
            <v>Shipment</v>
          </cell>
        </row>
        <row r="6514">
          <cell r="B6514" t="str">
            <v>Shipment</v>
          </cell>
        </row>
        <row r="6515">
          <cell r="B6515" t="str">
            <v>Shipment</v>
          </cell>
        </row>
        <row r="6516">
          <cell r="B6516" t="str">
            <v>Shipment</v>
          </cell>
        </row>
        <row r="6517">
          <cell r="B6517" t="str">
            <v>Shipment</v>
          </cell>
        </row>
        <row r="6518">
          <cell r="B6518" t="str">
            <v>Shipment</v>
          </cell>
        </row>
        <row r="6519">
          <cell r="B6519" t="str">
            <v>Shipment</v>
          </cell>
        </row>
        <row r="6520">
          <cell r="B6520" t="str">
            <v>Shipment</v>
          </cell>
        </row>
        <row r="6521">
          <cell r="B6521" t="str">
            <v>Shipment</v>
          </cell>
        </row>
        <row r="6522">
          <cell r="B6522" t="str">
            <v>Shipment</v>
          </cell>
        </row>
        <row r="6523">
          <cell r="B6523" t="str">
            <v>Shipment</v>
          </cell>
        </row>
        <row r="6524">
          <cell r="B6524" t="str">
            <v>Shipment</v>
          </cell>
        </row>
        <row r="6525">
          <cell r="B6525" t="str">
            <v>Shipment</v>
          </cell>
        </row>
        <row r="6526">
          <cell r="B6526" t="str">
            <v>Shipment</v>
          </cell>
        </row>
        <row r="6527">
          <cell r="B6527" t="str">
            <v>Shipment</v>
          </cell>
        </row>
        <row r="6528">
          <cell r="B6528" t="str">
            <v>Shipment</v>
          </cell>
        </row>
        <row r="6529">
          <cell r="B6529" t="str">
            <v>Shipment</v>
          </cell>
        </row>
        <row r="6530">
          <cell r="B6530" t="str">
            <v>Shipment</v>
          </cell>
        </row>
        <row r="6531">
          <cell r="B6531" t="str">
            <v>Shipment</v>
          </cell>
        </row>
        <row r="6532">
          <cell r="B6532" t="str">
            <v>Shipment</v>
          </cell>
        </row>
        <row r="6533">
          <cell r="B6533" t="str">
            <v>Shipment</v>
          </cell>
        </row>
        <row r="6534">
          <cell r="B6534" t="str">
            <v>Shipment</v>
          </cell>
        </row>
        <row r="6535">
          <cell r="B6535" t="str">
            <v>Shipment</v>
          </cell>
        </row>
        <row r="6536">
          <cell r="B6536" t="str">
            <v>Shipment</v>
          </cell>
        </row>
        <row r="6537">
          <cell r="B6537" t="str">
            <v>Shipment</v>
          </cell>
        </row>
        <row r="6538">
          <cell r="B6538" t="str">
            <v>Shipment</v>
          </cell>
        </row>
        <row r="6539">
          <cell r="B6539" t="str">
            <v>Shipment</v>
          </cell>
        </row>
        <row r="6540">
          <cell r="B6540" t="str">
            <v>Shipment</v>
          </cell>
        </row>
        <row r="6541">
          <cell r="B6541" t="str">
            <v>Shipment</v>
          </cell>
        </row>
        <row r="6542">
          <cell r="B6542" t="str">
            <v>Shipment</v>
          </cell>
        </row>
        <row r="6543">
          <cell r="B6543" t="str">
            <v>Shipment</v>
          </cell>
        </row>
        <row r="6544">
          <cell r="B6544" t="str">
            <v>Shipment</v>
          </cell>
        </row>
        <row r="6545">
          <cell r="B6545" t="str">
            <v>Shipment</v>
          </cell>
        </row>
        <row r="6546">
          <cell r="B6546" t="str">
            <v>Shipment</v>
          </cell>
        </row>
        <row r="6547">
          <cell r="B6547" t="str">
            <v>Shipment</v>
          </cell>
        </row>
        <row r="6548">
          <cell r="B6548" t="str">
            <v>Shipment</v>
          </cell>
        </row>
        <row r="6549">
          <cell r="B6549" t="str">
            <v>Shipment</v>
          </cell>
        </row>
        <row r="6550">
          <cell r="B6550" t="str">
            <v>Shipment</v>
          </cell>
        </row>
        <row r="6551">
          <cell r="B6551" t="str">
            <v>Shipment</v>
          </cell>
        </row>
        <row r="6552">
          <cell r="B6552" t="str">
            <v>Shipment</v>
          </cell>
        </row>
        <row r="6553">
          <cell r="B6553" t="str">
            <v>Shipment</v>
          </cell>
        </row>
        <row r="6554">
          <cell r="B6554" t="str">
            <v>Shipment</v>
          </cell>
        </row>
        <row r="6555">
          <cell r="B6555" t="str">
            <v>Shipment</v>
          </cell>
        </row>
        <row r="6556">
          <cell r="B6556" t="str">
            <v>Shipment</v>
          </cell>
        </row>
        <row r="6557">
          <cell r="B6557" t="str">
            <v>Shipment</v>
          </cell>
        </row>
        <row r="6558">
          <cell r="B6558" t="str">
            <v>Shipment</v>
          </cell>
        </row>
        <row r="6559">
          <cell r="B6559" t="str">
            <v>Shipment</v>
          </cell>
        </row>
        <row r="6560">
          <cell r="B6560" t="str">
            <v>Shipment</v>
          </cell>
        </row>
        <row r="6561">
          <cell r="B6561" t="str">
            <v>Shipment</v>
          </cell>
        </row>
        <row r="6562">
          <cell r="B6562" t="str">
            <v>Shipment</v>
          </cell>
        </row>
        <row r="6563">
          <cell r="B6563" t="str">
            <v>Shipment</v>
          </cell>
        </row>
        <row r="6564">
          <cell r="B6564" t="str">
            <v>Shipment</v>
          </cell>
        </row>
        <row r="6565">
          <cell r="B6565" t="str">
            <v>Shipment</v>
          </cell>
        </row>
        <row r="6566">
          <cell r="B6566" t="str">
            <v>Shipment</v>
          </cell>
        </row>
        <row r="6567">
          <cell r="B6567" t="str">
            <v>Shipment</v>
          </cell>
        </row>
        <row r="6568">
          <cell r="B6568" t="str">
            <v>Shipment</v>
          </cell>
        </row>
        <row r="6569">
          <cell r="B6569" t="str">
            <v>Shipment</v>
          </cell>
        </row>
        <row r="6570">
          <cell r="B6570" t="str">
            <v>Shipment</v>
          </cell>
        </row>
        <row r="6571">
          <cell r="B6571" t="str">
            <v>Shipment</v>
          </cell>
        </row>
        <row r="6572">
          <cell r="B6572" t="str">
            <v>Shipment</v>
          </cell>
        </row>
        <row r="6573">
          <cell r="B6573" t="str">
            <v>Shipment</v>
          </cell>
        </row>
        <row r="6574">
          <cell r="B6574" t="str">
            <v>Shipment</v>
          </cell>
        </row>
        <row r="6575">
          <cell r="B6575" t="str">
            <v>Shipment</v>
          </cell>
        </row>
        <row r="6576">
          <cell r="B6576" t="str">
            <v>Shipment</v>
          </cell>
        </row>
        <row r="6577">
          <cell r="B6577" t="str">
            <v>Shipment</v>
          </cell>
        </row>
        <row r="6578">
          <cell r="B6578" t="str">
            <v>Shipment</v>
          </cell>
        </row>
        <row r="6579">
          <cell r="B6579" t="str">
            <v>Shipment</v>
          </cell>
        </row>
        <row r="6580">
          <cell r="B6580" t="str">
            <v>Shipment</v>
          </cell>
        </row>
        <row r="6581">
          <cell r="B6581" t="str">
            <v>Shipment</v>
          </cell>
        </row>
        <row r="6582">
          <cell r="B6582" t="str">
            <v>Shipment</v>
          </cell>
        </row>
        <row r="6583">
          <cell r="B6583" t="str">
            <v>Shipment</v>
          </cell>
        </row>
        <row r="6584">
          <cell r="B6584" t="str">
            <v>Shipment</v>
          </cell>
        </row>
        <row r="6585">
          <cell r="B6585" t="str">
            <v>Shipment</v>
          </cell>
        </row>
        <row r="6586">
          <cell r="B6586" t="str">
            <v>Shipment</v>
          </cell>
        </row>
        <row r="6587">
          <cell r="B6587" t="str">
            <v>Shipment</v>
          </cell>
        </row>
        <row r="6588">
          <cell r="B6588" t="str">
            <v>Shipment</v>
          </cell>
        </row>
        <row r="6589">
          <cell r="B6589" t="str">
            <v>Shipment</v>
          </cell>
        </row>
        <row r="6590">
          <cell r="B6590" t="str">
            <v>Shipment</v>
          </cell>
        </row>
        <row r="6591">
          <cell r="B6591" t="str">
            <v>Shipment</v>
          </cell>
        </row>
        <row r="6592">
          <cell r="B6592" t="str">
            <v>Shipment</v>
          </cell>
        </row>
        <row r="6593">
          <cell r="B6593" t="str">
            <v>Shipment</v>
          </cell>
        </row>
        <row r="6594">
          <cell r="B6594" t="str">
            <v>Shipment</v>
          </cell>
        </row>
        <row r="6595">
          <cell r="B6595" t="str">
            <v>Shipment</v>
          </cell>
        </row>
        <row r="6596">
          <cell r="B6596" t="str">
            <v>Shipment</v>
          </cell>
        </row>
        <row r="6597">
          <cell r="B6597" t="str">
            <v>Shipment</v>
          </cell>
        </row>
        <row r="6598">
          <cell r="B6598" t="str">
            <v>Shipment</v>
          </cell>
        </row>
        <row r="6599">
          <cell r="B6599" t="str">
            <v>Shipment</v>
          </cell>
        </row>
        <row r="6600">
          <cell r="B6600" t="str">
            <v>Shipment</v>
          </cell>
        </row>
        <row r="6601">
          <cell r="B6601" t="str">
            <v>Shipment</v>
          </cell>
        </row>
        <row r="6602">
          <cell r="B6602" t="str">
            <v>Shipment</v>
          </cell>
        </row>
        <row r="6603">
          <cell r="B6603" t="str">
            <v>Shipment</v>
          </cell>
        </row>
        <row r="6604">
          <cell r="B6604" t="str">
            <v>Shipment</v>
          </cell>
        </row>
        <row r="6605">
          <cell r="B6605" t="str">
            <v>Shipment</v>
          </cell>
        </row>
        <row r="6606">
          <cell r="B6606" t="str">
            <v>Shipment</v>
          </cell>
        </row>
        <row r="6607">
          <cell r="B6607" t="str">
            <v>Shipment</v>
          </cell>
        </row>
        <row r="6608">
          <cell r="B6608" t="str">
            <v>Shipment</v>
          </cell>
        </row>
        <row r="6609">
          <cell r="B6609" t="str">
            <v>Shipment</v>
          </cell>
        </row>
        <row r="6610">
          <cell r="B6610" t="str">
            <v>Shipment</v>
          </cell>
        </row>
        <row r="6611">
          <cell r="B6611" t="str">
            <v>Shipment</v>
          </cell>
        </row>
        <row r="6612">
          <cell r="B6612" t="str">
            <v>Shipment</v>
          </cell>
        </row>
        <row r="6613">
          <cell r="B6613" t="str">
            <v>Shipment</v>
          </cell>
        </row>
        <row r="6614">
          <cell r="B6614" t="str">
            <v>Shipment</v>
          </cell>
        </row>
        <row r="6615">
          <cell r="B6615" t="str">
            <v>Shipment</v>
          </cell>
        </row>
        <row r="6616">
          <cell r="B6616" t="str">
            <v>Shipment</v>
          </cell>
        </row>
        <row r="6617">
          <cell r="B6617" t="str">
            <v>Shipment</v>
          </cell>
        </row>
        <row r="6618">
          <cell r="B6618" t="str">
            <v>Shipment</v>
          </cell>
        </row>
        <row r="6619">
          <cell r="B6619" t="str">
            <v>Shipment</v>
          </cell>
        </row>
        <row r="6620">
          <cell r="B6620" t="str">
            <v>Shipment</v>
          </cell>
        </row>
        <row r="6621">
          <cell r="B6621" t="str">
            <v>Shipment</v>
          </cell>
        </row>
        <row r="6622">
          <cell r="B6622" t="str">
            <v>Shipment</v>
          </cell>
        </row>
        <row r="6623">
          <cell r="B6623" t="str">
            <v>Shipment</v>
          </cell>
        </row>
        <row r="6624">
          <cell r="B6624" t="str">
            <v>Shipment</v>
          </cell>
        </row>
        <row r="6625">
          <cell r="B6625" t="str">
            <v>Shipment</v>
          </cell>
        </row>
        <row r="6626">
          <cell r="B6626" t="str">
            <v>Shipment</v>
          </cell>
        </row>
        <row r="6627">
          <cell r="B6627" t="str">
            <v>Shipment</v>
          </cell>
        </row>
        <row r="6628">
          <cell r="B6628" t="str">
            <v>Shipment</v>
          </cell>
        </row>
        <row r="6629">
          <cell r="B6629" t="str">
            <v>Shipment</v>
          </cell>
        </row>
        <row r="6630">
          <cell r="B6630" t="str">
            <v>Shipment</v>
          </cell>
        </row>
        <row r="6631">
          <cell r="B6631" t="str">
            <v>Shipment</v>
          </cell>
        </row>
        <row r="6632">
          <cell r="B6632" t="str">
            <v>Shipment</v>
          </cell>
        </row>
        <row r="6633">
          <cell r="B6633" t="str">
            <v>Shipment</v>
          </cell>
        </row>
        <row r="6634">
          <cell r="B6634" t="str">
            <v>Shipment</v>
          </cell>
        </row>
        <row r="6635">
          <cell r="B6635" t="str">
            <v>Shipment</v>
          </cell>
        </row>
        <row r="6636">
          <cell r="B6636" t="str">
            <v>Shipment</v>
          </cell>
        </row>
        <row r="6637">
          <cell r="B6637" t="str">
            <v>Shipment</v>
          </cell>
        </row>
        <row r="6638">
          <cell r="B6638" t="str">
            <v>Shipment</v>
          </cell>
        </row>
        <row r="6639">
          <cell r="B6639" t="str">
            <v>Shipment</v>
          </cell>
        </row>
        <row r="6640">
          <cell r="B6640" t="str">
            <v>Shipment</v>
          </cell>
        </row>
        <row r="6641">
          <cell r="B6641" t="str">
            <v>Shipment</v>
          </cell>
        </row>
        <row r="6642">
          <cell r="B6642" t="str">
            <v>Shipment</v>
          </cell>
        </row>
        <row r="6643">
          <cell r="B6643" t="str">
            <v>Shipment</v>
          </cell>
        </row>
        <row r="6644">
          <cell r="B6644" t="str">
            <v>Shipment</v>
          </cell>
        </row>
        <row r="6645">
          <cell r="B6645" t="str">
            <v>Shipment</v>
          </cell>
        </row>
        <row r="6646">
          <cell r="B6646" t="str">
            <v>Shipment</v>
          </cell>
        </row>
        <row r="6647">
          <cell r="B6647" t="str">
            <v>Shipment</v>
          </cell>
        </row>
        <row r="6648">
          <cell r="B6648" t="str">
            <v>Shipment</v>
          </cell>
        </row>
        <row r="6649">
          <cell r="B6649" t="str">
            <v>Shipment</v>
          </cell>
        </row>
        <row r="6650">
          <cell r="B6650" t="str">
            <v>Shipment</v>
          </cell>
        </row>
        <row r="6651">
          <cell r="B6651" t="str">
            <v>Shipment</v>
          </cell>
        </row>
        <row r="6652">
          <cell r="B6652" t="str">
            <v>Shipment</v>
          </cell>
        </row>
        <row r="6653">
          <cell r="B6653" t="str">
            <v>Shipment</v>
          </cell>
        </row>
        <row r="6654">
          <cell r="B6654" t="str">
            <v>Shipment</v>
          </cell>
        </row>
        <row r="6655">
          <cell r="B6655" t="str">
            <v>Shipment</v>
          </cell>
        </row>
        <row r="6656">
          <cell r="B6656" t="str">
            <v>Shipment</v>
          </cell>
        </row>
        <row r="6657">
          <cell r="B6657" t="str">
            <v>Shipment</v>
          </cell>
        </row>
        <row r="6658">
          <cell r="B6658" t="str">
            <v>Shipment</v>
          </cell>
        </row>
        <row r="6659">
          <cell r="B6659" t="str">
            <v>Shipment</v>
          </cell>
        </row>
        <row r="6660">
          <cell r="B6660" t="str">
            <v>Shipment</v>
          </cell>
        </row>
        <row r="6661">
          <cell r="B6661" t="str">
            <v>Shipment</v>
          </cell>
        </row>
        <row r="6662">
          <cell r="B6662" t="str">
            <v>Shipment</v>
          </cell>
        </row>
        <row r="6663">
          <cell r="B6663" t="str">
            <v>Shipment</v>
          </cell>
        </row>
        <row r="6664">
          <cell r="B6664" t="str">
            <v>Shipment</v>
          </cell>
        </row>
        <row r="6665">
          <cell r="B6665" t="str">
            <v>Shipment</v>
          </cell>
        </row>
        <row r="6666">
          <cell r="B6666" t="str">
            <v>Shipment</v>
          </cell>
        </row>
        <row r="6667">
          <cell r="B6667" t="str">
            <v>Shipment</v>
          </cell>
        </row>
        <row r="6668">
          <cell r="B6668" t="str">
            <v>Shipment</v>
          </cell>
        </row>
        <row r="6669">
          <cell r="B6669" t="str">
            <v>Shipment</v>
          </cell>
        </row>
        <row r="6670">
          <cell r="B6670" t="str">
            <v>Shipment</v>
          </cell>
        </row>
        <row r="6671">
          <cell r="B6671" t="str">
            <v>Shipment</v>
          </cell>
        </row>
        <row r="6672">
          <cell r="B6672" t="str">
            <v>Shipment</v>
          </cell>
        </row>
        <row r="6673">
          <cell r="B6673" t="str">
            <v>Shipment</v>
          </cell>
        </row>
        <row r="6674">
          <cell r="B6674" t="str">
            <v>Shipment</v>
          </cell>
        </row>
        <row r="6675">
          <cell r="B6675" t="str">
            <v>Shipment</v>
          </cell>
        </row>
        <row r="6676">
          <cell r="B6676" t="str">
            <v>Shipment</v>
          </cell>
        </row>
        <row r="6677">
          <cell r="B6677" t="str">
            <v>Shipment</v>
          </cell>
        </row>
        <row r="6678">
          <cell r="B6678" t="str">
            <v>Shipment</v>
          </cell>
        </row>
        <row r="6679">
          <cell r="B6679" t="str">
            <v>Shipment</v>
          </cell>
        </row>
        <row r="6680">
          <cell r="B6680" t="str">
            <v>Shipment</v>
          </cell>
        </row>
        <row r="6681">
          <cell r="B6681" t="str">
            <v>Shipment</v>
          </cell>
        </row>
        <row r="6682">
          <cell r="B6682" t="str">
            <v>Shipment</v>
          </cell>
        </row>
        <row r="6683">
          <cell r="B6683" t="str">
            <v>Shipment</v>
          </cell>
        </row>
        <row r="6684">
          <cell r="B6684" t="str">
            <v>Shipment</v>
          </cell>
        </row>
        <row r="6685">
          <cell r="B6685" t="str">
            <v>Shipment</v>
          </cell>
        </row>
        <row r="6686">
          <cell r="B6686" t="str">
            <v>Shipment</v>
          </cell>
        </row>
        <row r="6687">
          <cell r="B6687" t="str">
            <v>Shipment</v>
          </cell>
        </row>
        <row r="6688">
          <cell r="B6688" t="str">
            <v>Shipment</v>
          </cell>
        </row>
        <row r="6689">
          <cell r="B6689" t="str">
            <v>Shipment</v>
          </cell>
        </row>
        <row r="6690">
          <cell r="B6690" t="str">
            <v>Shipment</v>
          </cell>
        </row>
        <row r="6691">
          <cell r="B6691" t="str">
            <v>Shipment</v>
          </cell>
        </row>
        <row r="6692">
          <cell r="B6692" t="str">
            <v>Shipment</v>
          </cell>
        </row>
        <row r="6693">
          <cell r="B6693" t="str">
            <v>Shipment</v>
          </cell>
        </row>
        <row r="6694">
          <cell r="B6694" t="str">
            <v>Shipment</v>
          </cell>
        </row>
        <row r="6695">
          <cell r="B6695" t="str">
            <v>Shipment</v>
          </cell>
        </row>
        <row r="6696">
          <cell r="B6696" t="str">
            <v>Shipment</v>
          </cell>
        </row>
        <row r="6697">
          <cell r="B6697" t="str">
            <v>Shipment</v>
          </cell>
        </row>
        <row r="6698">
          <cell r="B6698" t="str">
            <v>Shipment</v>
          </cell>
        </row>
        <row r="6699">
          <cell r="B6699" t="str">
            <v>Shipment</v>
          </cell>
        </row>
        <row r="6700">
          <cell r="B6700" t="str">
            <v>Shipment</v>
          </cell>
        </row>
        <row r="6701">
          <cell r="B6701" t="str">
            <v>Shipment</v>
          </cell>
        </row>
        <row r="6702">
          <cell r="B6702" t="str">
            <v>Shipment</v>
          </cell>
        </row>
        <row r="6703">
          <cell r="B6703" t="str">
            <v>Shipment</v>
          </cell>
        </row>
        <row r="6704">
          <cell r="B6704" t="str">
            <v>Shipment</v>
          </cell>
        </row>
        <row r="6705">
          <cell r="B6705" t="str">
            <v>Shipment</v>
          </cell>
        </row>
        <row r="6706">
          <cell r="B6706" t="str">
            <v>Shipment</v>
          </cell>
        </row>
        <row r="6707">
          <cell r="B6707" t="str">
            <v>Shipment</v>
          </cell>
        </row>
        <row r="6708">
          <cell r="B6708" t="str">
            <v>Shipment</v>
          </cell>
        </row>
        <row r="6709">
          <cell r="B6709" t="str">
            <v>Shipment</v>
          </cell>
        </row>
        <row r="6710">
          <cell r="B6710" t="str">
            <v>Shipment</v>
          </cell>
        </row>
        <row r="6711">
          <cell r="B6711" t="str">
            <v>Shipment</v>
          </cell>
        </row>
        <row r="6712">
          <cell r="B6712" t="str">
            <v>Shipment</v>
          </cell>
        </row>
        <row r="6713">
          <cell r="B6713" t="str">
            <v>Shipment</v>
          </cell>
        </row>
        <row r="6714">
          <cell r="B6714" t="str">
            <v>Shipment</v>
          </cell>
        </row>
        <row r="6715">
          <cell r="B6715" t="str">
            <v>Shipment</v>
          </cell>
        </row>
        <row r="6716">
          <cell r="B6716" t="str">
            <v>Shipment</v>
          </cell>
        </row>
        <row r="6717">
          <cell r="B6717" t="str">
            <v>Shipment</v>
          </cell>
        </row>
        <row r="6718">
          <cell r="B6718" t="str">
            <v>Shipment</v>
          </cell>
        </row>
        <row r="6719">
          <cell r="B6719" t="str">
            <v>Shipment</v>
          </cell>
        </row>
        <row r="6720">
          <cell r="B6720" t="str">
            <v>Shipment</v>
          </cell>
        </row>
        <row r="6721">
          <cell r="B6721" t="str">
            <v>Shipment</v>
          </cell>
        </row>
        <row r="6722">
          <cell r="B6722" t="str">
            <v>Shipment</v>
          </cell>
        </row>
        <row r="6723">
          <cell r="B6723" t="str">
            <v>Shipment</v>
          </cell>
        </row>
        <row r="6724">
          <cell r="B6724" t="str">
            <v>Shipment</v>
          </cell>
        </row>
        <row r="6725">
          <cell r="B6725" t="str">
            <v>Shipment</v>
          </cell>
        </row>
        <row r="6726">
          <cell r="B6726" t="str">
            <v>Shipment</v>
          </cell>
        </row>
        <row r="6727">
          <cell r="B6727" t="str">
            <v>Shipment</v>
          </cell>
        </row>
        <row r="6728">
          <cell r="B6728" t="str">
            <v>Shipment</v>
          </cell>
        </row>
        <row r="6729">
          <cell r="B6729" t="str">
            <v>Shipment</v>
          </cell>
        </row>
        <row r="6730">
          <cell r="B6730" t="str">
            <v>Shipment</v>
          </cell>
        </row>
        <row r="6731">
          <cell r="B6731" t="str">
            <v>Shipment</v>
          </cell>
        </row>
        <row r="6732">
          <cell r="B6732" t="str">
            <v>Shipment</v>
          </cell>
        </row>
        <row r="6733">
          <cell r="B6733" t="str">
            <v>Shipment</v>
          </cell>
        </row>
        <row r="6734">
          <cell r="B6734" t="str">
            <v>Shipment</v>
          </cell>
        </row>
        <row r="6735">
          <cell r="B6735" t="str">
            <v>Shipment</v>
          </cell>
        </row>
        <row r="6736">
          <cell r="B6736" t="str">
            <v>Shipment</v>
          </cell>
        </row>
        <row r="6737">
          <cell r="B6737" t="str">
            <v>Shipment</v>
          </cell>
        </row>
        <row r="6738">
          <cell r="B6738" t="str">
            <v>Shipment</v>
          </cell>
        </row>
        <row r="6739">
          <cell r="B6739" t="str">
            <v>Shipment</v>
          </cell>
        </row>
        <row r="6740">
          <cell r="B6740" t="str">
            <v>Shipment</v>
          </cell>
        </row>
        <row r="6741">
          <cell r="B6741" t="str">
            <v>Shipment</v>
          </cell>
        </row>
        <row r="6742">
          <cell r="B6742" t="str">
            <v>Shipment</v>
          </cell>
        </row>
        <row r="6743">
          <cell r="B6743" t="str">
            <v>Shipment</v>
          </cell>
        </row>
        <row r="6744">
          <cell r="B6744" t="str">
            <v>Shipment</v>
          </cell>
        </row>
        <row r="6745">
          <cell r="B6745" t="str">
            <v>Shipment</v>
          </cell>
        </row>
        <row r="6746">
          <cell r="B6746" t="str">
            <v>Shipment</v>
          </cell>
        </row>
        <row r="6747">
          <cell r="B6747" t="str">
            <v>Shipment</v>
          </cell>
        </row>
        <row r="6748">
          <cell r="B6748" t="str">
            <v>Shipment</v>
          </cell>
        </row>
        <row r="6749">
          <cell r="B6749" t="str">
            <v>Shipment</v>
          </cell>
        </row>
        <row r="6750">
          <cell r="B6750" t="str">
            <v>Shipment</v>
          </cell>
        </row>
        <row r="6751">
          <cell r="B6751" t="str">
            <v>Shipment</v>
          </cell>
        </row>
        <row r="6752">
          <cell r="B6752" t="str">
            <v>Shipment</v>
          </cell>
        </row>
        <row r="6753">
          <cell r="B6753" t="str">
            <v>Shipment</v>
          </cell>
        </row>
        <row r="6754">
          <cell r="B6754" t="str">
            <v>Shipment</v>
          </cell>
        </row>
        <row r="6755">
          <cell r="B6755" t="str">
            <v>Shipment</v>
          </cell>
        </row>
        <row r="6756">
          <cell r="B6756" t="str">
            <v>Shipment</v>
          </cell>
        </row>
        <row r="6757">
          <cell r="B6757" t="str">
            <v>Shipment</v>
          </cell>
        </row>
        <row r="6758">
          <cell r="B6758" t="str">
            <v>Shipment</v>
          </cell>
        </row>
        <row r="6759">
          <cell r="B6759" t="str">
            <v>Shipment</v>
          </cell>
        </row>
        <row r="6760">
          <cell r="B6760" t="str">
            <v>Shipment</v>
          </cell>
        </row>
        <row r="6761">
          <cell r="B6761" t="str">
            <v>Shipment</v>
          </cell>
        </row>
        <row r="6762">
          <cell r="B6762" t="str">
            <v>Shipment</v>
          </cell>
        </row>
        <row r="6763">
          <cell r="B6763" t="str">
            <v>Shipment</v>
          </cell>
        </row>
        <row r="6764">
          <cell r="B6764" t="str">
            <v>Shipment</v>
          </cell>
        </row>
        <row r="6765">
          <cell r="B6765" t="str">
            <v>Shipment</v>
          </cell>
        </row>
        <row r="6766">
          <cell r="B6766" t="str">
            <v>Shipment</v>
          </cell>
        </row>
        <row r="6767">
          <cell r="B6767" t="str">
            <v>Shipment</v>
          </cell>
        </row>
        <row r="6768">
          <cell r="B6768" t="str">
            <v>Shipment</v>
          </cell>
        </row>
        <row r="6769">
          <cell r="B6769" t="str">
            <v>Shipment</v>
          </cell>
        </row>
        <row r="6770">
          <cell r="B6770" t="str">
            <v>Shipment</v>
          </cell>
        </row>
        <row r="6771">
          <cell r="B6771" t="str">
            <v>Shipment</v>
          </cell>
        </row>
        <row r="6772">
          <cell r="B6772" t="str">
            <v>Shipment</v>
          </cell>
        </row>
        <row r="6773">
          <cell r="B6773" t="str">
            <v>Shipment</v>
          </cell>
        </row>
        <row r="6774">
          <cell r="B6774" t="str">
            <v>Shipment</v>
          </cell>
        </row>
        <row r="6775">
          <cell r="B6775" t="str">
            <v>Shipment</v>
          </cell>
        </row>
        <row r="6776">
          <cell r="B6776" t="str">
            <v>Shipment</v>
          </cell>
        </row>
        <row r="6777">
          <cell r="B6777" t="str">
            <v>Shipment</v>
          </cell>
        </row>
        <row r="6778">
          <cell r="B6778" t="str">
            <v>Shipment</v>
          </cell>
        </row>
        <row r="6779">
          <cell r="B6779" t="str">
            <v>Shipment</v>
          </cell>
        </row>
        <row r="6780">
          <cell r="B6780" t="str">
            <v>Shipment</v>
          </cell>
        </row>
        <row r="6781">
          <cell r="B6781" t="str">
            <v>Shipment</v>
          </cell>
        </row>
        <row r="6782">
          <cell r="B6782" t="str">
            <v>Shipment</v>
          </cell>
        </row>
        <row r="6783">
          <cell r="B6783" t="str">
            <v>Shipment</v>
          </cell>
        </row>
        <row r="6784">
          <cell r="B6784" t="str">
            <v>Shipment</v>
          </cell>
        </row>
        <row r="6785">
          <cell r="B6785" t="str">
            <v>Shipment</v>
          </cell>
        </row>
        <row r="6786">
          <cell r="B6786" t="str">
            <v>Shipment</v>
          </cell>
        </row>
        <row r="6787">
          <cell r="B6787" t="str">
            <v>Shipment</v>
          </cell>
        </row>
        <row r="6788">
          <cell r="B6788" t="str">
            <v>Shipment</v>
          </cell>
        </row>
        <row r="6789">
          <cell r="B6789" t="str">
            <v>Shipment</v>
          </cell>
        </row>
        <row r="6790">
          <cell r="B6790" t="str">
            <v>Shipment</v>
          </cell>
        </row>
        <row r="6791">
          <cell r="B6791" t="str">
            <v>Shipment</v>
          </cell>
        </row>
        <row r="6792">
          <cell r="B6792" t="str">
            <v>Shipment</v>
          </cell>
        </row>
        <row r="6793">
          <cell r="B6793" t="str">
            <v>Shipment</v>
          </cell>
        </row>
        <row r="6794">
          <cell r="B6794" t="str">
            <v>Shipment</v>
          </cell>
        </row>
        <row r="6795">
          <cell r="B6795" t="str">
            <v>Shipment</v>
          </cell>
        </row>
        <row r="6796">
          <cell r="B6796" t="str">
            <v>Shipment</v>
          </cell>
        </row>
        <row r="6797">
          <cell r="B6797" t="str">
            <v>Shipment</v>
          </cell>
        </row>
        <row r="6798">
          <cell r="B6798" t="str">
            <v>Shipment</v>
          </cell>
        </row>
        <row r="6799">
          <cell r="B6799" t="str">
            <v>Shipment</v>
          </cell>
        </row>
        <row r="6800">
          <cell r="B6800" t="str">
            <v>Shipment</v>
          </cell>
        </row>
        <row r="6801">
          <cell r="B6801" t="str">
            <v>Shipment</v>
          </cell>
        </row>
        <row r="6802">
          <cell r="B6802" t="str">
            <v>Shipment</v>
          </cell>
        </row>
        <row r="6803">
          <cell r="B6803" t="str">
            <v>Shipment</v>
          </cell>
        </row>
        <row r="6804">
          <cell r="B6804" t="str">
            <v>Shipment</v>
          </cell>
        </row>
        <row r="6805">
          <cell r="B6805" t="str">
            <v>Shipment</v>
          </cell>
        </row>
        <row r="6806">
          <cell r="B6806" t="str">
            <v>Shipment</v>
          </cell>
        </row>
        <row r="6807">
          <cell r="B6807" t="str">
            <v>Shipment</v>
          </cell>
        </row>
        <row r="6808">
          <cell r="B6808" t="str">
            <v>Shipment</v>
          </cell>
        </row>
        <row r="6809">
          <cell r="B6809" t="str">
            <v>Shipment</v>
          </cell>
        </row>
        <row r="6810">
          <cell r="B6810" t="str">
            <v>Shipment</v>
          </cell>
        </row>
        <row r="6811">
          <cell r="B6811" t="str">
            <v>Shipment</v>
          </cell>
        </row>
        <row r="6812">
          <cell r="B6812" t="str">
            <v>Shipment</v>
          </cell>
        </row>
        <row r="6813">
          <cell r="B6813" t="str">
            <v>Shipment</v>
          </cell>
        </row>
        <row r="6814">
          <cell r="B6814" t="str">
            <v>Shipment</v>
          </cell>
        </row>
        <row r="6815">
          <cell r="B6815" t="str">
            <v>Shipment</v>
          </cell>
        </row>
        <row r="6816">
          <cell r="B6816" t="str">
            <v>Shipment</v>
          </cell>
        </row>
        <row r="6817">
          <cell r="B6817" t="str">
            <v>Shipment</v>
          </cell>
        </row>
        <row r="6818">
          <cell r="B6818" t="str">
            <v>Shipment</v>
          </cell>
        </row>
        <row r="6819">
          <cell r="B6819" t="str">
            <v>Shipment</v>
          </cell>
        </row>
        <row r="6820">
          <cell r="B6820" t="str">
            <v>Shipment</v>
          </cell>
        </row>
        <row r="6821">
          <cell r="B6821" t="str">
            <v>Shipment</v>
          </cell>
        </row>
        <row r="6822">
          <cell r="B6822" t="str">
            <v>Shipment</v>
          </cell>
        </row>
        <row r="6823">
          <cell r="B6823" t="str">
            <v>Shipment</v>
          </cell>
        </row>
        <row r="6824">
          <cell r="B6824" t="str">
            <v>Shipment</v>
          </cell>
        </row>
        <row r="6825">
          <cell r="B6825" t="str">
            <v>Shipment</v>
          </cell>
        </row>
        <row r="6826">
          <cell r="B6826" t="str">
            <v>Shipment</v>
          </cell>
        </row>
        <row r="6827">
          <cell r="B6827" t="str">
            <v>Shipment</v>
          </cell>
        </row>
        <row r="6828">
          <cell r="B6828" t="str">
            <v>Shipment</v>
          </cell>
        </row>
        <row r="6829">
          <cell r="B6829" t="str">
            <v>Shipment</v>
          </cell>
        </row>
        <row r="6830">
          <cell r="B6830" t="str">
            <v>Shipment</v>
          </cell>
        </row>
        <row r="6831">
          <cell r="B6831" t="str">
            <v>Shipment</v>
          </cell>
        </row>
        <row r="6832">
          <cell r="B6832" t="str">
            <v>Shipment</v>
          </cell>
        </row>
        <row r="6833">
          <cell r="B6833" t="str">
            <v>Shipment</v>
          </cell>
        </row>
        <row r="6834">
          <cell r="B6834" t="str">
            <v>Shipment</v>
          </cell>
        </row>
        <row r="6835">
          <cell r="B6835" t="str">
            <v>Shipment</v>
          </cell>
        </row>
        <row r="6836">
          <cell r="B6836" t="str">
            <v>Shipment</v>
          </cell>
        </row>
        <row r="6837">
          <cell r="B6837" t="str">
            <v>Shipment</v>
          </cell>
        </row>
        <row r="6838">
          <cell r="B6838" t="str">
            <v>Shipment</v>
          </cell>
        </row>
        <row r="6839">
          <cell r="B6839" t="str">
            <v>Shipment</v>
          </cell>
        </row>
        <row r="6840">
          <cell r="B6840" t="str">
            <v>Shipment</v>
          </cell>
        </row>
        <row r="6841">
          <cell r="B6841" t="str">
            <v>Shipment</v>
          </cell>
        </row>
        <row r="6842">
          <cell r="B6842" t="str">
            <v>Shipment</v>
          </cell>
        </row>
        <row r="6843">
          <cell r="B6843" t="str">
            <v>Shipment</v>
          </cell>
        </row>
        <row r="6844">
          <cell r="B6844" t="str">
            <v>Shipment</v>
          </cell>
        </row>
        <row r="6845">
          <cell r="B6845" t="str">
            <v>Shipment</v>
          </cell>
        </row>
        <row r="6846">
          <cell r="B6846" t="str">
            <v>Shipment</v>
          </cell>
        </row>
        <row r="6847">
          <cell r="B6847" t="str">
            <v>Shipment</v>
          </cell>
        </row>
        <row r="6848">
          <cell r="B6848" t="str">
            <v>Shipment</v>
          </cell>
        </row>
        <row r="6849">
          <cell r="B6849" t="str">
            <v>Shipment</v>
          </cell>
        </row>
        <row r="6850">
          <cell r="B6850" t="str">
            <v>Shipment</v>
          </cell>
        </row>
        <row r="6851">
          <cell r="B6851" t="str">
            <v>Shipment</v>
          </cell>
        </row>
        <row r="6852">
          <cell r="B6852" t="str">
            <v>Shipment</v>
          </cell>
        </row>
        <row r="6853">
          <cell r="B6853" t="str">
            <v>Shipment</v>
          </cell>
        </row>
        <row r="6854">
          <cell r="B6854" t="str">
            <v>Shipment</v>
          </cell>
        </row>
        <row r="6855">
          <cell r="B6855" t="str">
            <v>Shipment</v>
          </cell>
        </row>
        <row r="6856">
          <cell r="B6856" t="str">
            <v>Shipment</v>
          </cell>
        </row>
        <row r="6857">
          <cell r="B6857" t="str">
            <v>Shipment</v>
          </cell>
        </row>
        <row r="6858">
          <cell r="B6858" t="str">
            <v>Shipment</v>
          </cell>
        </row>
        <row r="6859">
          <cell r="B6859" t="str">
            <v>Shipment</v>
          </cell>
        </row>
        <row r="6860">
          <cell r="B6860" t="str">
            <v>Shipment</v>
          </cell>
        </row>
        <row r="6861">
          <cell r="B6861" t="str">
            <v>Shipment</v>
          </cell>
        </row>
        <row r="6862">
          <cell r="B6862" t="str">
            <v>Shipment</v>
          </cell>
        </row>
        <row r="6863">
          <cell r="B6863" t="str">
            <v>Shipment</v>
          </cell>
        </row>
        <row r="6864">
          <cell r="B6864" t="str">
            <v>Shipment</v>
          </cell>
        </row>
        <row r="6865">
          <cell r="B6865" t="str">
            <v>Shipment</v>
          </cell>
        </row>
        <row r="6866">
          <cell r="B6866" t="str">
            <v>Shipment</v>
          </cell>
        </row>
        <row r="6867">
          <cell r="B6867" t="str">
            <v>Shipment</v>
          </cell>
        </row>
        <row r="6868">
          <cell r="B6868" t="str">
            <v>Shipment</v>
          </cell>
        </row>
        <row r="6869">
          <cell r="B6869" t="str">
            <v>Shipment</v>
          </cell>
        </row>
        <row r="6870">
          <cell r="B6870" t="str">
            <v>Shipment</v>
          </cell>
        </row>
        <row r="6871">
          <cell r="B6871" t="str">
            <v>Shipment</v>
          </cell>
        </row>
        <row r="6872">
          <cell r="B6872" t="str">
            <v>Shipment</v>
          </cell>
        </row>
        <row r="6873">
          <cell r="B6873" t="str">
            <v>Shipment</v>
          </cell>
        </row>
        <row r="6874">
          <cell r="B6874" t="str">
            <v>Shipment</v>
          </cell>
        </row>
        <row r="6875">
          <cell r="B6875" t="str">
            <v>Shipment</v>
          </cell>
        </row>
        <row r="6876">
          <cell r="B6876" t="str">
            <v>Shipment</v>
          </cell>
        </row>
        <row r="6877">
          <cell r="B6877" t="str">
            <v>Shipment</v>
          </cell>
        </row>
        <row r="6878">
          <cell r="B6878" t="str">
            <v>Shipment</v>
          </cell>
        </row>
        <row r="6879">
          <cell r="B6879" t="str">
            <v>Shipment</v>
          </cell>
        </row>
        <row r="6880">
          <cell r="B6880" t="str">
            <v>Shipment</v>
          </cell>
        </row>
        <row r="6881">
          <cell r="B6881" t="str">
            <v>Shipment</v>
          </cell>
        </row>
        <row r="6882">
          <cell r="B6882" t="str">
            <v>Shipment</v>
          </cell>
        </row>
        <row r="6883">
          <cell r="B6883" t="str">
            <v>Shipment</v>
          </cell>
        </row>
        <row r="6884">
          <cell r="B6884" t="str">
            <v>Shipment</v>
          </cell>
        </row>
        <row r="6885">
          <cell r="B6885" t="str">
            <v>Shipment</v>
          </cell>
        </row>
        <row r="6886">
          <cell r="B6886" t="str">
            <v>Shipment</v>
          </cell>
        </row>
        <row r="6887">
          <cell r="B6887" t="str">
            <v>Shipment</v>
          </cell>
        </row>
        <row r="6888">
          <cell r="B6888" t="str">
            <v>Shipment</v>
          </cell>
        </row>
        <row r="6889">
          <cell r="B6889" t="str">
            <v>Shipment</v>
          </cell>
        </row>
        <row r="6890">
          <cell r="B6890" t="str">
            <v>Shipment</v>
          </cell>
        </row>
        <row r="6891">
          <cell r="B6891" t="str">
            <v>Shipment</v>
          </cell>
        </row>
        <row r="6892">
          <cell r="B6892" t="str">
            <v>Shipment</v>
          </cell>
        </row>
        <row r="6893">
          <cell r="B6893" t="str">
            <v>Shipment</v>
          </cell>
        </row>
        <row r="6894">
          <cell r="B6894" t="str">
            <v>Shipment</v>
          </cell>
        </row>
        <row r="6895">
          <cell r="B6895" t="str">
            <v>Shipment</v>
          </cell>
        </row>
        <row r="6896">
          <cell r="B6896" t="str">
            <v>Shipment</v>
          </cell>
        </row>
        <row r="6897">
          <cell r="B6897" t="str">
            <v>Shipment</v>
          </cell>
        </row>
        <row r="6898">
          <cell r="B6898" t="str">
            <v>Shipment</v>
          </cell>
        </row>
        <row r="6899">
          <cell r="B6899" t="str">
            <v>Shipment</v>
          </cell>
        </row>
        <row r="6900">
          <cell r="B6900" t="str">
            <v>Shipment</v>
          </cell>
        </row>
        <row r="6901">
          <cell r="B6901" t="str">
            <v>Shipment</v>
          </cell>
        </row>
        <row r="6902">
          <cell r="B6902" t="str">
            <v>Shipment</v>
          </cell>
        </row>
        <row r="6903">
          <cell r="B6903" t="str">
            <v>Shipment</v>
          </cell>
        </row>
        <row r="6904">
          <cell r="B6904" t="str">
            <v>Shipment</v>
          </cell>
        </row>
        <row r="6905">
          <cell r="B6905" t="str">
            <v>Shipment</v>
          </cell>
        </row>
        <row r="6906">
          <cell r="B6906" t="str">
            <v>Shipment</v>
          </cell>
        </row>
        <row r="6907">
          <cell r="B6907" t="str">
            <v>Shipment</v>
          </cell>
        </row>
        <row r="6908">
          <cell r="B6908" t="str">
            <v>Shipment</v>
          </cell>
        </row>
        <row r="6909">
          <cell r="B6909" t="str">
            <v>Shipment</v>
          </cell>
        </row>
        <row r="6910">
          <cell r="B6910" t="str">
            <v>Shipment</v>
          </cell>
        </row>
        <row r="6911">
          <cell r="B6911" t="str">
            <v>Shipment</v>
          </cell>
        </row>
        <row r="6912">
          <cell r="B6912" t="str">
            <v>Shipment</v>
          </cell>
        </row>
        <row r="6913">
          <cell r="B6913" t="str">
            <v>Shipment</v>
          </cell>
        </row>
        <row r="6914">
          <cell r="B6914" t="str">
            <v>Shipment</v>
          </cell>
        </row>
        <row r="6915">
          <cell r="B6915" t="str">
            <v>Shipment</v>
          </cell>
        </row>
        <row r="6916">
          <cell r="B6916" t="str">
            <v>Shipment</v>
          </cell>
        </row>
        <row r="6917">
          <cell r="B6917" t="str">
            <v>Shipment</v>
          </cell>
        </row>
        <row r="6918">
          <cell r="B6918" t="str">
            <v>Shipment</v>
          </cell>
        </row>
        <row r="6919">
          <cell r="B6919" t="str">
            <v>Shipment</v>
          </cell>
        </row>
        <row r="6920">
          <cell r="B6920" t="str">
            <v>Shipment</v>
          </cell>
        </row>
        <row r="6921">
          <cell r="B6921" t="str">
            <v>Shipment</v>
          </cell>
        </row>
        <row r="6922">
          <cell r="B6922" t="str">
            <v>Shipment</v>
          </cell>
        </row>
        <row r="6923">
          <cell r="B6923" t="str">
            <v>Shipment</v>
          </cell>
        </row>
        <row r="6924">
          <cell r="B6924" t="str">
            <v>Shipment</v>
          </cell>
        </row>
        <row r="6925">
          <cell r="B6925" t="str">
            <v>Shipment</v>
          </cell>
        </row>
        <row r="6926">
          <cell r="B6926" t="str">
            <v>Shipment</v>
          </cell>
        </row>
        <row r="6927">
          <cell r="B6927" t="str">
            <v>Shipment</v>
          </cell>
        </row>
        <row r="6928">
          <cell r="B6928" t="str">
            <v>Shipment</v>
          </cell>
        </row>
        <row r="6929">
          <cell r="B6929" t="str">
            <v>Shipment</v>
          </cell>
        </row>
        <row r="6930">
          <cell r="B6930" t="str">
            <v>Shipment</v>
          </cell>
        </row>
        <row r="6931">
          <cell r="B6931" t="str">
            <v>Shipment</v>
          </cell>
        </row>
        <row r="6932">
          <cell r="B6932" t="str">
            <v>Shipment</v>
          </cell>
        </row>
        <row r="6933">
          <cell r="B6933" t="str">
            <v>Shipment</v>
          </cell>
        </row>
        <row r="6934">
          <cell r="B6934" t="str">
            <v>Shipment</v>
          </cell>
        </row>
        <row r="6935">
          <cell r="B6935" t="str">
            <v>Shipment</v>
          </cell>
        </row>
        <row r="6936">
          <cell r="B6936" t="str">
            <v>Shipment</v>
          </cell>
        </row>
        <row r="6937">
          <cell r="B6937" t="str">
            <v>Shipment</v>
          </cell>
        </row>
        <row r="6938">
          <cell r="B6938" t="str">
            <v>Shipment</v>
          </cell>
        </row>
        <row r="6939">
          <cell r="B6939" t="str">
            <v>Shipment</v>
          </cell>
        </row>
        <row r="6940">
          <cell r="B6940" t="str">
            <v>Shipment</v>
          </cell>
        </row>
        <row r="6941">
          <cell r="B6941" t="str">
            <v>Shipment</v>
          </cell>
        </row>
        <row r="6942">
          <cell r="B6942" t="str">
            <v>Shipment</v>
          </cell>
        </row>
        <row r="6943">
          <cell r="B6943" t="str">
            <v>Shipment</v>
          </cell>
        </row>
        <row r="6944">
          <cell r="B6944" t="str">
            <v>Shipment</v>
          </cell>
        </row>
        <row r="6945">
          <cell r="B6945" t="str">
            <v>Shipment</v>
          </cell>
        </row>
        <row r="6946">
          <cell r="B6946" t="str">
            <v>Shipment</v>
          </cell>
        </row>
        <row r="6947">
          <cell r="B6947" t="str">
            <v>Shipment</v>
          </cell>
        </row>
        <row r="6948">
          <cell r="B6948" t="str">
            <v>Shipment</v>
          </cell>
        </row>
        <row r="6949">
          <cell r="B6949" t="str">
            <v>Shipment</v>
          </cell>
        </row>
        <row r="6950">
          <cell r="B6950" t="str">
            <v>Shipment</v>
          </cell>
        </row>
        <row r="6951">
          <cell r="B6951" t="str">
            <v>Shipment</v>
          </cell>
        </row>
        <row r="6952">
          <cell r="B6952" t="str">
            <v>Shipment</v>
          </cell>
        </row>
        <row r="6953">
          <cell r="B6953" t="str">
            <v>Shipment</v>
          </cell>
        </row>
        <row r="6954">
          <cell r="B6954" t="str">
            <v>Shipment</v>
          </cell>
        </row>
        <row r="6955">
          <cell r="B6955" t="str">
            <v>Shipment</v>
          </cell>
        </row>
        <row r="6956">
          <cell r="B6956" t="str">
            <v>Shipment</v>
          </cell>
        </row>
        <row r="6957">
          <cell r="B6957" t="str">
            <v>Shipment</v>
          </cell>
        </row>
        <row r="6958">
          <cell r="B6958" t="str">
            <v>Shipment</v>
          </cell>
        </row>
        <row r="6959">
          <cell r="B6959" t="str">
            <v>Shipment</v>
          </cell>
        </row>
        <row r="6960">
          <cell r="B6960" t="str">
            <v>Shipment</v>
          </cell>
        </row>
        <row r="6961">
          <cell r="B6961" t="str">
            <v>Shipment</v>
          </cell>
        </row>
        <row r="6962">
          <cell r="B6962" t="str">
            <v>Shipment</v>
          </cell>
        </row>
        <row r="6963">
          <cell r="B6963" t="str">
            <v>Shipment</v>
          </cell>
        </row>
        <row r="6964">
          <cell r="B6964" t="str">
            <v>Shipment</v>
          </cell>
        </row>
        <row r="6965">
          <cell r="B6965" t="str">
            <v>Shipment</v>
          </cell>
        </row>
        <row r="6966">
          <cell r="B6966" t="str">
            <v>Shipment</v>
          </cell>
        </row>
        <row r="6967">
          <cell r="B6967" t="str">
            <v>Shipment</v>
          </cell>
        </row>
        <row r="6968">
          <cell r="B6968" t="str">
            <v>Shipment</v>
          </cell>
        </row>
        <row r="6969">
          <cell r="B6969" t="str">
            <v>Shipment</v>
          </cell>
        </row>
        <row r="6970">
          <cell r="B6970" t="str">
            <v>Shipment</v>
          </cell>
        </row>
        <row r="6971">
          <cell r="B6971" t="str">
            <v>Shipment</v>
          </cell>
        </row>
        <row r="6972">
          <cell r="B6972" t="str">
            <v>Shipment</v>
          </cell>
        </row>
        <row r="6973">
          <cell r="B6973" t="str">
            <v>Shipment</v>
          </cell>
        </row>
        <row r="6974">
          <cell r="B6974" t="str">
            <v>Shipment</v>
          </cell>
        </row>
        <row r="6975">
          <cell r="B6975" t="str">
            <v>Shipment</v>
          </cell>
        </row>
        <row r="6976">
          <cell r="B6976" t="str">
            <v>Shipment</v>
          </cell>
        </row>
        <row r="6977">
          <cell r="B6977" t="str">
            <v>Shipment</v>
          </cell>
        </row>
        <row r="6978">
          <cell r="B6978" t="str">
            <v>Shipment</v>
          </cell>
        </row>
        <row r="6979">
          <cell r="B6979" t="str">
            <v>Shipment</v>
          </cell>
        </row>
        <row r="6980">
          <cell r="B6980" t="str">
            <v>Shipment</v>
          </cell>
        </row>
        <row r="6981">
          <cell r="B6981" t="str">
            <v>Shipment</v>
          </cell>
        </row>
        <row r="6982">
          <cell r="B6982" t="str">
            <v>Shipment</v>
          </cell>
        </row>
        <row r="6983">
          <cell r="B6983" t="str">
            <v>Shipment</v>
          </cell>
        </row>
        <row r="6984">
          <cell r="B6984" t="str">
            <v>Shipment</v>
          </cell>
        </row>
        <row r="6985">
          <cell r="B6985" t="str">
            <v>Shipment</v>
          </cell>
        </row>
        <row r="6986">
          <cell r="B6986" t="str">
            <v>Shipment</v>
          </cell>
        </row>
        <row r="6987">
          <cell r="B6987" t="str">
            <v>Shipment</v>
          </cell>
        </row>
        <row r="6988">
          <cell r="B6988" t="str">
            <v>Shipment</v>
          </cell>
        </row>
        <row r="6989">
          <cell r="B6989" t="str">
            <v>Shipment</v>
          </cell>
        </row>
        <row r="6990">
          <cell r="B6990" t="str">
            <v>Shipment</v>
          </cell>
        </row>
        <row r="6991">
          <cell r="B6991" t="str">
            <v>Shipment</v>
          </cell>
        </row>
        <row r="6992">
          <cell r="B6992" t="str">
            <v>Shipment</v>
          </cell>
        </row>
        <row r="6993">
          <cell r="B6993" t="str">
            <v>Shipment</v>
          </cell>
        </row>
        <row r="6994">
          <cell r="B6994" t="str">
            <v>Shipment</v>
          </cell>
        </row>
        <row r="6995">
          <cell r="B6995" t="str">
            <v>Shipment</v>
          </cell>
        </row>
        <row r="6996">
          <cell r="B6996" t="str">
            <v>Shipment</v>
          </cell>
        </row>
        <row r="6997">
          <cell r="B6997" t="str">
            <v>Shipment</v>
          </cell>
        </row>
        <row r="6998">
          <cell r="B6998" t="str">
            <v>Shipment</v>
          </cell>
        </row>
        <row r="6999">
          <cell r="B6999" t="str">
            <v>Shipment</v>
          </cell>
        </row>
        <row r="7000">
          <cell r="B7000" t="str">
            <v>Shipment</v>
          </cell>
        </row>
        <row r="7001">
          <cell r="B7001" t="str">
            <v>Shipment</v>
          </cell>
        </row>
        <row r="7002">
          <cell r="B7002" t="str">
            <v>Shipment</v>
          </cell>
        </row>
        <row r="7003">
          <cell r="B7003" t="str">
            <v>Shipment</v>
          </cell>
        </row>
        <row r="7004">
          <cell r="B7004" t="str">
            <v>Shipment</v>
          </cell>
        </row>
        <row r="7005">
          <cell r="B7005" t="str">
            <v>Shipment</v>
          </cell>
        </row>
        <row r="7006">
          <cell r="B7006" t="str">
            <v>Shipment</v>
          </cell>
        </row>
        <row r="7007">
          <cell r="B7007" t="str">
            <v>Shipment</v>
          </cell>
        </row>
        <row r="7008">
          <cell r="B7008" t="str">
            <v>Shipment</v>
          </cell>
        </row>
        <row r="7009">
          <cell r="B7009" t="str">
            <v>Shipment</v>
          </cell>
        </row>
        <row r="7010">
          <cell r="B7010" t="str">
            <v>Shipment</v>
          </cell>
        </row>
        <row r="7011">
          <cell r="B7011" t="str">
            <v>Shipment</v>
          </cell>
        </row>
        <row r="7012">
          <cell r="B7012" t="str">
            <v>Shipment</v>
          </cell>
        </row>
        <row r="7013">
          <cell r="B7013" t="str">
            <v>Shipment</v>
          </cell>
        </row>
        <row r="7014">
          <cell r="B7014" t="str">
            <v>Shipment</v>
          </cell>
        </row>
        <row r="7015">
          <cell r="B7015" t="str">
            <v>Shipment</v>
          </cell>
        </row>
        <row r="7016">
          <cell r="B7016" t="str">
            <v>Shipment</v>
          </cell>
        </row>
        <row r="7017">
          <cell r="B7017" t="str">
            <v>Shipment</v>
          </cell>
        </row>
        <row r="7018">
          <cell r="B7018" t="str">
            <v>Shipment</v>
          </cell>
        </row>
        <row r="7019">
          <cell r="B7019" t="str">
            <v>Shipment</v>
          </cell>
        </row>
        <row r="7020">
          <cell r="B7020" t="str">
            <v>Shipment</v>
          </cell>
        </row>
        <row r="7021">
          <cell r="B7021" t="str">
            <v>Shipment</v>
          </cell>
        </row>
        <row r="7022">
          <cell r="B7022" t="str">
            <v>Shipment</v>
          </cell>
        </row>
        <row r="7023">
          <cell r="B7023" t="str">
            <v>Shipment</v>
          </cell>
        </row>
        <row r="7024">
          <cell r="B7024" t="str">
            <v>Shipment</v>
          </cell>
        </row>
        <row r="7025">
          <cell r="B7025" t="str">
            <v>Shipment</v>
          </cell>
        </row>
        <row r="7026">
          <cell r="B7026" t="str">
            <v>Shipment</v>
          </cell>
        </row>
        <row r="7027">
          <cell r="B7027" t="str">
            <v>Shipment</v>
          </cell>
        </row>
        <row r="7028">
          <cell r="B7028" t="str">
            <v>Shipment</v>
          </cell>
        </row>
        <row r="7029">
          <cell r="B7029" t="str">
            <v>Shipment</v>
          </cell>
        </row>
        <row r="7030">
          <cell r="B7030" t="str">
            <v>Shipment</v>
          </cell>
        </row>
        <row r="7031">
          <cell r="B7031" t="str">
            <v>Shipment</v>
          </cell>
        </row>
        <row r="7032">
          <cell r="B7032" t="str">
            <v>Shipment</v>
          </cell>
        </row>
        <row r="7033">
          <cell r="B7033" t="str">
            <v>Shipment</v>
          </cell>
        </row>
        <row r="7034">
          <cell r="B7034" t="str">
            <v>Shipment</v>
          </cell>
        </row>
        <row r="7035">
          <cell r="B7035" t="str">
            <v>Shipment</v>
          </cell>
        </row>
        <row r="7036">
          <cell r="B7036" t="str">
            <v>Shipment</v>
          </cell>
        </row>
        <row r="7037">
          <cell r="B7037" t="str">
            <v>Shipment</v>
          </cell>
        </row>
        <row r="7038">
          <cell r="B7038" t="str">
            <v>Shipment</v>
          </cell>
        </row>
        <row r="7039">
          <cell r="B7039" t="str">
            <v>Shipment</v>
          </cell>
        </row>
        <row r="7040">
          <cell r="B7040" t="str">
            <v>Shipment</v>
          </cell>
        </row>
        <row r="7041">
          <cell r="B7041" t="str">
            <v>Shipment</v>
          </cell>
        </row>
        <row r="7042">
          <cell r="B7042" t="str">
            <v>Shipment</v>
          </cell>
        </row>
        <row r="7043">
          <cell r="B7043" t="str">
            <v>Shipment</v>
          </cell>
        </row>
        <row r="7044">
          <cell r="B7044" t="str">
            <v>Shipment</v>
          </cell>
        </row>
        <row r="7045">
          <cell r="B7045" t="str">
            <v>Shipment</v>
          </cell>
        </row>
        <row r="7046">
          <cell r="B7046" t="str">
            <v>Shipment</v>
          </cell>
        </row>
        <row r="7047">
          <cell r="B7047" t="str">
            <v>Shipment</v>
          </cell>
        </row>
        <row r="7048">
          <cell r="B7048" t="str">
            <v>Shipment</v>
          </cell>
        </row>
        <row r="7049">
          <cell r="B7049" t="str">
            <v>Shipment</v>
          </cell>
        </row>
        <row r="7050">
          <cell r="B7050" t="str">
            <v>Shipment</v>
          </cell>
        </row>
        <row r="7051">
          <cell r="B7051" t="str">
            <v>Shipment</v>
          </cell>
        </row>
        <row r="7052">
          <cell r="B7052" t="str">
            <v>Shipment</v>
          </cell>
        </row>
        <row r="7053">
          <cell r="B7053" t="str">
            <v>Shipment</v>
          </cell>
        </row>
        <row r="7054">
          <cell r="B7054" t="str">
            <v>Shipment</v>
          </cell>
        </row>
        <row r="7055">
          <cell r="B7055" t="str">
            <v>Shipment</v>
          </cell>
        </row>
        <row r="7056">
          <cell r="B7056" t="str">
            <v>Shipment</v>
          </cell>
        </row>
        <row r="7057">
          <cell r="B7057" t="str">
            <v>Shipment</v>
          </cell>
        </row>
        <row r="7058">
          <cell r="B7058" t="str">
            <v>Shipment</v>
          </cell>
        </row>
        <row r="7059">
          <cell r="B7059" t="str">
            <v>Shipment</v>
          </cell>
        </row>
        <row r="7060">
          <cell r="B7060" t="str">
            <v>Shipment</v>
          </cell>
        </row>
        <row r="7061">
          <cell r="B7061" t="str">
            <v>Shipment</v>
          </cell>
        </row>
        <row r="7062">
          <cell r="B7062" t="str">
            <v>Shipment</v>
          </cell>
        </row>
        <row r="7063">
          <cell r="B7063" t="str">
            <v>Shipment</v>
          </cell>
        </row>
        <row r="7064">
          <cell r="B7064" t="str">
            <v>Shipment</v>
          </cell>
        </row>
        <row r="7065">
          <cell r="B7065" t="str">
            <v>Shipment</v>
          </cell>
        </row>
        <row r="7066">
          <cell r="B7066" t="str">
            <v>Shipment</v>
          </cell>
        </row>
        <row r="7067">
          <cell r="B7067" t="str">
            <v>Shipment</v>
          </cell>
        </row>
        <row r="7068">
          <cell r="B7068" t="str">
            <v>Shipment</v>
          </cell>
        </row>
        <row r="7069">
          <cell r="B7069" t="str">
            <v>Shipment</v>
          </cell>
        </row>
        <row r="7070">
          <cell r="B7070" t="str">
            <v>Shipment</v>
          </cell>
        </row>
        <row r="7071">
          <cell r="B7071" t="str">
            <v>Shipment</v>
          </cell>
        </row>
        <row r="7072">
          <cell r="B7072" t="str">
            <v>Shipment</v>
          </cell>
        </row>
        <row r="7073">
          <cell r="B7073" t="str">
            <v>Shipment</v>
          </cell>
        </row>
        <row r="7074">
          <cell r="B7074" t="str">
            <v>Shipment</v>
          </cell>
        </row>
        <row r="7075">
          <cell r="B7075" t="str">
            <v>Shipment</v>
          </cell>
        </row>
        <row r="7076">
          <cell r="B7076" t="str">
            <v>Shipment</v>
          </cell>
        </row>
        <row r="7077">
          <cell r="B7077" t="str">
            <v>Shipment</v>
          </cell>
        </row>
        <row r="7078">
          <cell r="B7078" t="str">
            <v>Shipment</v>
          </cell>
        </row>
        <row r="7079">
          <cell r="B7079" t="str">
            <v>Shipment</v>
          </cell>
        </row>
        <row r="7080">
          <cell r="B7080" t="str">
            <v>Shipment</v>
          </cell>
        </row>
        <row r="7081">
          <cell r="B7081" t="str">
            <v>Shipment</v>
          </cell>
        </row>
        <row r="7082">
          <cell r="B7082" t="str">
            <v>Shipment</v>
          </cell>
        </row>
        <row r="7083">
          <cell r="B7083" t="str">
            <v>Shipment</v>
          </cell>
        </row>
        <row r="7084">
          <cell r="B7084" t="str">
            <v>Shipment</v>
          </cell>
        </row>
        <row r="7085">
          <cell r="B7085" t="str">
            <v>Shipment</v>
          </cell>
        </row>
        <row r="7086">
          <cell r="B7086" t="str">
            <v>Shipment</v>
          </cell>
        </row>
        <row r="7087">
          <cell r="B7087" t="str">
            <v>Shipment</v>
          </cell>
        </row>
        <row r="7088">
          <cell r="B7088" t="str">
            <v>Shipment</v>
          </cell>
        </row>
        <row r="7089">
          <cell r="B7089" t="str">
            <v>Shipment</v>
          </cell>
        </row>
        <row r="7090">
          <cell r="B7090" t="str">
            <v>Shipment</v>
          </cell>
        </row>
        <row r="7091">
          <cell r="B7091" t="str">
            <v>Shipment</v>
          </cell>
        </row>
        <row r="7092">
          <cell r="B7092" t="str">
            <v>Shipment</v>
          </cell>
        </row>
        <row r="7093">
          <cell r="B7093" t="str">
            <v>Shipment</v>
          </cell>
        </row>
        <row r="7094">
          <cell r="B7094" t="str">
            <v>Shipment</v>
          </cell>
        </row>
        <row r="7095">
          <cell r="B7095" t="str">
            <v>Shipment</v>
          </cell>
        </row>
        <row r="7096">
          <cell r="B7096" t="str">
            <v>Shipment</v>
          </cell>
        </row>
        <row r="7097">
          <cell r="B7097" t="str">
            <v>Shipment</v>
          </cell>
        </row>
        <row r="7098">
          <cell r="B7098" t="str">
            <v>Shipment</v>
          </cell>
        </row>
        <row r="7099">
          <cell r="B7099" t="str">
            <v>Shipment</v>
          </cell>
        </row>
        <row r="7100">
          <cell r="B7100" t="str">
            <v>Shipment</v>
          </cell>
        </row>
        <row r="7101">
          <cell r="B7101" t="str">
            <v>Shipment</v>
          </cell>
        </row>
        <row r="7102">
          <cell r="B7102" t="str">
            <v>Shipment</v>
          </cell>
        </row>
        <row r="7103">
          <cell r="B7103" t="str">
            <v>Shipment</v>
          </cell>
        </row>
        <row r="7104">
          <cell r="B7104" t="str">
            <v>Shipment</v>
          </cell>
        </row>
        <row r="7105">
          <cell r="B7105" t="str">
            <v>Shipment</v>
          </cell>
        </row>
        <row r="7106">
          <cell r="B7106" t="str">
            <v>Shipment</v>
          </cell>
        </row>
        <row r="7107">
          <cell r="B7107" t="str">
            <v>Shipment</v>
          </cell>
        </row>
        <row r="7108">
          <cell r="B7108" t="str">
            <v>Shipment</v>
          </cell>
        </row>
        <row r="7109">
          <cell r="B7109" t="str">
            <v>Shipment</v>
          </cell>
        </row>
        <row r="7110">
          <cell r="B7110" t="str">
            <v>Shipment</v>
          </cell>
        </row>
        <row r="7111">
          <cell r="B7111" t="str">
            <v>Shipment</v>
          </cell>
        </row>
        <row r="7112">
          <cell r="B7112" t="str">
            <v>Shipment</v>
          </cell>
        </row>
        <row r="7113">
          <cell r="B7113" t="str">
            <v>Shipment</v>
          </cell>
        </row>
        <row r="7114">
          <cell r="B7114" t="str">
            <v>Shipment</v>
          </cell>
        </row>
        <row r="7115">
          <cell r="B7115" t="str">
            <v>Shipment</v>
          </cell>
        </row>
        <row r="7116">
          <cell r="B7116" t="str">
            <v>Shipment</v>
          </cell>
        </row>
        <row r="7117">
          <cell r="B7117" t="str">
            <v>Shipment</v>
          </cell>
        </row>
        <row r="7118">
          <cell r="B7118" t="str">
            <v>Shipment</v>
          </cell>
        </row>
        <row r="7119">
          <cell r="B7119" t="str">
            <v>Shipment</v>
          </cell>
        </row>
        <row r="7120">
          <cell r="B7120" t="str">
            <v>Shipment</v>
          </cell>
        </row>
        <row r="7121">
          <cell r="B7121" t="str">
            <v>Shipment</v>
          </cell>
        </row>
        <row r="7122">
          <cell r="B7122" t="str">
            <v>Shipment</v>
          </cell>
        </row>
        <row r="7123">
          <cell r="B7123" t="str">
            <v>Shipment</v>
          </cell>
        </row>
        <row r="7124">
          <cell r="B7124" t="str">
            <v>Shipment</v>
          </cell>
        </row>
        <row r="7125">
          <cell r="B7125" t="str">
            <v>Shipment</v>
          </cell>
        </row>
        <row r="7126">
          <cell r="B7126" t="str">
            <v>Shipment</v>
          </cell>
        </row>
        <row r="7127">
          <cell r="B7127" t="str">
            <v>Shipment</v>
          </cell>
        </row>
        <row r="7128">
          <cell r="B7128" t="str">
            <v>Shipment</v>
          </cell>
        </row>
        <row r="7129">
          <cell r="B7129" t="str">
            <v>Shipment</v>
          </cell>
        </row>
        <row r="7130">
          <cell r="B7130" t="str">
            <v>Shipment</v>
          </cell>
        </row>
        <row r="7131">
          <cell r="B7131" t="str">
            <v>Shipment</v>
          </cell>
        </row>
        <row r="7132">
          <cell r="B7132" t="str">
            <v>Shipment</v>
          </cell>
        </row>
        <row r="7133">
          <cell r="B7133" t="str">
            <v>Shipment</v>
          </cell>
        </row>
        <row r="7134">
          <cell r="B7134" t="str">
            <v>Shipment</v>
          </cell>
        </row>
        <row r="7135">
          <cell r="B7135" t="str">
            <v>Shipment</v>
          </cell>
        </row>
        <row r="7136">
          <cell r="B7136" t="str">
            <v>Shipment</v>
          </cell>
        </row>
        <row r="7137">
          <cell r="B7137" t="str">
            <v>Shipment</v>
          </cell>
        </row>
        <row r="7138">
          <cell r="B7138" t="str">
            <v>Shipment</v>
          </cell>
        </row>
        <row r="7139">
          <cell r="B7139" t="str">
            <v>Shipment</v>
          </cell>
        </row>
        <row r="7140">
          <cell r="B7140" t="str">
            <v>Shipment</v>
          </cell>
        </row>
        <row r="7141">
          <cell r="B7141" t="str">
            <v>Shipment</v>
          </cell>
        </row>
        <row r="7142">
          <cell r="B7142" t="str">
            <v>Shipment</v>
          </cell>
        </row>
        <row r="7143">
          <cell r="B7143" t="str">
            <v>Shipment</v>
          </cell>
        </row>
        <row r="7144">
          <cell r="B7144" t="str">
            <v>Shipment</v>
          </cell>
        </row>
        <row r="7145">
          <cell r="B7145" t="str">
            <v>Shipment</v>
          </cell>
        </row>
        <row r="7146">
          <cell r="B7146" t="str">
            <v>Shipment</v>
          </cell>
        </row>
        <row r="7147">
          <cell r="B7147" t="str">
            <v>Shipment</v>
          </cell>
        </row>
        <row r="7148">
          <cell r="B7148" t="str">
            <v>Shipment</v>
          </cell>
        </row>
        <row r="7149">
          <cell r="B7149" t="str">
            <v>Shipment</v>
          </cell>
        </row>
        <row r="7150">
          <cell r="B7150" t="str">
            <v>Shipment</v>
          </cell>
        </row>
        <row r="7151">
          <cell r="B7151" t="str">
            <v>Shipment</v>
          </cell>
        </row>
        <row r="7152">
          <cell r="B7152" t="str">
            <v>Shipment</v>
          </cell>
        </row>
        <row r="7153">
          <cell r="B7153" t="str">
            <v>Shipment</v>
          </cell>
        </row>
        <row r="7154">
          <cell r="B7154" t="str">
            <v>Shipment</v>
          </cell>
        </row>
        <row r="7155">
          <cell r="B7155" t="str">
            <v>Shipment</v>
          </cell>
        </row>
        <row r="7156">
          <cell r="B7156" t="str">
            <v>Shipment</v>
          </cell>
        </row>
        <row r="7157">
          <cell r="B7157" t="str">
            <v>Shipment</v>
          </cell>
        </row>
        <row r="7158">
          <cell r="B7158" t="str">
            <v>Shipment</v>
          </cell>
        </row>
        <row r="7159">
          <cell r="B7159" t="str">
            <v>Shipment</v>
          </cell>
        </row>
        <row r="7160">
          <cell r="B7160" t="str">
            <v>Shipment</v>
          </cell>
        </row>
        <row r="7161">
          <cell r="B7161" t="str">
            <v>Shipment</v>
          </cell>
        </row>
        <row r="7162">
          <cell r="B7162" t="str">
            <v>Shipment</v>
          </cell>
        </row>
        <row r="7163">
          <cell r="B7163" t="str">
            <v>Shipment</v>
          </cell>
        </row>
        <row r="7164">
          <cell r="B7164" t="str">
            <v>Shipment</v>
          </cell>
        </row>
        <row r="7165">
          <cell r="B7165" t="str">
            <v>Shipment</v>
          </cell>
        </row>
        <row r="7166">
          <cell r="B7166" t="str">
            <v>Shipment</v>
          </cell>
        </row>
        <row r="7167">
          <cell r="B7167" t="str">
            <v>Shipment</v>
          </cell>
        </row>
        <row r="7168">
          <cell r="B7168" t="str">
            <v>Shipment</v>
          </cell>
        </row>
        <row r="7169">
          <cell r="B7169" t="str">
            <v>Shipment</v>
          </cell>
        </row>
        <row r="7170">
          <cell r="B7170" t="str">
            <v>Shipment</v>
          </cell>
        </row>
        <row r="7171">
          <cell r="B7171" t="str">
            <v>Shipment</v>
          </cell>
        </row>
        <row r="7172">
          <cell r="B7172" t="str">
            <v>Shipment</v>
          </cell>
        </row>
        <row r="7173">
          <cell r="B7173" t="str">
            <v>Shipment</v>
          </cell>
        </row>
        <row r="7174">
          <cell r="B7174" t="str">
            <v>Shipment</v>
          </cell>
        </row>
        <row r="7175">
          <cell r="B7175" t="str">
            <v>Shipment</v>
          </cell>
        </row>
        <row r="7176">
          <cell r="B7176" t="str">
            <v>Shipment</v>
          </cell>
        </row>
        <row r="7177">
          <cell r="B7177" t="str">
            <v>Shipment</v>
          </cell>
        </row>
        <row r="7178">
          <cell r="B7178" t="str">
            <v>Shipment</v>
          </cell>
        </row>
        <row r="7179">
          <cell r="B7179" t="str">
            <v>Shipment</v>
          </cell>
        </row>
        <row r="7180">
          <cell r="B7180" t="str">
            <v>Shipment</v>
          </cell>
        </row>
        <row r="7181">
          <cell r="B7181" t="str">
            <v>Shipment</v>
          </cell>
        </row>
        <row r="7182">
          <cell r="B7182" t="str">
            <v>Shipment</v>
          </cell>
        </row>
        <row r="7183">
          <cell r="B7183" t="str">
            <v>Shipment</v>
          </cell>
        </row>
        <row r="7184">
          <cell r="B7184" t="str">
            <v>Shipment</v>
          </cell>
        </row>
        <row r="7185">
          <cell r="B7185" t="str">
            <v>Shipment</v>
          </cell>
        </row>
        <row r="7186">
          <cell r="B7186" t="str">
            <v>Shipment</v>
          </cell>
        </row>
        <row r="7187">
          <cell r="B7187" t="str">
            <v>Shipment</v>
          </cell>
        </row>
        <row r="7188">
          <cell r="B7188" t="str">
            <v>Shipment</v>
          </cell>
        </row>
        <row r="7189">
          <cell r="B7189" t="str">
            <v>Shipment</v>
          </cell>
        </row>
        <row r="7190">
          <cell r="B7190" t="str">
            <v>Shipment</v>
          </cell>
        </row>
        <row r="7191">
          <cell r="B7191" t="str">
            <v>Shipment</v>
          </cell>
        </row>
        <row r="7192">
          <cell r="B7192" t="str">
            <v>Shipment</v>
          </cell>
        </row>
        <row r="7193">
          <cell r="B7193" t="str">
            <v>Shipment</v>
          </cell>
        </row>
        <row r="7194">
          <cell r="B7194" t="str">
            <v>Shipment</v>
          </cell>
        </row>
        <row r="7195">
          <cell r="B7195" t="str">
            <v>Shipment</v>
          </cell>
        </row>
        <row r="7196">
          <cell r="B7196" t="str">
            <v>Shipment</v>
          </cell>
        </row>
        <row r="7197">
          <cell r="B7197" t="str">
            <v>Shipment</v>
          </cell>
        </row>
        <row r="7198">
          <cell r="B7198" t="str">
            <v>Shipment</v>
          </cell>
        </row>
        <row r="7199">
          <cell r="B7199" t="str">
            <v>Shipment</v>
          </cell>
        </row>
        <row r="7200">
          <cell r="B7200" t="str">
            <v>Shipment</v>
          </cell>
        </row>
        <row r="7201">
          <cell r="B7201" t="str">
            <v>Shipment</v>
          </cell>
        </row>
        <row r="7202">
          <cell r="B7202" t="str">
            <v>Shipment</v>
          </cell>
        </row>
        <row r="7203">
          <cell r="B7203" t="str">
            <v>Shipment</v>
          </cell>
        </row>
        <row r="7204">
          <cell r="B7204" t="str">
            <v>Shipment</v>
          </cell>
        </row>
        <row r="7205">
          <cell r="B7205" t="str">
            <v>Shipment</v>
          </cell>
        </row>
        <row r="7206">
          <cell r="B7206" t="str">
            <v>Shipment</v>
          </cell>
        </row>
        <row r="7207">
          <cell r="B7207" t="str">
            <v>Shipment</v>
          </cell>
        </row>
        <row r="7208">
          <cell r="B7208" t="str">
            <v>Shipment</v>
          </cell>
        </row>
        <row r="7209">
          <cell r="B7209" t="str">
            <v>Shipment</v>
          </cell>
        </row>
        <row r="7210">
          <cell r="B7210" t="str">
            <v>Shipment</v>
          </cell>
        </row>
        <row r="7211">
          <cell r="B7211" t="str">
            <v>Shipment</v>
          </cell>
        </row>
        <row r="7212">
          <cell r="B7212" t="str">
            <v>Shipment</v>
          </cell>
        </row>
        <row r="7213">
          <cell r="B7213" t="str">
            <v>Shipment</v>
          </cell>
        </row>
        <row r="7214">
          <cell r="B7214" t="str">
            <v>Shipment</v>
          </cell>
        </row>
        <row r="7215">
          <cell r="B7215" t="str">
            <v>Shipment</v>
          </cell>
        </row>
        <row r="7216">
          <cell r="B7216" t="str">
            <v>Shipment</v>
          </cell>
        </row>
        <row r="7217">
          <cell r="B7217" t="str">
            <v>Shipment</v>
          </cell>
        </row>
        <row r="7218">
          <cell r="B7218" t="str">
            <v>Shipment</v>
          </cell>
        </row>
        <row r="7219">
          <cell r="B7219" t="str">
            <v>Shipment</v>
          </cell>
        </row>
        <row r="7220">
          <cell r="B7220" t="str">
            <v>Shipment</v>
          </cell>
        </row>
        <row r="7221">
          <cell r="B7221" t="str">
            <v>Shipment</v>
          </cell>
        </row>
        <row r="7222">
          <cell r="B7222" t="str">
            <v>Shipment</v>
          </cell>
        </row>
        <row r="7223">
          <cell r="B7223" t="str">
            <v>Shipment</v>
          </cell>
        </row>
        <row r="7224">
          <cell r="B7224" t="str">
            <v>Shipment</v>
          </cell>
        </row>
        <row r="7225">
          <cell r="B7225" t="str">
            <v>Shipment</v>
          </cell>
        </row>
        <row r="7226">
          <cell r="B7226" t="str">
            <v>Shipment</v>
          </cell>
        </row>
        <row r="7227">
          <cell r="B7227" t="str">
            <v>Shipment</v>
          </cell>
        </row>
        <row r="7228">
          <cell r="B7228" t="str">
            <v>Shipment</v>
          </cell>
        </row>
        <row r="7229">
          <cell r="B7229" t="str">
            <v>Shipment</v>
          </cell>
        </row>
        <row r="7230">
          <cell r="B7230" t="str">
            <v>Shipment</v>
          </cell>
        </row>
        <row r="7231">
          <cell r="B7231" t="str">
            <v>Shipment</v>
          </cell>
        </row>
        <row r="7232">
          <cell r="B7232" t="str">
            <v>Shipment</v>
          </cell>
        </row>
        <row r="7233">
          <cell r="B7233" t="str">
            <v>Shipment</v>
          </cell>
        </row>
        <row r="7234">
          <cell r="B7234" t="str">
            <v>Shipment</v>
          </cell>
        </row>
        <row r="7235">
          <cell r="B7235" t="str">
            <v>Shipment</v>
          </cell>
        </row>
        <row r="7236">
          <cell r="B7236" t="str">
            <v>Shipment</v>
          </cell>
        </row>
        <row r="7237">
          <cell r="B7237" t="str">
            <v>Shipment</v>
          </cell>
        </row>
        <row r="7238">
          <cell r="B7238" t="str">
            <v>Shipment</v>
          </cell>
        </row>
        <row r="7239">
          <cell r="B7239" t="str">
            <v>Shipment</v>
          </cell>
        </row>
        <row r="7240">
          <cell r="B7240" t="str">
            <v>Shipment</v>
          </cell>
        </row>
        <row r="7241">
          <cell r="B7241" t="str">
            <v>Shipment</v>
          </cell>
        </row>
        <row r="7242">
          <cell r="B7242" t="str">
            <v>Shipment</v>
          </cell>
        </row>
        <row r="7243">
          <cell r="B7243" t="str">
            <v>Shipment</v>
          </cell>
        </row>
        <row r="7244">
          <cell r="B7244" t="str">
            <v>Shipment</v>
          </cell>
        </row>
        <row r="7245">
          <cell r="B7245" t="str">
            <v>Shipment</v>
          </cell>
        </row>
        <row r="7246">
          <cell r="B7246" t="str">
            <v>Shipment</v>
          </cell>
        </row>
        <row r="7247">
          <cell r="B7247" t="str">
            <v>Shipment</v>
          </cell>
        </row>
        <row r="7248">
          <cell r="B7248" t="str">
            <v>Shipment</v>
          </cell>
        </row>
        <row r="7249">
          <cell r="B7249" t="str">
            <v>Shipment</v>
          </cell>
        </row>
        <row r="7250">
          <cell r="B7250" t="str">
            <v>Shipment</v>
          </cell>
        </row>
        <row r="7251">
          <cell r="B7251" t="str">
            <v>Shipment</v>
          </cell>
        </row>
        <row r="7252">
          <cell r="B7252" t="str">
            <v>Shipment</v>
          </cell>
        </row>
        <row r="7253">
          <cell r="B7253" t="str">
            <v>Shipment</v>
          </cell>
        </row>
        <row r="7254">
          <cell r="B7254" t="str">
            <v>Shipment</v>
          </cell>
        </row>
        <row r="7255">
          <cell r="B7255" t="str">
            <v>Shipment</v>
          </cell>
        </row>
        <row r="7256">
          <cell r="B7256" t="str">
            <v>Shipment</v>
          </cell>
        </row>
        <row r="7257">
          <cell r="B7257" t="str">
            <v>Shipment</v>
          </cell>
        </row>
        <row r="7258">
          <cell r="B7258" t="str">
            <v>Shipment</v>
          </cell>
        </row>
        <row r="7259">
          <cell r="B7259" t="str">
            <v>Shipment</v>
          </cell>
        </row>
        <row r="7260">
          <cell r="B7260" t="str">
            <v>Shipment</v>
          </cell>
        </row>
        <row r="7261">
          <cell r="B7261" t="str">
            <v>Shipment</v>
          </cell>
        </row>
        <row r="7262">
          <cell r="B7262" t="str">
            <v>Shipment</v>
          </cell>
        </row>
        <row r="7263">
          <cell r="B7263" t="str">
            <v>Shipment</v>
          </cell>
        </row>
        <row r="7264">
          <cell r="B7264" t="str">
            <v>Shipment</v>
          </cell>
        </row>
        <row r="7265">
          <cell r="B7265" t="str">
            <v>Shipment</v>
          </cell>
        </row>
        <row r="7266">
          <cell r="B7266" t="str">
            <v>Shipment</v>
          </cell>
        </row>
        <row r="7267">
          <cell r="B7267" t="str">
            <v>Shipment</v>
          </cell>
        </row>
        <row r="7268">
          <cell r="B7268" t="str">
            <v>Shipment</v>
          </cell>
        </row>
        <row r="7269">
          <cell r="B7269" t="str">
            <v>Shipment</v>
          </cell>
        </row>
        <row r="7270">
          <cell r="B7270" t="str">
            <v>Shipment</v>
          </cell>
        </row>
        <row r="7271">
          <cell r="B7271" t="str">
            <v>Shipment</v>
          </cell>
        </row>
        <row r="7272">
          <cell r="B7272" t="str">
            <v>Shipment</v>
          </cell>
        </row>
        <row r="7273">
          <cell r="B7273" t="str">
            <v>Shipment</v>
          </cell>
        </row>
        <row r="7274">
          <cell r="B7274" t="str">
            <v>Shipment</v>
          </cell>
        </row>
        <row r="7275">
          <cell r="B7275" t="str">
            <v>Shipment</v>
          </cell>
        </row>
        <row r="7276">
          <cell r="B7276" t="str">
            <v>Shipment</v>
          </cell>
        </row>
        <row r="7277">
          <cell r="B7277" t="str">
            <v>Shipment</v>
          </cell>
        </row>
        <row r="7278">
          <cell r="B7278" t="str">
            <v>Shipment</v>
          </cell>
        </row>
        <row r="7279">
          <cell r="B7279" t="str">
            <v>Shipment</v>
          </cell>
        </row>
        <row r="7280">
          <cell r="B7280" t="str">
            <v>Shipment</v>
          </cell>
        </row>
        <row r="7281">
          <cell r="B7281" t="str">
            <v>Shipment</v>
          </cell>
        </row>
        <row r="7282">
          <cell r="B7282" t="str">
            <v>Shipment</v>
          </cell>
        </row>
        <row r="7283">
          <cell r="B7283" t="str">
            <v>Shipment</v>
          </cell>
        </row>
        <row r="7284">
          <cell r="B7284" t="str">
            <v>Shipment</v>
          </cell>
        </row>
        <row r="7285">
          <cell r="B7285" t="str">
            <v>Shipment</v>
          </cell>
        </row>
        <row r="7286">
          <cell r="B7286" t="str">
            <v>Shipment</v>
          </cell>
        </row>
        <row r="7287">
          <cell r="B7287" t="str">
            <v>Shipment</v>
          </cell>
        </row>
        <row r="7288">
          <cell r="B7288" t="str">
            <v>Shipment</v>
          </cell>
        </row>
        <row r="7289">
          <cell r="B7289" t="str">
            <v>Shipment</v>
          </cell>
        </row>
        <row r="7290">
          <cell r="B7290" t="str">
            <v>Shipment</v>
          </cell>
        </row>
        <row r="7291">
          <cell r="B7291" t="str">
            <v>Shipment</v>
          </cell>
        </row>
        <row r="7292">
          <cell r="B7292" t="str">
            <v>Shipment</v>
          </cell>
        </row>
        <row r="7293">
          <cell r="B7293" t="str">
            <v>Shipment</v>
          </cell>
        </row>
        <row r="7294">
          <cell r="B7294" t="str">
            <v>Shipment</v>
          </cell>
        </row>
        <row r="7295">
          <cell r="B7295" t="str">
            <v>Shipment</v>
          </cell>
        </row>
        <row r="7296">
          <cell r="B7296" t="str">
            <v>Shipment</v>
          </cell>
        </row>
        <row r="7297">
          <cell r="B7297" t="str">
            <v>Shipment</v>
          </cell>
        </row>
        <row r="7298">
          <cell r="B7298" t="str">
            <v>Shipment</v>
          </cell>
        </row>
        <row r="7299">
          <cell r="B7299" t="str">
            <v>Shipment</v>
          </cell>
        </row>
        <row r="7300">
          <cell r="B7300" t="str">
            <v>Shipment</v>
          </cell>
        </row>
        <row r="7301">
          <cell r="B7301" t="str">
            <v>Shipment</v>
          </cell>
        </row>
        <row r="7302">
          <cell r="B7302" t="str">
            <v>Shipment</v>
          </cell>
        </row>
        <row r="7303">
          <cell r="B7303" t="str">
            <v>Shipment</v>
          </cell>
        </row>
        <row r="7304">
          <cell r="B7304" t="str">
            <v>Shipment</v>
          </cell>
        </row>
        <row r="7305">
          <cell r="B7305" t="str">
            <v>Shipment</v>
          </cell>
        </row>
        <row r="7306">
          <cell r="B7306" t="str">
            <v>Shipment</v>
          </cell>
        </row>
        <row r="7307">
          <cell r="B7307" t="str">
            <v>Shipment</v>
          </cell>
        </row>
        <row r="7308">
          <cell r="B7308" t="str">
            <v>Shipment</v>
          </cell>
        </row>
        <row r="7309">
          <cell r="B7309" t="str">
            <v>Shipment</v>
          </cell>
        </row>
        <row r="7310">
          <cell r="B7310" t="str">
            <v>Shipment</v>
          </cell>
        </row>
        <row r="7311">
          <cell r="B7311" t="str">
            <v>Shipment</v>
          </cell>
        </row>
        <row r="7312">
          <cell r="B7312" t="str">
            <v>Shipment</v>
          </cell>
        </row>
        <row r="7313">
          <cell r="B7313" t="str">
            <v>Shipment</v>
          </cell>
        </row>
        <row r="7314">
          <cell r="B7314" t="str">
            <v>Shipment</v>
          </cell>
        </row>
        <row r="7315">
          <cell r="B7315" t="str">
            <v>Shipment</v>
          </cell>
        </row>
        <row r="7316">
          <cell r="B7316" t="str">
            <v>Shipment</v>
          </cell>
        </row>
        <row r="7317">
          <cell r="B7317" t="str">
            <v>Shipment</v>
          </cell>
        </row>
        <row r="7318">
          <cell r="B7318" t="str">
            <v>Shipment</v>
          </cell>
        </row>
        <row r="7319">
          <cell r="B7319" t="str">
            <v>Shipment</v>
          </cell>
        </row>
        <row r="7320">
          <cell r="B7320" t="str">
            <v>Shipment</v>
          </cell>
        </row>
        <row r="7321">
          <cell r="B7321" t="str">
            <v>Shipment</v>
          </cell>
        </row>
        <row r="7322">
          <cell r="B7322" t="str">
            <v>Shipment</v>
          </cell>
        </row>
        <row r="7323">
          <cell r="B7323" t="str">
            <v>Shipment</v>
          </cell>
        </row>
        <row r="7324">
          <cell r="B7324" t="str">
            <v>Shipment</v>
          </cell>
        </row>
        <row r="7325">
          <cell r="B7325" t="str">
            <v>Shipment</v>
          </cell>
        </row>
        <row r="7326">
          <cell r="B7326" t="str">
            <v>Shipment</v>
          </cell>
        </row>
        <row r="7327">
          <cell r="B7327" t="str">
            <v>Shipment</v>
          </cell>
        </row>
        <row r="7328">
          <cell r="B7328" t="str">
            <v>Shipment</v>
          </cell>
        </row>
        <row r="7329">
          <cell r="B7329" t="str">
            <v>Shipment</v>
          </cell>
        </row>
        <row r="7330">
          <cell r="B7330" t="str">
            <v>Shipment</v>
          </cell>
        </row>
        <row r="7331">
          <cell r="B7331" t="str">
            <v>Shipment</v>
          </cell>
        </row>
        <row r="7332">
          <cell r="B7332" t="str">
            <v>Shipment</v>
          </cell>
        </row>
        <row r="7333">
          <cell r="B7333" t="str">
            <v>Shipment</v>
          </cell>
        </row>
        <row r="7334">
          <cell r="B7334" t="str">
            <v>Shipment</v>
          </cell>
        </row>
        <row r="7335">
          <cell r="B7335" t="str">
            <v>Shipment</v>
          </cell>
        </row>
        <row r="7336">
          <cell r="B7336" t="str">
            <v>Shipment</v>
          </cell>
        </row>
        <row r="7337">
          <cell r="B7337" t="str">
            <v>Shipment</v>
          </cell>
        </row>
        <row r="7338">
          <cell r="B7338" t="str">
            <v>Shipment</v>
          </cell>
        </row>
        <row r="7339">
          <cell r="B7339" t="str">
            <v>Shipment</v>
          </cell>
        </row>
        <row r="7340">
          <cell r="B7340" t="str">
            <v>Shipment</v>
          </cell>
        </row>
        <row r="7341">
          <cell r="B7341" t="str">
            <v>Shipment</v>
          </cell>
        </row>
        <row r="7342">
          <cell r="B7342" t="str">
            <v>Shipment</v>
          </cell>
        </row>
        <row r="7343">
          <cell r="B7343" t="str">
            <v>Shipment</v>
          </cell>
        </row>
        <row r="7344">
          <cell r="B7344" t="str">
            <v>Shipment</v>
          </cell>
        </row>
        <row r="7345">
          <cell r="B7345" t="str">
            <v>Shipment</v>
          </cell>
        </row>
        <row r="7346">
          <cell r="B7346" t="str">
            <v>Shipment</v>
          </cell>
        </row>
        <row r="7347">
          <cell r="B7347" t="str">
            <v>Shipment</v>
          </cell>
        </row>
        <row r="7348">
          <cell r="B7348" t="str">
            <v>Shipment</v>
          </cell>
        </row>
        <row r="7349">
          <cell r="B7349" t="str">
            <v>Shipment</v>
          </cell>
        </row>
        <row r="7350">
          <cell r="B7350" t="str">
            <v>Shipment</v>
          </cell>
        </row>
        <row r="7351">
          <cell r="B7351" t="str">
            <v>Shipment</v>
          </cell>
        </row>
        <row r="7352">
          <cell r="B7352" t="str">
            <v>Shipment</v>
          </cell>
        </row>
        <row r="7353">
          <cell r="B7353" t="str">
            <v>Shipment</v>
          </cell>
        </row>
        <row r="7354">
          <cell r="B7354" t="str">
            <v>Shipment</v>
          </cell>
        </row>
        <row r="7355">
          <cell r="B7355" t="str">
            <v>Shipment</v>
          </cell>
        </row>
        <row r="7356">
          <cell r="B7356" t="str">
            <v>Shipment</v>
          </cell>
        </row>
        <row r="7357">
          <cell r="B7357" t="str">
            <v>Shipment</v>
          </cell>
        </row>
        <row r="7358">
          <cell r="B7358" t="str">
            <v>Shipment</v>
          </cell>
        </row>
        <row r="7359">
          <cell r="B7359" t="str">
            <v>Shipment</v>
          </cell>
        </row>
        <row r="7360">
          <cell r="B7360" t="str">
            <v>Shipment</v>
          </cell>
        </row>
        <row r="7361">
          <cell r="B7361" t="str">
            <v>Shipment</v>
          </cell>
        </row>
        <row r="7362">
          <cell r="B7362" t="str">
            <v>Shipment</v>
          </cell>
        </row>
        <row r="7363">
          <cell r="B7363" t="str">
            <v>Shipment</v>
          </cell>
        </row>
        <row r="7364">
          <cell r="B7364" t="str">
            <v>Shipment</v>
          </cell>
        </row>
        <row r="7365">
          <cell r="B7365" t="str">
            <v>Shipment</v>
          </cell>
        </row>
        <row r="7366">
          <cell r="B7366" t="str">
            <v>Shipment</v>
          </cell>
        </row>
        <row r="7367">
          <cell r="B7367" t="str">
            <v>Shipment</v>
          </cell>
        </row>
        <row r="7368">
          <cell r="B7368" t="str">
            <v>Shipment</v>
          </cell>
        </row>
        <row r="7369">
          <cell r="B7369" t="str">
            <v>Shipment</v>
          </cell>
        </row>
        <row r="7370">
          <cell r="B7370" t="str">
            <v>Shipment</v>
          </cell>
        </row>
        <row r="7371">
          <cell r="B7371" t="str">
            <v>Shipment</v>
          </cell>
        </row>
        <row r="7372">
          <cell r="B7372" t="str">
            <v>Shipment</v>
          </cell>
        </row>
        <row r="7373">
          <cell r="B7373" t="str">
            <v>Shipment</v>
          </cell>
        </row>
        <row r="7374">
          <cell r="B7374" t="str">
            <v>Shipment</v>
          </cell>
        </row>
        <row r="7375">
          <cell r="B7375" t="str">
            <v>Shipment</v>
          </cell>
        </row>
        <row r="7376">
          <cell r="B7376" t="str">
            <v>Shipment</v>
          </cell>
        </row>
        <row r="7377">
          <cell r="B7377" t="str">
            <v>Shipment</v>
          </cell>
        </row>
        <row r="7378">
          <cell r="B7378" t="str">
            <v>Shipment</v>
          </cell>
        </row>
        <row r="7379">
          <cell r="B7379" t="str">
            <v>Shipment</v>
          </cell>
        </row>
        <row r="7380">
          <cell r="B7380" t="str">
            <v>Shipment</v>
          </cell>
        </row>
        <row r="7381">
          <cell r="B7381" t="str">
            <v>Shipment</v>
          </cell>
        </row>
        <row r="7382">
          <cell r="B7382" t="str">
            <v>Shipment</v>
          </cell>
        </row>
        <row r="7383">
          <cell r="B7383" t="str">
            <v>Shipment</v>
          </cell>
        </row>
        <row r="7384">
          <cell r="B7384" t="str">
            <v>Shipment</v>
          </cell>
        </row>
        <row r="7385">
          <cell r="B7385" t="str">
            <v>Shipment</v>
          </cell>
        </row>
        <row r="7386">
          <cell r="B7386" t="str">
            <v>Shipment</v>
          </cell>
        </row>
        <row r="7387">
          <cell r="B7387" t="str">
            <v>Shipment</v>
          </cell>
        </row>
        <row r="7388">
          <cell r="B7388" t="str">
            <v>Shipment</v>
          </cell>
        </row>
        <row r="7389">
          <cell r="B7389" t="str">
            <v>Shipment</v>
          </cell>
        </row>
        <row r="7390">
          <cell r="B7390" t="str">
            <v>Shipment</v>
          </cell>
        </row>
        <row r="7391">
          <cell r="B7391" t="str">
            <v>Shipment</v>
          </cell>
        </row>
        <row r="7392">
          <cell r="B7392" t="str">
            <v>Shipment</v>
          </cell>
        </row>
        <row r="7393">
          <cell r="B7393" t="str">
            <v>Shipment</v>
          </cell>
        </row>
        <row r="7394">
          <cell r="B7394" t="str">
            <v>Shipment</v>
          </cell>
        </row>
        <row r="7395">
          <cell r="B7395" t="str">
            <v>Shipment</v>
          </cell>
        </row>
        <row r="7396">
          <cell r="B7396" t="str">
            <v>Shipment</v>
          </cell>
        </row>
        <row r="7397">
          <cell r="B7397" t="str">
            <v>Shipment</v>
          </cell>
        </row>
        <row r="7398">
          <cell r="B7398" t="str">
            <v>Shipment</v>
          </cell>
        </row>
        <row r="7399">
          <cell r="B7399" t="str">
            <v>Shipment</v>
          </cell>
        </row>
        <row r="7400">
          <cell r="B7400" t="str">
            <v>Shipment</v>
          </cell>
        </row>
        <row r="7401">
          <cell r="B7401" t="str">
            <v>Shipment</v>
          </cell>
        </row>
        <row r="7402">
          <cell r="B7402" t="str">
            <v>Shipment</v>
          </cell>
        </row>
        <row r="7403">
          <cell r="B7403" t="str">
            <v>Shipment</v>
          </cell>
        </row>
        <row r="7404">
          <cell r="B7404" t="str">
            <v>Shipment</v>
          </cell>
        </row>
        <row r="7405">
          <cell r="B7405" t="str">
            <v>Shipment</v>
          </cell>
        </row>
        <row r="7406">
          <cell r="B7406" t="str">
            <v>Shipment</v>
          </cell>
        </row>
        <row r="7407">
          <cell r="B7407" t="str">
            <v>Shipment</v>
          </cell>
        </row>
        <row r="7408">
          <cell r="B7408" t="str">
            <v>Shipment</v>
          </cell>
        </row>
        <row r="7409">
          <cell r="B7409" t="str">
            <v>Shipment</v>
          </cell>
        </row>
        <row r="7410">
          <cell r="B7410" t="str">
            <v>Shipment</v>
          </cell>
        </row>
        <row r="7411">
          <cell r="B7411" t="str">
            <v>Shipment</v>
          </cell>
        </row>
        <row r="7412">
          <cell r="B7412" t="str">
            <v>Shipment</v>
          </cell>
        </row>
        <row r="7413">
          <cell r="B7413" t="str">
            <v>Shipment</v>
          </cell>
        </row>
        <row r="7414">
          <cell r="B7414" t="str">
            <v>Shipment</v>
          </cell>
        </row>
        <row r="7415">
          <cell r="B7415" t="str">
            <v>Shipment</v>
          </cell>
        </row>
        <row r="7416">
          <cell r="B7416" t="str">
            <v>Shipment</v>
          </cell>
        </row>
        <row r="7417">
          <cell r="B7417" t="str">
            <v>Shipment</v>
          </cell>
        </row>
        <row r="7418">
          <cell r="B7418" t="str">
            <v>Shipment</v>
          </cell>
        </row>
        <row r="7419">
          <cell r="B7419" t="str">
            <v>Shipment</v>
          </cell>
        </row>
        <row r="7420">
          <cell r="B7420" t="str">
            <v>Shipment</v>
          </cell>
        </row>
        <row r="7421">
          <cell r="B7421" t="str">
            <v>Shipment</v>
          </cell>
        </row>
        <row r="7422">
          <cell r="B7422" t="str">
            <v>Shipment</v>
          </cell>
        </row>
        <row r="7423">
          <cell r="B7423" t="str">
            <v>Shipment</v>
          </cell>
        </row>
        <row r="7424">
          <cell r="B7424" t="str">
            <v>Shipment</v>
          </cell>
        </row>
        <row r="7425">
          <cell r="B7425" t="str">
            <v>Shipment</v>
          </cell>
        </row>
        <row r="7426">
          <cell r="B7426" t="str">
            <v>Shipment</v>
          </cell>
        </row>
        <row r="7427">
          <cell r="B7427" t="str">
            <v>Shipment</v>
          </cell>
        </row>
        <row r="7428">
          <cell r="B7428" t="str">
            <v>Shipment</v>
          </cell>
        </row>
        <row r="7429">
          <cell r="B7429" t="str">
            <v>Shipment</v>
          </cell>
        </row>
        <row r="7430">
          <cell r="B7430" t="str">
            <v>Shipment</v>
          </cell>
        </row>
        <row r="7431">
          <cell r="B7431" t="str">
            <v>Shipment</v>
          </cell>
        </row>
        <row r="7432">
          <cell r="B7432" t="str">
            <v>Shipment</v>
          </cell>
        </row>
        <row r="7433">
          <cell r="B7433" t="str">
            <v>Shipment</v>
          </cell>
        </row>
        <row r="7434">
          <cell r="B7434" t="str">
            <v>Shipment</v>
          </cell>
        </row>
        <row r="7435">
          <cell r="B7435" t="str">
            <v>Shipment</v>
          </cell>
        </row>
        <row r="7436">
          <cell r="B7436" t="str">
            <v>Shipment</v>
          </cell>
        </row>
        <row r="7437">
          <cell r="B7437" t="str">
            <v>Shipment</v>
          </cell>
        </row>
        <row r="7438">
          <cell r="B7438" t="str">
            <v>Shipment</v>
          </cell>
        </row>
        <row r="7439">
          <cell r="B7439" t="str">
            <v>Shipment</v>
          </cell>
        </row>
        <row r="7440">
          <cell r="B7440" t="str">
            <v>Shipment</v>
          </cell>
        </row>
        <row r="7441">
          <cell r="B7441" t="str">
            <v>Shipment</v>
          </cell>
        </row>
        <row r="7442">
          <cell r="B7442" t="str">
            <v>Shipment</v>
          </cell>
        </row>
        <row r="7443">
          <cell r="B7443" t="str">
            <v>Shipment</v>
          </cell>
        </row>
        <row r="7444">
          <cell r="B7444" t="str">
            <v>Shipment</v>
          </cell>
        </row>
        <row r="7445">
          <cell r="B7445" t="str">
            <v>Shipment</v>
          </cell>
        </row>
        <row r="7446">
          <cell r="B7446" t="str">
            <v>Shipment</v>
          </cell>
        </row>
        <row r="7447">
          <cell r="B7447" t="str">
            <v>Shipment</v>
          </cell>
        </row>
        <row r="7448">
          <cell r="B7448" t="str">
            <v>Shipment</v>
          </cell>
        </row>
        <row r="7449">
          <cell r="B7449" t="str">
            <v>Shipment</v>
          </cell>
        </row>
        <row r="7450">
          <cell r="B7450" t="str">
            <v>Shipment</v>
          </cell>
        </row>
        <row r="7451">
          <cell r="B7451" t="str">
            <v>Shipment</v>
          </cell>
        </row>
        <row r="7452">
          <cell r="B7452" t="str">
            <v>Shipment</v>
          </cell>
        </row>
        <row r="7453">
          <cell r="B7453" t="str">
            <v>Shipment</v>
          </cell>
        </row>
        <row r="7454">
          <cell r="B7454" t="str">
            <v>Shipment</v>
          </cell>
        </row>
        <row r="7455">
          <cell r="B7455" t="str">
            <v>Shipment</v>
          </cell>
        </row>
        <row r="7456">
          <cell r="B7456" t="str">
            <v>Shipment</v>
          </cell>
        </row>
        <row r="7457">
          <cell r="B7457" t="str">
            <v>Shipment</v>
          </cell>
        </row>
        <row r="7458">
          <cell r="B7458" t="str">
            <v>Shipment</v>
          </cell>
        </row>
        <row r="7459">
          <cell r="B7459" t="str">
            <v>Shipment</v>
          </cell>
        </row>
        <row r="7460">
          <cell r="B7460" t="str">
            <v>Shipment</v>
          </cell>
        </row>
        <row r="7461">
          <cell r="B7461" t="str">
            <v>Shipment</v>
          </cell>
        </row>
        <row r="7462">
          <cell r="B7462" t="str">
            <v>Shipment</v>
          </cell>
        </row>
        <row r="7463">
          <cell r="B7463" t="str">
            <v>Shipment</v>
          </cell>
        </row>
        <row r="7464">
          <cell r="B7464" t="str">
            <v>Shipment</v>
          </cell>
        </row>
        <row r="7465">
          <cell r="B7465" t="str">
            <v>Shipment</v>
          </cell>
        </row>
        <row r="7466">
          <cell r="B7466" t="str">
            <v>Shipment</v>
          </cell>
        </row>
        <row r="7467">
          <cell r="B7467" t="str">
            <v>Shipment</v>
          </cell>
        </row>
        <row r="7468">
          <cell r="B7468" t="str">
            <v>Shipment</v>
          </cell>
        </row>
        <row r="7469">
          <cell r="B7469" t="str">
            <v>Shipment</v>
          </cell>
        </row>
        <row r="7470">
          <cell r="B7470" t="str">
            <v>Shipment</v>
          </cell>
        </row>
        <row r="7471">
          <cell r="B7471" t="str">
            <v>Shipment</v>
          </cell>
        </row>
        <row r="7472">
          <cell r="B7472" t="str">
            <v>Shipment</v>
          </cell>
        </row>
        <row r="7473">
          <cell r="B7473" t="str">
            <v>Shipment</v>
          </cell>
        </row>
        <row r="7474">
          <cell r="B7474" t="str">
            <v>Shipment</v>
          </cell>
        </row>
        <row r="7475">
          <cell r="B7475" t="str">
            <v>Shipment</v>
          </cell>
        </row>
        <row r="7476">
          <cell r="B7476" t="str">
            <v>Shipment</v>
          </cell>
        </row>
        <row r="7477">
          <cell r="B7477" t="str">
            <v>Shipment</v>
          </cell>
        </row>
        <row r="7478">
          <cell r="B7478" t="str">
            <v>Shipment</v>
          </cell>
        </row>
        <row r="7479">
          <cell r="B7479" t="str">
            <v>Shipment</v>
          </cell>
        </row>
        <row r="7480">
          <cell r="B7480" t="str">
            <v>Shipment</v>
          </cell>
        </row>
        <row r="7481">
          <cell r="B7481" t="str">
            <v>Shipment</v>
          </cell>
        </row>
        <row r="7482">
          <cell r="B7482" t="str">
            <v>Shipment</v>
          </cell>
        </row>
        <row r="7483">
          <cell r="B7483" t="str">
            <v>Shipment</v>
          </cell>
        </row>
        <row r="7484">
          <cell r="B7484" t="str">
            <v>Shipment</v>
          </cell>
        </row>
        <row r="7485">
          <cell r="B7485" t="str">
            <v>Shipment</v>
          </cell>
        </row>
        <row r="7486">
          <cell r="B7486" t="str">
            <v>Shipment</v>
          </cell>
        </row>
        <row r="7487">
          <cell r="B7487" t="str">
            <v>Shipment</v>
          </cell>
        </row>
        <row r="7488">
          <cell r="B7488" t="str">
            <v>Shipment</v>
          </cell>
        </row>
        <row r="7489">
          <cell r="B7489" t="str">
            <v>Shipment</v>
          </cell>
        </row>
        <row r="7490">
          <cell r="B7490" t="str">
            <v>Shipment</v>
          </cell>
        </row>
        <row r="7491">
          <cell r="B7491" t="str">
            <v>Shipment</v>
          </cell>
        </row>
        <row r="7492">
          <cell r="B7492" t="str">
            <v>Shipment</v>
          </cell>
        </row>
        <row r="7493">
          <cell r="B7493" t="str">
            <v>Shipment</v>
          </cell>
        </row>
        <row r="7494">
          <cell r="B7494" t="str">
            <v>Shipment</v>
          </cell>
        </row>
        <row r="7495">
          <cell r="B7495" t="str">
            <v>Shipment</v>
          </cell>
        </row>
        <row r="7496">
          <cell r="B7496" t="str">
            <v>Shipment</v>
          </cell>
        </row>
        <row r="7497">
          <cell r="B7497" t="str">
            <v>Shipment</v>
          </cell>
        </row>
        <row r="7498">
          <cell r="B7498" t="str">
            <v>Shipment</v>
          </cell>
        </row>
        <row r="7499">
          <cell r="B7499" t="str">
            <v>Shipment</v>
          </cell>
        </row>
        <row r="7500">
          <cell r="B7500" t="str">
            <v>Shipment</v>
          </cell>
        </row>
        <row r="7501">
          <cell r="B7501" t="str">
            <v>Shipment</v>
          </cell>
        </row>
        <row r="7502">
          <cell r="B7502" t="str">
            <v>Shipment</v>
          </cell>
        </row>
        <row r="7503">
          <cell r="B7503" t="str">
            <v>Shipment</v>
          </cell>
        </row>
        <row r="7504">
          <cell r="B7504" t="str">
            <v>Shipment</v>
          </cell>
        </row>
        <row r="7505">
          <cell r="B7505" t="str">
            <v>Shipment</v>
          </cell>
        </row>
        <row r="7506">
          <cell r="B7506" t="str">
            <v>Shipment</v>
          </cell>
        </row>
        <row r="7507">
          <cell r="B7507" t="str">
            <v>Shipment</v>
          </cell>
        </row>
        <row r="7508">
          <cell r="B7508" t="str">
            <v>Shipment</v>
          </cell>
        </row>
        <row r="7509">
          <cell r="B7509" t="str">
            <v>Shipment</v>
          </cell>
        </row>
        <row r="7510">
          <cell r="B7510" t="str">
            <v>Shipment</v>
          </cell>
        </row>
        <row r="7511">
          <cell r="B7511" t="str">
            <v>Shipment</v>
          </cell>
        </row>
        <row r="7512">
          <cell r="B7512" t="str">
            <v>Shipment</v>
          </cell>
        </row>
        <row r="7513">
          <cell r="B7513" t="str">
            <v>Shipment</v>
          </cell>
        </row>
        <row r="7514">
          <cell r="B7514" t="str">
            <v>Shipment</v>
          </cell>
        </row>
        <row r="7515">
          <cell r="B7515" t="str">
            <v>Shipment</v>
          </cell>
        </row>
        <row r="7516">
          <cell r="B7516" t="str">
            <v>Shipment</v>
          </cell>
        </row>
        <row r="7517">
          <cell r="B7517" t="str">
            <v>Shipment</v>
          </cell>
        </row>
        <row r="7518">
          <cell r="B7518" t="str">
            <v>Shipment</v>
          </cell>
        </row>
        <row r="7519">
          <cell r="B7519" t="str">
            <v>Shipment</v>
          </cell>
        </row>
        <row r="7520">
          <cell r="B7520" t="str">
            <v>Shipment</v>
          </cell>
        </row>
        <row r="7521">
          <cell r="B7521" t="str">
            <v>Shipment</v>
          </cell>
        </row>
        <row r="7522">
          <cell r="B7522" t="str">
            <v>Shipment</v>
          </cell>
        </row>
        <row r="7523">
          <cell r="B7523" t="str">
            <v>Shipment</v>
          </cell>
        </row>
        <row r="7524">
          <cell r="B7524" t="str">
            <v>Shipment</v>
          </cell>
        </row>
        <row r="7525">
          <cell r="B7525" t="str">
            <v>Shipment</v>
          </cell>
        </row>
        <row r="7526">
          <cell r="B7526" t="str">
            <v>Shipment</v>
          </cell>
        </row>
        <row r="7527">
          <cell r="B7527" t="str">
            <v>Shipment</v>
          </cell>
        </row>
        <row r="7528">
          <cell r="B7528" t="str">
            <v>Shipment</v>
          </cell>
        </row>
        <row r="7529">
          <cell r="B7529" t="str">
            <v>Shipment</v>
          </cell>
        </row>
        <row r="7530">
          <cell r="B7530" t="str">
            <v>Shipment</v>
          </cell>
        </row>
        <row r="7531">
          <cell r="B7531" t="str">
            <v>Shipment</v>
          </cell>
        </row>
        <row r="7532">
          <cell r="B7532" t="str">
            <v>Shipment</v>
          </cell>
        </row>
        <row r="7533">
          <cell r="B7533" t="str">
            <v>Shipment</v>
          </cell>
        </row>
        <row r="7534">
          <cell r="B7534" t="str">
            <v>Shipment</v>
          </cell>
        </row>
        <row r="7535">
          <cell r="B7535" t="str">
            <v>Shipment</v>
          </cell>
        </row>
        <row r="7536">
          <cell r="B7536" t="str">
            <v>Shipment</v>
          </cell>
        </row>
        <row r="7537">
          <cell r="B7537" t="str">
            <v>Shipment</v>
          </cell>
        </row>
        <row r="7538">
          <cell r="B7538" t="str">
            <v>Shipment</v>
          </cell>
        </row>
        <row r="7539">
          <cell r="B7539" t="str">
            <v>Shipment</v>
          </cell>
        </row>
        <row r="7540">
          <cell r="B7540" t="str">
            <v>Shipment</v>
          </cell>
        </row>
        <row r="7541">
          <cell r="B7541" t="str">
            <v>Shipment</v>
          </cell>
        </row>
        <row r="7542">
          <cell r="B7542" t="str">
            <v>Shipment</v>
          </cell>
        </row>
        <row r="7543">
          <cell r="B7543" t="str">
            <v>Shipment</v>
          </cell>
        </row>
        <row r="7544">
          <cell r="B7544" t="str">
            <v>Shipment</v>
          </cell>
        </row>
        <row r="7545">
          <cell r="B7545" t="str">
            <v>Shipment</v>
          </cell>
        </row>
        <row r="7546">
          <cell r="B7546" t="str">
            <v>Shipment</v>
          </cell>
        </row>
        <row r="7547">
          <cell r="B7547" t="str">
            <v>Shipment</v>
          </cell>
        </row>
        <row r="7548">
          <cell r="B7548" t="str">
            <v>Shipment</v>
          </cell>
        </row>
        <row r="7549">
          <cell r="B7549" t="str">
            <v>Shipment</v>
          </cell>
        </row>
        <row r="7550">
          <cell r="B7550" t="str">
            <v>Shipment</v>
          </cell>
        </row>
        <row r="7551">
          <cell r="B7551" t="str">
            <v>Shipment</v>
          </cell>
        </row>
        <row r="7552">
          <cell r="B7552" t="str">
            <v>Shipment</v>
          </cell>
        </row>
        <row r="7553">
          <cell r="B7553" t="str">
            <v>Shipment</v>
          </cell>
        </row>
        <row r="7554">
          <cell r="B7554" t="str">
            <v>Shipment</v>
          </cell>
        </row>
        <row r="7555">
          <cell r="B7555" t="str">
            <v>Shipment</v>
          </cell>
        </row>
        <row r="7556">
          <cell r="B7556" t="str">
            <v>Shipment</v>
          </cell>
        </row>
        <row r="7557">
          <cell r="B7557" t="str">
            <v>Shipment</v>
          </cell>
        </row>
        <row r="7558">
          <cell r="B7558" t="str">
            <v>Shipment</v>
          </cell>
        </row>
        <row r="7559">
          <cell r="B7559" t="str">
            <v>Shipment</v>
          </cell>
        </row>
        <row r="7560">
          <cell r="B7560" t="str">
            <v>Shipment</v>
          </cell>
        </row>
        <row r="7561">
          <cell r="B7561" t="str">
            <v>Shipment</v>
          </cell>
        </row>
        <row r="7562">
          <cell r="B7562" t="str">
            <v>Shipment</v>
          </cell>
        </row>
        <row r="7563">
          <cell r="B7563" t="str">
            <v>Shipment</v>
          </cell>
        </row>
        <row r="7564">
          <cell r="B7564" t="str">
            <v>Shipment</v>
          </cell>
        </row>
        <row r="7565">
          <cell r="B7565" t="str">
            <v>Shipment</v>
          </cell>
        </row>
        <row r="7566">
          <cell r="B7566" t="str">
            <v>Shipment</v>
          </cell>
        </row>
        <row r="7567">
          <cell r="B7567" t="str">
            <v>Shipment</v>
          </cell>
        </row>
        <row r="7568">
          <cell r="B7568" t="str">
            <v>Shipment</v>
          </cell>
        </row>
        <row r="7569">
          <cell r="B7569" t="str">
            <v>Shipment</v>
          </cell>
        </row>
        <row r="7570">
          <cell r="B7570" t="str">
            <v>Shipment</v>
          </cell>
        </row>
        <row r="7571">
          <cell r="B7571" t="str">
            <v>Shipment</v>
          </cell>
        </row>
        <row r="7572">
          <cell r="B7572" t="str">
            <v>Shipment</v>
          </cell>
        </row>
        <row r="7573">
          <cell r="B7573" t="str">
            <v>Shipment</v>
          </cell>
        </row>
        <row r="7574">
          <cell r="B7574" t="str">
            <v>Shipment</v>
          </cell>
        </row>
        <row r="7575">
          <cell r="B7575" t="str">
            <v>Shipment</v>
          </cell>
        </row>
        <row r="7576">
          <cell r="B7576" t="str">
            <v>Shipment</v>
          </cell>
        </row>
        <row r="7577">
          <cell r="B7577" t="str">
            <v>Shipment</v>
          </cell>
        </row>
        <row r="7578">
          <cell r="B7578" t="str">
            <v>Shipment</v>
          </cell>
        </row>
        <row r="7579">
          <cell r="B7579" t="str">
            <v>Shipment</v>
          </cell>
        </row>
        <row r="7580">
          <cell r="B7580" t="str">
            <v>Shipment</v>
          </cell>
        </row>
        <row r="7581">
          <cell r="B7581" t="str">
            <v>Shipment</v>
          </cell>
        </row>
        <row r="7582">
          <cell r="B7582" t="str">
            <v>Shipment</v>
          </cell>
        </row>
        <row r="7583">
          <cell r="B7583" t="str">
            <v>Shipment</v>
          </cell>
        </row>
        <row r="7584">
          <cell r="B7584" t="str">
            <v>Shipment</v>
          </cell>
        </row>
        <row r="7585">
          <cell r="B7585" t="str">
            <v>Shipment</v>
          </cell>
        </row>
        <row r="7586">
          <cell r="B7586" t="str">
            <v>Shipment</v>
          </cell>
        </row>
        <row r="7587">
          <cell r="B7587" t="str">
            <v>Shipment</v>
          </cell>
        </row>
        <row r="7588">
          <cell r="B7588" t="str">
            <v>Shipment</v>
          </cell>
        </row>
        <row r="7589">
          <cell r="B7589" t="str">
            <v>Shipment</v>
          </cell>
        </row>
        <row r="7590">
          <cell r="B7590" t="str">
            <v>Shipment</v>
          </cell>
        </row>
        <row r="7591">
          <cell r="B7591" t="str">
            <v>Shipment</v>
          </cell>
        </row>
        <row r="7592">
          <cell r="B7592" t="str">
            <v>Shipment</v>
          </cell>
        </row>
        <row r="7593">
          <cell r="B7593" t="str">
            <v>Shipment</v>
          </cell>
        </row>
        <row r="7594">
          <cell r="B7594" t="str">
            <v>Shipment</v>
          </cell>
        </row>
        <row r="7595">
          <cell r="B7595" t="str">
            <v>Shipment</v>
          </cell>
        </row>
        <row r="7596">
          <cell r="B7596" t="str">
            <v>Shipment</v>
          </cell>
        </row>
        <row r="7597">
          <cell r="B7597" t="str">
            <v>Shipment</v>
          </cell>
        </row>
        <row r="7598">
          <cell r="B7598" t="str">
            <v>Shipment</v>
          </cell>
        </row>
        <row r="7599">
          <cell r="B7599" t="str">
            <v>Shipment</v>
          </cell>
        </row>
        <row r="7600">
          <cell r="B7600" t="str">
            <v>Shipment</v>
          </cell>
        </row>
        <row r="7601">
          <cell r="B7601" t="str">
            <v>Shipment</v>
          </cell>
        </row>
        <row r="7602">
          <cell r="B7602" t="str">
            <v>Shipment</v>
          </cell>
        </row>
        <row r="7603">
          <cell r="B7603" t="str">
            <v>Shipment</v>
          </cell>
        </row>
        <row r="7604">
          <cell r="B7604" t="str">
            <v>Shipment</v>
          </cell>
        </row>
        <row r="7605">
          <cell r="B7605" t="str">
            <v>Shipment</v>
          </cell>
        </row>
        <row r="7606">
          <cell r="B7606" t="str">
            <v>Shipment</v>
          </cell>
        </row>
        <row r="7607">
          <cell r="B7607" t="str">
            <v>Shipment</v>
          </cell>
        </row>
        <row r="7608">
          <cell r="B7608" t="str">
            <v>Shipment</v>
          </cell>
        </row>
        <row r="7609">
          <cell r="B7609" t="str">
            <v>Shipment</v>
          </cell>
        </row>
        <row r="7610">
          <cell r="B7610" t="str">
            <v>Shipment</v>
          </cell>
        </row>
        <row r="7611">
          <cell r="B7611" t="str">
            <v>Shipment</v>
          </cell>
        </row>
        <row r="7612">
          <cell r="B7612" t="str">
            <v>Shipment</v>
          </cell>
        </row>
        <row r="7613">
          <cell r="B7613" t="str">
            <v>Shipment</v>
          </cell>
        </row>
        <row r="7614">
          <cell r="B7614" t="str">
            <v>Shipment</v>
          </cell>
        </row>
        <row r="7615">
          <cell r="B7615" t="str">
            <v>Shipment</v>
          </cell>
        </row>
        <row r="7616">
          <cell r="B7616" t="str">
            <v>Shipment</v>
          </cell>
        </row>
        <row r="7617">
          <cell r="B7617" t="str">
            <v>Shipment</v>
          </cell>
        </row>
        <row r="7618">
          <cell r="B7618" t="str">
            <v>Shipment</v>
          </cell>
        </row>
        <row r="7619">
          <cell r="B7619" t="str">
            <v>Shipment</v>
          </cell>
        </row>
        <row r="7620">
          <cell r="B7620" t="str">
            <v>Shipment</v>
          </cell>
        </row>
        <row r="7621">
          <cell r="B7621" t="str">
            <v>Shipment</v>
          </cell>
        </row>
        <row r="7622">
          <cell r="B7622" t="str">
            <v>Shipment</v>
          </cell>
        </row>
        <row r="7623">
          <cell r="B7623" t="str">
            <v>Shipment</v>
          </cell>
        </row>
        <row r="7624">
          <cell r="B7624" t="str">
            <v>Shipment</v>
          </cell>
        </row>
        <row r="7625">
          <cell r="B7625" t="str">
            <v>Shipment</v>
          </cell>
        </row>
        <row r="7626">
          <cell r="B7626" t="str">
            <v>Shipment</v>
          </cell>
        </row>
        <row r="7627">
          <cell r="B7627" t="str">
            <v>Shipment</v>
          </cell>
        </row>
        <row r="7628">
          <cell r="B7628" t="str">
            <v>Shipment</v>
          </cell>
        </row>
        <row r="7629">
          <cell r="B7629" t="str">
            <v>Shipment</v>
          </cell>
        </row>
        <row r="7630">
          <cell r="B7630" t="str">
            <v>Shipment</v>
          </cell>
        </row>
        <row r="7631">
          <cell r="B7631" t="str">
            <v>Shipment</v>
          </cell>
        </row>
        <row r="7632">
          <cell r="B7632" t="str">
            <v>Shipment</v>
          </cell>
        </row>
        <row r="7633">
          <cell r="B7633" t="str">
            <v>Shipment</v>
          </cell>
        </row>
        <row r="7634">
          <cell r="B7634" t="str">
            <v>Shipment</v>
          </cell>
        </row>
        <row r="7635">
          <cell r="B7635" t="str">
            <v>Shipment</v>
          </cell>
        </row>
        <row r="7636">
          <cell r="B7636" t="str">
            <v>Shipment</v>
          </cell>
        </row>
        <row r="7637">
          <cell r="B7637" t="str">
            <v>Shipment</v>
          </cell>
        </row>
        <row r="7638">
          <cell r="B7638" t="str">
            <v>Shipment</v>
          </cell>
        </row>
        <row r="7639">
          <cell r="B7639" t="str">
            <v>Shipment</v>
          </cell>
        </row>
        <row r="7640">
          <cell r="B7640" t="str">
            <v>Shipment</v>
          </cell>
        </row>
        <row r="7641">
          <cell r="B7641" t="str">
            <v>Shipment</v>
          </cell>
        </row>
        <row r="7642">
          <cell r="B7642" t="str">
            <v>Shipment</v>
          </cell>
        </row>
        <row r="7643">
          <cell r="B7643" t="str">
            <v>Shipment</v>
          </cell>
        </row>
        <row r="7644">
          <cell r="B7644" t="str">
            <v>Shipment</v>
          </cell>
        </row>
        <row r="7645">
          <cell r="B7645" t="str">
            <v>Shipment</v>
          </cell>
        </row>
        <row r="7646">
          <cell r="B7646" t="str">
            <v>Shipment</v>
          </cell>
        </row>
        <row r="7647">
          <cell r="B7647" t="str">
            <v>Shipment</v>
          </cell>
        </row>
        <row r="7648">
          <cell r="B7648" t="str">
            <v>Shipment</v>
          </cell>
        </row>
        <row r="7649">
          <cell r="B7649" t="str">
            <v>Shipment</v>
          </cell>
        </row>
        <row r="7650">
          <cell r="B7650" t="str">
            <v>Shipment</v>
          </cell>
        </row>
        <row r="7651">
          <cell r="B7651" t="str">
            <v>Shipment</v>
          </cell>
        </row>
        <row r="7652">
          <cell r="B7652" t="str">
            <v>Shipment</v>
          </cell>
        </row>
        <row r="7653">
          <cell r="B7653" t="str">
            <v>Shipment</v>
          </cell>
        </row>
        <row r="7654">
          <cell r="B7654" t="str">
            <v>Shipment</v>
          </cell>
        </row>
        <row r="7655">
          <cell r="B7655" t="str">
            <v>Shipment</v>
          </cell>
        </row>
        <row r="7656">
          <cell r="B7656" t="str">
            <v>Shipment</v>
          </cell>
        </row>
        <row r="7657">
          <cell r="B7657" t="str">
            <v>Shipment</v>
          </cell>
        </row>
        <row r="7658">
          <cell r="B7658" t="str">
            <v>Shipment</v>
          </cell>
        </row>
        <row r="7659">
          <cell r="B7659" t="str">
            <v>Shipment</v>
          </cell>
        </row>
        <row r="7660">
          <cell r="B7660" t="str">
            <v>Shipment</v>
          </cell>
        </row>
        <row r="7661">
          <cell r="B7661" t="str">
            <v>Shipment</v>
          </cell>
        </row>
        <row r="7662">
          <cell r="B7662" t="str">
            <v>Shipment</v>
          </cell>
        </row>
        <row r="7663">
          <cell r="B7663" t="str">
            <v>Shipment</v>
          </cell>
        </row>
        <row r="7664">
          <cell r="B7664" t="str">
            <v>Shipment</v>
          </cell>
        </row>
        <row r="7665">
          <cell r="B7665" t="str">
            <v>Shipment</v>
          </cell>
        </row>
        <row r="7666">
          <cell r="B7666" t="str">
            <v>Shipment</v>
          </cell>
        </row>
        <row r="7667">
          <cell r="B7667" t="str">
            <v>Shipment</v>
          </cell>
        </row>
        <row r="7668">
          <cell r="B7668" t="str">
            <v>Shipment</v>
          </cell>
        </row>
        <row r="7669">
          <cell r="B7669" t="str">
            <v>Shipment</v>
          </cell>
        </row>
        <row r="7670">
          <cell r="B7670" t="str">
            <v>Shipment</v>
          </cell>
        </row>
        <row r="7671">
          <cell r="B7671" t="str">
            <v>Shipment</v>
          </cell>
        </row>
        <row r="7672">
          <cell r="B7672" t="str">
            <v>Shipment</v>
          </cell>
        </row>
        <row r="7673">
          <cell r="B7673" t="str">
            <v>Shipment</v>
          </cell>
        </row>
        <row r="7674">
          <cell r="B7674" t="str">
            <v>Shipment</v>
          </cell>
        </row>
        <row r="7675">
          <cell r="B7675" t="str">
            <v>Shipment</v>
          </cell>
        </row>
        <row r="7676">
          <cell r="B7676" t="str">
            <v>Shipment</v>
          </cell>
        </row>
        <row r="7677">
          <cell r="B7677" t="str">
            <v>Shipment</v>
          </cell>
        </row>
        <row r="7678">
          <cell r="B7678" t="str">
            <v>Shipment</v>
          </cell>
        </row>
        <row r="7679">
          <cell r="B7679" t="str">
            <v>Shipment</v>
          </cell>
        </row>
        <row r="7680">
          <cell r="B7680" t="str">
            <v>Shipment</v>
          </cell>
        </row>
        <row r="7681">
          <cell r="B7681" t="str">
            <v>Shipment</v>
          </cell>
        </row>
        <row r="7682">
          <cell r="B7682" t="str">
            <v>Shipment</v>
          </cell>
        </row>
        <row r="7683">
          <cell r="B7683" t="str">
            <v>Shipment</v>
          </cell>
        </row>
        <row r="7684">
          <cell r="B7684" t="str">
            <v>Shipment</v>
          </cell>
        </row>
        <row r="7685">
          <cell r="B7685" t="str">
            <v>Shipment</v>
          </cell>
        </row>
        <row r="7686">
          <cell r="B7686" t="str">
            <v>Shipment</v>
          </cell>
        </row>
        <row r="7687">
          <cell r="B7687" t="str">
            <v>Shipment</v>
          </cell>
        </row>
        <row r="7688">
          <cell r="B7688" t="str">
            <v>Shipment</v>
          </cell>
        </row>
        <row r="7689">
          <cell r="B7689" t="str">
            <v>Shipment</v>
          </cell>
        </row>
        <row r="7690">
          <cell r="B7690" t="str">
            <v>Shipment</v>
          </cell>
        </row>
        <row r="7691">
          <cell r="B7691" t="str">
            <v>Shipment</v>
          </cell>
        </row>
        <row r="7692">
          <cell r="B7692" t="str">
            <v>Shipment</v>
          </cell>
        </row>
        <row r="7693">
          <cell r="B7693" t="str">
            <v>Shipment</v>
          </cell>
        </row>
        <row r="7694">
          <cell r="B7694" t="str">
            <v>Shipment</v>
          </cell>
        </row>
        <row r="7695">
          <cell r="B7695" t="str">
            <v>Shipment</v>
          </cell>
        </row>
        <row r="7696">
          <cell r="B7696" t="str">
            <v>Shipment</v>
          </cell>
        </row>
        <row r="7697">
          <cell r="B7697" t="str">
            <v>Shipment</v>
          </cell>
        </row>
        <row r="7698">
          <cell r="B7698" t="str">
            <v>Shipment</v>
          </cell>
        </row>
        <row r="7699">
          <cell r="B7699" t="str">
            <v>Shipment</v>
          </cell>
        </row>
        <row r="7700">
          <cell r="B7700" t="str">
            <v>Shipment</v>
          </cell>
        </row>
        <row r="7701">
          <cell r="B7701" t="str">
            <v>Shipment</v>
          </cell>
        </row>
        <row r="7702">
          <cell r="B7702" t="str">
            <v>Shipment</v>
          </cell>
        </row>
        <row r="7703">
          <cell r="B7703" t="str">
            <v>Shipment</v>
          </cell>
        </row>
        <row r="7704">
          <cell r="B7704" t="str">
            <v>Shipment</v>
          </cell>
        </row>
        <row r="7705">
          <cell r="B7705" t="str">
            <v>Shipment</v>
          </cell>
        </row>
        <row r="7706">
          <cell r="B7706" t="str">
            <v>Shipment</v>
          </cell>
        </row>
        <row r="7707">
          <cell r="B7707" t="str">
            <v>Shipment</v>
          </cell>
        </row>
        <row r="7708">
          <cell r="B7708" t="str">
            <v>Shipment</v>
          </cell>
        </row>
        <row r="7709">
          <cell r="B7709" t="str">
            <v>Shipment</v>
          </cell>
        </row>
        <row r="7710">
          <cell r="B7710" t="str">
            <v>Shipment</v>
          </cell>
        </row>
        <row r="7711">
          <cell r="B7711" t="str">
            <v>Shipment</v>
          </cell>
        </row>
        <row r="7712">
          <cell r="B7712" t="str">
            <v>Shipment</v>
          </cell>
        </row>
        <row r="7713">
          <cell r="B7713" t="str">
            <v>Shipment</v>
          </cell>
        </row>
        <row r="7714">
          <cell r="B7714" t="str">
            <v>Shipment</v>
          </cell>
        </row>
        <row r="7715">
          <cell r="B7715" t="str">
            <v>Shipment</v>
          </cell>
        </row>
        <row r="7716">
          <cell r="B7716" t="str">
            <v>Shipment</v>
          </cell>
        </row>
        <row r="7717">
          <cell r="B7717" t="str">
            <v>Shipment</v>
          </cell>
        </row>
        <row r="7718">
          <cell r="B7718" t="str">
            <v>Shipment</v>
          </cell>
        </row>
        <row r="7719">
          <cell r="B7719" t="str">
            <v>Shipment</v>
          </cell>
        </row>
        <row r="7720">
          <cell r="B7720" t="str">
            <v>Shipment</v>
          </cell>
        </row>
        <row r="7721">
          <cell r="B7721" t="str">
            <v>Shipment</v>
          </cell>
        </row>
        <row r="7722">
          <cell r="B7722" t="str">
            <v>Shipment</v>
          </cell>
        </row>
        <row r="7723">
          <cell r="B7723" t="str">
            <v>Shipment</v>
          </cell>
        </row>
        <row r="7724">
          <cell r="B7724" t="str">
            <v>Shipment</v>
          </cell>
        </row>
        <row r="7725">
          <cell r="B7725" t="str">
            <v>Shipment</v>
          </cell>
        </row>
        <row r="7726">
          <cell r="B7726" t="str">
            <v>Shipment</v>
          </cell>
        </row>
        <row r="7727">
          <cell r="B7727" t="str">
            <v>Shipment</v>
          </cell>
        </row>
        <row r="7728">
          <cell r="B7728" t="str">
            <v>Shipment</v>
          </cell>
        </row>
        <row r="7729">
          <cell r="B7729" t="str">
            <v>Shipment</v>
          </cell>
        </row>
        <row r="7730">
          <cell r="B7730" t="str">
            <v>Shipment</v>
          </cell>
        </row>
        <row r="7731">
          <cell r="B7731" t="str">
            <v>Shipment</v>
          </cell>
        </row>
        <row r="7732">
          <cell r="B7732" t="str">
            <v>Shipment</v>
          </cell>
        </row>
        <row r="7733">
          <cell r="B7733" t="str">
            <v>Shipment</v>
          </cell>
        </row>
        <row r="7734">
          <cell r="B7734" t="str">
            <v>Shipment</v>
          </cell>
        </row>
        <row r="7735">
          <cell r="B7735" t="str">
            <v>Shipment</v>
          </cell>
        </row>
        <row r="7736">
          <cell r="B7736" t="str">
            <v>Shipment</v>
          </cell>
        </row>
        <row r="7737">
          <cell r="B7737" t="str">
            <v>Shipment</v>
          </cell>
        </row>
        <row r="7738">
          <cell r="B7738" t="str">
            <v>Shipment</v>
          </cell>
        </row>
        <row r="7739">
          <cell r="B7739" t="str">
            <v>Shipment</v>
          </cell>
        </row>
        <row r="7740">
          <cell r="B7740" t="str">
            <v>Shipment</v>
          </cell>
        </row>
        <row r="7741">
          <cell r="B7741" t="str">
            <v>Shipment</v>
          </cell>
        </row>
        <row r="7742">
          <cell r="B7742" t="str">
            <v>Shipment</v>
          </cell>
        </row>
        <row r="7743">
          <cell r="B7743" t="str">
            <v>Shipment</v>
          </cell>
        </row>
        <row r="7744">
          <cell r="B7744" t="str">
            <v>Shipment</v>
          </cell>
        </row>
        <row r="7745">
          <cell r="B7745" t="str">
            <v>Shipment</v>
          </cell>
        </row>
        <row r="7746">
          <cell r="B7746" t="str">
            <v>Shipment</v>
          </cell>
        </row>
        <row r="7747">
          <cell r="B7747" t="str">
            <v>Shipment</v>
          </cell>
        </row>
        <row r="7748">
          <cell r="B7748" t="str">
            <v>Shipment</v>
          </cell>
        </row>
        <row r="7749">
          <cell r="B7749" t="str">
            <v>Shipment</v>
          </cell>
        </row>
        <row r="7750">
          <cell r="B7750" t="str">
            <v>Shipment</v>
          </cell>
        </row>
        <row r="7751">
          <cell r="B7751" t="str">
            <v>Shipment</v>
          </cell>
        </row>
        <row r="7752">
          <cell r="B7752" t="str">
            <v>Shipment</v>
          </cell>
        </row>
        <row r="7753">
          <cell r="B7753" t="str">
            <v>Shipment</v>
          </cell>
        </row>
        <row r="7754">
          <cell r="B7754" t="str">
            <v>Shipment</v>
          </cell>
        </row>
        <row r="7755">
          <cell r="B7755" t="str">
            <v>Shipment</v>
          </cell>
        </row>
        <row r="7756">
          <cell r="B7756" t="str">
            <v>Shipment</v>
          </cell>
        </row>
        <row r="7757">
          <cell r="B7757" t="str">
            <v>Shipment</v>
          </cell>
        </row>
        <row r="7758">
          <cell r="B7758" t="str">
            <v>Shipment</v>
          </cell>
        </row>
        <row r="7759">
          <cell r="B7759" t="str">
            <v>Shipment</v>
          </cell>
        </row>
        <row r="7760">
          <cell r="B7760" t="str">
            <v>Shipment</v>
          </cell>
        </row>
        <row r="7761">
          <cell r="B7761" t="str">
            <v>Shipment</v>
          </cell>
        </row>
        <row r="7762">
          <cell r="B7762" t="str">
            <v>Shipment</v>
          </cell>
        </row>
        <row r="7763">
          <cell r="B7763" t="str">
            <v>Shipment</v>
          </cell>
        </row>
        <row r="7764">
          <cell r="B7764" t="str">
            <v>Shipment</v>
          </cell>
        </row>
        <row r="7765">
          <cell r="B7765" t="str">
            <v>Shipment</v>
          </cell>
        </row>
        <row r="7766">
          <cell r="B7766" t="str">
            <v>Shipment</v>
          </cell>
        </row>
        <row r="7767">
          <cell r="B7767" t="str">
            <v>Shipment</v>
          </cell>
        </row>
        <row r="7768">
          <cell r="B7768" t="str">
            <v>Shipment</v>
          </cell>
        </row>
        <row r="7769">
          <cell r="B7769" t="str">
            <v>Shipment</v>
          </cell>
        </row>
        <row r="7770">
          <cell r="B7770" t="str">
            <v>Shipment</v>
          </cell>
        </row>
        <row r="7771">
          <cell r="B7771" t="str">
            <v>Shipment</v>
          </cell>
        </row>
        <row r="7772">
          <cell r="B7772" t="str">
            <v>Shipment</v>
          </cell>
        </row>
        <row r="7773">
          <cell r="B7773" t="str">
            <v>Shipment</v>
          </cell>
        </row>
        <row r="7774">
          <cell r="B7774" t="str">
            <v>Shipment</v>
          </cell>
        </row>
        <row r="7775">
          <cell r="B7775" t="str">
            <v>Shipment</v>
          </cell>
        </row>
        <row r="7776">
          <cell r="B7776" t="str">
            <v>Shipment</v>
          </cell>
        </row>
        <row r="7777">
          <cell r="B7777" t="str">
            <v>Shipment</v>
          </cell>
        </row>
        <row r="7778">
          <cell r="B7778" t="str">
            <v>Shipment</v>
          </cell>
        </row>
        <row r="7779">
          <cell r="B7779" t="str">
            <v>Shipment</v>
          </cell>
        </row>
        <row r="7780">
          <cell r="B7780" t="str">
            <v>Shipment</v>
          </cell>
        </row>
        <row r="7781">
          <cell r="B7781" t="str">
            <v>Shipment</v>
          </cell>
        </row>
        <row r="7782">
          <cell r="B7782" t="str">
            <v>Shipment</v>
          </cell>
        </row>
        <row r="7783">
          <cell r="B7783" t="str">
            <v>Shipment</v>
          </cell>
        </row>
        <row r="7784">
          <cell r="B7784" t="str">
            <v>Shipment</v>
          </cell>
        </row>
        <row r="7785">
          <cell r="B7785" t="str">
            <v>Shipment</v>
          </cell>
        </row>
        <row r="7786">
          <cell r="B7786" t="str">
            <v>Shipment</v>
          </cell>
        </row>
        <row r="7787">
          <cell r="B7787" t="str">
            <v>Shipment</v>
          </cell>
        </row>
        <row r="7788">
          <cell r="B7788" t="str">
            <v>Shipment</v>
          </cell>
        </row>
        <row r="7789">
          <cell r="B7789" t="str">
            <v>Shipment</v>
          </cell>
        </row>
        <row r="7790">
          <cell r="B7790" t="str">
            <v>Shipment</v>
          </cell>
        </row>
        <row r="7791">
          <cell r="B7791" t="str">
            <v>Shipment</v>
          </cell>
        </row>
        <row r="7792">
          <cell r="B7792" t="str">
            <v>Shipment</v>
          </cell>
        </row>
        <row r="7793">
          <cell r="B7793" t="str">
            <v>Shipment</v>
          </cell>
        </row>
        <row r="7794">
          <cell r="B7794" t="str">
            <v>Shipment</v>
          </cell>
        </row>
        <row r="7795">
          <cell r="B7795" t="str">
            <v>Shipment</v>
          </cell>
        </row>
        <row r="7796">
          <cell r="B7796" t="str">
            <v>Shipment</v>
          </cell>
        </row>
        <row r="7797">
          <cell r="B7797" t="str">
            <v>Shipment</v>
          </cell>
        </row>
        <row r="7798">
          <cell r="B7798" t="str">
            <v>Shipment</v>
          </cell>
        </row>
        <row r="7799">
          <cell r="B7799" t="str">
            <v>Shipment</v>
          </cell>
        </row>
        <row r="7800">
          <cell r="B7800" t="str">
            <v>Shipment</v>
          </cell>
        </row>
        <row r="7801">
          <cell r="B7801" t="str">
            <v>Shipment</v>
          </cell>
        </row>
        <row r="7802">
          <cell r="B7802" t="str">
            <v>Shipment</v>
          </cell>
        </row>
        <row r="7803">
          <cell r="B7803" t="str">
            <v>Shipment</v>
          </cell>
        </row>
        <row r="7804">
          <cell r="B7804" t="str">
            <v>Shipment</v>
          </cell>
        </row>
        <row r="7805">
          <cell r="B7805" t="str">
            <v>Shipment</v>
          </cell>
        </row>
        <row r="7806">
          <cell r="B7806" t="str">
            <v>Shipment</v>
          </cell>
        </row>
        <row r="7807">
          <cell r="B7807" t="str">
            <v>Shipment</v>
          </cell>
        </row>
        <row r="7808">
          <cell r="B7808" t="str">
            <v>Shipment</v>
          </cell>
        </row>
        <row r="7809">
          <cell r="B7809" t="str">
            <v>Shipment</v>
          </cell>
        </row>
        <row r="7810">
          <cell r="B7810" t="str">
            <v>Shipment</v>
          </cell>
        </row>
        <row r="7811">
          <cell r="B7811" t="str">
            <v>Shipment</v>
          </cell>
        </row>
        <row r="7812">
          <cell r="B7812" t="str">
            <v>Shipment</v>
          </cell>
        </row>
        <row r="7813">
          <cell r="B7813" t="str">
            <v>Shipment</v>
          </cell>
        </row>
        <row r="7814">
          <cell r="B7814" t="str">
            <v>Shipment</v>
          </cell>
        </row>
        <row r="7815">
          <cell r="B7815" t="str">
            <v>Shipment</v>
          </cell>
        </row>
        <row r="7816">
          <cell r="B7816" t="str">
            <v>Shipment</v>
          </cell>
        </row>
        <row r="7817">
          <cell r="B7817" t="str">
            <v>Shipment</v>
          </cell>
        </row>
        <row r="7818">
          <cell r="B7818" t="str">
            <v>Shipment</v>
          </cell>
        </row>
        <row r="7819">
          <cell r="B7819" t="str">
            <v>Shipment</v>
          </cell>
        </row>
        <row r="7820">
          <cell r="B7820" t="str">
            <v>Shipment</v>
          </cell>
        </row>
        <row r="7821">
          <cell r="B7821" t="str">
            <v>Shipment</v>
          </cell>
        </row>
        <row r="7822">
          <cell r="B7822" t="str">
            <v>Shipment</v>
          </cell>
        </row>
        <row r="7823">
          <cell r="B7823" t="str">
            <v>Shipment</v>
          </cell>
        </row>
        <row r="7824">
          <cell r="B7824" t="str">
            <v>Shipment</v>
          </cell>
        </row>
        <row r="7825">
          <cell r="B7825" t="str">
            <v>Shipment</v>
          </cell>
        </row>
        <row r="7826">
          <cell r="B7826" t="str">
            <v>Shipment</v>
          </cell>
        </row>
        <row r="7827">
          <cell r="B7827" t="str">
            <v>Shipment</v>
          </cell>
        </row>
        <row r="7828">
          <cell r="B7828" t="str">
            <v>Shipment</v>
          </cell>
        </row>
        <row r="7829">
          <cell r="B7829" t="str">
            <v>Shipment</v>
          </cell>
        </row>
        <row r="7830">
          <cell r="B7830" t="str">
            <v>Shipment</v>
          </cell>
        </row>
        <row r="7831">
          <cell r="B7831" t="str">
            <v>Shipment</v>
          </cell>
        </row>
        <row r="7832">
          <cell r="B7832" t="str">
            <v>Shipment</v>
          </cell>
        </row>
        <row r="7833">
          <cell r="B7833" t="str">
            <v>Shipment</v>
          </cell>
        </row>
        <row r="7834">
          <cell r="B7834" t="str">
            <v>Shipment</v>
          </cell>
        </row>
        <row r="7835">
          <cell r="B7835" t="str">
            <v>Shipment</v>
          </cell>
        </row>
        <row r="7836">
          <cell r="B7836" t="str">
            <v>Shipment</v>
          </cell>
        </row>
        <row r="7837">
          <cell r="B7837" t="str">
            <v>Shipment</v>
          </cell>
        </row>
        <row r="7838">
          <cell r="B7838" t="str">
            <v>Shipment</v>
          </cell>
        </row>
        <row r="7839">
          <cell r="B7839" t="str">
            <v>Shipment</v>
          </cell>
        </row>
        <row r="7840">
          <cell r="B7840" t="str">
            <v>Shipment</v>
          </cell>
        </row>
        <row r="7841">
          <cell r="B7841" t="str">
            <v>Shipment</v>
          </cell>
        </row>
        <row r="7842">
          <cell r="B7842" t="str">
            <v>Shipment</v>
          </cell>
        </row>
        <row r="7843">
          <cell r="B7843" t="str">
            <v>Shipment</v>
          </cell>
        </row>
        <row r="7844">
          <cell r="B7844" t="str">
            <v>Shipment</v>
          </cell>
        </row>
        <row r="7845">
          <cell r="B7845" t="str">
            <v>Shipment</v>
          </cell>
        </row>
        <row r="7846">
          <cell r="B7846" t="str">
            <v>Shipment</v>
          </cell>
        </row>
        <row r="7847">
          <cell r="B7847" t="str">
            <v>Shipment</v>
          </cell>
        </row>
        <row r="7848">
          <cell r="B7848" t="str">
            <v>Shipment</v>
          </cell>
        </row>
        <row r="7849">
          <cell r="B7849" t="str">
            <v>Shipment</v>
          </cell>
        </row>
        <row r="7850">
          <cell r="B7850" t="str">
            <v>Shipment</v>
          </cell>
        </row>
        <row r="7851">
          <cell r="B7851" t="str">
            <v>Shipment</v>
          </cell>
        </row>
        <row r="7852">
          <cell r="B7852" t="str">
            <v>Shipment</v>
          </cell>
        </row>
        <row r="7853">
          <cell r="B7853" t="str">
            <v>Shipment</v>
          </cell>
        </row>
        <row r="7854">
          <cell r="B7854" t="str">
            <v>Shipment</v>
          </cell>
        </row>
        <row r="7855">
          <cell r="B7855" t="str">
            <v>Shipment</v>
          </cell>
        </row>
        <row r="7856">
          <cell r="B7856" t="str">
            <v>Shipment</v>
          </cell>
        </row>
        <row r="7857">
          <cell r="B7857" t="str">
            <v>Shipment</v>
          </cell>
        </row>
        <row r="7858">
          <cell r="B7858" t="str">
            <v>Shipment</v>
          </cell>
        </row>
        <row r="7859">
          <cell r="B7859" t="str">
            <v>Shipment</v>
          </cell>
        </row>
        <row r="7860">
          <cell r="B7860" t="str">
            <v>Shipment</v>
          </cell>
        </row>
        <row r="7861">
          <cell r="B7861" t="str">
            <v>Shipment</v>
          </cell>
        </row>
        <row r="7862">
          <cell r="B7862" t="str">
            <v>Shipment</v>
          </cell>
        </row>
        <row r="7863">
          <cell r="B7863" t="str">
            <v>Shipment</v>
          </cell>
        </row>
        <row r="7864">
          <cell r="B7864" t="str">
            <v>Shipment</v>
          </cell>
        </row>
        <row r="7865">
          <cell r="B7865" t="str">
            <v>Shipment</v>
          </cell>
        </row>
        <row r="7866">
          <cell r="B7866" t="str">
            <v>Shipment</v>
          </cell>
        </row>
        <row r="7867">
          <cell r="B7867" t="str">
            <v>Shipment</v>
          </cell>
        </row>
        <row r="7868">
          <cell r="B7868" t="str">
            <v>Shipment</v>
          </cell>
        </row>
        <row r="7869">
          <cell r="B7869" t="str">
            <v>Shipment</v>
          </cell>
        </row>
        <row r="7870">
          <cell r="B7870" t="str">
            <v>Shipment</v>
          </cell>
        </row>
        <row r="7871">
          <cell r="B7871" t="str">
            <v>Shipment</v>
          </cell>
        </row>
        <row r="7872">
          <cell r="B7872" t="str">
            <v>Shipment</v>
          </cell>
        </row>
        <row r="7873">
          <cell r="B7873" t="str">
            <v>Shipment</v>
          </cell>
        </row>
        <row r="7874">
          <cell r="B7874" t="str">
            <v>Shipment</v>
          </cell>
        </row>
        <row r="7875">
          <cell r="B7875" t="str">
            <v>Shipment</v>
          </cell>
        </row>
        <row r="7876">
          <cell r="B7876" t="str">
            <v>Shipment</v>
          </cell>
        </row>
        <row r="7877">
          <cell r="B7877" t="str">
            <v>Shipment</v>
          </cell>
        </row>
        <row r="7878">
          <cell r="B7878" t="str">
            <v>Shipment</v>
          </cell>
        </row>
        <row r="7879">
          <cell r="B7879" t="str">
            <v>Shipment</v>
          </cell>
        </row>
        <row r="7880">
          <cell r="B7880" t="str">
            <v>Shipment</v>
          </cell>
        </row>
        <row r="7881">
          <cell r="B7881" t="str">
            <v>Shipment</v>
          </cell>
        </row>
        <row r="7882">
          <cell r="B7882" t="str">
            <v>Shipment</v>
          </cell>
        </row>
        <row r="7883">
          <cell r="B7883" t="str">
            <v>Shipment</v>
          </cell>
        </row>
        <row r="7884">
          <cell r="B7884" t="str">
            <v>Shipment</v>
          </cell>
        </row>
        <row r="7885">
          <cell r="B7885" t="str">
            <v>Shipment</v>
          </cell>
        </row>
        <row r="7886">
          <cell r="B7886" t="str">
            <v>Shipment</v>
          </cell>
        </row>
        <row r="7887">
          <cell r="B7887" t="str">
            <v>Shipment</v>
          </cell>
        </row>
        <row r="7888">
          <cell r="B7888" t="str">
            <v>Shipment</v>
          </cell>
        </row>
        <row r="7889">
          <cell r="B7889" t="str">
            <v>Shipment</v>
          </cell>
        </row>
        <row r="7890">
          <cell r="B7890" t="str">
            <v>Shipment</v>
          </cell>
        </row>
        <row r="7891">
          <cell r="B7891" t="str">
            <v>Shipment</v>
          </cell>
        </row>
        <row r="7892">
          <cell r="B7892" t="str">
            <v>Shipment</v>
          </cell>
        </row>
        <row r="7893">
          <cell r="B7893" t="str">
            <v>Shipment</v>
          </cell>
        </row>
        <row r="7894">
          <cell r="B7894" t="str">
            <v>Shipment</v>
          </cell>
        </row>
        <row r="7895">
          <cell r="B7895" t="str">
            <v>Shipment</v>
          </cell>
        </row>
        <row r="7896">
          <cell r="B7896" t="str">
            <v>Shipment</v>
          </cell>
        </row>
        <row r="7897">
          <cell r="B7897" t="str">
            <v>Shipment</v>
          </cell>
        </row>
        <row r="7898">
          <cell r="B7898" t="str">
            <v>Shipment</v>
          </cell>
        </row>
        <row r="7899">
          <cell r="B7899" t="str">
            <v>Shipment</v>
          </cell>
        </row>
        <row r="7900">
          <cell r="B7900" t="str">
            <v>Shipment</v>
          </cell>
        </row>
        <row r="7901">
          <cell r="B7901" t="str">
            <v>Shipment</v>
          </cell>
        </row>
        <row r="7902">
          <cell r="B7902" t="str">
            <v>Shipment</v>
          </cell>
        </row>
        <row r="7903">
          <cell r="B7903" t="str">
            <v>Shipment</v>
          </cell>
        </row>
        <row r="7904">
          <cell r="B7904" t="str">
            <v>Shipment</v>
          </cell>
        </row>
        <row r="7905">
          <cell r="B7905" t="str">
            <v>Shipment</v>
          </cell>
        </row>
        <row r="7906">
          <cell r="B7906" t="str">
            <v>Shipment</v>
          </cell>
        </row>
        <row r="7907">
          <cell r="B7907" t="str">
            <v>Shipment</v>
          </cell>
        </row>
        <row r="7908">
          <cell r="B7908" t="str">
            <v>Shipment</v>
          </cell>
        </row>
        <row r="7909">
          <cell r="B7909" t="str">
            <v>Shipment</v>
          </cell>
        </row>
        <row r="7910">
          <cell r="B7910" t="str">
            <v>Shipment</v>
          </cell>
        </row>
        <row r="7911">
          <cell r="B7911" t="str">
            <v>Shipment</v>
          </cell>
        </row>
        <row r="7912">
          <cell r="B7912" t="str">
            <v>Shipment</v>
          </cell>
        </row>
        <row r="7913">
          <cell r="B7913" t="str">
            <v>Shipment</v>
          </cell>
        </row>
        <row r="7914">
          <cell r="B7914" t="str">
            <v>Shipment</v>
          </cell>
        </row>
        <row r="7915">
          <cell r="B7915" t="str">
            <v>Shipment</v>
          </cell>
        </row>
        <row r="7916">
          <cell r="B7916" t="str">
            <v>Shipment</v>
          </cell>
        </row>
        <row r="7917">
          <cell r="B7917" t="str">
            <v>Shipment</v>
          </cell>
        </row>
        <row r="7918">
          <cell r="B7918" t="str">
            <v>Shipment</v>
          </cell>
        </row>
        <row r="7919">
          <cell r="B7919" t="str">
            <v>Shipment</v>
          </cell>
        </row>
        <row r="7920">
          <cell r="B7920" t="str">
            <v>Shipment</v>
          </cell>
        </row>
        <row r="7921">
          <cell r="B7921" t="str">
            <v>Shipment</v>
          </cell>
        </row>
        <row r="7922">
          <cell r="B7922" t="str">
            <v>Shipment</v>
          </cell>
        </row>
        <row r="7923">
          <cell r="B7923" t="str">
            <v>Shipment</v>
          </cell>
        </row>
        <row r="7924">
          <cell r="B7924" t="str">
            <v>Shipment</v>
          </cell>
        </row>
        <row r="7925">
          <cell r="B7925" t="str">
            <v>Shipment</v>
          </cell>
        </row>
        <row r="7926">
          <cell r="B7926" t="str">
            <v>Shipment</v>
          </cell>
        </row>
        <row r="7927">
          <cell r="B7927" t="str">
            <v>Shipment</v>
          </cell>
        </row>
        <row r="7928">
          <cell r="B7928" t="str">
            <v>Shipment</v>
          </cell>
        </row>
        <row r="7929">
          <cell r="B7929" t="str">
            <v>Shipment</v>
          </cell>
        </row>
        <row r="7930">
          <cell r="B7930" t="str">
            <v>Shipment</v>
          </cell>
        </row>
        <row r="7931">
          <cell r="B7931" t="str">
            <v>Shipment</v>
          </cell>
        </row>
        <row r="7932">
          <cell r="B7932" t="str">
            <v>Shipment</v>
          </cell>
        </row>
        <row r="7933">
          <cell r="B7933" t="str">
            <v>Shipment</v>
          </cell>
        </row>
        <row r="7934">
          <cell r="B7934" t="str">
            <v>Shipment</v>
          </cell>
        </row>
        <row r="7935">
          <cell r="B7935" t="str">
            <v>Shipment</v>
          </cell>
        </row>
        <row r="7936">
          <cell r="B7936" t="str">
            <v>Shipment</v>
          </cell>
        </row>
        <row r="7937">
          <cell r="B7937" t="str">
            <v>Shipment</v>
          </cell>
        </row>
        <row r="7938">
          <cell r="B7938" t="str">
            <v>Shipment</v>
          </cell>
        </row>
        <row r="7939">
          <cell r="B7939" t="str">
            <v>Shipment</v>
          </cell>
        </row>
        <row r="7940">
          <cell r="B7940" t="str">
            <v>Shipment</v>
          </cell>
        </row>
        <row r="7941">
          <cell r="B7941" t="str">
            <v>Shipment</v>
          </cell>
        </row>
        <row r="7942">
          <cell r="B7942" t="str">
            <v>Shipment</v>
          </cell>
        </row>
        <row r="7943">
          <cell r="B7943" t="str">
            <v>Shipment</v>
          </cell>
        </row>
        <row r="7944">
          <cell r="B7944" t="str">
            <v>Shipment</v>
          </cell>
        </row>
        <row r="7945">
          <cell r="B7945" t="str">
            <v>Shipment</v>
          </cell>
        </row>
        <row r="7946">
          <cell r="B7946" t="str">
            <v>Shipment</v>
          </cell>
        </row>
        <row r="7947">
          <cell r="B7947" t="str">
            <v>Shipment</v>
          </cell>
        </row>
        <row r="7948">
          <cell r="B7948" t="str">
            <v>Shipment</v>
          </cell>
        </row>
        <row r="7949">
          <cell r="B7949" t="str">
            <v>Shipment</v>
          </cell>
        </row>
        <row r="7950">
          <cell r="B7950" t="str">
            <v>Shipment</v>
          </cell>
        </row>
        <row r="7951">
          <cell r="B7951" t="str">
            <v>Shipment</v>
          </cell>
        </row>
        <row r="7952">
          <cell r="B7952" t="str">
            <v>Shipment</v>
          </cell>
        </row>
        <row r="7953">
          <cell r="B7953" t="str">
            <v>Shipment</v>
          </cell>
        </row>
        <row r="7954">
          <cell r="B7954" t="str">
            <v>Shipment</v>
          </cell>
        </row>
        <row r="7955">
          <cell r="B7955" t="str">
            <v>Shipment</v>
          </cell>
        </row>
        <row r="7956">
          <cell r="B7956" t="str">
            <v>Shipment</v>
          </cell>
        </row>
        <row r="7957">
          <cell r="B7957" t="str">
            <v>Shipment</v>
          </cell>
        </row>
        <row r="7958">
          <cell r="B7958" t="str">
            <v>Shipment</v>
          </cell>
        </row>
        <row r="7959">
          <cell r="B7959" t="str">
            <v>Shipment</v>
          </cell>
        </row>
        <row r="7960">
          <cell r="B7960" t="str">
            <v>Shipment</v>
          </cell>
        </row>
        <row r="7961">
          <cell r="B7961" t="str">
            <v>Shipment</v>
          </cell>
        </row>
        <row r="7962">
          <cell r="B7962" t="str">
            <v>Shipment</v>
          </cell>
        </row>
        <row r="7963">
          <cell r="B7963" t="str">
            <v>Shipment</v>
          </cell>
        </row>
        <row r="7964">
          <cell r="B7964" t="str">
            <v>Shipment</v>
          </cell>
        </row>
        <row r="7965">
          <cell r="B7965" t="str">
            <v>Shipment</v>
          </cell>
        </row>
        <row r="7966">
          <cell r="B7966" t="str">
            <v>Shipment</v>
          </cell>
        </row>
        <row r="7967">
          <cell r="B7967" t="str">
            <v>Shipment</v>
          </cell>
        </row>
        <row r="7968">
          <cell r="B7968" t="str">
            <v>Shipment</v>
          </cell>
        </row>
        <row r="7969">
          <cell r="B7969" t="str">
            <v>Shipment</v>
          </cell>
        </row>
        <row r="7970">
          <cell r="B7970" t="str">
            <v>Shipment</v>
          </cell>
        </row>
        <row r="7971">
          <cell r="B7971" t="str">
            <v>Shipment</v>
          </cell>
        </row>
        <row r="7972">
          <cell r="B7972" t="str">
            <v>Shipment</v>
          </cell>
        </row>
        <row r="7973">
          <cell r="B7973" t="str">
            <v>Shipment</v>
          </cell>
        </row>
        <row r="7974">
          <cell r="B7974" t="str">
            <v>Shipment</v>
          </cell>
        </row>
        <row r="7975">
          <cell r="B7975" t="str">
            <v>Shipment</v>
          </cell>
        </row>
        <row r="7976">
          <cell r="B7976" t="str">
            <v>Shipment</v>
          </cell>
        </row>
        <row r="7977">
          <cell r="B7977" t="str">
            <v>Shipment</v>
          </cell>
        </row>
        <row r="7978">
          <cell r="B7978" t="str">
            <v>Shipment</v>
          </cell>
        </row>
        <row r="7979">
          <cell r="B7979" t="str">
            <v>Shipment</v>
          </cell>
        </row>
        <row r="7980">
          <cell r="B7980" t="str">
            <v>Shipment</v>
          </cell>
        </row>
        <row r="7981">
          <cell r="B7981" t="str">
            <v>Shipment</v>
          </cell>
        </row>
        <row r="7982">
          <cell r="B7982" t="str">
            <v>Shipment</v>
          </cell>
        </row>
        <row r="7983">
          <cell r="B7983" t="str">
            <v>Shipment</v>
          </cell>
        </row>
        <row r="7984">
          <cell r="B7984" t="str">
            <v>Shipment</v>
          </cell>
        </row>
        <row r="7985">
          <cell r="B7985" t="str">
            <v>Shipment</v>
          </cell>
        </row>
        <row r="7986">
          <cell r="B7986" t="str">
            <v>Shipment</v>
          </cell>
        </row>
        <row r="7987">
          <cell r="B7987" t="str">
            <v>Shipment</v>
          </cell>
        </row>
        <row r="7988">
          <cell r="B7988" t="str">
            <v>Shipment</v>
          </cell>
        </row>
        <row r="7989">
          <cell r="B7989" t="str">
            <v>Shipment</v>
          </cell>
        </row>
        <row r="7990">
          <cell r="B7990" t="str">
            <v>Shipment</v>
          </cell>
        </row>
        <row r="7991">
          <cell r="B7991" t="str">
            <v>Shipment</v>
          </cell>
        </row>
        <row r="7992">
          <cell r="B7992" t="str">
            <v>Shipment</v>
          </cell>
        </row>
        <row r="7993">
          <cell r="B7993" t="str">
            <v>Shipment</v>
          </cell>
        </row>
        <row r="7994">
          <cell r="B7994" t="str">
            <v>Shipment</v>
          </cell>
        </row>
        <row r="7995">
          <cell r="B7995" t="str">
            <v>Shipment</v>
          </cell>
        </row>
        <row r="7996">
          <cell r="B7996" t="str">
            <v>Shipment</v>
          </cell>
        </row>
        <row r="7997">
          <cell r="B7997" t="str">
            <v>Shipment</v>
          </cell>
        </row>
        <row r="7998">
          <cell r="B7998" t="str">
            <v>Shipment</v>
          </cell>
        </row>
        <row r="7999">
          <cell r="B7999" t="str">
            <v>Shipment</v>
          </cell>
        </row>
        <row r="8000">
          <cell r="B8000" t="str">
            <v>Shipment</v>
          </cell>
        </row>
        <row r="8001">
          <cell r="B8001" t="str">
            <v>Shipment</v>
          </cell>
        </row>
        <row r="8002">
          <cell r="B8002" t="str">
            <v>Shipment</v>
          </cell>
        </row>
        <row r="8003">
          <cell r="B8003" t="str">
            <v>Shipment</v>
          </cell>
        </row>
        <row r="8004">
          <cell r="B8004" t="str">
            <v>Shipment</v>
          </cell>
        </row>
        <row r="8005">
          <cell r="B8005" t="str">
            <v>Shipment</v>
          </cell>
        </row>
        <row r="8006">
          <cell r="B8006" t="str">
            <v>Shipment</v>
          </cell>
        </row>
        <row r="8007">
          <cell r="B8007" t="str">
            <v>Shipment</v>
          </cell>
        </row>
        <row r="8008">
          <cell r="B8008" t="str">
            <v>Shipment</v>
          </cell>
        </row>
        <row r="8009">
          <cell r="B8009" t="str">
            <v>Shipment</v>
          </cell>
        </row>
        <row r="8010">
          <cell r="B8010" t="str">
            <v>Shipment</v>
          </cell>
        </row>
        <row r="8011">
          <cell r="B8011" t="str">
            <v>Shipment</v>
          </cell>
        </row>
        <row r="8012">
          <cell r="B8012" t="str">
            <v>Shipment</v>
          </cell>
        </row>
        <row r="8013">
          <cell r="B8013" t="str">
            <v>Shipment</v>
          </cell>
        </row>
        <row r="8014">
          <cell r="B8014" t="str">
            <v>Shipment</v>
          </cell>
        </row>
        <row r="8015">
          <cell r="B8015" t="str">
            <v>Shipment</v>
          </cell>
        </row>
        <row r="8016">
          <cell r="B8016" t="str">
            <v>Shipment</v>
          </cell>
        </row>
        <row r="8017">
          <cell r="B8017" t="str">
            <v>Shipment</v>
          </cell>
        </row>
        <row r="8018">
          <cell r="B8018" t="str">
            <v>Shipment</v>
          </cell>
        </row>
        <row r="8019">
          <cell r="B8019" t="str">
            <v>Shipment</v>
          </cell>
        </row>
        <row r="8020">
          <cell r="B8020" t="str">
            <v>Shipment</v>
          </cell>
        </row>
        <row r="8021">
          <cell r="B8021" t="str">
            <v>Shipment</v>
          </cell>
        </row>
        <row r="8022">
          <cell r="B8022" t="str">
            <v>Shipment</v>
          </cell>
        </row>
        <row r="8023">
          <cell r="B8023" t="str">
            <v>Shipment</v>
          </cell>
        </row>
        <row r="8024">
          <cell r="B8024" t="str">
            <v>Shipment</v>
          </cell>
        </row>
        <row r="8025">
          <cell r="B8025" t="str">
            <v>Shipment</v>
          </cell>
        </row>
        <row r="8026">
          <cell r="B8026" t="str">
            <v>Shipment</v>
          </cell>
        </row>
        <row r="8027">
          <cell r="B8027" t="str">
            <v>Shipment</v>
          </cell>
        </row>
        <row r="8028">
          <cell r="B8028" t="str">
            <v>Shipment</v>
          </cell>
        </row>
        <row r="8029">
          <cell r="B8029" t="str">
            <v>Shipment</v>
          </cell>
        </row>
        <row r="8030">
          <cell r="B8030" t="str">
            <v>Shipment</v>
          </cell>
        </row>
        <row r="8031">
          <cell r="B8031" t="str">
            <v>Shipment</v>
          </cell>
        </row>
        <row r="8032">
          <cell r="B8032" t="str">
            <v>Shipment</v>
          </cell>
        </row>
        <row r="8033">
          <cell r="B8033" t="str">
            <v>Shipment</v>
          </cell>
        </row>
        <row r="8034">
          <cell r="B8034" t="str">
            <v>Shipment</v>
          </cell>
        </row>
        <row r="8035">
          <cell r="B8035" t="str">
            <v>Shipment</v>
          </cell>
        </row>
        <row r="8036">
          <cell r="B8036" t="str">
            <v>Shipment</v>
          </cell>
        </row>
        <row r="8037">
          <cell r="B8037" t="str">
            <v>Shipment</v>
          </cell>
        </row>
        <row r="8038">
          <cell r="B8038" t="str">
            <v>Shipment</v>
          </cell>
        </row>
        <row r="8039">
          <cell r="B8039" t="str">
            <v>Shipment</v>
          </cell>
        </row>
        <row r="8040">
          <cell r="B8040" t="str">
            <v>Shipment</v>
          </cell>
        </row>
        <row r="8041">
          <cell r="B8041" t="str">
            <v>Shipment</v>
          </cell>
        </row>
        <row r="8042">
          <cell r="B8042" t="str">
            <v>Shipment</v>
          </cell>
        </row>
        <row r="8043">
          <cell r="B8043" t="str">
            <v>Shipment</v>
          </cell>
        </row>
        <row r="8044">
          <cell r="B8044" t="str">
            <v>Shipment</v>
          </cell>
        </row>
        <row r="8045">
          <cell r="B8045" t="str">
            <v>Shipment</v>
          </cell>
        </row>
        <row r="8046">
          <cell r="B8046" t="str">
            <v>Shipment</v>
          </cell>
        </row>
        <row r="8047">
          <cell r="B8047" t="str">
            <v>Shipment</v>
          </cell>
        </row>
        <row r="8048">
          <cell r="B8048" t="str">
            <v>Shipment</v>
          </cell>
        </row>
        <row r="8049">
          <cell r="B8049" t="str">
            <v>Shipment</v>
          </cell>
        </row>
        <row r="8050">
          <cell r="B8050" t="str">
            <v>Shipment</v>
          </cell>
        </row>
        <row r="8051">
          <cell r="B8051" t="str">
            <v>Shipment</v>
          </cell>
        </row>
        <row r="8052">
          <cell r="B8052" t="str">
            <v>Shipment</v>
          </cell>
        </row>
        <row r="8053">
          <cell r="B8053" t="str">
            <v>Shipment</v>
          </cell>
        </row>
        <row r="8054">
          <cell r="B8054" t="str">
            <v>Shipment</v>
          </cell>
        </row>
        <row r="8055">
          <cell r="B8055" t="str">
            <v>Shipment</v>
          </cell>
        </row>
        <row r="8056">
          <cell r="B8056" t="str">
            <v>Shipment</v>
          </cell>
        </row>
        <row r="8057">
          <cell r="B8057" t="str">
            <v>Shipment</v>
          </cell>
        </row>
        <row r="8058">
          <cell r="B8058" t="str">
            <v>Shipment</v>
          </cell>
        </row>
        <row r="8059">
          <cell r="B8059" t="str">
            <v>Shipment</v>
          </cell>
        </row>
        <row r="8060">
          <cell r="B8060" t="str">
            <v>Shipment</v>
          </cell>
        </row>
        <row r="8061">
          <cell r="B8061" t="str">
            <v>Shipment</v>
          </cell>
        </row>
        <row r="8062">
          <cell r="B8062" t="str">
            <v>Shipment</v>
          </cell>
        </row>
        <row r="8063">
          <cell r="B8063" t="str">
            <v>Shipment</v>
          </cell>
        </row>
        <row r="8064">
          <cell r="B8064" t="str">
            <v>Shipment</v>
          </cell>
        </row>
        <row r="8065">
          <cell r="B8065" t="str">
            <v>Shipment</v>
          </cell>
        </row>
        <row r="8066">
          <cell r="B8066" t="str">
            <v>Shipment</v>
          </cell>
        </row>
        <row r="8067">
          <cell r="B8067" t="str">
            <v>Shipment</v>
          </cell>
        </row>
        <row r="8068">
          <cell r="B8068" t="str">
            <v>Shipment</v>
          </cell>
        </row>
        <row r="8069">
          <cell r="B8069" t="str">
            <v>Shipment</v>
          </cell>
        </row>
        <row r="8070">
          <cell r="B8070" t="str">
            <v>Shipment</v>
          </cell>
        </row>
        <row r="8071">
          <cell r="B8071" t="str">
            <v>Shipment</v>
          </cell>
        </row>
        <row r="8072">
          <cell r="B8072" t="str">
            <v>Shipment</v>
          </cell>
        </row>
        <row r="8073">
          <cell r="B8073" t="str">
            <v>Shipment</v>
          </cell>
        </row>
        <row r="8074">
          <cell r="B8074" t="str">
            <v>Shipment</v>
          </cell>
        </row>
        <row r="8075">
          <cell r="B8075" t="str">
            <v>Shipment</v>
          </cell>
        </row>
        <row r="8076">
          <cell r="B8076" t="str">
            <v>Shipment</v>
          </cell>
        </row>
        <row r="8077">
          <cell r="B8077" t="str">
            <v>Shipment</v>
          </cell>
        </row>
        <row r="8078">
          <cell r="B8078" t="str">
            <v>Shipment</v>
          </cell>
        </row>
        <row r="8079">
          <cell r="B8079" t="str">
            <v>Shipment</v>
          </cell>
        </row>
        <row r="8080">
          <cell r="B8080" t="str">
            <v>Shipment</v>
          </cell>
        </row>
        <row r="8081">
          <cell r="B8081" t="str">
            <v>Shipment</v>
          </cell>
        </row>
        <row r="8082">
          <cell r="B8082" t="str">
            <v>Shipment</v>
          </cell>
        </row>
        <row r="8083">
          <cell r="B8083" t="str">
            <v>Shipment</v>
          </cell>
        </row>
        <row r="8084">
          <cell r="B8084" t="str">
            <v>Shipment</v>
          </cell>
        </row>
        <row r="8085">
          <cell r="B8085" t="str">
            <v>Shipment</v>
          </cell>
        </row>
        <row r="8086">
          <cell r="B8086" t="str">
            <v>Shipment</v>
          </cell>
        </row>
        <row r="8087">
          <cell r="B8087" t="str">
            <v>Shipment</v>
          </cell>
        </row>
        <row r="8088">
          <cell r="B8088" t="str">
            <v>Shipment</v>
          </cell>
        </row>
        <row r="8089">
          <cell r="B8089" t="str">
            <v>Shipment</v>
          </cell>
        </row>
        <row r="8090">
          <cell r="B8090" t="str">
            <v>Shipment</v>
          </cell>
        </row>
        <row r="8091">
          <cell r="B8091" t="str">
            <v>Shipment</v>
          </cell>
        </row>
        <row r="8092">
          <cell r="B8092" t="str">
            <v>Shipment</v>
          </cell>
        </row>
        <row r="8093">
          <cell r="B8093" t="str">
            <v>Shipment</v>
          </cell>
        </row>
        <row r="8094">
          <cell r="B8094" t="str">
            <v>Shipment</v>
          </cell>
        </row>
        <row r="8095">
          <cell r="B8095" t="str">
            <v>Shipment</v>
          </cell>
        </row>
        <row r="8096">
          <cell r="B8096" t="str">
            <v>Shipment</v>
          </cell>
        </row>
        <row r="8097">
          <cell r="B8097" t="str">
            <v>Shipment</v>
          </cell>
        </row>
        <row r="8098">
          <cell r="B8098" t="str">
            <v>Shipment</v>
          </cell>
        </row>
        <row r="8099">
          <cell r="B8099" t="str">
            <v>Shipment</v>
          </cell>
        </row>
        <row r="8100">
          <cell r="B8100" t="str">
            <v>Shipment</v>
          </cell>
        </row>
        <row r="8101">
          <cell r="B8101" t="str">
            <v>Shipment</v>
          </cell>
        </row>
        <row r="8102">
          <cell r="B8102" t="str">
            <v>Shipment</v>
          </cell>
        </row>
        <row r="8103">
          <cell r="B8103" t="str">
            <v>Shipment</v>
          </cell>
        </row>
        <row r="8104">
          <cell r="B8104" t="str">
            <v>Shipment</v>
          </cell>
        </row>
        <row r="8105">
          <cell r="B8105" t="str">
            <v>Shipment</v>
          </cell>
        </row>
        <row r="8106">
          <cell r="B8106" t="str">
            <v>Shipment</v>
          </cell>
        </row>
        <row r="8107">
          <cell r="B8107" t="str">
            <v>Shipment</v>
          </cell>
        </row>
        <row r="8108">
          <cell r="B8108" t="str">
            <v>Shipment</v>
          </cell>
        </row>
        <row r="8109">
          <cell r="B8109" t="str">
            <v>Shipment</v>
          </cell>
        </row>
        <row r="8110">
          <cell r="B8110" t="str">
            <v>Shipment</v>
          </cell>
        </row>
        <row r="8111">
          <cell r="B8111" t="str">
            <v>Shipment</v>
          </cell>
        </row>
        <row r="8112">
          <cell r="B8112" t="str">
            <v>Shipment</v>
          </cell>
        </row>
        <row r="8113">
          <cell r="B8113" t="str">
            <v>Shipment</v>
          </cell>
        </row>
        <row r="8114">
          <cell r="B8114" t="str">
            <v>Shipment</v>
          </cell>
        </row>
        <row r="8115">
          <cell r="B8115" t="str">
            <v>Shipment</v>
          </cell>
        </row>
        <row r="8116">
          <cell r="B8116" t="str">
            <v>Shipment</v>
          </cell>
        </row>
        <row r="8117">
          <cell r="B8117" t="str">
            <v>Shipment</v>
          </cell>
        </row>
        <row r="8118">
          <cell r="B8118" t="str">
            <v>Shipment</v>
          </cell>
        </row>
        <row r="8119">
          <cell r="B8119" t="str">
            <v>Shipment</v>
          </cell>
        </row>
        <row r="8120">
          <cell r="B8120" t="str">
            <v>Shipment</v>
          </cell>
        </row>
        <row r="8121">
          <cell r="B8121" t="str">
            <v>Shipment</v>
          </cell>
        </row>
        <row r="8122">
          <cell r="B8122" t="str">
            <v>Shipment</v>
          </cell>
        </row>
        <row r="8123">
          <cell r="B8123" t="str">
            <v>Shipment</v>
          </cell>
        </row>
        <row r="8124">
          <cell r="B8124" t="str">
            <v>Shipment</v>
          </cell>
        </row>
        <row r="8125">
          <cell r="B8125" t="str">
            <v>Shipment</v>
          </cell>
        </row>
        <row r="8126">
          <cell r="B8126" t="str">
            <v>Shipment</v>
          </cell>
        </row>
        <row r="8127">
          <cell r="B8127" t="str">
            <v>Shipment</v>
          </cell>
        </row>
        <row r="8128">
          <cell r="B8128" t="str">
            <v>Shipment</v>
          </cell>
        </row>
        <row r="8129">
          <cell r="B8129" t="str">
            <v>Shipment</v>
          </cell>
        </row>
        <row r="8130">
          <cell r="B8130" t="str">
            <v>Shipment</v>
          </cell>
        </row>
        <row r="8131">
          <cell r="B8131" t="str">
            <v>Shipment</v>
          </cell>
        </row>
        <row r="8132">
          <cell r="B8132" t="str">
            <v>Shipment</v>
          </cell>
        </row>
        <row r="8133">
          <cell r="B8133" t="str">
            <v>Shipment</v>
          </cell>
        </row>
        <row r="8134">
          <cell r="B8134" t="str">
            <v>Shipment</v>
          </cell>
        </row>
        <row r="8135">
          <cell r="B8135" t="str">
            <v>Shipment</v>
          </cell>
        </row>
        <row r="8136">
          <cell r="B8136" t="str">
            <v>Shipment</v>
          </cell>
        </row>
        <row r="8137">
          <cell r="B8137" t="str">
            <v>Shipment</v>
          </cell>
        </row>
        <row r="8138">
          <cell r="B8138" t="str">
            <v>Shipment</v>
          </cell>
        </row>
        <row r="8139">
          <cell r="B8139" t="str">
            <v>Shipment</v>
          </cell>
        </row>
        <row r="8140">
          <cell r="B8140" t="str">
            <v>Shipment</v>
          </cell>
        </row>
        <row r="8141">
          <cell r="B8141" t="str">
            <v>Shipment</v>
          </cell>
        </row>
        <row r="8142">
          <cell r="B8142" t="str">
            <v>Shipment</v>
          </cell>
        </row>
        <row r="8143">
          <cell r="B8143" t="str">
            <v>Shipment</v>
          </cell>
        </row>
        <row r="8144">
          <cell r="B8144" t="str">
            <v>Shipment</v>
          </cell>
        </row>
        <row r="8145">
          <cell r="B8145" t="str">
            <v>Shipment</v>
          </cell>
        </row>
        <row r="8146">
          <cell r="B8146" t="str">
            <v>Shipment</v>
          </cell>
        </row>
        <row r="8147">
          <cell r="B8147" t="str">
            <v>Shipment</v>
          </cell>
        </row>
        <row r="8148">
          <cell r="B8148" t="str">
            <v>Shipment</v>
          </cell>
        </row>
        <row r="8149">
          <cell r="B8149" t="str">
            <v>Shipment</v>
          </cell>
        </row>
        <row r="8150">
          <cell r="B8150" t="str">
            <v>Shipment</v>
          </cell>
        </row>
        <row r="8151">
          <cell r="B8151" t="str">
            <v>Shipment</v>
          </cell>
        </row>
        <row r="8152">
          <cell r="B8152" t="str">
            <v>Shipment</v>
          </cell>
        </row>
        <row r="8153">
          <cell r="B8153" t="str">
            <v>Shipment</v>
          </cell>
        </row>
        <row r="8154">
          <cell r="B8154" t="str">
            <v>Shipment</v>
          </cell>
        </row>
        <row r="8155">
          <cell r="B8155" t="str">
            <v>Shipment</v>
          </cell>
        </row>
        <row r="8156">
          <cell r="B8156" t="str">
            <v>Shipment</v>
          </cell>
        </row>
        <row r="8157">
          <cell r="B8157" t="str">
            <v>Shipment</v>
          </cell>
        </row>
        <row r="8158">
          <cell r="B8158" t="str">
            <v>Shipment</v>
          </cell>
        </row>
        <row r="8159">
          <cell r="B8159" t="str">
            <v>Shipment</v>
          </cell>
        </row>
        <row r="8160">
          <cell r="B8160" t="str">
            <v>Shipment</v>
          </cell>
        </row>
        <row r="8161">
          <cell r="B8161" t="str">
            <v>Shipment</v>
          </cell>
        </row>
        <row r="8162">
          <cell r="B8162" t="str">
            <v>Shipment</v>
          </cell>
        </row>
        <row r="8163">
          <cell r="B8163" t="str">
            <v>Shipment</v>
          </cell>
        </row>
        <row r="8164">
          <cell r="B8164" t="str">
            <v>Shipment</v>
          </cell>
        </row>
        <row r="8165">
          <cell r="B8165" t="str">
            <v>Shipment</v>
          </cell>
        </row>
        <row r="8166">
          <cell r="B8166" t="str">
            <v>Shipment</v>
          </cell>
        </row>
        <row r="8167">
          <cell r="B8167" t="str">
            <v>Shipment</v>
          </cell>
        </row>
        <row r="8168">
          <cell r="B8168" t="str">
            <v>Shipment</v>
          </cell>
        </row>
        <row r="8169">
          <cell r="B8169" t="str">
            <v>Shipment</v>
          </cell>
        </row>
        <row r="8170">
          <cell r="B8170" t="str">
            <v>Shipment</v>
          </cell>
        </row>
        <row r="8171">
          <cell r="B8171" t="str">
            <v>Shipment</v>
          </cell>
        </row>
        <row r="8172">
          <cell r="B8172" t="str">
            <v>Shipment</v>
          </cell>
        </row>
        <row r="8173">
          <cell r="B8173" t="str">
            <v>Shipment</v>
          </cell>
        </row>
        <row r="8174">
          <cell r="B8174" t="str">
            <v>Shipment</v>
          </cell>
        </row>
        <row r="8175">
          <cell r="B8175" t="str">
            <v>Shipment</v>
          </cell>
        </row>
        <row r="8176">
          <cell r="B8176" t="str">
            <v>Shipment</v>
          </cell>
        </row>
        <row r="8177">
          <cell r="B8177" t="str">
            <v>Shipment</v>
          </cell>
        </row>
        <row r="8178">
          <cell r="B8178" t="str">
            <v>Shipment</v>
          </cell>
        </row>
        <row r="8179">
          <cell r="B8179" t="str">
            <v>Shipment</v>
          </cell>
        </row>
        <row r="8180">
          <cell r="B8180" t="str">
            <v>Shipment</v>
          </cell>
        </row>
        <row r="8181">
          <cell r="B8181" t="str">
            <v>Shipment</v>
          </cell>
        </row>
        <row r="8182">
          <cell r="B8182" t="str">
            <v>Shipment</v>
          </cell>
        </row>
        <row r="8183">
          <cell r="B8183" t="str">
            <v>Shipment</v>
          </cell>
        </row>
        <row r="8184">
          <cell r="B8184" t="str">
            <v>Shipment</v>
          </cell>
        </row>
        <row r="8185">
          <cell r="B8185" t="str">
            <v>Shipment</v>
          </cell>
        </row>
        <row r="8186">
          <cell r="B8186" t="str">
            <v>Shipment</v>
          </cell>
        </row>
        <row r="8187">
          <cell r="B8187" t="str">
            <v>Shipment</v>
          </cell>
        </row>
        <row r="8188">
          <cell r="B8188" t="str">
            <v>Shipment</v>
          </cell>
        </row>
        <row r="8189">
          <cell r="B8189" t="str">
            <v>Shipment</v>
          </cell>
        </row>
        <row r="8190">
          <cell r="B8190" t="str">
            <v>Shipment</v>
          </cell>
        </row>
        <row r="8191">
          <cell r="B8191" t="str">
            <v>Shipment</v>
          </cell>
        </row>
        <row r="8192">
          <cell r="B8192" t="str">
            <v>Shipment</v>
          </cell>
        </row>
        <row r="8193">
          <cell r="B8193" t="str">
            <v>Shipment</v>
          </cell>
        </row>
        <row r="8194">
          <cell r="B8194" t="str">
            <v>Shipment</v>
          </cell>
        </row>
        <row r="8195">
          <cell r="B8195" t="str">
            <v>Shipment</v>
          </cell>
        </row>
        <row r="8196">
          <cell r="B8196" t="str">
            <v>Shipment</v>
          </cell>
        </row>
        <row r="8197">
          <cell r="B8197" t="str">
            <v>Shipment</v>
          </cell>
        </row>
        <row r="8198">
          <cell r="B8198" t="str">
            <v>Shipment</v>
          </cell>
        </row>
        <row r="8199">
          <cell r="B8199" t="str">
            <v>Shipment</v>
          </cell>
        </row>
        <row r="8200">
          <cell r="B8200" t="str">
            <v>Shipment</v>
          </cell>
        </row>
        <row r="8201">
          <cell r="B8201" t="str">
            <v>Shipment</v>
          </cell>
        </row>
        <row r="8202">
          <cell r="B8202" t="str">
            <v>Shipment</v>
          </cell>
        </row>
        <row r="8203">
          <cell r="B8203" t="str">
            <v>Shipment</v>
          </cell>
        </row>
        <row r="8204">
          <cell r="B8204" t="str">
            <v>Shipment</v>
          </cell>
        </row>
        <row r="8205">
          <cell r="B8205" t="str">
            <v>Shipment</v>
          </cell>
        </row>
        <row r="8206">
          <cell r="B8206" t="str">
            <v>Shipment</v>
          </cell>
        </row>
        <row r="8207">
          <cell r="B8207" t="str">
            <v>Shipment</v>
          </cell>
        </row>
        <row r="8208">
          <cell r="B8208" t="str">
            <v>Shipment</v>
          </cell>
        </row>
        <row r="8209">
          <cell r="B8209" t="str">
            <v>Shipment</v>
          </cell>
        </row>
        <row r="8210">
          <cell r="B8210" t="str">
            <v>Shipment</v>
          </cell>
        </row>
        <row r="8211">
          <cell r="B8211" t="str">
            <v>Shipment</v>
          </cell>
        </row>
        <row r="8212">
          <cell r="B8212" t="str">
            <v>Shipment</v>
          </cell>
        </row>
        <row r="8213">
          <cell r="B8213" t="str">
            <v>Shipment</v>
          </cell>
        </row>
        <row r="8214">
          <cell r="B8214" t="str">
            <v>Shipment</v>
          </cell>
        </row>
        <row r="8215">
          <cell r="B8215" t="str">
            <v>Shipment</v>
          </cell>
        </row>
        <row r="8216">
          <cell r="B8216" t="str">
            <v>Shipment</v>
          </cell>
        </row>
        <row r="8217">
          <cell r="B8217" t="str">
            <v>Shipment</v>
          </cell>
        </row>
        <row r="8218">
          <cell r="B8218" t="str">
            <v>Shipment</v>
          </cell>
        </row>
        <row r="8219">
          <cell r="B8219" t="str">
            <v>Shipment</v>
          </cell>
        </row>
        <row r="8220">
          <cell r="B8220" t="str">
            <v>Shipment</v>
          </cell>
        </row>
        <row r="8221">
          <cell r="B8221" t="str">
            <v>Shipment</v>
          </cell>
        </row>
        <row r="8222">
          <cell r="B8222" t="str">
            <v>Shipment</v>
          </cell>
        </row>
        <row r="8223">
          <cell r="B8223" t="str">
            <v>Shipment</v>
          </cell>
        </row>
        <row r="8224">
          <cell r="B8224" t="str">
            <v>Shipment</v>
          </cell>
        </row>
        <row r="8225">
          <cell r="B8225" t="str">
            <v>Shipment</v>
          </cell>
        </row>
        <row r="8226">
          <cell r="B8226" t="str">
            <v>Shipment</v>
          </cell>
        </row>
        <row r="8227">
          <cell r="B8227" t="str">
            <v>Shipment</v>
          </cell>
        </row>
        <row r="8228">
          <cell r="B8228" t="str">
            <v>Shipment</v>
          </cell>
        </row>
        <row r="8229">
          <cell r="B8229" t="str">
            <v>Shipment</v>
          </cell>
        </row>
        <row r="8230">
          <cell r="B8230" t="str">
            <v>Shipment</v>
          </cell>
        </row>
        <row r="8231">
          <cell r="B8231" t="str">
            <v>Shipment</v>
          </cell>
        </row>
        <row r="8232">
          <cell r="B8232" t="str">
            <v>Shipment</v>
          </cell>
        </row>
        <row r="8233">
          <cell r="B8233" t="str">
            <v>Shipment</v>
          </cell>
        </row>
        <row r="8234">
          <cell r="B8234" t="str">
            <v>Shipment</v>
          </cell>
        </row>
        <row r="8235">
          <cell r="B8235" t="str">
            <v>Shipment</v>
          </cell>
        </row>
        <row r="8236">
          <cell r="B8236" t="str">
            <v>Shipment</v>
          </cell>
        </row>
        <row r="8237">
          <cell r="B8237" t="str">
            <v>Shipment</v>
          </cell>
        </row>
        <row r="8238">
          <cell r="B8238" t="str">
            <v>Shipment</v>
          </cell>
        </row>
        <row r="8239">
          <cell r="B8239" t="str">
            <v>Shipment</v>
          </cell>
        </row>
        <row r="8240">
          <cell r="B8240" t="str">
            <v>Shipment</v>
          </cell>
        </row>
        <row r="8241">
          <cell r="B8241" t="str">
            <v>Shipment</v>
          </cell>
        </row>
        <row r="8242">
          <cell r="B8242" t="str">
            <v>Shipment</v>
          </cell>
        </row>
        <row r="8243">
          <cell r="B8243" t="str">
            <v>Shipment</v>
          </cell>
        </row>
        <row r="8244">
          <cell r="B8244" t="str">
            <v>Shipment</v>
          </cell>
        </row>
        <row r="8245">
          <cell r="B8245" t="str">
            <v>Shipment</v>
          </cell>
        </row>
        <row r="8246">
          <cell r="B8246" t="str">
            <v>Shipment</v>
          </cell>
        </row>
        <row r="8247">
          <cell r="B8247" t="str">
            <v>Shipment</v>
          </cell>
        </row>
        <row r="8248">
          <cell r="B8248" t="str">
            <v>Shipment</v>
          </cell>
        </row>
        <row r="8249">
          <cell r="B8249" t="str">
            <v>Shipment</v>
          </cell>
        </row>
        <row r="8250">
          <cell r="B8250" t="str">
            <v>Shipment</v>
          </cell>
        </row>
        <row r="8251">
          <cell r="B8251" t="str">
            <v>Shipment</v>
          </cell>
        </row>
        <row r="8252">
          <cell r="B8252" t="str">
            <v>Shipment</v>
          </cell>
        </row>
        <row r="8253">
          <cell r="B8253" t="str">
            <v>Shipment</v>
          </cell>
        </row>
        <row r="8254">
          <cell r="B8254" t="str">
            <v>Shipment</v>
          </cell>
        </row>
        <row r="8255">
          <cell r="B8255" t="str">
            <v>Shipment</v>
          </cell>
        </row>
        <row r="8256">
          <cell r="B8256" t="str">
            <v>Shipment</v>
          </cell>
        </row>
        <row r="8257">
          <cell r="B8257" t="str">
            <v>Shipment</v>
          </cell>
        </row>
        <row r="8258">
          <cell r="B8258" t="str">
            <v>Shipment</v>
          </cell>
        </row>
        <row r="8259">
          <cell r="B8259" t="str">
            <v>Shipment</v>
          </cell>
        </row>
        <row r="8260">
          <cell r="B8260" t="str">
            <v>Shipment</v>
          </cell>
        </row>
        <row r="8261">
          <cell r="B8261" t="str">
            <v>Shipment</v>
          </cell>
        </row>
        <row r="8262">
          <cell r="B8262" t="str">
            <v>Shipment</v>
          </cell>
        </row>
        <row r="8263">
          <cell r="B8263" t="str">
            <v>Shipment</v>
          </cell>
        </row>
        <row r="8264">
          <cell r="B8264" t="str">
            <v>Shipment</v>
          </cell>
        </row>
        <row r="8265">
          <cell r="B8265" t="str">
            <v>Shipment</v>
          </cell>
        </row>
        <row r="8266">
          <cell r="B8266" t="str">
            <v>Shipment</v>
          </cell>
        </row>
        <row r="8267">
          <cell r="B8267" t="str">
            <v>Shipment</v>
          </cell>
        </row>
        <row r="8268">
          <cell r="B8268" t="str">
            <v>Shipment</v>
          </cell>
        </row>
        <row r="8269">
          <cell r="B8269" t="str">
            <v>Shipment</v>
          </cell>
        </row>
        <row r="8270">
          <cell r="B8270" t="str">
            <v>Shipment</v>
          </cell>
        </row>
        <row r="8271">
          <cell r="B8271" t="str">
            <v>Shipment</v>
          </cell>
        </row>
        <row r="8272">
          <cell r="B8272" t="str">
            <v>Shipment</v>
          </cell>
        </row>
        <row r="8273">
          <cell r="B8273" t="str">
            <v>Shipment</v>
          </cell>
        </row>
        <row r="8274">
          <cell r="B8274" t="str">
            <v>Shipment</v>
          </cell>
        </row>
        <row r="8275">
          <cell r="B8275" t="str">
            <v>Shipment</v>
          </cell>
        </row>
        <row r="8276">
          <cell r="B8276" t="str">
            <v>Shipment</v>
          </cell>
        </row>
        <row r="8277">
          <cell r="B8277" t="str">
            <v>Shipment</v>
          </cell>
        </row>
        <row r="8278">
          <cell r="B8278" t="str">
            <v>Shipment</v>
          </cell>
        </row>
        <row r="8279">
          <cell r="B8279" t="str">
            <v>Shipment</v>
          </cell>
        </row>
        <row r="8280">
          <cell r="B8280" t="str">
            <v>Shipment</v>
          </cell>
        </row>
        <row r="8281">
          <cell r="B8281" t="str">
            <v>Shipment</v>
          </cell>
        </row>
        <row r="8282">
          <cell r="B8282" t="str">
            <v>Shipment</v>
          </cell>
        </row>
        <row r="8283">
          <cell r="B8283" t="str">
            <v>Shipment</v>
          </cell>
        </row>
        <row r="8284">
          <cell r="B8284" t="str">
            <v>Shipment</v>
          </cell>
        </row>
        <row r="8285">
          <cell r="B8285" t="str">
            <v>Shipment</v>
          </cell>
        </row>
        <row r="8286">
          <cell r="B8286" t="str">
            <v>Shipment</v>
          </cell>
        </row>
        <row r="8287">
          <cell r="B8287" t="str">
            <v>Shipment</v>
          </cell>
        </row>
        <row r="8288">
          <cell r="B8288" t="str">
            <v>Shipment</v>
          </cell>
        </row>
        <row r="8289">
          <cell r="B8289" t="str">
            <v>Shipment</v>
          </cell>
        </row>
        <row r="8290">
          <cell r="B8290" t="str">
            <v>Shipment</v>
          </cell>
        </row>
        <row r="8291">
          <cell r="B8291" t="str">
            <v>Shipment</v>
          </cell>
        </row>
        <row r="8292">
          <cell r="B8292" t="str">
            <v>Shipment</v>
          </cell>
        </row>
        <row r="8293">
          <cell r="B8293" t="str">
            <v>Shipment</v>
          </cell>
        </row>
        <row r="8294">
          <cell r="B8294" t="str">
            <v>Shipment</v>
          </cell>
        </row>
        <row r="8295">
          <cell r="B8295" t="str">
            <v>Shipment</v>
          </cell>
        </row>
        <row r="8296">
          <cell r="B8296" t="str">
            <v>Shipment</v>
          </cell>
        </row>
        <row r="8297">
          <cell r="B8297" t="str">
            <v>Shipment</v>
          </cell>
        </row>
        <row r="8298">
          <cell r="B8298" t="str">
            <v>Shipment</v>
          </cell>
        </row>
        <row r="8299">
          <cell r="B8299" t="str">
            <v>Shipment</v>
          </cell>
        </row>
        <row r="8300">
          <cell r="B8300" t="str">
            <v>Shipment</v>
          </cell>
        </row>
        <row r="8301">
          <cell r="B8301" t="str">
            <v>Shipment</v>
          </cell>
        </row>
        <row r="8302">
          <cell r="B8302" t="str">
            <v>Shipment</v>
          </cell>
        </row>
        <row r="8303">
          <cell r="B8303" t="str">
            <v>Shipment</v>
          </cell>
        </row>
        <row r="8304">
          <cell r="B8304" t="str">
            <v>Shipment</v>
          </cell>
        </row>
        <row r="8305">
          <cell r="B8305" t="str">
            <v>Shipment</v>
          </cell>
        </row>
        <row r="8306">
          <cell r="B8306" t="str">
            <v>Shipment</v>
          </cell>
        </row>
        <row r="8307">
          <cell r="B8307" t="str">
            <v>Shipment</v>
          </cell>
        </row>
        <row r="8308">
          <cell r="B8308" t="str">
            <v>Shipment</v>
          </cell>
        </row>
        <row r="8309">
          <cell r="B8309" t="str">
            <v>Shipment</v>
          </cell>
        </row>
        <row r="8310">
          <cell r="B8310" t="str">
            <v>Shipment</v>
          </cell>
        </row>
        <row r="8311">
          <cell r="B8311" t="str">
            <v>Shipment</v>
          </cell>
        </row>
        <row r="8312">
          <cell r="B8312" t="str">
            <v>Shipment</v>
          </cell>
        </row>
        <row r="8313">
          <cell r="B8313" t="str">
            <v>Shipment</v>
          </cell>
        </row>
        <row r="8314">
          <cell r="B8314" t="str">
            <v>Shipment</v>
          </cell>
        </row>
        <row r="8315">
          <cell r="B8315" t="str">
            <v>Shipment</v>
          </cell>
        </row>
        <row r="8316">
          <cell r="B8316" t="str">
            <v>Shipment</v>
          </cell>
        </row>
        <row r="8317">
          <cell r="B8317" t="str">
            <v>Shipment</v>
          </cell>
        </row>
        <row r="8318">
          <cell r="B8318" t="str">
            <v>Shipment</v>
          </cell>
        </row>
        <row r="8319">
          <cell r="B8319" t="str">
            <v>Shipment</v>
          </cell>
        </row>
        <row r="8320">
          <cell r="B8320" t="str">
            <v>Shipment</v>
          </cell>
        </row>
        <row r="8321">
          <cell r="B8321" t="str">
            <v>Shipment</v>
          </cell>
        </row>
        <row r="8322">
          <cell r="B8322" t="str">
            <v>Shipment</v>
          </cell>
        </row>
        <row r="8323">
          <cell r="B8323" t="str">
            <v>Shipment</v>
          </cell>
        </row>
        <row r="8324">
          <cell r="B8324" t="str">
            <v>Shipment</v>
          </cell>
        </row>
        <row r="8325">
          <cell r="B8325" t="str">
            <v>Shipment</v>
          </cell>
        </row>
        <row r="8326">
          <cell r="B8326" t="str">
            <v>Shipment</v>
          </cell>
        </row>
        <row r="8327">
          <cell r="B8327" t="str">
            <v>Shipment</v>
          </cell>
        </row>
        <row r="8328">
          <cell r="B8328" t="str">
            <v>Shipment</v>
          </cell>
        </row>
        <row r="8329">
          <cell r="B8329" t="str">
            <v>Shipment</v>
          </cell>
        </row>
        <row r="8330">
          <cell r="B8330" t="str">
            <v>Shipment</v>
          </cell>
        </row>
        <row r="8331">
          <cell r="B8331" t="str">
            <v>Shipment</v>
          </cell>
        </row>
        <row r="8332">
          <cell r="B8332" t="str">
            <v>Shipment</v>
          </cell>
        </row>
        <row r="8333">
          <cell r="B8333" t="str">
            <v>Shipment</v>
          </cell>
        </row>
        <row r="8334">
          <cell r="B8334" t="str">
            <v>Shipment</v>
          </cell>
        </row>
        <row r="8335">
          <cell r="B8335" t="str">
            <v>Shipment</v>
          </cell>
        </row>
        <row r="8336">
          <cell r="B8336" t="str">
            <v>Shipment</v>
          </cell>
        </row>
        <row r="8337">
          <cell r="B8337" t="str">
            <v>Shipment</v>
          </cell>
        </row>
        <row r="8338">
          <cell r="B8338" t="str">
            <v>Shipment</v>
          </cell>
        </row>
        <row r="8339">
          <cell r="B8339" t="str">
            <v>Shipment</v>
          </cell>
        </row>
        <row r="8340">
          <cell r="B8340" t="str">
            <v>Shipment</v>
          </cell>
        </row>
        <row r="8341">
          <cell r="B8341" t="str">
            <v>Shipment</v>
          </cell>
        </row>
        <row r="8342">
          <cell r="B8342" t="str">
            <v>Shipment</v>
          </cell>
        </row>
        <row r="8343">
          <cell r="B8343" t="str">
            <v>Shipment</v>
          </cell>
        </row>
        <row r="8344">
          <cell r="B8344" t="str">
            <v>Shipment</v>
          </cell>
        </row>
        <row r="8345">
          <cell r="B8345" t="str">
            <v>Shipment</v>
          </cell>
        </row>
        <row r="8346">
          <cell r="B8346" t="str">
            <v>Shipment</v>
          </cell>
        </row>
        <row r="8347">
          <cell r="B8347" t="str">
            <v>Shipment</v>
          </cell>
        </row>
        <row r="8348">
          <cell r="B8348" t="str">
            <v>Shipment</v>
          </cell>
        </row>
        <row r="8349">
          <cell r="B8349" t="str">
            <v>Shipment</v>
          </cell>
        </row>
        <row r="8350">
          <cell r="B8350" t="str">
            <v>Shipment</v>
          </cell>
        </row>
        <row r="8351">
          <cell r="B8351" t="str">
            <v>Shipment</v>
          </cell>
        </row>
        <row r="8352">
          <cell r="B8352" t="str">
            <v>Shipment</v>
          </cell>
        </row>
        <row r="8353">
          <cell r="B8353" t="str">
            <v>Shipment</v>
          </cell>
        </row>
        <row r="8354">
          <cell r="B8354" t="str">
            <v>Shipment</v>
          </cell>
        </row>
        <row r="8355">
          <cell r="B8355" t="str">
            <v>Shipment</v>
          </cell>
        </row>
        <row r="8356">
          <cell r="B8356" t="str">
            <v>Shipment</v>
          </cell>
        </row>
        <row r="8357">
          <cell r="B8357" t="str">
            <v>Shipment</v>
          </cell>
        </row>
        <row r="8358">
          <cell r="B8358" t="str">
            <v>Shipment</v>
          </cell>
        </row>
        <row r="8359">
          <cell r="B8359" t="str">
            <v>Shipment</v>
          </cell>
        </row>
        <row r="8360">
          <cell r="B8360" t="str">
            <v>Shipment</v>
          </cell>
        </row>
        <row r="8361">
          <cell r="B8361" t="str">
            <v>Shipment</v>
          </cell>
        </row>
        <row r="8362">
          <cell r="B8362" t="str">
            <v>Shipment</v>
          </cell>
        </row>
        <row r="8363">
          <cell r="B8363" t="str">
            <v>Shipment</v>
          </cell>
        </row>
        <row r="8364">
          <cell r="B8364" t="str">
            <v>Shipment</v>
          </cell>
        </row>
        <row r="8365">
          <cell r="B8365" t="str">
            <v>Shipment</v>
          </cell>
        </row>
        <row r="8366">
          <cell r="B8366" t="str">
            <v>Shipment</v>
          </cell>
        </row>
        <row r="8367">
          <cell r="B8367" t="str">
            <v>Shipment</v>
          </cell>
        </row>
        <row r="8368">
          <cell r="B8368" t="str">
            <v>Shipment</v>
          </cell>
        </row>
        <row r="8369">
          <cell r="B8369" t="str">
            <v>Shipment</v>
          </cell>
        </row>
        <row r="8370">
          <cell r="B8370" t="str">
            <v>Shipment</v>
          </cell>
        </row>
        <row r="8371">
          <cell r="B8371" t="str">
            <v>Shipment</v>
          </cell>
        </row>
        <row r="8372">
          <cell r="B8372" t="str">
            <v>Shipment</v>
          </cell>
        </row>
        <row r="8373">
          <cell r="B8373" t="str">
            <v>Shipment</v>
          </cell>
        </row>
        <row r="8374">
          <cell r="B8374" t="str">
            <v>Shipment</v>
          </cell>
        </row>
        <row r="8375">
          <cell r="B8375" t="str">
            <v>Shipment</v>
          </cell>
        </row>
        <row r="8376">
          <cell r="B8376" t="str">
            <v>Shipment</v>
          </cell>
        </row>
        <row r="8377">
          <cell r="B8377" t="str">
            <v>Shipment</v>
          </cell>
        </row>
        <row r="8378">
          <cell r="B8378" t="str">
            <v>Shipment</v>
          </cell>
        </row>
        <row r="8379">
          <cell r="B8379" t="str">
            <v>Shipment</v>
          </cell>
        </row>
        <row r="8380">
          <cell r="B8380" t="str">
            <v>Shipment</v>
          </cell>
        </row>
        <row r="8381">
          <cell r="B8381" t="str">
            <v>Shipment</v>
          </cell>
        </row>
        <row r="8382">
          <cell r="B8382" t="str">
            <v>Shipment</v>
          </cell>
        </row>
        <row r="8383">
          <cell r="B8383" t="str">
            <v>Shipment</v>
          </cell>
        </row>
        <row r="8384">
          <cell r="B8384" t="str">
            <v>Shipment</v>
          </cell>
        </row>
        <row r="8385">
          <cell r="B8385" t="str">
            <v>Shipment</v>
          </cell>
        </row>
        <row r="8386">
          <cell r="B8386" t="str">
            <v>Shipment</v>
          </cell>
        </row>
        <row r="8387">
          <cell r="B8387" t="str">
            <v>Shipment</v>
          </cell>
        </row>
        <row r="8388">
          <cell r="B8388" t="str">
            <v>Shipment</v>
          </cell>
        </row>
        <row r="8389">
          <cell r="B8389" t="str">
            <v>Shipment</v>
          </cell>
        </row>
        <row r="8390">
          <cell r="B8390" t="str">
            <v>Shipment</v>
          </cell>
        </row>
        <row r="8391">
          <cell r="B8391" t="str">
            <v>Shipment</v>
          </cell>
        </row>
        <row r="8392">
          <cell r="B8392" t="str">
            <v>Shipment</v>
          </cell>
        </row>
        <row r="8393">
          <cell r="B8393" t="str">
            <v>Shipment</v>
          </cell>
        </row>
        <row r="8394">
          <cell r="B8394" t="str">
            <v>Shipment</v>
          </cell>
        </row>
        <row r="8395">
          <cell r="B8395" t="str">
            <v>Shipment</v>
          </cell>
        </row>
        <row r="8396">
          <cell r="B8396" t="str">
            <v>Shipment</v>
          </cell>
        </row>
        <row r="8397">
          <cell r="B8397" t="str">
            <v>Shipment</v>
          </cell>
        </row>
        <row r="8398">
          <cell r="B8398" t="str">
            <v>Shipment</v>
          </cell>
        </row>
        <row r="8399">
          <cell r="B8399" t="str">
            <v>Shipment</v>
          </cell>
        </row>
        <row r="8400">
          <cell r="B8400" t="str">
            <v>Shipment</v>
          </cell>
        </row>
        <row r="8401">
          <cell r="B8401" t="str">
            <v>Shipment</v>
          </cell>
        </row>
        <row r="8402">
          <cell r="B8402" t="str">
            <v>Shipment</v>
          </cell>
        </row>
        <row r="8403">
          <cell r="B8403" t="str">
            <v>Shipment</v>
          </cell>
        </row>
        <row r="8404">
          <cell r="B8404" t="str">
            <v>Shipment</v>
          </cell>
        </row>
        <row r="8405">
          <cell r="B8405" t="str">
            <v>Shipment</v>
          </cell>
        </row>
        <row r="8406">
          <cell r="B8406" t="str">
            <v>Shipment</v>
          </cell>
        </row>
        <row r="8407">
          <cell r="B8407" t="str">
            <v>Shipment</v>
          </cell>
        </row>
        <row r="8408">
          <cell r="B8408" t="str">
            <v>Shipment</v>
          </cell>
        </row>
        <row r="8409">
          <cell r="B8409" t="str">
            <v>Shipment</v>
          </cell>
        </row>
        <row r="8410">
          <cell r="B8410" t="str">
            <v>Shipment</v>
          </cell>
        </row>
        <row r="8411">
          <cell r="B8411" t="str">
            <v>Shipment</v>
          </cell>
        </row>
        <row r="8412">
          <cell r="B8412" t="str">
            <v>Shipment</v>
          </cell>
        </row>
        <row r="8413">
          <cell r="B8413" t="str">
            <v>Shipment</v>
          </cell>
        </row>
        <row r="8414">
          <cell r="B8414" t="str">
            <v>Shipment</v>
          </cell>
        </row>
        <row r="8415">
          <cell r="B8415" t="str">
            <v>Shipment</v>
          </cell>
        </row>
        <row r="8416">
          <cell r="B8416" t="str">
            <v>Shipment</v>
          </cell>
        </row>
        <row r="8417">
          <cell r="B8417" t="str">
            <v>Shipment</v>
          </cell>
        </row>
        <row r="8418">
          <cell r="B8418" t="str">
            <v>Shipment</v>
          </cell>
        </row>
        <row r="8419">
          <cell r="B8419" t="str">
            <v>Shipment</v>
          </cell>
        </row>
        <row r="8420">
          <cell r="B8420" t="str">
            <v>Shipment</v>
          </cell>
        </row>
        <row r="8421">
          <cell r="B8421" t="str">
            <v>Shipment</v>
          </cell>
        </row>
        <row r="8422">
          <cell r="B8422" t="str">
            <v>Shipment</v>
          </cell>
        </row>
        <row r="8423">
          <cell r="B8423" t="str">
            <v>Shipment</v>
          </cell>
        </row>
        <row r="8424">
          <cell r="B8424" t="str">
            <v>Shipment</v>
          </cell>
        </row>
        <row r="8425">
          <cell r="B8425" t="str">
            <v>Shipment</v>
          </cell>
        </row>
        <row r="8426">
          <cell r="B8426" t="str">
            <v>Shipment</v>
          </cell>
        </row>
        <row r="8427">
          <cell r="B8427" t="str">
            <v>Shipment</v>
          </cell>
        </row>
        <row r="8428">
          <cell r="B8428" t="str">
            <v>Shipment</v>
          </cell>
        </row>
        <row r="8429">
          <cell r="B8429" t="str">
            <v>Shipment</v>
          </cell>
        </row>
        <row r="8430">
          <cell r="B8430" t="str">
            <v>Shipment</v>
          </cell>
        </row>
        <row r="8431">
          <cell r="B8431" t="str">
            <v>Shipment</v>
          </cell>
        </row>
        <row r="8432">
          <cell r="B8432" t="str">
            <v>Shipment</v>
          </cell>
        </row>
        <row r="8433">
          <cell r="B8433" t="str">
            <v>Shipment</v>
          </cell>
        </row>
        <row r="8434">
          <cell r="B8434" t="str">
            <v>Shipment</v>
          </cell>
        </row>
        <row r="8435">
          <cell r="B8435" t="str">
            <v>Shipment</v>
          </cell>
        </row>
        <row r="8436">
          <cell r="B8436" t="str">
            <v>Shipment</v>
          </cell>
        </row>
        <row r="8437">
          <cell r="B8437" t="str">
            <v>Shipment</v>
          </cell>
        </row>
        <row r="8438">
          <cell r="B8438" t="str">
            <v>Shipment</v>
          </cell>
        </row>
        <row r="8439">
          <cell r="B8439" t="str">
            <v>Shipment</v>
          </cell>
        </row>
        <row r="8440">
          <cell r="B8440" t="str">
            <v>Shipment</v>
          </cell>
        </row>
        <row r="8441">
          <cell r="B8441" t="str">
            <v>Shipment</v>
          </cell>
        </row>
        <row r="8442">
          <cell r="B8442" t="str">
            <v>Shipment</v>
          </cell>
        </row>
        <row r="8443">
          <cell r="B8443" t="str">
            <v>Shipment</v>
          </cell>
        </row>
        <row r="8444">
          <cell r="B8444" t="str">
            <v>Shipment</v>
          </cell>
        </row>
        <row r="8445">
          <cell r="B8445" t="str">
            <v>Shipment</v>
          </cell>
        </row>
        <row r="8446">
          <cell r="B8446" t="str">
            <v>Shipment</v>
          </cell>
        </row>
        <row r="8447">
          <cell r="B8447" t="str">
            <v>Shipment</v>
          </cell>
        </row>
        <row r="8448">
          <cell r="B8448" t="str">
            <v>Shipment</v>
          </cell>
        </row>
        <row r="8449">
          <cell r="B8449" t="str">
            <v>Shipment</v>
          </cell>
        </row>
        <row r="8450">
          <cell r="B8450" t="str">
            <v>Shipment</v>
          </cell>
        </row>
        <row r="8451">
          <cell r="B8451" t="str">
            <v>Shipment</v>
          </cell>
        </row>
        <row r="8452">
          <cell r="B8452" t="str">
            <v>Shipment</v>
          </cell>
        </row>
        <row r="8453">
          <cell r="B8453" t="str">
            <v>Shipment</v>
          </cell>
        </row>
        <row r="8454">
          <cell r="B8454" t="str">
            <v>Shipment</v>
          </cell>
        </row>
        <row r="8455">
          <cell r="B8455" t="str">
            <v>Shipment</v>
          </cell>
        </row>
        <row r="8456">
          <cell r="B8456" t="str">
            <v>Shipment</v>
          </cell>
        </row>
        <row r="8457">
          <cell r="B8457" t="str">
            <v>Shipment</v>
          </cell>
        </row>
        <row r="8458">
          <cell r="B8458" t="str">
            <v>Shipment</v>
          </cell>
        </row>
        <row r="8459">
          <cell r="B8459" t="str">
            <v>Shipment</v>
          </cell>
        </row>
        <row r="8460">
          <cell r="B8460" t="str">
            <v>Shipment</v>
          </cell>
        </row>
        <row r="8461">
          <cell r="B8461" t="str">
            <v>Shipment</v>
          </cell>
        </row>
        <row r="8462">
          <cell r="B8462" t="str">
            <v>Shipment</v>
          </cell>
        </row>
        <row r="8463">
          <cell r="B8463" t="str">
            <v>Shipment</v>
          </cell>
        </row>
        <row r="8464">
          <cell r="B8464" t="str">
            <v>Shipment</v>
          </cell>
        </row>
        <row r="8465">
          <cell r="B8465" t="str">
            <v>Shipment</v>
          </cell>
        </row>
        <row r="8466">
          <cell r="B8466" t="str">
            <v>Shipment</v>
          </cell>
        </row>
        <row r="8467">
          <cell r="B8467" t="str">
            <v>Shipment</v>
          </cell>
        </row>
        <row r="8468">
          <cell r="B8468" t="str">
            <v>Shipment</v>
          </cell>
        </row>
        <row r="8469">
          <cell r="B8469" t="str">
            <v>Shipment</v>
          </cell>
        </row>
        <row r="8470">
          <cell r="B8470" t="str">
            <v>Shipment</v>
          </cell>
        </row>
        <row r="8471">
          <cell r="B8471" t="str">
            <v>Shipment</v>
          </cell>
        </row>
        <row r="8472">
          <cell r="B8472" t="str">
            <v>Shipment</v>
          </cell>
        </row>
        <row r="8473">
          <cell r="B8473" t="str">
            <v>Shipment</v>
          </cell>
        </row>
        <row r="8474">
          <cell r="B8474" t="str">
            <v>Shipment</v>
          </cell>
        </row>
        <row r="8475">
          <cell r="B8475" t="str">
            <v>Shipment</v>
          </cell>
        </row>
        <row r="8476">
          <cell r="B8476" t="str">
            <v>Shipment</v>
          </cell>
        </row>
        <row r="8477">
          <cell r="B8477" t="str">
            <v>Shipment</v>
          </cell>
        </row>
        <row r="8478">
          <cell r="B8478" t="str">
            <v>Shipment</v>
          </cell>
        </row>
        <row r="8479">
          <cell r="B8479" t="str">
            <v>Shipment</v>
          </cell>
        </row>
        <row r="8480">
          <cell r="B8480" t="str">
            <v>Shipment</v>
          </cell>
        </row>
        <row r="8481">
          <cell r="B8481" t="str">
            <v>Shipment</v>
          </cell>
        </row>
        <row r="8482">
          <cell r="B8482" t="str">
            <v>Shipment</v>
          </cell>
        </row>
        <row r="8483">
          <cell r="B8483" t="str">
            <v>Shipment</v>
          </cell>
        </row>
        <row r="8484">
          <cell r="B8484" t="str">
            <v>Shipment</v>
          </cell>
        </row>
        <row r="8485">
          <cell r="B8485" t="str">
            <v>Shipment</v>
          </cell>
        </row>
        <row r="8486">
          <cell r="B8486" t="str">
            <v>Shipment</v>
          </cell>
        </row>
        <row r="8487">
          <cell r="B8487" t="str">
            <v>Shipment</v>
          </cell>
        </row>
        <row r="8488">
          <cell r="B8488" t="str">
            <v>Shipment</v>
          </cell>
        </row>
        <row r="8489">
          <cell r="B8489" t="str">
            <v>Shipment</v>
          </cell>
        </row>
        <row r="8490">
          <cell r="B8490" t="str">
            <v>Shipment</v>
          </cell>
        </row>
        <row r="8491">
          <cell r="B8491" t="str">
            <v>Shipment</v>
          </cell>
        </row>
        <row r="8492">
          <cell r="B8492" t="str">
            <v>Shipment</v>
          </cell>
        </row>
        <row r="8493">
          <cell r="B8493" t="str">
            <v>Shipment</v>
          </cell>
        </row>
        <row r="8494">
          <cell r="B8494" t="str">
            <v>Shipment</v>
          </cell>
        </row>
        <row r="8495">
          <cell r="B8495" t="str">
            <v>Shipment</v>
          </cell>
        </row>
        <row r="8496">
          <cell r="B8496" t="str">
            <v>Shipment</v>
          </cell>
        </row>
        <row r="8497">
          <cell r="B8497" t="str">
            <v>Shipment</v>
          </cell>
        </row>
        <row r="8498">
          <cell r="B8498" t="str">
            <v>Shipment</v>
          </cell>
        </row>
        <row r="8499">
          <cell r="B8499" t="str">
            <v>Shipment</v>
          </cell>
        </row>
        <row r="8500">
          <cell r="B8500" t="str">
            <v>Shipment</v>
          </cell>
        </row>
        <row r="8501">
          <cell r="B8501" t="str">
            <v>Shipment</v>
          </cell>
        </row>
        <row r="8502">
          <cell r="B8502" t="str">
            <v>Shipment</v>
          </cell>
        </row>
        <row r="8503">
          <cell r="B8503" t="str">
            <v>Shipment</v>
          </cell>
        </row>
        <row r="8504">
          <cell r="B8504" t="str">
            <v>Shipment</v>
          </cell>
        </row>
        <row r="8505">
          <cell r="B8505" t="str">
            <v>Shipment</v>
          </cell>
        </row>
        <row r="8506">
          <cell r="B8506" t="str">
            <v>Shipment</v>
          </cell>
        </row>
        <row r="8507">
          <cell r="B8507" t="str">
            <v>Shipment</v>
          </cell>
        </row>
        <row r="8508">
          <cell r="B8508" t="str">
            <v>Shipment</v>
          </cell>
        </row>
        <row r="8509">
          <cell r="B8509" t="str">
            <v>Shipment</v>
          </cell>
        </row>
        <row r="8510">
          <cell r="B8510" t="str">
            <v>Shipment</v>
          </cell>
        </row>
        <row r="8511">
          <cell r="B8511" t="str">
            <v>Shipment</v>
          </cell>
        </row>
        <row r="8512">
          <cell r="B8512" t="str">
            <v>Shipment</v>
          </cell>
        </row>
        <row r="8513">
          <cell r="B8513" t="str">
            <v>Shipment</v>
          </cell>
        </row>
        <row r="8514">
          <cell r="B8514" t="str">
            <v>Shipment</v>
          </cell>
        </row>
        <row r="8515">
          <cell r="B8515" t="str">
            <v>Shipment</v>
          </cell>
        </row>
        <row r="8516">
          <cell r="B8516" t="str">
            <v>Shipment</v>
          </cell>
        </row>
        <row r="8517">
          <cell r="B8517" t="str">
            <v>Shipment</v>
          </cell>
        </row>
        <row r="8518">
          <cell r="B8518" t="str">
            <v>Shipment</v>
          </cell>
        </row>
        <row r="8519">
          <cell r="B8519" t="str">
            <v>Shipment</v>
          </cell>
        </row>
        <row r="8520">
          <cell r="B8520" t="str">
            <v>Shipment</v>
          </cell>
        </row>
        <row r="8521">
          <cell r="B8521" t="str">
            <v>Shipment</v>
          </cell>
        </row>
        <row r="8522">
          <cell r="B8522" t="str">
            <v>Shipment</v>
          </cell>
        </row>
        <row r="8523">
          <cell r="B8523" t="str">
            <v>Shipment</v>
          </cell>
        </row>
        <row r="8524">
          <cell r="B8524" t="str">
            <v>Shipment</v>
          </cell>
        </row>
        <row r="8525">
          <cell r="B8525" t="str">
            <v>Shipment</v>
          </cell>
        </row>
        <row r="8526">
          <cell r="B8526" t="str">
            <v>Shipment</v>
          </cell>
        </row>
        <row r="8527">
          <cell r="B8527" t="str">
            <v>Shipment</v>
          </cell>
        </row>
        <row r="8528">
          <cell r="B8528" t="str">
            <v>Shipment</v>
          </cell>
        </row>
        <row r="8529">
          <cell r="B8529" t="str">
            <v>Shipment</v>
          </cell>
        </row>
        <row r="8530">
          <cell r="B8530" t="str">
            <v>Shipment</v>
          </cell>
        </row>
        <row r="8531">
          <cell r="B8531" t="str">
            <v>Shipment</v>
          </cell>
        </row>
        <row r="8532">
          <cell r="B8532" t="str">
            <v>Shipment</v>
          </cell>
        </row>
        <row r="8533">
          <cell r="B8533" t="str">
            <v>Shipment</v>
          </cell>
        </row>
        <row r="8534">
          <cell r="B8534" t="str">
            <v>Shipment</v>
          </cell>
        </row>
        <row r="8535">
          <cell r="B8535" t="str">
            <v>Shipment</v>
          </cell>
        </row>
        <row r="8536">
          <cell r="B8536" t="str">
            <v>Shipment</v>
          </cell>
        </row>
        <row r="8537">
          <cell r="B8537" t="str">
            <v>Shipment</v>
          </cell>
        </row>
        <row r="8538">
          <cell r="B8538" t="str">
            <v>Shipment</v>
          </cell>
        </row>
        <row r="8539">
          <cell r="B8539" t="str">
            <v>Shipment</v>
          </cell>
        </row>
        <row r="8540">
          <cell r="B8540" t="str">
            <v>Shipment</v>
          </cell>
        </row>
        <row r="8541">
          <cell r="B8541" t="str">
            <v>Shipment</v>
          </cell>
        </row>
        <row r="8542">
          <cell r="B8542" t="str">
            <v>Shipment</v>
          </cell>
        </row>
        <row r="8543">
          <cell r="B8543" t="str">
            <v>Shipment</v>
          </cell>
        </row>
        <row r="8544">
          <cell r="B8544" t="str">
            <v>Shipment</v>
          </cell>
        </row>
        <row r="8545">
          <cell r="B8545" t="str">
            <v>Shipment</v>
          </cell>
        </row>
        <row r="8546">
          <cell r="B8546" t="str">
            <v>Shipment</v>
          </cell>
        </row>
        <row r="8547">
          <cell r="B8547" t="str">
            <v>Shipment</v>
          </cell>
        </row>
        <row r="8548">
          <cell r="B8548" t="str">
            <v>Shipment</v>
          </cell>
        </row>
        <row r="8549">
          <cell r="B8549" t="str">
            <v>Shipment</v>
          </cell>
        </row>
        <row r="8550">
          <cell r="B8550" t="str">
            <v>Shipment</v>
          </cell>
        </row>
        <row r="8551">
          <cell r="B8551" t="str">
            <v>Shipment</v>
          </cell>
        </row>
        <row r="8552">
          <cell r="B8552" t="str">
            <v>Shipment</v>
          </cell>
        </row>
        <row r="8553">
          <cell r="B8553" t="str">
            <v>Shipment</v>
          </cell>
        </row>
        <row r="8554">
          <cell r="B8554" t="str">
            <v>Shipment</v>
          </cell>
        </row>
        <row r="8555">
          <cell r="B8555" t="str">
            <v>Shipment</v>
          </cell>
        </row>
        <row r="8556">
          <cell r="B8556" t="str">
            <v>Shipment</v>
          </cell>
        </row>
        <row r="8557">
          <cell r="B8557" t="str">
            <v>Shipment</v>
          </cell>
        </row>
        <row r="8558">
          <cell r="B8558" t="str">
            <v>Shipment</v>
          </cell>
        </row>
        <row r="8559">
          <cell r="B8559" t="str">
            <v>Shipment</v>
          </cell>
        </row>
        <row r="8560">
          <cell r="B8560" t="str">
            <v>Shipment</v>
          </cell>
        </row>
        <row r="8561">
          <cell r="B8561" t="str">
            <v>Shipment</v>
          </cell>
        </row>
        <row r="8562">
          <cell r="B8562" t="str">
            <v>Shipment</v>
          </cell>
        </row>
        <row r="8563">
          <cell r="B8563" t="str">
            <v>Shipment</v>
          </cell>
        </row>
        <row r="8564">
          <cell r="B8564" t="str">
            <v>Shipment</v>
          </cell>
        </row>
        <row r="8565">
          <cell r="B8565" t="str">
            <v>Shipment</v>
          </cell>
        </row>
        <row r="8566">
          <cell r="B8566" t="str">
            <v>Shipment</v>
          </cell>
        </row>
        <row r="8567">
          <cell r="B8567" t="str">
            <v>Shipment</v>
          </cell>
        </row>
        <row r="8568">
          <cell r="B8568" t="str">
            <v>Shipment</v>
          </cell>
        </row>
        <row r="8569">
          <cell r="B8569" t="str">
            <v>Shipment</v>
          </cell>
        </row>
        <row r="8570">
          <cell r="B8570" t="str">
            <v>Shipment</v>
          </cell>
        </row>
        <row r="8571">
          <cell r="B8571" t="str">
            <v>Shipment</v>
          </cell>
        </row>
        <row r="8572">
          <cell r="B8572" t="str">
            <v>Shipment</v>
          </cell>
        </row>
        <row r="8573">
          <cell r="B8573" t="str">
            <v>Shipment</v>
          </cell>
        </row>
        <row r="8574">
          <cell r="B8574" t="str">
            <v>Shipment</v>
          </cell>
        </row>
        <row r="8575">
          <cell r="B8575" t="str">
            <v>Shipment</v>
          </cell>
        </row>
        <row r="8576">
          <cell r="B8576" t="str">
            <v>Shipment</v>
          </cell>
        </row>
        <row r="8577">
          <cell r="B8577" t="str">
            <v>Shipment</v>
          </cell>
        </row>
        <row r="8578">
          <cell r="B8578" t="str">
            <v>Shipment</v>
          </cell>
        </row>
        <row r="8579">
          <cell r="B8579" t="str">
            <v>Shipment</v>
          </cell>
        </row>
        <row r="8580">
          <cell r="B8580" t="str">
            <v>Shipment</v>
          </cell>
        </row>
        <row r="8581">
          <cell r="B8581" t="str">
            <v>Shipment</v>
          </cell>
        </row>
        <row r="8582">
          <cell r="B8582" t="str">
            <v>Shipment</v>
          </cell>
        </row>
        <row r="8583">
          <cell r="B8583" t="str">
            <v>Shipment</v>
          </cell>
        </row>
        <row r="8584">
          <cell r="B8584" t="str">
            <v>Shipment</v>
          </cell>
        </row>
        <row r="8585">
          <cell r="B8585" t="str">
            <v>Shipment</v>
          </cell>
        </row>
        <row r="8586">
          <cell r="B8586" t="str">
            <v>Shipment</v>
          </cell>
        </row>
        <row r="8587">
          <cell r="B8587" t="str">
            <v>Shipment</v>
          </cell>
        </row>
        <row r="8588">
          <cell r="B8588" t="str">
            <v>Shipment</v>
          </cell>
        </row>
        <row r="8589">
          <cell r="B8589" t="str">
            <v>Shipment</v>
          </cell>
        </row>
        <row r="8590">
          <cell r="B8590" t="str">
            <v>Shipment</v>
          </cell>
        </row>
        <row r="8591">
          <cell r="B8591" t="str">
            <v>Shipment</v>
          </cell>
        </row>
        <row r="8592">
          <cell r="B8592" t="str">
            <v>Shipment</v>
          </cell>
        </row>
        <row r="8593">
          <cell r="B8593" t="str">
            <v>Shipment</v>
          </cell>
        </row>
        <row r="8594">
          <cell r="B8594" t="str">
            <v>Shipment</v>
          </cell>
        </row>
        <row r="8595">
          <cell r="B8595" t="str">
            <v>Shipment</v>
          </cell>
        </row>
        <row r="8596">
          <cell r="B8596" t="str">
            <v>Shipment</v>
          </cell>
        </row>
        <row r="8597">
          <cell r="B8597" t="str">
            <v>Shipment</v>
          </cell>
        </row>
        <row r="8598">
          <cell r="B8598" t="str">
            <v>Shipment</v>
          </cell>
        </row>
        <row r="8599">
          <cell r="B8599" t="str">
            <v>Shipment</v>
          </cell>
        </row>
        <row r="8600">
          <cell r="B8600" t="str">
            <v>Shipment</v>
          </cell>
        </row>
        <row r="8601">
          <cell r="B8601" t="str">
            <v>Shipment</v>
          </cell>
        </row>
        <row r="8602">
          <cell r="B8602" t="str">
            <v>Shipment</v>
          </cell>
        </row>
        <row r="8603">
          <cell r="B8603" t="str">
            <v>Shipment</v>
          </cell>
        </row>
        <row r="8604">
          <cell r="B8604" t="str">
            <v>Shipment</v>
          </cell>
        </row>
        <row r="8605">
          <cell r="B8605" t="str">
            <v>Shipment</v>
          </cell>
        </row>
        <row r="8606">
          <cell r="B8606" t="str">
            <v>Shipment</v>
          </cell>
        </row>
        <row r="8607">
          <cell r="B8607" t="str">
            <v>Shipment</v>
          </cell>
        </row>
        <row r="8608">
          <cell r="B8608" t="str">
            <v>Shipment</v>
          </cell>
        </row>
        <row r="8609">
          <cell r="B8609" t="str">
            <v>Shipment</v>
          </cell>
        </row>
        <row r="8610">
          <cell r="B8610" t="str">
            <v>Shipment</v>
          </cell>
        </row>
        <row r="8611">
          <cell r="B8611" t="str">
            <v>Shipment</v>
          </cell>
        </row>
        <row r="8612">
          <cell r="B8612" t="str">
            <v>Shipment</v>
          </cell>
        </row>
        <row r="8613">
          <cell r="B8613" t="str">
            <v>Shipment</v>
          </cell>
        </row>
        <row r="8614">
          <cell r="B8614" t="str">
            <v>Shipment</v>
          </cell>
        </row>
        <row r="8615">
          <cell r="B8615" t="str">
            <v>Shipment</v>
          </cell>
        </row>
        <row r="8616">
          <cell r="B8616" t="str">
            <v>Shipment</v>
          </cell>
        </row>
        <row r="8617">
          <cell r="B8617" t="str">
            <v>Shipment</v>
          </cell>
        </row>
        <row r="8618">
          <cell r="B8618" t="str">
            <v>Shipment</v>
          </cell>
        </row>
        <row r="8619">
          <cell r="B8619" t="str">
            <v>Shipment</v>
          </cell>
        </row>
        <row r="8620">
          <cell r="B8620" t="str">
            <v>Shipment</v>
          </cell>
        </row>
        <row r="8621">
          <cell r="B8621" t="str">
            <v>Shipment</v>
          </cell>
        </row>
        <row r="8622">
          <cell r="B8622" t="str">
            <v>Shipment</v>
          </cell>
        </row>
        <row r="8623">
          <cell r="B8623" t="str">
            <v>Shipment</v>
          </cell>
        </row>
        <row r="8624">
          <cell r="B8624" t="str">
            <v>Shipment</v>
          </cell>
        </row>
        <row r="8625">
          <cell r="B8625" t="str">
            <v>Shipment</v>
          </cell>
        </row>
        <row r="8626">
          <cell r="B8626" t="str">
            <v>Shipment</v>
          </cell>
        </row>
        <row r="8627">
          <cell r="B8627" t="str">
            <v>Shipment</v>
          </cell>
        </row>
        <row r="8628">
          <cell r="B8628" t="str">
            <v>Shipment</v>
          </cell>
        </row>
        <row r="8629">
          <cell r="B8629" t="str">
            <v>Shipment</v>
          </cell>
        </row>
        <row r="8630">
          <cell r="B8630" t="str">
            <v>Shipment</v>
          </cell>
        </row>
        <row r="8631">
          <cell r="B8631" t="str">
            <v>Shipment</v>
          </cell>
        </row>
        <row r="8632">
          <cell r="B8632" t="str">
            <v>Shipment</v>
          </cell>
        </row>
        <row r="8633">
          <cell r="B8633" t="str">
            <v>Shipment</v>
          </cell>
        </row>
        <row r="8634">
          <cell r="B8634" t="str">
            <v>Shipment</v>
          </cell>
        </row>
        <row r="8635">
          <cell r="B8635" t="str">
            <v>Shipment</v>
          </cell>
        </row>
        <row r="8636">
          <cell r="B8636" t="str">
            <v>Shipment</v>
          </cell>
        </row>
        <row r="8637">
          <cell r="B8637" t="str">
            <v>Shipment</v>
          </cell>
        </row>
        <row r="8638">
          <cell r="B8638" t="str">
            <v>Shipment</v>
          </cell>
        </row>
        <row r="8639">
          <cell r="B8639" t="str">
            <v>Shipment</v>
          </cell>
        </row>
        <row r="8640">
          <cell r="B8640" t="str">
            <v>Shipment</v>
          </cell>
        </row>
        <row r="8641">
          <cell r="B8641" t="str">
            <v>Shipment</v>
          </cell>
        </row>
        <row r="8642">
          <cell r="B8642" t="str">
            <v>Shipment</v>
          </cell>
        </row>
        <row r="8643">
          <cell r="B8643" t="str">
            <v>Shipment</v>
          </cell>
        </row>
        <row r="8644">
          <cell r="B8644" t="str">
            <v>Shipment</v>
          </cell>
        </row>
        <row r="8645">
          <cell r="B8645" t="str">
            <v>Shipment</v>
          </cell>
        </row>
        <row r="8646">
          <cell r="B8646" t="str">
            <v>Shipment</v>
          </cell>
        </row>
        <row r="8647">
          <cell r="B8647" t="str">
            <v>Shipment</v>
          </cell>
        </row>
        <row r="8648">
          <cell r="B8648" t="str">
            <v>Shipment</v>
          </cell>
        </row>
        <row r="8649">
          <cell r="B8649" t="str">
            <v>Shipment</v>
          </cell>
        </row>
        <row r="8650">
          <cell r="B8650" t="str">
            <v>Shipment</v>
          </cell>
        </row>
        <row r="8651">
          <cell r="B8651" t="str">
            <v>Shipment</v>
          </cell>
        </row>
        <row r="8652">
          <cell r="B8652" t="str">
            <v>Shipment</v>
          </cell>
        </row>
        <row r="8653">
          <cell r="B8653" t="str">
            <v>Shipment</v>
          </cell>
        </row>
        <row r="8654">
          <cell r="B8654" t="str">
            <v>Shipment</v>
          </cell>
        </row>
        <row r="8655">
          <cell r="B8655" t="str">
            <v>Shipment</v>
          </cell>
        </row>
        <row r="8656">
          <cell r="B8656" t="str">
            <v>Shipment</v>
          </cell>
        </row>
        <row r="8657">
          <cell r="B8657" t="str">
            <v>Shipment</v>
          </cell>
        </row>
        <row r="8658">
          <cell r="B8658" t="str">
            <v>Shipment</v>
          </cell>
        </row>
        <row r="8659">
          <cell r="B8659" t="str">
            <v>Shipment</v>
          </cell>
        </row>
        <row r="8660">
          <cell r="B8660" t="str">
            <v>Shipment</v>
          </cell>
        </row>
        <row r="8661">
          <cell r="B8661" t="str">
            <v>Shipment</v>
          </cell>
        </row>
        <row r="8662">
          <cell r="B8662" t="str">
            <v>Shipment</v>
          </cell>
        </row>
        <row r="8663">
          <cell r="B8663" t="str">
            <v>Shipment</v>
          </cell>
        </row>
        <row r="8664">
          <cell r="B8664" t="str">
            <v>Shipment</v>
          </cell>
        </row>
        <row r="8665">
          <cell r="B8665" t="str">
            <v>Shipment</v>
          </cell>
        </row>
        <row r="8666">
          <cell r="B8666" t="str">
            <v>Shipment</v>
          </cell>
        </row>
        <row r="8667">
          <cell r="B8667" t="str">
            <v>Shipment</v>
          </cell>
        </row>
        <row r="8668">
          <cell r="B8668" t="str">
            <v>Shipment</v>
          </cell>
        </row>
        <row r="8669">
          <cell r="B8669" t="str">
            <v>Shipment</v>
          </cell>
        </row>
        <row r="8670">
          <cell r="B8670" t="str">
            <v>Shipment</v>
          </cell>
        </row>
        <row r="8671">
          <cell r="B8671" t="str">
            <v>Shipment</v>
          </cell>
        </row>
        <row r="8672">
          <cell r="B8672" t="str">
            <v>Shipment</v>
          </cell>
        </row>
        <row r="8673">
          <cell r="B8673" t="str">
            <v>Shipment</v>
          </cell>
        </row>
        <row r="8674">
          <cell r="B8674" t="str">
            <v>Shipment</v>
          </cell>
        </row>
        <row r="8675">
          <cell r="B8675" t="str">
            <v>Shipment</v>
          </cell>
        </row>
        <row r="8676">
          <cell r="B8676" t="str">
            <v>Shipment</v>
          </cell>
        </row>
        <row r="8677">
          <cell r="B8677" t="str">
            <v>Shipment</v>
          </cell>
        </row>
        <row r="8678">
          <cell r="B8678" t="str">
            <v>Shipment</v>
          </cell>
        </row>
        <row r="8679">
          <cell r="B8679" t="str">
            <v>Shipment</v>
          </cell>
        </row>
        <row r="8680">
          <cell r="B8680" t="str">
            <v>Shipment</v>
          </cell>
        </row>
        <row r="8681">
          <cell r="B8681" t="str">
            <v>Shipment</v>
          </cell>
        </row>
        <row r="8682">
          <cell r="B8682" t="str">
            <v>Shipment</v>
          </cell>
        </row>
        <row r="8683">
          <cell r="B8683" t="str">
            <v>Shipment</v>
          </cell>
        </row>
        <row r="8684">
          <cell r="B8684" t="str">
            <v>Shipment</v>
          </cell>
        </row>
        <row r="8685">
          <cell r="B8685" t="str">
            <v>Shipment</v>
          </cell>
        </row>
        <row r="8686">
          <cell r="B8686" t="str">
            <v>Shipment</v>
          </cell>
        </row>
        <row r="8687">
          <cell r="B8687" t="str">
            <v>Shipment</v>
          </cell>
        </row>
        <row r="8688">
          <cell r="B8688" t="str">
            <v>Shipment</v>
          </cell>
        </row>
        <row r="8689">
          <cell r="B8689" t="str">
            <v>Shipment</v>
          </cell>
        </row>
        <row r="8690">
          <cell r="B8690" t="str">
            <v>Shipment</v>
          </cell>
        </row>
        <row r="8691">
          <cell r="B8691" t="str">
            <v>Shipment</v>
          </cell>
        </row>
        <row r="8692">
          <cell r="B8692" t="str">
            <v>Shipment</v>
          </cell>
        </row>
        <row r="8693">
          <cell r="B8693" t="str">
            <v>Shipment</v>
          </cell>
        </row>
        <row r="8694">
          <cell r="B8694" t="str">
            <v>Shipment</v>
          </cell>
        </row>
        <row r="8695">
          <cell r="B8695" t="str">
            <v>Shipment</v>
          </cell>
        </row>
        <row r="8696">
          <cell r="B8696" t="str">
            <v>Shipment</v>
          </cell>
        </row>
        <row r="8697">
          <cell r="B8697" t="str">
            <v>Shipment</v>
          </cell>
        </row>
        <row r="8698">
          <cell r="B8698" t="str">
            <v>Shipment</v>
          </cell>
        </row>
        <row r="8699">
          <cell r="B8699" t="str">
            <v>Shipment</v>
          </cell>
        </row>
        <row r="8700">
          <cell r="B8700" t="str">
            <v>Shipment</v>
          </cell>
        </row>
        <row r="8701">
          <cell r="B8701" t="str">
            <v>Shipment</v>
          </cell>
        </row>
        <row r="8702">
          <cell r="B8702" t="str">
            <v>Shipment</v>
          </cell>
        </row>
        <row r="8703">
          <cell r="B8703" t="str">
            <v>Shipment</v>
          </cell>
        </row>
        <row r="8704">
          <cell r="B8704" t="str">
            <v>Shipment</v>
          </cell>
        </row>
        <row r="8705">
          <cell r="B8705" t="str">
            <v>Shipment</v>
          </cell>
        </row>
        <row r="8706">
          <cell r="B8706" t="str">
            <v>Shipment</v>
          </cell>
        </row>
        <row r="8707">
          <cell r="B8707" t="str">
            <v>Shipment</v>
          </cell>
        </row>
        <row r="8708">
          <cell r="B8708" t="str">
            <v>Shipment</v>
          </cell>
        </row>
        <row r="8709">
          <cell r="B8709" t="str">
            <v>Shipment</v>
          </cell>
        </row>
        <row r="8710">
          <cell r="B8710" t="str">
            <v>Shipment</v>
          </cell>
        </row>
        <row r="8711">
          <cell r="B8711" t="str">
            <v>Shipment</v>
          </cell>
        </row>
        <row r="8712">
          <cell r="B8712" t="str">
            <v>Shipment</v>
          </cell>
        </row>
        <row r="8713">
          <cell r="B8713" t="str">
            <v>Shipment</v>
          </cell>
        </row>
        <row r="8714">
          <cell r="B8714" t="str">
            <v>Shipment</v>
          </cell>
        </row>
        <row r="8715">
          <cell r="B8715" t="str">
            <v>Shipment</v>
          </cell>
        </row>
        <row r="8716">
          <cell r="B8716" t="str">
            <v>Shipment</v>
          </cell>
        </row>
        <row r="8717">
          <cell r="B8717" t="str">
            <v>Shipment</v>
          </cell>
        </row>
        <row r="8718">
          <cell r="B8718" t="str">
            <v>Shipment</v>
          </cell>
        </row>
        <row r="8719">
          <cell r="B8719" t="str">
            <v>Shipment</v>
          </cell>
        </row>
        <row r="8720">
          <cell r="B8720" t="str">
            <v>Shipment</v>
          </cell>
        </row>
        <row r="8721">
          <cell r="B8721" t="str">
            <v>Shipment</v>
          </cell>
        </row>
        <row r="8722">
          <cell r="B8722" t="str">
            <v>Shipment</v>
          </cell>
        </row>
        <row r="8723">
          <cell r="B8723" t="str">
            <v>Shipment</v>
          </cell>
        </row>
        <row r="8724">
          <cell r="B8724" t="str">
            <v>Shipment</v>
          </cell>
        </row>
        <row r="8725">
          <cell r="B8725" t="str">
            <v>Shipment</v>
          </cell>
        </row>
        <row r="8726">
          <cell r="B8726" t="str">
            <v>Shipment</v>
          </cell>
        </row>
        <row r="8727">
          <cell r="B8727" t="str">
            <v>Shipment</v>
          </cell>
        </row>
        <row r="8728">
          <cell r="B8728" t="str">
            <v>Shipment</v>
          </cell>
        </row>
        <row r="8729">
          <cell r="B8729" t="str">
            <v>Shipment</v>
          </cell>
        </row>
        <row r="8730">
          <cell r="B8730" t="str">
            <v>Shipment</v>
          </cell>
        </row>
        <row r="8731">
          <cell r="B8731" t="str">
            <v>Shipment</v>
          </cell>
        </row>
        <row r="8732">
          <cell r="B8732" t="str">
            <v>Shipment</v>
          </cell>
        </row>
        <row r="8733">
          <cell r="B8733" t="str">
            <v>Shipment</v>
          </cell>
        </row>
        <row r="8734">
          <cell r="B8734" t="str">
            <v>Shipment</v>
          </cell>
        </row>
        <row r="8735">
          <cell r="B8735" t="str">
            <v>Shipment</v>
          </cell>
        </row>
        <row r="8736">
          <cell r="B8736" t="str">
            <v>Shipment</v>
          </cell>
        </row>
        <row r="8737">
          <cell r="B8737" t="str">
            <v>Shipment</v>
          </cell>
        </row>
        <row r="8738">
          <cell r="B8738" t="str">
            <v>Shipment</v>
          </cell>
        </row>
        <row r="8739">
          <cell r="B8739" t="str">
            <v>Shipment</v>
          </cell>
        </row>
        <row r="8740">
          <cell r="B8740" t="str">
            <v>Shipment</v>
          </cell>
        </row>
        <row r="8741">
          <cell r="B8741" t="str">
            <v>Shipment</v>
          </cell>
        </row>
        <row r="8742">
          <cell r="B8742" t="str">
            <v>Shipment</v>
          </cell>
        </row>
        <row r="8743">
          <cell r="B8743" t="str">
            <v>Shipment</v>
          </cell>
        </row>
        <row r="8744">
          <cell r="B8744" t="str">
            <v>Shipment</v>
          </cell>
        </row>
        <row r="8745">
          <cell r="B8745" t="str">
            <v>Shipment</v>
          </cell>
        </row>
        <row r="8746">
          <cell r="B8746" t="str">
            <v>Shipment</v>
          </cell>
        </row>
        <row r="8747">
          <cell r="B8747" t="str">
            <v>Shipment</v>
          </cell>
        </row>
        <row r="8748">
          <cell r="B8748" t="str">
            <v>Shipment</v>
          </cell>
        </row>
        <row r="8749">
          <cell r="B8749" t="str">
            <v>Shipment</v>
          </cell>
        </row>
        <row r="8750">
          <cell r="B8750" t="str">
            <v>Shipment</v>
          </cell>
        </row>
        <row r="8751">
          <cell r="B8751" t="str">
            <v>Shipment</v>
          </cell>
        </row>
        <row r="8752">
          <cell r="B8752" t="str">
            <v>Shipment</v>
          </cell>
        </row>
        <row r="8753">
          <cell r="B8753" t="str">
            <v>Shipment</v>
          </cell>
        </row>
        <row r="8754">
          <cell r="B8754" t="str">
            <v>Shipment</v>
          </cell>
        </row>
        <row r="8755">
          <cell r="B8755" t="str">
            <v>Shipment</v>
          </cell>
        </row>
        <row r="8756">
          <cell r="B8756" t="str">
            <v>Shipment</v>
          </cell>
        </row>
        <row r="8757">
          <cell r="B8757" t="str">
            <v>Shipment</v>
          </cell>
        </row>
        <row r="8758">
          <cell r="B8758" t="str">
            <v>Shipment</v>
          </cell>
        </row>
        <row r="8759">
          <cell r="B8759" t="str">
            <v>Shipment</v>
          </cell>
        </row>
        <row r="8760">
          <cell r="B8760" t="str">
            <v>Shipment</v>
          </cell>
        </row>
        <row r="8761">
          <cell r="B8761" t="str">
            <v>Shipment</v>
          </cell>
        </row>
        <row r="8762">
          <cell r="B8762" t="str">
            <v>Shipment</v>
          </cell>
        </row>
        <row r="8763">
          <cell r="B8763" t="str">
            <v>Shipment</v>
          </cell>
        </row>
        <row r="8764">
          <cell r="B8764" t="str">
            <v>Shipment</v>
          </cell>
        </row>
        <row r="8765">
          <cell r="B8765" t="str">
            <v>Shipment</v>
          </cell>
        </row>
        <row r="8766">
          <cell r="B8766" t="str">
            <v>Shipment</v>
          </cell>
        </row>
        <row r="8767">
          <cell r="B8767" t="str">
            <v>Shipment</v>
          </cell>
        </row>
        <row r="8768">
          <cell r="B8768" t="str">
            <v>Shipment</v>
          </cell>
        </row>
        <row r="8769">
          <cell r="B8769" t="str">
            <v>Shipment</v>
          </cell>
        </row>
        <row r="8770">
          <cell r="B8770" t="str">
            <v>Shipment</v>
          </cell>
        </row>
        <row r="8771">
          <cell r="B8771" t="str">
            <v>Shipment</v>
          </cell>
        </row>
        <row r="8772">
          <cell r="B8772" t="str">
            <v>Shipment</v>
          </cell>
        </row>
        <row r="8773">
          <cell r="B8773" t="str">
            <v>Shipment</v>
          </cell>
        </row>
        <row r="8774">
          <cell r="B8774" t="str">
            <v>Shipment</v>
          </cell>
        </row>
        <row r="8775">
          <cell r="B8775" t="str">
            <v>Shipment</v>
          </cell>
        </row>
        <row r="8776">
          <cell r="B8776" t="str">
            <v>Shipment</v>
          </cell>
        </row>
        <row r="8777">
          <cell r="B8777" t="str">
            <v>Shipment</v>
          </cell>
        </row>
        <row r="8778">
          <cell r="B8778" t="str">
            <v>Shipment</v>
          </cell>
        </row>
        <row r="8779">
          <cell r="B8779" t="str">
            <v>Shipment</v>
          </cell>
        </row>
        <row r="8780">
          <cell r="B8780" t="str">
            <v>Shipment</v>
          </cell>
        </row>
        <row r="8781">
          <cell r="B8781" t="str">
            <v>Shipment</v>
          </cell>
        </row>
        <row r="8782">
          <cell r="B8782" t="str">
            <v>Shipment</v>
          </cell>
        </row>
        <row r="8783">
          <cell r="B8783" t="str">
            <v>Shipment</v>
          </cell>
        </row>
        <row r="8784">
          <cell r="B8784" t="str">
            <v>Shipment</v>
          </cell>
        </row>
        <row r="8785">
          <cell r="B8785" t="str">
            <v>Shipment</v>
          </cell>
        </row>
        <row r="8786">
          <cell r="B8786" t="str">
            <v>Shipment</v>
          </cell>
        </row>
        <row r="8787">
          <cell r="B8787" t="str">
            <v>Shipment</v>
          </cell>
        </row>
        <row r="8788">
          <cell r="B8788" t="str">
            <v>Shipment</v>
          </cell>
        </row>
        <row r="8789">
          <cell r="B8789" t="str">
            <v>Shipment</v>
          </cell>
        </row>
        <row r="8790">
          <cell r="B8790" t="str">
            <v>Shipment</v>
          </cell>
        </row>
        <row r="8791">
          <cell r="B8791" t="str">
            <v>Shipment</v>
          </cell>
        </row>
        <row r="8792">
          <cell r="B8792" t="str">
            <v>Shipment</v>
          </cell>
        </row>
        <row r="8793">
          <cell r="B8793" t="str">
            <v>Shipment</v>
          </cell>
        </row>
        <row r="8794">
          <cell r="B8794" t="str">
            <v>Shipment</v>
          </cell>
        </row>
        <row r="8795">
          <cell r="B8795" t="str">
            <v>Shipment</v>
          </cell>
        </row>
        <row r="8796">
          <cell r="B8796" t="str">
            <v>Shipment</v>
          </cell>
        </row>
        <row r="8797">
          <cell r="B8797" t="str">
            <v>Shipment</v>
          </cell>
        </row>
        <row r="8798">
          <cell r="B8798" t="str">
            <v>Shipment</v>
          </cell>
        </row>
        <row r="8799">
          <cell r="B8799" t="str">
            <v>Shipment</v>
          </cell>
        </row>
        <row r="8800">
          <cell r="B8800" t="str">
            <v>Shipment</v>
          </cell>
        </row>
        <row r="8801">
          <cell r="B8801" t="str">
            <v>Shipment</v>
          </cell>
        </row>
        <row r="8802">
          <cell r="B8802" t="str">
            <v>Shipment</v>
          </cell>
        </row>
        <row r="8803">
          <cell r="B8803" t="str">
            <v>Shipment</v>
          </cell>
        </row>
        <row r="8804">
          <cell r="B8804" t="str">
            <v>Shipment</v>
          </cell>
        </row>
        <row r="8805">
          <cell r="B8805" t="str">
            <v>Shipment</v>
          </cell>
        </row>
        <row r="8806">
          <cell r="B8806" t="str">
            <v>Shipment</v>
          </cell>
        </row>
        <row r="8807">
          <cell r="B8807" t="str">
            <v>Shipment</v>
          </cell>
        </row>
        <row r="8808">
          <cell r="B8808" t="str">
            <v>Shipment</v>
          </cell>
        </row>
        <row r="8809">
          <cell r="B8809" t="str">
            <v>Shipment</v>
          </cell>
        </row>
        <row r="8810">
          <cell r="B8810" t="str">
            <v>Shipment</v>
          </cell>
        </row>
        <row r="8811">
          <cell r="B8811" t="str">
            <v>Shipment</v>
          </cell>
        </row>
        <row r="8812">
          <cell r="B8812" t="str">
            <v>Shipment</v>
          </cell>
        </row>
        <row r="8813">
          <cell r="B8813" t="str">
            <v>Shipment</v>
          </cell>
        </row>
        <row r="8814">
          <cell r="B8814" t="str">
            <v>Shipment</v>
          </cell>
        </row>
        <row r="8815">
          <cell r="B8815" t="str">
            <v>Shipment</v>
          </cell>
        </row>
        <row r="8816">
          <cell r="B8816" t="str">
            <v>Shipment</v>
          </cell>
        </row>
        <row r="8817">
          <cell r="B8817" t="str">
            <v>Shipment</v>
          </cell>
        </row>
        <row r="8818">
          <cell r="B8818" t="str">
            <v>Shipment</v>
          </cell>
        </row>
        <row r="8819">
          <cell r="B8819" t="str">
            <v>Shipment</v>
          </cell>
        </row>
        <row r="8820">
          <cell r="B8820" t="str">
            <v>Shipment</v>
          </cell>
        </row>
        <row r="8821">
          <cell r="B8821" t="str">
            <v>Shipment</v>
          </cell>
        </row>
        <row r="8822">
          <cell r="B8822" t="str">
            <v>Shipment</v>
          </cell>
        </row>
        <row r="8823">
          <cell r="B8823" t="str">
            <v>Shipment</v>
          </cell>
        </row>
        <row r="8824">
          <cell r="B8824" t="str">
            <v>Shipment</v>
          </cell>
        </row>
        <row r="8825">
          <cell r="B8825" t="str">
            <v>Shipment</v>
          </cell>
        </row>
        <row r="8826">
          <cell r="B8826" t="str">
            <v>Shipment</v>
          </cell>
        </row>
        <row r="8827">
          <cell r="B8827" t="str">
            <v>Shipment</v>
          </cell>
        </row>
        <row r="8828">
          <cell r="B8828" t="str">
            <v>Shipment</v>
          </cell>
        </row>
        <row r="8829">
          <cell r="B8829" t="str">
            <v>Shipment</v>
          </cell>
        </row>
        <row r="8830">
          <cell r="B8830" t="str">
            <v>Shipment</v>
          </cell>
        </row>
        <row r="8831">
          <cell r="B8831" t="str">
            <v>Shipment</v>
          </cell>
        </row>
        <row r="8832">
          <cell r="B8832" t="str">
            <v>Shipment</v>
          </cell>
        </row>
        <row r="8833">
          <cell r="B8833" t="str">
            <v>Shipment</v>
          </cell>
        </row>
        <row r="8834">
          <cell r="B8834" t="str">
            <v>Shipment</v>
          </cell>
        </row>
        <row r="8835">
          <cell r="B8835" t="str">
            <v>Shipment</v>
          </cell>
        </row>
        <row r="8836">
          <cell r="B8836" t="str">
            <v>Shipment</v>
          </cell>
        </row>
        <row r="8837">
          <cell r="B8837" t="str">
            <v>Shipment</v>
          </cell>
        </row>
        <row r="8838">
          <cell r="B8838" t="str">
            <v>Shipment</v>
          </cell>
        </row>
        <row r="8839">
          <cell r="B8839" t="str">
            <v>Shipment</v>
          </cell>
        </row>
        <row r="8840">
          <cell r="B8840" t="str">
            <v>Shipment</v>
          </cell>
        </row>
        <row r="8841">
          <cell r="B8841" t="str">
            <v>Shipment</v>
          </cell>
        </row>
        <row r="8842">
          <cell r="B8842" t="str">
            <v>Shipment</v>
          </cell>
        </row>
        <row r="8843">
          <cell r="B8843" t="str">
            <v>Shipment</v>
          </cell>
        </row>
        <row r="8844">
          <cell r="B8844" t="str">
            <v>Shipment</v>
          </cell>
        </row>
        <row r="8845">
          <cell r="B8845" t="str">
            <v>Shipment</v>
          </cell>
        </row>
        <row r="8846">
          <cell r="B8846" t="str">
            <v>Shipment</v>
          </cell>
        </row>
        <row r="8847">
          <cell r="B8847" t="str">
            <v>Shipment</v>
          </cell>
        </row>
        <row r="8848">
          <cell r="B8848" t="str">
            <v>Shipment</v>
          </cell>
        </row>
        <row r="8849">
          <cell r="B8849" t="str">
            <v>Shipment</v>
          </cell>
        </row>
        <row r="8850">
          <cell r="B8850" t="str">
            <v>Shipment</v>
          </cell>
        </row>
        <row r="8851">
          <cell r="B8851" t="str">
            <v>Shipment</v>
          </cell>
        </row>
        <row r="8852">
          <cell r="B8852" t="str">
            <v>Shipment</v>
          </cell>
        </row>
        <row r="8853">
          <cell r="B8853" t="str">
            <v>Shipment</v>
          </cell>
        </row>
        <row r="8854">
          <cell r="B8854" t="str">
            <v>Shipment</v>
          </cell>
        </row>
        <row r="8855">
          <cell r="B8855" t="str">
            <v>Shipment</v>
          </cell>
        </row>
        <row r="8856">
          <cell r="B8856" t="str">
            <v>Shipment</v>
          </cell>
        </row>
        <row r="8857">
          <cell r="B8857" t="str">
            <v>Shipment</v>
          </cell>
        </row>
        <row r="8858">
          <cell r="B8858" t="str">
            <v>Shipment</v>
          </cell>
        </row>
        <row r="8859">
          <cell r="B8859" t="str">
            <v>Shipment</v>
          </cell>
        </row>
        <row r="8860">
          <cell r="B8860" t="str">
            <v>Shipment</v>
          </cell>
        </row>
        <row r="8861">
          <cell r="B8861" t="str">
            <v>Shipment</v>
          </cell>
        </row>
        <row r="8862">
          <cell r="B8862" t="str">
            <v>Shipment</v>
          </cell>
        </row>
        <row r="8863">
          <cell r="B8863" t="str">
            <v>Shipment</v>
          </cell>
        </row>
        <row r="8864">
          <cell r="B8864" t="str">
            <v>Shipment</v>
          </cell>
        </row>
        <row r="8865">
          <cell r="B8865" t="str">
            <v>Shipment</v>
          </cell>
        </row>
        <row r="8866">
          <cell r="B8866" t="str">
            <v>Shipment</v>
          </cell>
        </row>
        <row r="8867">
          <cell r="B8867" t="str">
            <v>Shipment</v>
          </cell>
        </row>
        <row r="8868">
          <cell r="B8868" t="str">
            <v>Shipment</v>
          </cell>
        </row>
        <row r="8869">
          <cell r="B8869" t="str">
            <v>Shipment</v>
          </cell>
        </row>
        <row r="8870">
          <cell r="B8870" t="str">
            <v>Shipment</v>
          </cell>
        </row>
        <row r="8871">
          <cell r="B8871" t="str">
            <v>Shipment</v>
          </cell>
        </row>
        <row r="8872">
          <cell r="B8872" t="str">
            <v>Shipment</v>
          </cell>
        </row>
        <row r="8873">
          <cell r="B8873" t="str">
            <v>Shipment</v>
          </cell>
        </row>
        <row r="8874">
          <cell r="B8874" t="str">
            <v>Shipment</v>
          </cell>
        </row>
        <row r="8875">
          <cell r="B8875" t="str">
            <v>Shipment</v>
          </cell>
        </row>
        <row r="8876">
          <cell r="B8876" t="str">
            <v>Shipment</v>
          </cell>
        </row>
        <row r="8877">
          <cell r="B8877" t="str">
            <v>Shipment</v>
          </cell>
        </row>
        <row r="8878">
          <cell r="B8878" t="str">
            <v>Shipment</v>
          </cell>
        </row>
        <row r="8879">
          <cell r="B8879" t="str">
            <v>Shipment</v>
          </cell>
        </row>
        <row r="8880">
          <cell r="B8880" t="str">
            <v>Shipment</v>
          </cell>
        </row>
        <row r="8881">
          <cell r="B8881" t="str">
            <v>Shipment</v>
          </cell>
        </row>
        <row r="8882">
          <cell r="B8882" t="str">
            <v>Shipment</v>
          </cell>
        </row>
        <row r="8883">
          <cell r="B8883" t="str">
            <v>Shipment</v>
          </cell>
        </row>
        <row r="8884">
          <cell r="B8884" t="str">
            <v>Shipment</v>
          </cell>
        </row>
        <row r="8885">
          <cell r="B8885" t="str">
            <v>Shipment</v>
          </cell>
        </row>
        <row r="8886">
          <cell r="B8886" t="str">
            <v>Shipment</v>
          </cell>
        </row>
        <row r="8887">
          <cell r="B8887" t="str">
            <v>Shipment</v>
          </cell>
        </row>
        <row r="8888">
          <cell r="B8888" t="str">
            <v>Shipment</v>
          </cell>
        </row>
        <row r="8889">
          <cell r="B8889" t="str">
            <v>Shipment</v>
          </cell>
        </row>
        <row r="8890">
          <cell r="B8890" t="str">
            <v>Shipment</v>
          </cell>
        </row>
        <row r="8891">
          <cell r="B8891" t="str">
            <v>Shipment</v>
          </cell>
        </row>
        <row r="8892">
          <cell r="B8892" t="str">
            <v>Shipment</v>
          </cell>
        </row>
        <row r="8893">
          <cell r="B8893" t="str">
            <v>Shipment</v>
          </cell>
        </row>
        <row r="8894">
          <cell r="B8894" t="str">
            <v>Shipment</v>
          </cell>
        </row>
        <row r="8895">
          <cell r="B8895" t="str">
            <v>Shipment</v>
          </cell>
        </row>
        <row r="8896">
          <cell r="B8896" t="str">
            <v>Shipment</v>
          </cell>
        </row>
        <row r="8897">
          <cell r="B8897" t="str">
            <v>Shipment</v>
          </cell>
        </row>
        <row r="8898">
          <cell r="B8898" t="str">
            <v>Shipment</v>
          </cell>
        </row>
        <row r="8899">
          <cell r="B8899" t="str">
            <v>Shipment</v>
          </cell>
        </row>
        <row r="8900">
          <cell r="B8900" t="str">
            <v>Shipment</v>
          </cell>
        </row>
        <row r="8901">
          <cell r="B8901" t="str">
            <v>Shipment</v>
          </cell>
        </row>
        <row r="8902">
          <cell r="B8902" t="str">
            <v>Shipment</v>
          </cell>
        </row>
        <row r="8903">
          <cell r="B8903" t="str">
            <v>Shipment</v>
          </cell>
        </row>
        <row r="8904">
          <cell r="B8904" t="str">
            <v>Shipment</v>
          </cell>
        </row>
        <row r="8905">
          <cell r="B8905" t="str">
            <v>Shipment</v>
          </cell>
        </row>
        <row r="8906">
          <cell r="B8906" t="str">
            <v>Shipment</v>
          </cell>
        </row>
        <row r="8907">
          <cell r="B8907" t="str">
            <v>Shipment</v>
          </cell>
        </row>
        <row r="8908">
          <cell r="B8908" t="str">
            <v>Shipment</v>
          </cell>
        </row>
        <row r="8909">
          <cell r="B8909" t="str">
            <v>Shipment</v>
          </cell>
        </row>
        <row r="8910">
          <cell r="B8910" t="str">
            <v>Shipment</v>
          </cell>
        </row>
        <row r="8911">
          <cell r="B8911" t="str">
            <v>Shipment</v>
          </cell>
        </row>
        <row r="8912">
          <cell r="B8912" t="str">
            <v>Shipment</v>
          </cell>
        </row>
        <row r="8913">
          <cell r="B8913" t="str">
            <v>Shipment</v>
          </cell>
        </row>
        <row r="8914">
          <cell r="B8914" t="str">
            <v>Shipment</v>
          </cell>
        </row>
        <row r="8915">
          <cell r="B8915" t="str">
            <v>Shipment</v>
          </cell>
        </row>
        <row r="8916">
          <cell r="B8916" t="str">
            <v>Shipment</v>
          </cell>
        </row>
        <row r="8917">
          <cell r="B8917" t="str">
            <v>Shipment</v>
          </cell>
        </row>
        <row r="8918">
          <cell r="B8918" t="str">
            <v>Shipment</v>
          </cell>
        </row>
        <row r="8919">
          <cell r="B8919" t="str">
            <v>Shipment</v>
          </cell>
        </row>
        <row r="8920">
          <cell r="B8920" t="str">
            <v>Shipment</v>
          </cell>
        </row>
        <row r="8921">
          <cell r="B8921" t="str">
            <v>Shipment</v>
          </cell>
        </row>
        <row r="8922">
          <cell r="B8922" t="str">
            <v>Shipment</v>
          </cell>
        </row>
        <row r="8923">
          <cell r="B8923" t="str">
            <v>Shipment</v>
          </cell>
        </row>
        <row r="8924">
          <cell r="B8924" t="str">
            <v>Shipment</v>
          </cell>
        </row>
        <row r="8925">
          <cell r="B8925" t="str">
            <v>Shipment</v>
          </cell>
        </row>
        <row r="8926">
          <cell r="B8926" t="str">
            <v>Shipment</v>
          </cell>
        </row>
        <row r="8927">
          <cell r="B8927" t="str">
            <v>Shipment</v>
          </cell>
        </row>
        <row r="8928">
          <cell r="B8928" t="str">
            <v>Shipment</v>
          </cell>
        </row>
        <row r="8929">
          <cell r="B8929" t="str">
            <v>Shipment</v>
          </cell>
        </row>
        <row r="8930">
          <cell r="B8930" t="str">
            <v>Shipment</v>
          </cell>
        </row>
        <row r="8931">
          <cell r="B8931" t="str">
            <v>Shipment</v>
          </cell>
        </row>
        <row r="8932">
          <cell r="B8932" t="str">
            <v>Shipment</v>
          </cell>
        </row>
        <row r="8933">
          <cell r="B8933" t="str">
            <v>Shipment</v>
          </cell>
        </row>
        <row r="8934">
          <cell r="B8934" t="str">
            <v>Shipment</v>
          </cell>
        </row>
        <row r="8935">
          <cell r="B8935" t="str">
            <v>Shipment</v>
          </cell>
        </row>
        <row r="8936">
          <cell r="B8936" t="str">
            <v>Shipment</v>
          </cell>
        </row>
        <row r="8937">
          <cell r="B8937" t="str">
            <v>Shipment</v>
          </cell>
        </row>
        <row r="8938">
          <cell r="B8938" t="str">
            <v>Shipment</v>
          </cell>
        </row>
        <row r="8939">
          <cell r="B8939" t="str">
            <v>Shipment</v>
          </cell>
        </row>
        <row r="8940">
          <cell r="B8940" t="str">
            <v>Shipment</v>
          </cell>
        </row>
        <row r="8941">
          <cell r="B8941" t="str">
            <v>Shipment</v>
          </cell>
        </row>
        <row r="8942">
          <cell r="B8942" t="str">
            <v>Shipment</v>
          </cell>
        </row>
        <row r="8943">
          <cell r="B8943" t="str">
            <v>Shipment</v>
          </cell>
        </row>
        <row r="8944">
          <cell r="B8944" t="str">
            <v>Shipment</v>
          </cell>
        </row>
        <row r="8945">
          <cell r="B8945" t="str">
            <v>Shipment</v>
          </cell>
        </row>
        <row r="8946">
          <cell r="B8946" t="str">
            <v>Shipment</v>
          </cell>
        </row>
        <row r="8947">
          <cell r="B8947" t="str">
            <v>Shipment</v>
          </cell>
        </row>
        <row r="8948">
          <cell r="B8948" t="str">
            <v>Shipment</v>
          </cell>
        </row>
        <row r="8949">
          <cell r="B8949" t="str">
            <v>Shipment</v>
          </cell>
        </row>
        <row r="8950">
          <cell r="B8950" t="str">
            <v>Shipment</v>
          </cell>
        </row>
        <row r="8951">
          <cell r="B8951" t="str">
            <v>Shipment</v>
          </cell>
        </row>
        <row r="8952">
          <cell r="B8952" t="str">
            <v>Shipment</v>
          </cell>
        </row>
        <row r="8953">
          <cell r="B8953" t="str">
            <v>Shipment</v>
          </cell>
        </row>
        <row r="8954">
          <cell r="B8954" t="str">
            <v>Shipment</v>
          </cell>
        </row>
        <row r="8955">
          <cell r="B8955" t="str">
            <v>Shipment</v>
          </cell>
        </row>
        <row r="8956">
          <cell r="B8956" t="str">
            <v>Shipment</v>
          </cell>
        </row>
        <row r="8957">
          <cell r="B8957" t="str">
            <v>Shipment</v>
          </cell>
        </row>
        <row r="8958">
          <cell r="B8958" t="str">
            <v>Shipment</v>
          </cell>
        </row>
        <row r="8959">
          <cell r="B8959" t="str">
            <v>Shipment</v>
          </cell>
        </row>
        <row r="8960">
          <cell r="B8960" t="str">
            <v>Shipment</v>
          </cell>
        </row>
        <row r="8961">
          <cell r="B8961" t="str">
            <v>Shipment</v>
          </cell>
        </row>
        <row r="8962">
          <cell r="B8962" t="str">
            <v>Shipment</v>
          </cell>
        </row>
        <row r="8963">
          <cell r="B8963" t="str">
            <v>Shipment</v>
          </cell>
        </row>
        <row r="8964">
          <cell r="B8964" t="str">
            <v>Shipment</v>
          </cell>
        </row>
        <row r="8965">
          <cell r="B8965" t="str">
            <v>Shipment</v>
          </cell>
        </row>
        <row r="8966">
          <cell r="B8966" t="str">
            <v>Shipment</v>
          </cell>
        </row>
        <row r="8967">
          <cell r="B8967" t="str">
            <v>Shipment</v>
          </cell>
        </row>
        <row r="8968">
          <cell r="B8968" t="str">
            <v>Shipment</v>
          </cell>
        </row>
        <row r="8969">
          <cell r="B8969" t="str">
            <v>Shipment</v>
          </cell>
        </row>
        <row r="8970">
          <cell r="B8970" t="str">
            <v>Shipment</v>
          </cell>
        </row>
        <row r="8971">
          <cell r="B8971" t="str">
            <v>Shipment</v>
          </cell>
        </row>
        <row r="8972">
          <cell r="B8972" t="str">
            <v>Shipment</v>
          </cell>
        </row>
        <row r="8973">
          <cell r="B8973" t="str">
            <v>Shipment</v>
          </cell>
        </row>
        <row r="8974">
          <cell r="B8974" t="str">
            <v>Shipment</v>
          </cell>
        </row>
        <row r="8975">
          <cell r="B8975" t="str">
            <v>Shipment</v>
          </cell>
        </row>
        <row r="8976">
          <cell r="B8976" t="str">
            <v>Shipment</v>
          </cell>
        </row>
        <row r="8977">
          <cell r="B8977" t="str">
            <v>Shipment</v>
          </cell>
        </row>
        <row r="8978">
          <cell r="B8978" t="str">
            <v>Shipment</v>
          </cell>
        </row>
        <row r="8979">
          <cell r="B8979" t="str">
            <v>Shipment</v>
          </cell>
        </row>
        <row r="8980">
          <cell r="B8980" t="str">
            <v>Shipment</v>
          </cell>
        </row>
        <row r="8981">
          <cell r="B8981" t="str">
            <v>Shipment</v>
          </cell>
        </row>
        <row r="8982">
          <cell r="B8982" t="str">
            <v>Shipment</v>
          </cell>
        </row>
        <row r="8983">
          <cell r="B8983" t="str">
            <v>Shipment</v>
          </cell>
        </row>
        <row r="8984">
          <cell r="B8984" t="str">
            <v>Shipment</v>
          </cell>
        </row>
        <row r="8985">
          <cell r="B8985" t="str">
            <v>Shipment</v>
          </cell>
        </row>
        <row r="8986">
          <cell r="B8986" t="str">
            <v>Shipment</v>
          </cell>
        </row>
        <row r="8987">
          <cell r="B8987" t="str">
            <v>Shipment</v>
          </cell>
        </row>
        <row r="8988">
          <cell r="B8988" t="str">
            <v>Shipment</v>
          </cell>
        </row>
        <row r="8989">
          <cell r="B8989" t="str">
            <v>Shipment</v>
          </cell>
        </row>
        <row r="8990">
          <cell r="B8990" t="str">
            <v>Shipment</v>
          </cell>
        </row>
        <row r="8991">
          <cell r="B8991" t="str">
            <v>Shipment</v>
          </cell>
        </row>
        <row r="8992">
          <cell r="B8992" t="str">
            <v>Shipment</v>
          </cell>
        </row>
        <row r="8993">
          <cell r="B8993" t="str">
            <v>Shipment</v>
          </cell>
        </row>
        <row r="8994">
          <cell r="B8994" t="str">
            <v>Shipment</v>
          </cell>
        </row>
        <row r="8995">
          <cell r="B8995" t="str">
            <v>Shipment</v>
          </cell>
        </row>
        <row r="8996">
          <cell r="B8996" t="str">
            <v>Shipment</v>
          </cell>
        </row>
        <row r="8997">
          <cell r="B8997" t="str">
            <v>Shipment</v>
          </cell>
        </row>
        <row r="8998">
          <cell r="B8998" t="str">
            <v>Shipment</v>
          </cell>
        </row>
        <row r="8999">
          <cell r="B8999" t="str">
            <v>Shipment</v>
          </cell>
        </row>
        <row r="9000">
          <cell r="B9000" t="str">
            <v>Shipment</v>
          </cell>
        </row>
        <row r="9001">
          <cell r="B9001" t="str">
            <v>Shipment</v>
          </cell>
        </row>
        <row r="9002">
          <cell r="B9002" t="str">
            <v>Shipment</v>
          </cell>
        </row>
        <row r="9003">
          <cell r="B9003" t="str">
            <v>Shipment</v>
          </cell>
        </row>
        <row r="9004">
          <cell r="B9004" t="str">
            <v>Shipment</v>
          </cell>
        </row>
        <row r="9005">
          <cell r="B9005" t="str">
            <v>Shipment</v>
          </cell>
        </row>
        <row r="9006">
          <cell r="B9006" t="str">
            <v>Shipment</v>
          </cell>
        </row>
        <row r="9007">
          <cell r="B9007" t="str">
            <v>Shipment</v>
          </cell>
        </row>
        <row r="9008">
          <cell r="B9008" t="str">
            <v>Shipment</v>
          </cell>
        </row>
        <row r="9009">
          <cell r="B9009" t="str">
            <v>Shipment</v>
          </cell>
        </row>
        <row r="9010">
          <cell r="B9010" t="str">
            <v>Shipment</v>
          </cell>
        </row>
        <row r="9011">
          <cell r="B9011" t="str">
            <v>Shipment</v>
          </cell>
        </row>
        <row r="9012">
          <cell r="B9012" t="str">
            <v>Shipment</v>
          </cell>
        </row>
        <row r="9013">
          <cell r="B9013" t="str">
            <v>Shipment</v>
          </cell>
        </row>
        <row r="9014">
          <cell r="B9014" t="str">
            <v>Shipment</v>
          </cell>
        </row>
        <row r="9015">
          <cell r="B9015" t="str">
            <v>Shipment</v>
          </cell>
        </row>
        <row r="9016">
          <cell r="B9016" t="str">
            <v>Shipment</v>
          </cell>
        </row>
        <row r="9017">
          <cell r="B9017" t="str">
            <v>Shipment</v>
          </cell>
        </row>
        <row r="9018">
          <cell r="B9018" t="str">
            <v>Shipment</v>
          </cell>
        </row>
        <row r="9019">
          <cell r="B9019" t="str">
            <v>Shipment</v>
          </cell>
        </row>
        <row r="9020">
          <cell r="B9020" t="str">
            <v>Shipment</v>
          </cell>
        </row>
        <row r="9021">
          <cell r="B9021" t="str">
            <v>Shipment</v>
          </cell>
        </row>
        <row r="9022">
          <cell r="B9022" t="str">
            <v>Shipment</v>
          </cell>
        </row>
        <row r="9023">
          <cell r="B9023" t="str">
            <v>Shipment</v>
          </cell>
        </row>
        <row r="9024">
          <cell r="B9024" t="str">
            <v>Shipment</v>
          </cell>
        </row>
        <row r="9025">
          <cell r="B9025" t="str">
            <v>Shipment</v>
          </cell>
        </row>
        <row r="9026">
          <cell r="B9026" t="str">
            <v>Shipment</v>
          </cell>
        </row>
        <row r="9027">
          <cell r="B9027" t="str">
            <v>Shipment</v>
          </cell>
        </row>
        <row r="9028">
          <cell r="B9028" t="str">
            <v>Shipment</v>
          </cell>
        </row>
        <row r="9029">
          <cell r="B9029" t="str">
            <v>Shipment</v>
          </cell>
        </row>
        <row r="9030">
          <cell r="B9030" t="str">
            <v>Shipment</v>
          </cell>
        </row>
        <row r="9031">
          <cell r="B9031" t="str">
            <v>Shipment</v>
          </cell>
        </row>
        <row r="9032">
          <cell r="B9032" t="str">
            <v>Shipment</v>
          </cell>
        </row>
        <row r="9033">
          <cell r="B9033" t="str">
            <v>Shipment</v>
          </cell>
        </row>
        <row r="9034">
          <cell r="B9034" t="str">
            <v>Shipment</v>
          </cell>
        </row>
        <row r="9035">
          <cell r="B9035" t="str">
            <v>Shipment</v>
          </cell>
        </row>
        <row r="9036">
          <cell r="B9036" t="str">
            <v>Shipment</v>
          </cell>
        </row>
        <row r="9037">
          <cell r="B9037" t="str">
            <v>Shipment</v>
          </cell>
        </row>
        <row r="9038">
          <cell r="B9038" t="str">
            <v>Shipment</v>
          </cell>
        </row>
        <row r="9039">
          <cell r="B9039" t="str">
            <v>Shipment</v>
          </cell>
        </row>
        <row r="9040">
          <cell r="B9040" t="str">
            <v>Shipment</v>
          </cell>
        </row>
        <row r="9041">
          <cell r="B9041" t="str">
            <v>Shipment</v>
          </cell>
        </row>
        <row r="9042">
          <cell r="B9042" t="str">
            <v>Shipment</v>
          </cell>
        </row>
        <row r="9043">
          <cell r="B9043" t="str">
            <v>Shipment</v>
          </cell>
        </row>
        <row r="9044">
          <cell r="B9044" t="str">
            <v>Shipment</v>
          </cell>
        </row>
        <row r="9045">
          <cell r="B9045" t="str">
            <v>Shipment</v>
          </cell>
        </row>
        <row r="9046">
          <cell r="B9046" t="str">
            <v>Shipment</v>
          </cell>
        </row>
        <row r="9047">
          <cell r="B9047" t="str">
            <v>Shipment</v>
          </cell>
        </row>
        <row r="9048">
          <cell r="B9048" t="str">
            <v>Shipment</v>
          </cell>
        </row>
        <row r="9049">
          <cell r="B9049" t="str">
            <v>Shipment</v>
          </cell>
        </row>
        <row r="9050">
          <cell r="B9050" t="str">
            <v>Shipment</v>
          </cell>
        </row>
        <row r="9051">
          <cell r="B9051" t="str">
            <v>Shipment</v>
          </cell>
        </row>
        <row r="9052">
          <cell r="B9052" t="str">
            <v>Shipment</v>
          </cell>
        </row>
        <row r="9053">
          <cell r="B9053" t="str">
            <v>Shipment</v>
          </cell>
        </row>
        <row r="9054">
          <cell r="B9054" t="str">
            <v>Shipment</v>
          </cell>
        </row>
        <row r="9055">
          <cell r="B9055" t="str">
            <v>Shipment</v>
          </cell>
        </row>
        <row r="9056">
          <cell r="B9056" t="str">
            <v>Shipment</v>
          </cell>
        </row>
        <row r="9057">
          <cell r="B9057" t="str">
            <v>Shipment</v>
          </cell>
        </row>
        <row r="9058">
          <cell r="B9058" t="str">
            <v>Shipment</v>
          </cell>
        </row>
        <row r="9059">
          <cell r="B9059" t="str">
            <v>Shipment</v>
          </cell>
        </row>
        <row r="9060">
          <cell r="B9060" t="str">
            <v>Shipment</v>
          </cell>
        </row>
        <row r="9061">
          <cell r="B9061" t="str">
            <v>Shipment</v>
          </cell>
        </row>
        <row r="9062">
          <cell r="B9062" t="str">
            <v>Shipment</v>
          </cell>
        </row>
        <row r="9063">
          <cell r="B9063" t="str">
            <v>Shipment</v>
          </cell>
        </row>
        <row r="9064">
          <cell r="B9064" t="str">
            <v>Shipment</v>
          </cell>
        </row>
        <row r="9065">
          <cell r="B9065" t="str">
            <v>Shipment</v>
          </cell>
        </row>
        <row r="9066">
          <cell r="B9066" t="str">
            <v>Shipment</v>
          </cell>
        </row>
        <row r="9067">
          <cell r="B9067" t="str">
            <v>Shipment</v>
          </cell>
        </row>
        <row r="9068">
          <cell r="B9068" t="str">
            <v>Shipment</v>
          </cell>
        </row>
        <row r="9069">
          <cell r="B9069" t="str">
            <v>Shipment</v>
          </cell>
        </row>
        <row r="9070">
          <cell r="B9070" t="str">
            <v>Shipment</v>
          </cell>
        </row>
        <row r="9071">
          <cell r="B9071" t="str">
            <v>Shipment</v>
          </cell>
        </row>
        <row r="9072">
          <cell r="B9072" t="str">
            <v>Shipment</v>
          </cell>
        </row>
        <row r="9073">
          <cell r="B9073" t="str">
            <v>Shipment</v>
          </cell>
        </row>
        <row r="9074">
          <cell r="B9074" t="str">
            <v>Shipment</v>
          </cell>
        </row>
        <row r="9075">
          <cell r="B9075" t="str">
            <v>Shipment</v>
          </cell>
        </row>
        <row r="9076">
          <cell r="B9076" t="str">
            <v>Shipment</v>
          </cell>
        </row>
        <row r="9077">
          <cell r="B9077" t="str">
            <v>Shipment</v>
          </cell>
        </row>
        <row r="9078">
          <cell r="B9078" t="str">
            <v>Shipment</v>
          </cell>
        </row>
        <row r="9079">
          <cell r="B9079" t="str">
            <v>Shipment</v>
          </cell>
        </row>
        <row r="9080">
          <cell r="B9080" t="str">
            <v>Shipment</v>
          </cell>
        </row>
        <row r="9081">
          <cell r="B9081" t="str">
            <v>Shipment</v>
          </cell>
        </row>
        <row r="9082">
          <cell r="B9082" t="str">
            <v>Shipment</v>
          </cell>
        </row>
        <row r="9083">
          <cell r="B9083" t="str">
            <v>Shipment</v>
          </cell>
        </row>
        <row r="9084">
          <cell r="B9084" t="str">
            <v>Shipment</v>
          </cell>
        </row>
        <row r="9085">
          <cell r="B9085" t="str">
            <v>Shipment</v>
          </cell>
        </row>
        <row r="9086">
          <cell r="B9086" t="str">
            <v>Shipment</v>
          </cell>
        </row>
        <row r="9087">
          <cell r="B9087" t="str">
            <v>Shipment</v>
          </cell>
        </row>
        <row r="9088">
          <cell r="B9088" t="str">
            <v>Shipment</v>
          </cell>
        </row>
        <row r="9089">
          <cell r="B9089" t="str">
            <v>Shipment</v>
          </cell>
        </row>
        <row r="9090">
          <cell r="B9090" t="str">
            <v>Shipment</v>
          </cell>
        </row>
        <row r="9091">
          <cell r="B9091" t="str">
            <v>Shipment</v>
          </cell>
        </row>
        <row r="9092">
          <cell r="B9092" t="str">
            <v>Shipment</v>
          </cell>
        </row>
        <row r="9093">
          <cell r="B9093" t="str">
            <v>Shipment</v>
          </cell>
        </row>
        <row r="9094">
          <cell r="B9094" t="str">
            <v>Shipment</v>
          </cell>
        </row>
        <row r="9095">
          <cell r="B9095" t="str">
            <v>Shipment</v>
          </cell>
        </row>
        <row r="9096">
          <cell r="B9096" t="str">
            <v>Shipment</v>
          </cell>
        </row>
        <row r="9097">
          <cell r="B9097" t="str">
            <v>Shipment</v>
          </cell>
        </row>
        <row r="9098">
          <cell r="B9098" t="str">
            <v>Shipment</v>
          </cell>
        </row>
        <row r="9099">
          <cell r="B9099" t="str">
            <v>Shipment</v>
          </cell>
        </row>
        <row r="9100">
          <cell r="B9100" t="str">
            <v>Shipment</v>
          </cell>
        </row>
        <row r="9101">
          <cell r="B9101" t="str">
            <v>Shipment</v>
          </cell>
        </row>
        <row r="9102">
          <cell r="B9102" t="str">
            <v>Shipment</v>
          </cell>
        </row>
        <row r="9103">
          <cell r="B9103" t="str">
            <v>Shipment</v>
          </cell>
        </row>
        <row r="9104">
          <cell r="B9104" t="str">
            <v>Shipment</v>
          </cell>
        </row>
        <row r="9105">
          <cell r="B9105" t="str">
            <v>Shipment</v>
          </cell>
        </row>
        <row r="9106">
          <cell r="B9106" t="str">
            <v>Shipment</v>
          </cell>
        </row>
        <row r="9107">
          <cell r="B9107" t="str">
            <v>Shipment</v>
          </cell>
        </row>
        <row r="9108">
          <cell r="B9108" t="str">
            <v>Shipment</v>
          </cell>
        </row>
        <row r="9109">
          <cell r="B9109" t="str">
            <v>Shipment</v>
          </cell>
        </row>
        <row r="9110">
          <cell r="B9110" t="str">
            <v>Shipment</v>
          </cell>
        </row>
        <row r="9111">
          <cell r="B9111" t="str">
            <v>Shipment</v>
          </cell>
        </row>
        <row r="9112">
          <cell r="B9112" t="str">
            <v>Shipment</v>
          </cell>
        </row>
        <row r="9113">
          <cell r="B9113" t="str">
            <v>Shipment</v>
          </cell>
        </row>
        <row r="9114">
          <cell r="B9114" t="str">
            <v>Shipment</v>
          </cell>
        </row>
        <row r="9115">
          <cell r="B9115" t="str">
            <v>Shipment</v>
          </cell>
        </row>
        <row r="9116">
          <cell r="B9116" t="str">
            <v>Shipment</v>
          </cell>
        </row>
        <row r="9117">
          <cell r="B9117" t="str">
            <v>Shipment</v>
          </cell>
        </row>
        <row r="9118">
          <cell r="B9118" t="str">
            <v>Shipment</v>
          </cell>
        </row>
        <row r="9119">
          <cell r="B9119" t="str">
            <v>Shipment</v>
          </cell>
        </row>
        <row r="9120">
          <cell r="B9120" t="str">
            <v>Shipment</v>
          </cell>
        </row>
        <row r="9121">
          <cell r="B9121" t="str">
            <v>Shipment</v>
          </cell>
        </row>
        <row r="9122">
          <cell r="B9122" t="str">
            <v>Shipment</v>
          </cell>
        </row>
        <row r="9123">
          <cell r="B9123" t="str">
            <v>Shipment</v>
          </cell>
        </row>
        <row r="9124">
          <cell r="B9124" t="str">
            <v>Shipment</v>
          </cell>
        </row>
        <row r="9125">
          <cell r="B9125" t="str">
            <v>Shipment</v>
          </cell>
        </row>
        <row r="9126">
          <cell r="B9126" t="str">
            <v>Shipment</v>
          </cell>
        </row>
        <row r="9127">
          <cell r="B9127" t="str">
            <v>Shipment</v>
          </cell>
        </row>
        <row r="9128">
          <cell r="B9128" t="str">
            <v>Shipment</v>
          </cell>
        </row>
        <row r="9129">
          <cell r="B9129" t="str">
            <v>Shipment</v>
          </cell>
        </row>
        <row r="9130">
          <cell r="B9130" t="str">
            <v>Shipment</v>
          </cell>
        </row>
        <row r="9131">
          <cell r="B9131" t="str">
            <v>Shipment</v>
          </cell>
        </row>
        <row r="9132">
          <cell r="B9132" t="str">
            <v>Shipment</v>
          </cell>
        </row>
        <row r="9133">
          <cell r="B9133" t="str">
            <v>Shipment</v>
          </cell>
        </row>
        <row r="9134">
          <cell r="B9134" t="str">
            <v>Shipment</v>
          </cell>
        </row>
        <row r="9135">
          <cell r="B9135" t="str">
            <v>Shipment</v>
          </cell>
        </row>
        <row r="9136">
          <cell r="B9136" t="str">
            <v>Shipment</v>
          </cell>
        </row>
        <row r="9137">
          <cell r="B9137" t="str">
            <v>Shipment</v>
          </cell>
        </row>
        <row r="9138">
          <cell r="B9138" t="str">
            <v>Shipment</v>
          </cell>
        </row>
        <row r="9139">
          <cell r="B9139" t="str">
            <v>Shipment</v>
          </cell>
        </row>
        <row r="9140">
          <cell r="B9140" t="str">
            <v>Shipment</v>
          </cell>
        </row>
        <row r="9141">
          <cell r="B9141" t="str">
            <v>Shipment</v>
          </cell>
        </row>
        <row r="9142">
          <cell r="B9142" t="str">
            <v>Shipment</v>
          </cell>
        </row>
        <row r="9143">
          <cell r="B9143" t="str">
            <v>Shipment</v>
          </cell>
        </row>
        <row r="9144">
          <cell r="B9144" t="str">
            <v>Shipment</v>
          </cell>
        </row>
        <row r="9145">
          <cell r="B9145" t="str">
            <v>Shipment</v>
          </cell>
        </row>
        <row r="9146">
          <cell r="B9146" t="str">
            <v>Shipment</v>
          </cell>
        </row>
        <row r="9147">
          <cell r="B9147" t="str">
            <v>Shipment</v>
          </cell>
        </row>
        <row r="9148">
          <cell r="B9148" t="str">
            <v>Shipment</v>
          </cell>
        </row>
        <row r="9149">
          <cell r="B9149" t="str">
            <v>Shipment</v>
          </cell>
        </row>
        <row r="9150">
          <cell r="B9150" t="str">
            <v>Shipment</v>
          </cell>
        </row>
        <row r="9151">
          <cell r="B9151" t="str">
            <v>Shipment</v>
          </cell>
        </row>
        <row r="9152">
          <cell r="B9152" t="str">
            <v>Shipment</v>
          </cell>
        </row>
        <row r="9153">
          <cell r="B9153" t="str">
            <v>Shipment</v>
          </cell>
        </row>
        <row r="9154">
          <cell r="B9154" t="str">
            <v>Shipment</v>
          </cell>
        </row>
        <row r="9155">
          <cell r="B9155" t="str">
            <v>Shipment</v>
          </cell>
        </row>
        <row r="9156">
          <cell r="B9156" t="str">
            <v>Shipment</v>
          </cell>
        </row>
        <row r="9157">
          <cell r="B9157" t="str">
            <v>Shipment</v>
          </cell>
        </row>
        <row r="9158">
          <cell r="B9158" t="str">
            <v>Shipment</v>
          </cell>
        </row>
        <row r="9159">
          <cell r="B9159" t="str">
            <v>Shipment</v>
          </cell>
        </row>
        <row r="9160">
          <cell r="B9160" t="str">
            <v>Shipment</v>
          </cell>
        </row>
        <row r="9161">
          <cell r="B9161" t="str">
            <v>Shipment</v>
          </cell>
        </row>
        <row r="9162">
          <cell r="B9162" t="str">
            <v>Shipment</v>
          </cell>
        </row>
        <row r="9163">
          <cell r="B9163" t="str">
            <v>Shipment</v>
          </cell>
        </row>
        <row r="9164">
          <cell r="B9164" t="str">
            <v>Shipment</v>
          </cell>
        </row>
        <row r="9165">
          <cell r="B9165" t="str">
            <v>Shipment</v>
          </cell>
        </row>
        <row r="9166">
          <cell r="B9166" t="str">
            <v>Shipment</v>
          </cell>
        </row>
        <row r="9167">
          <cell r="B9167" t="str">
            <v>Shipment</v>
          </cell>
        </row>
        <row r="9168">
          <cell r="B9168" t="str">
            <v>Shipment</v>
          </cell>
        </row>
        <row r="9169">
          <cell r="B9169" t="str">
            <v>Shipment</v>
          </cell>
        </row>
        <row r="9170">
          <cell r="B9170" t="str">
            <v>Shipment</v>
          </cell>
        </row>
        <row r="9171">
          <cell r="B9171" t="str">
            <v>Shipment</v>
          </cell>
        </row>
        <row r="9172">
          <cell r="B9172" t="str">
            <v>Shipment</v>
          </cell>
        </row>
        <row r="9173">
          <cell r="B9173" t="str">
            <v>Shipment</v>
          </cell>
        </row>
        <row r="9174">
          <cell r="B9174" t="str">
            <v>Shipment</v>
          </cell>
        </row>
        <row r="9175">
          <cell r="B9175" t="str">
            <v>Shipment</v>
          </cell>
        </row>
        <row r="9176">
          <cell r="B9176" t="str">
            <v>Shipment</v>
          </cell>
        </row>
        <row r="9177">
          <cell r="B9177" t="str">
            <v>Shipment</v>
          </cell>
        </row>
        <row r="9178">
          <cell r="B9178" t="str">
            <v>Shipment</v>
          </cell>
        </row>
        <row r="9179">
          <cell r="B9179" t="str">
            <v>Shipment</v>
          </cell>
        </row>
        <row r="9180">
          <cell r="B9180" t="str">
            <v>Shipment</v>
          </cell>
        </row>
        <row r="9181">
          <cell r="B9181" t="str">
            <v>Shipment</v>
          </cell>
        </row>
        <row r="9182">
          <cell r="B9182" t="str">
            <v>Shipment</v>
          </cell>
        </row>
        <row r="9183">
          <cell r="B9183" t="str">
            <v>Shipment</v>
          </cell>
        </row>
        <row r="9184">
          <cell r="B9184" t="str">
            <v>Shipment</v>
          </cell>
        </row>
        <row r="9185">
          <cell r="B9185" t="str">
            <v>Shipment</v>
          </cell>
        </row>
        <row r="9186">
          <cell r="B9186" t="str">
            <v>Shipment</v>
          </cell>
        </row>
        <row r="9187">
          <cell r="B9187" t="str">
            <v>Shipment</v>
          </cell>
        </row>
        <row r="9188">
          <cell r="B9188" t="str">
            <v>Shipment</v>
          </cell>
        </row>
        <row r="9189">
          <cell r="B9189" t="str">
            <v>Shipment</v>
          </cell>
        </row>
        <row r="9190">
          <cell r="B9190" t="str">
            <v>Shipment</v>
          </cell>
        </row>
        <row r="9191">
          <cell r="B9191" t="str">
            <v>Shipment</v>
          </cell>
        </row>
        <row r="9192">
          <cell r="B9192" t="str">
            <v>Shipment</v>
          </cell>
        </row>
        <row r="9193">
          <cell r="B9193" t="str">
            <v>Shipment</v>
          </cell>
        </row>
        <row r="9194">
          <cell r="B9194" t="str">
            <v>Shipment</v>
          </cell>
        </row>
        <row r="9195">
          <cell r="B9195" t="str">
            <v>Shipment</v>
          </cell>
        </row>
        <row r="9196">
          <cell r="B9196" t="str">
            <v>Shipment</v>
          </cell>
        </row>
        <row r="9197">
          <cell r="B9197" t="str">
            <v>Shipment</v>
          </cell>
        </row>
        <row r="9198">
          <cell r="B9198" t="str">
            <v>Shipment</v>
          </cell>
        </row>
        <row r="9199">
          <cell r="B9199" t="str">
            <v>Shipment</v>
          </cell>
        </row>
        <row r="9200">
          <cell r="B9200" t="str">
            <v>Shipment</v>
          </cell>
        </row>
        <row r="9201">
          <cell r="B9201" t="str">
            <v>Shipment</v>
          </cell>
        </row>
        <row r="9202">
          <cell r="B9202" t="str">
            <v>Shipment</v>
          </cell>
        </row>
        <row r="9203">
          <cell r="B9203" t="str">
            <v>Shipment</v>
          </cell>
        </row>
        <row r="9204">
          <cell r="B9204" t="str">
            <v>Shipment</v>
          </cell>
        </row>
        <row r="9205">
          <cell r="B9205" t="str">
            <v>Shipment</v>
          </cell>
        </row>
        <row r="9206">
          <cell r="B9206" t="str">
            <v>Shipment</v>
          </cell>
        </row>
        <row r="9207">
          <cell r="B9207" t="str">
            <v>Shipment</v>
          </cell>
        </row>
        <row r="9208">
          <cell r="B9208" t="str">
            <v>Shipment</v>
          </cell>
        </row>
        <row r="9209">
          <cell r="B9209" t="str">
            <v>Shipment</v>
          </cell>
        </row>
        <row r="9210">
          <cell r="B9210" t="str">
            <v>Shipment</v>
          </cell>
        </row>
        <row r="9211">
          <cell r="B9211" t="str">
            <v>Shipment</v>
          </cell>
        </row>
        <row r="9212">
          <cell r="B9212" t="str">
            <v>Shipment</v>
          </cell>
        </row>
        <row r="9213">
          <cell r="B9213" t="str">
            <v>Shipment</v>
          </cell>
        </row>
        <row r="9214">
          <cell r="B9214" t="str">
            <v>Shipment</v>
          </cell>
        </row>
        <row r="9215">
          <cell r="B9215" t="str">
            <v>Shipment</v>
          </cell>
        </row>
        <row r="9216">
          <cell r="B9216" t="str">
            <v>Shipment</v>
          </cell>
        </row>
        <row r="9217">
          <cell r="B9217" t="str">
            <v>Shipment</v>
          </cell>
        </row>
        <row r="9218">
          <cell r="B9218" t="str">
            <v>Shipment</v>
          </cell>
        </row>
        <row r="9219">
          <cell r="B9219" t="str">
            <v>Shipment</v>
          </cell>
        </row>
        <row r="9220">
          <cell r="B9220" t="str">
            <v>Shipment</v>
          </cell>
        </row>
        <row r="9221">
          <cell r="B9221" t="str">
            <v>Shipment</v>
          </cell>
        </row>
        <row r="9222">
          <cell r="B9222" t="str">
            <v>Shipment</v>
          </cell>
        </row>
        <row r="9223">
          <cell r="B9223" t="str">
            <v>Shipment</v>
          </cell>
        </row>
        <row r="9224">
          <cell r="B9224" t="str">
            <v>Shipment</v>
          </cell>
        </row>
        <row r="9225">
          <cell r="B9225" t="str">
            <v>Shipment</v>
          </cell>
        </row>
        <row r="9226">
          <cell r="B9226" t="str">
            <v>Shipment</v>
          </cell>
        </row>
        <row r="9227">
          <cell r="B9227" t="str">
            <v>Shipment</v>
          </cell>
        </row>
        <row r="9228">
          <cell r="B9228" t="str">
            <v>Shipment</v>
          </cell>
        </row>
        <row r="9229">
          <cell r="B9229" t="str">
            <v>Shipment</v>
          </cell>
        </row>
        <row r="9230">
          <cell r="B9230" t="str">
            <v>Shipment</v>
          </cell>
        </row>
        <row r="9231">
          <cell r="B9231" t="str">
            <v>Shipment</v>
          </cell>
        </row>
        <row r="9232">
          <cell r="B9232" t="str">
            <v>Shipment</v>
          </cell>
        </row>
        <row r="9233">
          <cell r="B9233" t="str">
            <v>Shipment</v>
          </cell>
        </row>
        <row r="9234">
          <cell r="B9234" t="str">
            <v>Shipment</v>
          </cell>
        </row>
        <row r="9235">
          <cell r="B9235" t="str">
            <v>Shipment</v>
          </cell>
        </row>
        <row r="9236">
          <cell r="B9236" t="str">
            <v>Shipment</v>
          </cell>
        </row>
        <row r="9237">
          <cell r="B9237" t="str">
            <v>Shipment</v>
          </cell>
        </row>
        <row r="9238">
          <cell r="B9238" t="str">
            <v>Shipment</v>
          </cell>
        </row>
        <row r="9239">
          <cell r="B9239" t="str">
            <v>Shipment</v>
          </cell>
        </row>
        <row r="9240">
          <cell r="B9240" t="str">
            <v>Shipment</v>
          </cell>
        </row>
        <row r="9241">
          <cell r="B9241" t="str">
            <v>Shipment</v>
          </cell>
        </row>
        <row r="9242">
          <cell r="B9242" t="str">
            <v>Shipment</v>
          </cell>
        </row>
        <row r="9243">
          <cell r="B9243" t="str">
            <v>Shipment</v>
          </cell>
        </row>
        <row r="9244">
          <cell r="B9244" t="str">
            <v>Shipment</v>
          </cell>
        </row>
        <row r="9245">
          <cell r="B9245" t="str">
            <v>Shipment</v>
          </cell>
        </row>
        <row r="9246">
          <cell r="B9246" t="str">
            <v>Shipment</v>
          </cell>
        </row>
        <row r="9247">
          <cell r="B9247" t="str">
            <v>Shipment</v>
          </cell>
        </row>
        <row r="9248">
          <cell r="B9248" t="str">
            <v>Shipment</v>
          </cell>
        </row>
        <row r="9249">
          <cell r="B9249" t="str">
            <v>Shipment</v>
          </cell>
        </row>
        <row r="9250">
          <cell r="B9250" t="str">
            <v>Shipment</v>
          </cell>
        </row>
        <row r="9251">
          <cell r="B9251" t="str">
            <v>Shipment</v>
          </cell>
        </row>
        <row r="9252">
          <cell r="B9252" t="str">
            <v>Shipment</v>
          </cell>
        </row>
        <row r="9253">
          <cell r="B9253" t="str">
            <v>Shipment</v>
          </cell>
        </row>
        <row r="9254">
          <cell r="B9254" t="str">
            <v>Shipment</v>
          </cell>
        </row>
        <row r="9255">
          <cell r="B9255" t="str">
            <v>Shipment</v>
          </cell>
        </row>
        <row r="9256">
          <cell r="B9256" t="str">
            <v>Shipment</v>
          </cell>
        </row>
        <row r="9257">
          <cell r="B9257" t="str">
            <v>Shipment</v>
          </cell>
        </row>
        <row r="9258">
          <cell r="B9258" t="str">
            <v>Shipment</v>
          </cell>
        </row>
        <row r="9259">
          <cell r="B9259" t="str">
            <v>Shipment</v>
          </cell>
        </row>
        <row r="9260">
          <cell r="B9260" t="str">
            <v>Shipment</v>
          </cell>
        </row>
        <row r="9261">
          <cell r="B9261" t="str">
            <v>Shipment</v>
          </cell>
        </row>
        <row r="9262">
          <cell r="B9262" t="str">
            <v>Shipment</v>
          </cell>
        </row>
        <row r="9263">
          <cell r="B9263" t="str">
            <v>Shipment</v>
          </cell>
        </row>
        <row r="9264">
          <cell r="B9264" t="str">
            <v>Shipment</v>
          </cell>
        </row>
        <row r="9265">
          <cell r="B9265" t="str">
            <v>Shipment</v>
          </cell>
        </row>
        <row r="9266">
          <cell r="B9266" t="str">
            <v>Shipment</v>
          </cell>
        </row>
        <row r="9267">
          <cell r="B9267" t="str">
            <v>Shipment</v>
          </cell>
        </row>
        <row r="9268">
          <cell r="B9268" t="str">
            <v>Shipment</v>
          </cell>
        </row>
        <row r="9269">
          <cell r="B9269" t="str">
            <v>Shipment</v>
          </cell>
        </row>
        <row r="9270">
          <cell r="B9270" t="str">
            <v>Shipment</v>
          </cell>
        </row>
        <row r="9271">
          <cell r="B9271" t="str">
            <v>Shipment</v>
          </cell>
        </row>
        <row r="9272">
          <cell r="B9272" t="str">
            <v>Shipment</v>
          </cell>
        </row>
        <row r="9273">
          <cell r="B9273" t="str">
            <v>Shipment</v>
          </cell>
        </row>
        <row r="9274">
          <cell r="B9274" t="str">
            <v>Shipment</v>
          </cell>
        </row>
        <row r="9275">
          <cell r="B9275" t="str">
            <v>Shipment</v>
          </cell>
        </row>
        <row r="9276">
          <cell r="B9276" t="str">
            <v>Shipment</v>
          </cell>
        </row>
        <row r="9277">
          <cell r="B9277" t="str">
            <v>Shipment</v>
          </cell>
        </row>
        <row r="9278">
          <cell r="B9278" t="str">
            <v>Shipment</v>
          </cell>
        </row>
        <row r="9279">
          <cell r="B9279" t="str">
            <v>Shipment</v>
          </cell>
        </row>
        <row r="9280">
          <cell r="B9280" t="str">
            <v>Shipment</v>
          </cell>
        </row>
        <row r="9281">
          <cell r="B9281" t="str">
            <v>Shipment</v>
          </cell>
        </row>
        <row r="9282">
          <cell r="B9282" t="str">
            <v>Shipment</v>
          </cell>
        </row>
        <row r="9283">
          <cell r="B9283" t="str">
            <v>Shipment</v>
          </cell>
        </row>
        <row r="9284">
          <cell r="B9284" t="str">
            <v>Shipment</v>
          </cell>
        </row>
        <row r="9285">
          <cell r="B9285" t="str">
            <v>Shipment</v>
          </cell>
        </row>
        <row r="9286">
          <cell r="B9286" t="str">
            <v>Shipment</v>
          </cell>
        </row>
        <row r="9287">
          <cell r="B9287" t="str">
            <v>Shipment</v>
          </cell>
        </row>
        <row r="9288">
          <cell r="B9288" t="str">
            <v>Shipment</v>
          </cell>
        </row>
        <row r="9289">
          <cell r="B9289" t="str">
            <v>Shipment</v>
          </cell>
        </row>
        <row r="9290">
          <cell r="B9290" t="str">
            <v>Shipment</v>
          </cell>
        </row>
        <row r="9291">
          <cell r="B9291" t="str">
            <v>Shipment</v>
          </cell>
        </row>
        <row r="9292">
          <cell r="B9292" t="str">
            <v>Shipment</v>
          </cell>
        </row>
        <row r="9293">
          <cell r="B9293" t="str">
            <v>Shipment</v>
          </cell>
        </row>
        <row r="9294">
          <cell r="B9294" t="str">
            <v>Shipment</v>
          </cell>
        </row>
        <row r="9295">
          <cell r="B9295" t="str">
            <v>Shipment</v>
          </cell>
        </row>
        <row r="9296">
          <cell r="B9296" t="str">
            <v>Shipment</v>
          </cell>
        </row>
        <row r="9297">
          <cell r="B9297" t="str">
            <v>Shipment</v>
          </cell>
        </row>
        <row r="9298">
          <cell r="B9298" t="str">
            <v>Shipment</v>
          </cell>
        </row>
        <row r="9299">
          <cell r="B9299" t="str">
            <v>Shipment</v>
          </cell>
        </row>
        <row r="9300">
          <cell r="B9300" t="str">
            <v>Shipment</v>
          </cell>
        </row>
        <row r="9301">
          <cell r="B9301" t="str">
            <v>Shipment</v>
          </cell>
        </row>
        <row r="9302">
          <cell r="B9302" t="str">
            <v>Shipment</v>
          </cell>
        </row>
        <row r="9303">
          <cell r="B9303" t="str">
            <v>Shipment</v>
          </cell>
        </row>
        <row r="9304">
          <cell r="B9304" t="str">
            <v>Shipment</v>
          </cell>
        </row>
        <row r="9305">
          <cell r="B9305" t="str">
            <v>Shipment</v>
          </cell>
        </row>
        <row r="9306">
          <cell r="B9306" t="str">
            <v>Shipment</v>
          </cell>
        </row>
        <row r="9307">
          <cell r="B9307" t="str">
            <v>Shipment</v>
          </cell>
        </row>
        <row r="9308">
          <cell r="B9308" t="str">
            <v>Shipment</v>
          </cell>
        </row>
        <row r="9309">
          <cell r="B9309" t="str">
            <v>Shipment</v>
          </cell>
        </row>
        <row r="9310">
          <cell r="B9310" t="str">
            <v>Shipment</v>
          </cell>
        </row>
        <row r="9311">
          <cell r="B9311" t="str">
            <v>Shipment</v>
          </cell>
        </row>
        <row r="9312">
          <cell r="B9312" t="str">
            <v>Shipment</v>
          </cell>
        </row>
        <row r="9313">
          <cell r="B9313" t="str">
            <v>Shipment</v>
          </cell>
        </row>
        <row r="9314">
          <cell r="B9314" t="str">
            <v>Shipment</v>
          </cell>
        </row>
        <row r="9315">
          <cell r="B9315" t="str">
            <v>Shipment</v>
          </cell>
        </row>
        <row r="9316">
          <cell r="B9316" t="str">
            <v>Shipment</v>
          </cell>
        </row>
        <row r="9317">
          <cell r="B9317" t="str">
            <v>Shipment</v>
          </cell>
        </row>
        <row r="9318">
          <cell r="B9318" t="str">
            <v>Shipment</v>
          </cell>
        </row>
        <row r="9319">
          <cell r="B9319" t="str">
            <v>Shipment</v>
          </cell>
        </row>
        <row r="9320">
          <cell r="B9320" t="str">
            <v>Shipment</v>
          </cell>
        </row>
        <row r="9321">
          <cell r="B9321" t="str">
            <v>Shipment</v>
          </cell>
        </row>
        <row r="9322">
          <cell r="B9322" t="str">
            <v>Shipment</v>
          </cell>
        </row>
        <row r="9323">
          <cell r="B9323" t="str">
            <v>Shipment</v>
          </cell>
        </row>
        <row r="9324">
          <cell r="B9324" t="str">
            <v>Shipment</v>
          </cell>
        </row>
        <row r="9325">
          <cell r="B9325" t="str">
            <v>Shipment</v>
          </cell>
        </row>
        <row r="9326">
          <cell r="B9326" t="str">
            <v>Shipment</v>
          </cell>
        </row>
        <row r="9327">
          <cell r="B9327" t="str">
            <v>Shipment</v>
          </cell>
        </row>
        <row r="9328">
          <cell r="B9328" t="str">
            <v>Shipment</v>
          </cell>
        </row>
        <row r="9329">
          <cell r="B9329" t="str">
            <v>Shipment</v>
          </cell>
        </row>
        <row r="9330">
          <cell r="B9330" t="str">
            <v>Shipment</v>
          </cell>
        </row>
        <row r="9331">
          <cell r="B9331" t="str">
            <v>Shipment</v>
          </cell>
        </row>
        <row r="9332">
          <cell r="B9332" t="str">
            <v>Shipment</v>
          </cell>
        </row>
        <row r="9333">
          <cell r="B9333" t="str">
            <v>Shipment</v>
          </cell>
        </row>
        <row r="9334">
          <cell r="B9334" t="str">
            <v>Shipment</v>
          </cell>
        </row>
        <row r="9335">
          <cell r="B9335" t="str">
            <v>Shipment</v>
          </cell>
        </row>
        <row r="9336">
          <cell r="B9336" t="str">
            <v>Shipment</v>
          </cell>
        </row>
        <row r="9337">
          <cell r="B9337" t="str">
            <v>Shipment</v>
          </cell>
        </row>
        <row r="9338">
          <cell r="B9338" t="str">
            <v>Shipment</v>
          </cell>
        </row>
        <row r="9339">
          <cell r="B9339" t="str">
            <v>Shipment</v>
          </cell>
        </row>
        <row r="9340">
          <cell r="B9340" t="str">
            <v>Shipment</v>
          </cell>
        </row>
        <row r="9341">
          <cell r="B9341" t="str">
            <v>Shipment</v>
          </cell>
        </row>
        <row r="9342">
          <cell r="B9342" t="str">
            <v>Shipment</v>
          </cell>
        </row>
        <row r="9343">
          <cell r="B9343" t="str">
            <v>Shipment</v>
          </cell>
        </row>
        <row r="9344">
          <cell r="B9344" t="str">
            <v>Shipment</v>
          </cell>
        </row>
        <row r="9345">
          <cell r="B9345" t="str">
            <v>Shipment</v>
          </cell>
        </row>
        <row r="9346">
          <cell r="B9346" t="str">
            <v>Shipment</v>
          </cell>
        </row>
        <row r="9347">
          <cell r="B9347" t="str">
            <v>Shipment</v>
          </cell>
        </row>
        <row r="9348">
          <cell r="B9348" t="str">
            <v>Shipment</v>
          </cell>
        </row>
        <row r="9349">
          <cell r="B9349" t="str">
            <v>Shipment</v>
          </cell>
        </row>
        <row r="9350">
          <cell r="B9350" t="str">
            <v>Shipment</v>
          </cell>
        </row>
        <row r="9351">
          <cell r="B9351" t="str">
            <v>Shipment</v>
          </cell>
        </row>
        <row r="9352">
          <cell r="B9352" t="str">
            <v>Shipment</v>
          </cell>
        </row>
        <row r="9353">
          <cell r="B9353" t="str">
            <v>Shipment</v>
          </cell>
        </row>
        <row r="9354">
          <cell r="B9354" t="str">
            <v>Shipment</v>
          </cell>
        </row>
        <row r="9355">
          <cell r="B9355" t="str">
            <v>Shipment</v>
          </cell>
        </row>
        <row r="9356">
          <cell r="B9356" t="str">
            <v>Shipment</v>
          </cell>
        </row>
        <row r="9357">
          <cell r="B9357" t="str">
            <v>Shipment</v>
          </cell>
        </row>
        <row r="9358">
          <cell r="B9358" t="str">
            <v>Shipment</v>
          </cell>
        </row>
        <row r="9359">
          <cell r="B9359" t="str">
            <v>Shipment</v>
          </cell>
        </row>
        <row r="9360">
          <cell r="B9360" t="str">
            <v>Shipment</v>
          </cell>
        </row>
        <row r="9361">
          <cell r="B9361" t="str">
            <v>Shipment</v>
          </cell>
        </row>
        <row r="9362">
          <cell r="B9362" t="str">
            <v>Shipment</v>
          </cell>
        </row>
        <row r="9363">
          <cell r="B9363" t="str">
            <v>Shipment</v>
          </cell>
        </row>
        <row r="9364">
          <cell r="B9364" t="str">
            <v>Shipment</v>
          </cell>
        </row>
        <row r="9365">
          <cell r="B9365" t="str">
            <v>Shipment</v>
          </cell>
        </row>
        <row r="9366">
          <cell r="B9366" t="str">
            <v>Shipment</v>
          </cell>
        </row>
        <row r="9367">
          <cell r="B9367" t="str">
            <v>Shipment</v>
          </cell>
        </row>
        <row r="9368">
          <cell r="B9368" t="str">
            <v>Shipment</v>
          </cell>
        </row>
        <row r="9369">
          <cell r="B9369" t="str">
            <v>Shipment</v>
          </cell>
        </row>
        <row r="9370">
          <cell r="B9370" t="str">
            <v>Shipment</v>
          </cell>
        </row>
        <row r="9371">
          <cell r="B9371" t="str">
            <v>Shipment</v>
          </cell>
        </row>
        <row r="9372">
          <cell r="B9372" t="str">
            <v>Shipment</v>
          </cell>
        </row>
        <row r="9373">
          <cell r="B9373" t="str">
            <v>Shipment</v>
          </cell>
        </row>
        <row r="9374">
          <cell r="B9374" t="str">
            <v>Shipment</v>
          </cell>
        </row>
        <row r="9375">
          <cell r="B9375" t="str">
            <v>Shipment</v>
          </cell>
        </row>
        <row r="9376">
          <cell r="B9376" t="str">
            <v>Shipment</v>
          </cell>
        </row>
        <row r="9377">
          <cell r="B9377" t="str">
            <v>Shipment</v>
          </cell>
        </row>
        <row r="9378">
          <cell r="B9378" t="str">
            <v>Shipment</v>
          </cell>
        </row>
        <row r="9379">
          <cell r="B9379" t="str">
            <v>Shipment</v>
          </cell>
        </row>
        <row r="9380">
          <cell r="B9380" t="str">
            <v>Shipment</v>
          </cell>
        </row>
        <row r="9381">
          <cell r="B9381" t="str">
            <v>Shipment</v>
          </cell>
        </row>
        <row r="9382">
          <cell r="B9382" t="str">
            <v>Shipment</v>
          </cell>
        </row>
        <row r="9383">
          <cell r="B9383" t="str">
            <v>Shipment</v>
          </cell>
        </row>
        <row r="9384">
          <cell r="B9384" t="str">
            <v>Shipment</v>
          </cell>
        </row>
        <row r="9385">
          <cell r="B9385" t="str">
            <v>Shipment</v>
          </cell>
        </row>
        <row r="9386">
          <cell r="B9386" t="str">
            <v>Shipment</v>
          </cell>
        </row>
        <row r="9387">
          <cell r="B9387" t="str">
            <v>Shipment</v>
          </cell>
        </row>
        <row r="9388">
          <cell r="B9388" t="str">
            <v>Shipment</v>
          </cell>
        </row>
        <row r="9389">
          <cell r="B9389" t="str">
            <v>Shipment</v>
          </cell>
        </row>
        <row r="9390">
          <cell r="B9390" t="str">
            <v>Shipment</v>
          </cell>
        </row>
        <row r="9391">
          <cell r="B9391" t="str">
            <v>Shipment</v>
          </cell>
        </row>
        <row r="9392">
          <cell r="B9392" t="str">
            <v>Shipment</v>
          </cell>
        </row>
        <row r="9393">
          <cell r="B9393" t="str">
            <v>Shipment</v>
          </cell>
        </row>
        <row r="9394">
          <cell r="B9394" t="str">
            <v>Shipment</v>
          </cell>
        </row>
        <row r="9395">
          <cell r="B9395" t="str">
            <v>Shipment</v>
          </cell>
        </row>
        <row r="9396">
          <cell r="B9396" t="str">
            <v>Shipment</v>
          </cell>
        </row>
        <row r="9397">
          <cell r="B9397" t="str">
            <v>Shipment</v>
          </cell>
        </row>
        <row r="9398">
          <cell r="B9398" t="str">
            <v>Shipment</v>
          </cell>
        </row>
        <row r="9399">
          <cell r="B9399" t="str">
            <v>Shipment</v>
          </cell>
        </row>
        <row r="9400">
          <cell r="B9400" t="str">
            <v>Shipment</v>
          </cell>
        </row>
        <row r="9401">
          <cell r="B9401" t="str">
            <v>Shipment</v>
          </cell>
        </row>
        <row r="9402">
          <cell r="B9402" t="str">
            <v>Shipment</v>
          </cell>
        </row>
        <row r="9403">
          <cell r="B9403" t="str">
            <v>Shipment</v>
          </cell>
        </row>
        <row r="9404">
          <cell r="B9404" t="str">
            <v>Shipment</v>
          </cell>
        </row>
        <row r="9405">
          <cell r="B9405" t="str">
            <v>Shipment</v>
          </cell>
        </row>
        <row r="9406">
          <cell r="B9406" t="str">
            <v>Shipment</v>
          </cell>
        </row>
        <row r="9407">
          <cell r="B9407" t="str">
            <v>Shipment</v>
          </cell>
        </row>
        <row r="9408">
          <cell r="B9408" t="str">
            <v>Shipment</v>
          </cell>
        </row>
        <row r="9409">
          <cell r="B9409" t="str">
            <v>Shipment</v>
          </cell>
        </row>
        <row r="9410">
          <cell r="B9410" t="str">
            <v>Shipment</v>
          </cell>
        </row>
        <row r="9411">
          <cell r="B9411" t="str">
            <v>Shipment</v>
          </cell>
        </row>
        <row r="9412">
          <cell r="B9412" t="str">
            <v>Shipment</v>
          </cell>
        </row>
        <row r="9413">
          <cell r="B9413" t="str">
            <v>Shipment</v>
          </cell>
        </row>
        <row r="9414">
          <cell r="B9414" t="str">
            <v>Shipment</v>
          </cell>
        </row>
        <row r="9415">
          <cell r="B9415" t="str">
            <v>Shipment</v>
          </cell>
        </row>
        <row r="9416">
          <cell r="B9416" t="str">
            <v>Shipment</v>
          </cell>
        </row>
        <row r="9417">
          <cell r="B9417" t="str">
            <v>Shipment</v>
          </cell>
        </row>
        <row r="9418">
          <cell r="B9418" t="str">
            <v>Shipment</v>
          </cell>
        </row>
        <row r="9419">
          <cell r="B9419" t="str">
            <v>Shipment</v>
          </cell>
        </row>
        <row r="9420">
          <cell r="B9420" t="str">
            <v>Shipment</v>
          </cell>
        </row>
        <row r="9421">
          <cell r="B9421" t="str">
            <v>Shipment</v>
          </cell>
        </row>
        <row r="9422">
          <cell r="B9422" t="str">
            <v>Shipment</v>
          </cell>
        </row>
        <row r="9423">
          <cell r="B9423" t="str">
            <v>Shipment</v>
          </cell>
        </row>
        <row r="9424">
          <cell r="B9424" t="str">
            <v>Shipment</v>
          </cell>
        </row>
        <row r="9425">
          <cell r="B9425" t="str">
            <v>Shipment</v>
          </cell>
        </row>
        <row r="9426">
          <cell r="B9426" t="str">
            <v>Shipment</v>
          </cell>
        </row>
        <row r="9427">
          <cell r="B9427" t="str">
            <v>Shipment</v>
          </cell>
        </row>
        <row r="9428">
          <cell r="B9428" t="str">
            <v>Shipment</v>
          </cell>
        </row>
        <row r="9429">
          <cell r="B9429" t="str">
            <v>Shipment</v>
          </cell>
        </row>
        <row r="9430">
          <cell r="B9430" t="str">
            <v>Shipment</v>
          </cell>
        </row>
        <row r="9431">
          <cell r="B9431" t="str">
            <v>Shipment</v>
          </cell>
        </row>
        <row r="9432">
          <cell r="B9432" t="str">
            <v>Shipment</v>
          </cell>
        </row>
        <row r="9433">
          <cell r="B9433" t="str">
            <v>Shipment</v>
          </cell>
        </row>
        <row r="9434">
          <cell r="B9434" t="str">
            <v>Shipment</v>
          </cell>
        </row>
        <row r="9435">
          <cell r="B9435" t="str">
            <v>Shipment</v>
          </cell>
        </row>
        <row r="9436">
          <cell r="B9436" t="str">
            <v>Shipment</v>
          </cell>
        </row>
        <row r="9437">
          <cell r="B9437" t="str">
            <v>Shipment</v>
          </cell>
        </row>
        <row r="9438">
          <cell r="B9438" t="str">
            <v>Shipment</v>
          </cell>
        </row>
        <row r="9439">
          <cell r="B9439" t="str">
            <v>Shipment</v>
          </cell>
        </row>
        <row r="9440">
          <cell r="B9440" t="str">
            <v>Shipment</v>
          </cell>
        </row>
        <row r="9441">
          <cell r="B9441" t="str">
            <v>Shipment</v>
          </cell>
        </row>
        <row r="9442">
          <cell r="B9442" t="str">
            <v>Shipment</v>
          </cell>
        </row>
        <row r="9443">
          <cell r="B9443" t="str">
            <v>Shipment</v>
          </cell>
        </row>
        <row r="9444">
          <cell r="B9444" t="str">
            <v>Shipment</v>
          </cell>
        </row>
        <row r="9445">
          <cell r="B9445" t="str">
            <v>Shipment</v>
          </cell>
        </row>
        <row r="9446">
          <cell r="B9446" t="str">
            <v>Shipment</v>
          </cell>
        </row>
        <row r="9447">
          <cell r="B9447" t="str">
            <v>Shipment</v>
          </cell>
        </row>
        <row r="9448">
          <cell r="B9448" t="str">
            <v>Shipment</v>
          </cell>
        </row>
        <row r="9449">
          <cell r="B9449" t="str">
            <v>Shipment</v>
          </cell>
        </row>
        <row r="9450">
          <cell r="B9450" t="str">
            <v>Shipment</v>
          </cell>
        </row>
        <row r="9451">
          <cell r="B9451" t="str">
            <v>Shipment</v>
          </cell>
        </row>
        <row r="9452">
          <cell r="B9452" t="str">
            <v>Shipment</v>
          </cell>
        </row>
        <row r="9453">
          <cell r="B9453" t="str">
            <v>Shipment</v>
          </cell>
        </row>
        <row r="9454">
          <cell r="B9454" t="str">
            <v>Shipment</v>
          </cell>
        </row>
        <row r="9455">
          <cell r="B9455" t="str">
            <v>Shipment</v>
          </cell>
        </row>
        <row r="9456">
          <cell r="B9456" t="str">
            <v>Shipment</v>
          </cell>
        </row>
        <row r="9457">
          <cell r="B9457" t="str">
            <v>Shipment</v>
          </cell>
        </row>
        <row r="9458">
          <cell r="B9458" t="str">
            <v>Shipment</v>
          </cell>
        </row>
        <row r="9459">
          <cell r="B9459" t="str">
            <v>Shipment</v>
          </cell>
        </row>
        <row r="9460">
          <cell r="B9460" t="str">
            <v>Shipment</v>
          </cell>
        </row>
        <row r="9461">
          <cell r="B9461" t="str">
            <v>Shipment</v>
          </cell>
        </row>
        <row r="9462">
          <cell r="B9462" t="str">
            <v>Shipment</v>
          </cell>
        </row>
        <row r="9463">
          <cell r="B9463" t="str">
            <v>Shipment</v>
          </cell>
        </row>
        <row r="9464">
          <cell r="B9464" t="str">
            <v>Shipment</v>
          </cell>
        </row>
        <row r="9465">
          <cell r="B9465" t="str">
            <v>Shipment</v>
          </cell>
        </row>
        <row r="9466">
          <cell r="B9466" t="str">
            <v>Shipment</v>
          </cell>
        </row>
        <row r="9467">
          <cell r="B9467" t="str">
            <v>Shipment</v>
          </cell>
        </row>
        <row r="9468">
          <cell r="B9468" t="str">
            <v>Shipment</v>
          </cell>
        </row>
        <row r="9469">
          <cell r="B9469" t="str">
            <v>Shipment</v>
          </cell>
        </row>
        <row r="9470">
          <cell r="B9470" t="str">
            <v>Shipment</v>
          </cell>
        </row>
        <row r="9471">
          <cell r="B9471" t="str">
            <v>Shipment</v>
          </cell>
        </row>
        <row r="9472">
          <cell r="B9472" t="str">
            <v>Shipment</v>
          </cell>
        </row>
        <row r="9473">
          <cell r="B9473" t="str">
            <v>Shipment</v>
          </cell>
        </row>
        <row r="9474">
          <cell r="B9474" t="str">
            <v>Shipment</v>
          </cell>
        </row>
        <row r="9475">
          <cell r="B9475" t="str">
            <v>Shipment</v>
          </cell>
        </row>
        <row r="9476">
          <cell r="B9476" t="str">
            <v>Shipment</v>
          </cell>
        </row>
        <row r="9477">
          <cell r="B9477" t="str">
            <v>Shipment</v>
          </cell>
        </row>
        <row r="9478">
          <cell r="B9478" t="str">
            <v>Shipment</v>
          </cell>
        </row>
        <row r="9479">
          <cell r="B9479" t="str">
            <v>Shipment</v>
          </cell>
        </row>
        <row r="9480">
          <cell r="B9480" t="str">
            <v>Shipment</v>
          </cell>
        </row>
        <row r="9481">
          <cell r="B9481" t="str">
            <v>Shipment</v>
          </cell>
        </row>
        <row r="9482">
          <cell r="B9482" t="str">
            <v>Shipment</v>
          </cell>
        </row>
        <row r="9483">
          <cell r="B9483" t="str">
            <v>Shipment</v>
          </cell>
        </row>
        <row r="9484">
          <cell r="B9484" t="str">
            <v>Shipment</v>
          </cell>
        </row>
        <row r="9485">
          <cell r="B9485" t="str">
            <v>Shipment</v>
          </cell>
        </row>
        <row r="9486">
          <cell r="B9486" t="str">
            <v>Shipment</v>
          </cell>
        </row>
        <row r="9487">
          <cell r="B9487" t="str">
            <v>Shipment</v>
          </cell>
        </row>
        <row r="9488">
          <cell r="B9488" t="str">
            <v>Shipment</v>
          </cell>
        </row>
        <row r="9489">
          <cell r="B9489" t="str">
            <v>Shipment</v>
          </cell>
        </row>
        <row r="9490">
          <cell r="B9490" t="str">
            <v>Shipment</v>
          </cell>
        </row>
        <row r="9491">
          <cell r="B9491" t="str">
            <v>Shipment</v>
          </cell>
        </row>
        <row r="9492">
          <cell r="B9492" t="str">
            <v>Shipment</v>
          </cell>
        </row>
        <row r="9493">
          <cell r="B9493" t="str">
            <v>Shipment</v>
          </cell>
        </row>
        <row r="9494">
          <cell r="B9494" t="str">
            <v>Shipment</v>
          </cell>
        </row>
        <row r="9495">
          <cell r="B9495" t="str">
            <v>Shipment</v>
          </cell>
        </row>
        <row r="9496">
          <cell r="B9496" t="str">
            <v>Shipment</v>
          </cell>
        </row>
        <row r="9497">
          <cell r="B9497" t="str">
            <v>Shipment</v>
          </cell>
        </row>
        <row r="9498">
          <cell r="B9498" t="str">
            <v>Shipment</v>
          </cell>
        </row>
        <row r="9499">
          <cell r="B9499" t="str">
            <v>Shipment</v>
          </cell>
        </row>
        <row r="9500">
          <cell r="B9500" t="str">
            <v>Shipment</v>
          </cell>
        </row>
        <row r="9501">
          <cell r="B9501" t="str">
            <v>Shipment</v>
          </cell>
        </row>
        <row r="9502">
          <cell r="B9502" t="str">
            <v>Shipment</v>
          </cell>
        </row>
        <row r="9503">
          <cell r="B9503" t="str">
            <v>Shipment</v>
          </cell>
        </row>
        <row r="9504">
          <cell r="B9504" t="str">
            <v>Shipment</v>
          </cell>
        </row>
        <row r="9505">
          <cell r="B9505" t="str">
            <v>Shipment</v>
          </cell>
        </row>
        <row r="9506">
          <cell r="B9506" t="str">
            <v>Shipment</v>
          </cell>
        </row>
        <row r="9507">
          <cell r="B9507" t="str">
            <v>Shipment</v>
          </cell>
        </row>
        <row r="9508">
          <cell r="B9508" t="str">
            <v>Shipment</v>
          </cell>
        </row>
        <row r="9509">
          <cell r="B9509" t="str">
            <v>Shipment</v>
          </cell>
        </row>
        <row r="9510">
          <cell r="B9510" t="str">
            <v>Shipment</v>
          </cell>
        </row>
        <row r="9511">
          <cell r="B9511" t="str">
            <v>Shipment</v>
          </cell>
        </row>
        <row r="9512">
          <cell r="B9512" t="str">
            <v>Shipment</v>
          </cell>
        </row>
        <row r="9513">
          <cell r="B9513" t="str">
            <v>Shipment</v>
          </cell>
        </row>
        <row r="9514">
          <cell r="B9514" t="str">
            <v>Shipment</v>
          </cell>
        </row>
        <row r="9515">
          <cell r="B9515" t="str">
            <v>Shipment</v>
          </cell>
        </row>
        <row r="9516">
          <cell r="B9516" t="str">
            <v>Shipment</v>
          </cell>
        </row>
        <row r="9517">
          <cell r="B9517" t="str">
            <v>Shipment</v>
          </cell>
        </row>
        <row r="9518">
          <cell r="B9518" t="str">
            <v>Shipment</v>
          </cell>
        </row>
        <row r="9519">
          <cell r="B9519" t="str">
            <v>Shipment</v>
          </cell>
        </row>
        <row r="9520">
          <cell r="B9520" t="str">
            <v>Shipment</v>
          </cell>
        </row>
        <row r="9521">
          <cell r="B9521" t="str">
            <v>Shipment</v>
          </cell>
        </row>
        <row r="9522">
          <cell r="B9522" t="str">
            <v>Shipment</v>
          </cell>
        </row>
        <row r="9523">
          <cell r="B9523" t="str">
            <v>Shipment</v>
          </cell>
        </row>
        <row r="9524">
          <cell r="B9524" t="str">
            <v>Shipment</v>
          </cell>
        </row>
        <row r="9525">
          <cell r="B9525" t="str">
            <v>Shipment</v>
          </cell>
        </row>
        <row r="9526">
          <cell r="B9526" t="str">
            <v>Shipment</v>
          </cell>
        </row>
        <row r="9527">
          <cell r="B9527" t="str">
            <v>Shipment</v>
          </cell>
        </row>
        <row r="9528">
          <cell r="B9528" t="str">
            <v>Shipment</v>
          </cell>
        </row>
        <row r="9529">
          <cell r="B9529" t="str">
            <v>Shipment</v>
          </cell>
        </row>
        <row r="9530">
          <cell r="B9530" t="str">
            <v>Shipment</v>
          </cell>
        </row>
        <row r="9531">
          <cell r="B9531" t="str">
            <v>Shipment</v>
          </cell>
        </row>
        <row r="9532">
          <cell r="B9532" t="str">
            <v>Shipment</v>
          </cell>
        </row>
        <row r="9533">
          <cell r="B9533" t="str">
            <v>Shipment</v>
          </cell>
        </row>
        <row r="9534">
          <cell r="B9534" t="str">
            <v>Shipment</v>
          </cell>
        </row>
        <row r="9535">
          <cell r="B9535" t="str">
            <v>Shipment</v>
          </cell>
        </row>
        <row r="9536">
          <cell r="B9536" t="str">
            <v>Shipment</v>
          </cell>
        </row>
        <row r="9537">
          <cell r="B9537" t="str">
            <v>Shipment</v>
          </cell>
        </row>
        <row r="9538">
          <cell r="B9538" t="str">
            <v>Shipment</v>
          </cell>
        </row>
        <row r="9539">
          <cell r="B9539" t="str">
            <v>Shipment</v>
          </cell>
        </row>
        <row r="9540">
          <cell r="B9540" t="str">
            <v>Shipment</v>
          </cell>
        </row>
        <row r="9541">
          <cell r="B9541" t="str">
            <v>Shipment</v>
          </cell>
        </row>
        <row r="9542">
          <cell r="B9542" t="str">
            <v>Shipment</v>
          </cell>
        </row>
        <row r="9543">
          <cell r="B9543" t="str">
            <v>Shipment</v>
          </cell>
        </row>
        <row r="9544">
          <cell r="B9544" t="str">
            <v>Shipment</v>
          </cell>
        </row>
        <row r="9545">
          <cell r="B9545" t="str">
            <v>Shipment</v>
          </cell>
        </row>
        <row r="9546">
          <cell r="B9546" t="str">
            <v>Shipment</v>
          </cell>
        </row>
        <row r="9547">
          <cell r="B9547" t="str">
            <v>Shipment</v>
          </cell>
        </row>
        <row r="9548">
          <cell r="B9548" t="str">
            <v>Shipment</v>
          </cell>
        </row>
        <row r="9549">
          <cell r="B9549" t="str">
            <v>Shipment</v>
          </cell>
        </row>
        <row r="9550">
          <cell r="B9550" t="str">
            <v>Shipment</v>
          </cell>
        </row>
        <row r="9551">
          <cell r="B9551" t="str">
            <v>Shipment</v>
          </cell>
        </row>
        <row r="9552">
          <cell r="B9552" t="str">
            <v>Shipment</v>
          </cell>
        </row>
        <row r="9553">
          <cell r="B9553" t="str">
            <v>Shipment</v>
          </cell>
        </row>
        <row r="9554">
          <cell r="B9554" t="str">
            <v>Shipment</v>
          </cell>
        </row>
        <row r="9555">
          <cell r="B9555" t="str">
            <v>Shipment</v>
          </cell>
        </row>
        <row r="9556">
          <cell r="B9556" t="str">
            <v>Shipment</v>
          </cell>
        </row>
        <row r="9557">
          <cell r="B9557" t="str">
            <v>Shipment</v>
          </cell>
        </row>
        <row r="9558">
          <cell r="B9558" t="str">
            <v>Shipment</v>
          </cell>
        </row>
        <row r="9559">
          <cell r="B9559" t="str">
            <v>Shipment</v>
          </cell>
        </row>
        <row r="9560">
          <cell r="B9560" t="str">
            <v>Shipment</v>
          </cell>
        </row>
        <row r="9561">
          <cell r="B9561" t="str">
            <v>Shipment</v>
          </cell>
        </row>
        <row r="9562">
          <cell r="B9562" t="str">
            <v>Shipment</v>
          </cell>
        </row>
        <row r="9563">
          <cell r="B9563" t="str">
            <v>Shipment</v>
          </cell>
        </row>
        <row r="9564">
          <cell r="B9564" t="str">
            <v>Shipment</v>
          </cell>
        </row>
        <row r="9565">
          <cell r="B9565" t="str">
            <v>Shipment</v>
          </cell>
        </row>
        <row r="9566">
          <cell r="B9566" t="str">
            <v>Shipment</v>
          </cell>
        </row>
        <row r="9567">
          <cell r="B9567" t="str">
            <v>Shipment</v>
          </cell>
        </row>
        <row r="9568">
          <cell r="B9568" t="str">
            <v>Shipment</v>
          </cell>
        </row>
        <row r="9569">
          <cell r="B9569" t="str">
            <v>Shipment</v>
          </cell>
        </row>
        <row r="9570">
          <cell r="B9570" t="str">
            <v>Shipment</v>
          </cell>
        </row>
        <row r="9571">
          <cell r="B9571" t="str">
            <v>Shipment</v>
          </cell>
        </row>
        <row r="9572">
          <cell r="B9572" t="str">
            <v>Shipment</v>
          </cell>
        </row>
        <row r="9573">
          <cell r="B9573" t="str">
            <v>Shipment</v>
          </cell>
        </row>
        <row r="9574">
          <cell r="B9574" t="str">
            <v>Shipment</v>
          </cell>
        </row>
        <row r="9575">
          <cell r="B9575" t="str">
            <v>Shipment</v>
          </cell>
        </row>
        <row r="9576">
          <cell r="B9576" t="str">
            <v>Shipment</v>
          </cell>
        </row>
        <row r="9577">
          <cell r="B9577" t="str">
            <v>Shipment</v>
          </cell>
        </row>
        <row r="9578">
          <cell r="B9578" t="str">
            <v>Shipment</v>
          </cell>
        </row>
        <row r="9579">
          <cell r="B9579" t="str">
            <v>Shipment</v>
          </cell>
        </row>
        <row r="9580">
          <cell r="B9580" t="str">
            <v>Shipment</v>
          </cell>
        </row>
        <row r="9581">
          <cell r="B9581" t="str">
            <v>Shipment</v>
          </cell>
        </row>
        <row r="9582">
          <cell r="B9582" t="str">
            <v>Shipment</v>
          </cell>
        </row>
        <row r="9583">
          <cell r="B9583" t="str">
            <v>Shipment</v>
          </cell>
        </row>
        <row r="9584">
          <cell r="B9584" t="str">
            <v>Shipment</v>
          </cell>
        </row>
        <row r="9585">
          <cell r="B9585" t="str">
            <v>Shipment</v>
          </cell>
        </row>
        <row r="9586">
          <cell r="B9586" t="str">
            <v>Shipment</v>
          </cell>
        </row>
        <row r="9587">
          <cell r="B9587" t="str">
            <v>Shipment</v>
          </cell>
        </row>
        <row r="9588">
          <cell r="B9588" t="str">
            <v>Shipment</v>
          </cell>
        </row>
        <row r="9589">
          <cell r="B9589" t="str">
            <v>Shipment</v>
          </cell>
        </row>
        <row r="9590">
          <cell r="B9590" t="str">
            <v>Shipment</v>
          </cell>
        </row>
        <row r="9591">
          <cell r="B9591" t="str">
            <v>Shipment</v>
          </cell>
        </row>
        <row r="9592">
          <cell r="B9592" t="str">
            <v>Shipment</v>
          </cell>
        </row>
        <row r="9593">
          <cell r="B9593" t="str">
            <v>Shipment</v>
          </cell>
        </row>
        <row r="9594">
          <cell r="B9594" t="str">
            <v>Shipment</v>
          </cell>
        </row>
        <row r="9595">
          <cell r="B9595" t="str">
            <v>Shipment</v>
          </cell>
        </row>
        <row r="9596">
          <cell r="B9596" t="str">
            <v>Shipment</v>
          </cell>
        </row>
        <row r="9597">
          <cell r="B9597" t="str">
            <v>Shipment</v>
          </cell>
        </row>
        <row r="9598">
          <cell r="B9598" t="str">
            <v>Shipment</v>
          </cell>
        </row>
        <row r="9599">
          <cell r="B9599" t="str">
            <v>Shipment</v>
          </cell>
        </row>
        <row r="9600">
          <cell r="B9600" t="str">
            <v>Shipment</v>
          </cell>
        </row>
        <row r="9601">
          <cell r="B9601" t="str">
            <v>Shipment</v>
          </cell>
        </row>
        <row r="9602">
          <cell r="B9602" t="str">
            <v>Shipment</v>
          </cell>
        </row>
        <row r="9603">
          <cell r="B9603" t="str">
            <v>Shipment</v>
          </cell>
        </row>
        <row r="9604">
          <cell r="B9604" t="str">
            <v>Shipment</v>
          </cell>
        </row>
        <row r="9605">
          <cell r="B9605" t="str">
            <v>Shipment</v>
          </cell>
        </row>
        <row r="9606">
          <cell r="B9606" t="str">
            <v>Shipment</v>
          </cell>
        </row>
        <row r="9607">
          <cell r="B9607" t="str">
            <v>Shipment</v>
          </cell>
        </row>
        <row r="9608">
          <cell r="B9608" t="str">
            <v>Shipment</v>
          </cell>
        </row>
        <row r="9609">
          <cell r="B9609" t="str">
            <v>Shipment</v>
          </cell>
        </row>
        <row r="9610">
          <cell r="B9610" t="str">
            <v>Shipment</v>
          </cell>
        </row>
        <row r="9611">
          <cell r="B9611" t="str">
            <v>Shipment</v>
          </cell>
        </row>
        <row r="9612">
          <cell r="B9612" t="str">
            <v>Shipment</v>
          </cell>
        </row>
        <row r="9613">
          <cell r="B9613" t="str">
            <v>Shipment</v>
          </cell>
        </row>
        <row r="9614">
          <cell r="B9614" t="str">
            <v>Shipment</v>
          </cell>
        </row>
        <row r="9615">
          <cell r="B9615" t="str">
            <v>Shipment</v>
          </cell>
        </row>
        <row r="9616">
          <cell r="B9616" t="str">
            <v>Shipment</v>
          </cell>
        </row>
        <row r="9617">
          <cell r="B9617" t="str">
            <v>Shipment</v>
          </cell>
        </row>
        <row r="9618">
          <cell r="B9618" t="str">
            <v>Shipment</v>
          </cell>
        </row>
        <row r="9619">
          <cell r="B9619" t="str">
            <v>Shipment</v>
          </cell>
        </row>
        <row r="9620">
          <cell r="B9620" t="str">
            <v>Shipment</v>
          </cell>
        </row>
        <row r="9621">
          <cell r="B9621" t="str">
            <v>Shipment</v>
          </cell>
        </row>
        <row r="9622">
          <cell r="B9622" t="str">
            <v>Shipment</v>
          </cell>
        </row>
        <row r="9623">
          <cell r="B9623" t="str">
            <v>Shipment</v>
          </cell>
        </row>
        <row r="9624">
          <cell r="B9624" t="str">
            <v>Shipment</v>
          </cell>
        </row>
        <row r="9625">
          <cell r="B9625" t="str">
            <v>Shipment</v>
          </cell>
        </row>
        <row r="9626">
          <cell r="B9626" t="str">
            <v>Shipment</v>
          </cell>
        </row>
        <row r="9627">
          <cell r="B9627" t="str">
            <v>Shipment</v>
          </cell>
        </row>
        <row r="9628">
          <cell r="B9628" t="str">
            <v>Shipment</v>
          </cell>
        </row>
        <row r="9629">
          <cell r="B9629" t="str">
            <v>Shipment</v>
          </cell>
        </row>
        <row r="9630">
          <cell r="B9630" t="str">
            <v>Shipment</v>
          </cell>
        </row>
        <row r="9631">
          <cell r="B9631" t="str">
            <v>Shipment</v>
          </cell>
        </row>
        <row r="9632">
          <cell r="B9632" t="str">
            <v>Shipment</v>
          </cell>
        </row>
        <row r="9633">
          <cell r="B9633" t="str">
            <v>Shipment</v>
          </cell>
        </row>
        <row r="9634">
          <cell r="B9634" t="str">
            <v>Shipment</v>
          </cell>
        </row>
        <row r="9635">
          <cell r="B9635" t="str">
            <v>Shipment</v>
          </cell>
        </row>
        <row r="9636">
          <cell r="B9636" t="str">
            <v>Shipment</v>
          </cell>
        </row>
        <row r="9637">
          <cell r="B9637" t="str">
            <v>Shipment</v>
          </cell>
        </row>
        <row r="9638">
          <cell r="B9638" t="str">
            <v>Shipment</v>
          </cell>
        </row>
        <row r="9639">
          <cell r="B9639" t="str">
            <v>Shipment</v>
          </cell>
        </row>
        <row r="9640">
          <cell r="B9640" t="str">
            <v>Shipment</v>
          </cell>
        </row>
        <row r="9641">
          <cell r="B9641" t="str">
            <v>Shipment</v>
          </cell>
        </row>
        <row r="9642">
          <cell r="B9642" t="str">
            <v>Shipment</v>
          </cell>
        </row>
        <row r="9643">
          <cell r="B9643" t="str">
            <v>Shipment</v>
          </cell>
        </row>
        <row r="9644">
          <cell r="B9644" t="str">
            <v>Shipment</v>
          </cell>
        </row>
        <row r="9645">
          <cell r="B9645" t="str">
            <v>Shipment</v>
          </cell>
        </row>
        <row r="9646">
          <cell r="B9646" t="str">
            <v>Shipment</v>
          </cell>
        </row>
        <row r="9647">
          <cell r="B9647" t="str">
            <v>Shipment</v>
          </cell>
        </row>
        <row r="9648">
          <cell r="B9648" t="str">
            <v>Shipment</v>
          </cell>
        </row>
        <row r="9649">
          <cell r="B9649" t="str">
            <v>Shipment</v>
          </cell>
        </row>
        <row r="9650">
          <cell r="B9650" t="str">
            <v>Shipment</v>
          </cell>
        </row>
        <row r="9651">
          <cell r="B9651" t="str">
            <v>Shipment</v>
          </cell>
        </row>
        <row r="9652">
          <cell r="B9652" t="str">
            <v>Shipment</v>
          </cell>
        </row>
        <row r="9653">
          <cell r="B9653" t="str">
            <v>Shipment</v>
          </cell>
        </row>
        <row r="9654">
          <cell r="B9654" t="str">
            <v>Shipment</v>
          </cell>
        </row>
        <row r="9655">
          <cell r="B9655" t="str">
            <v>Shipment</v>
          </cell>
        </row>
        <row r="9656">
          <cell r="B9656" t="str">
            <v>Shipment</v>
          </cell>
        </row>
        <row r="9657">
          <cell r="B9657" t="str">
            <v>Shipment</v>
          </cell>
        </row>
        <row r="9658">
          <cell r="B9658" t="str">
            <v>Shipment</v>
          </cell>
        </row>
        <row r="9659">
          <cell r="B9659" t="str">
            <v>Shipment</v>
          </cell>
        </row>
        <row r="9660">
          <cell r="B9660" t="str">
            <v>Shipment</v>
          </cell>
        </row>
        <row r="9661">
          <cell r="B9661" t="str">
            <v>Shipment</v>
          </cell>
        </row>
        <row r="9662">
          <cell r="B9662" t="str">
            <v>Shipment</v>
          </cell>
        </row>
        <row r="9663">
          <cell r="B9663" t="str">
            <v>Shipment</v>
          </cell>
        </row>
        <row r="9664">
          <cell r="B9664" t="str">
            <v>Shipment</v>
          </cell>
        </row>
        <row r="9665">
          <cell r="B9665" t="str">
            <v>Shipment</v>
          </cell>
        </row>
        <row r="9666">
          <cell r="B9666" t="str">
            <v>Shipment</v>
          </cell>
        </row>
        <row r="9667">
          <cell r="B9667" t="str">
            <v>Shipment</v>
          </cell>
        </row>
        <row r="9668">
          <cell r="B9668" t="str">
            <v>Shipment</v>
          </cell>
        </row>
        <row r="9669">
          <cell r="B9669" t="str">
            <v>Shipment</v>
          </cell>
        </row>
        <row r="9670">
          <cell r="B9670" t="str">
            <v>Shipment</v>
          </cell>
        </row>
        <row r="9671">
          <cell r="B9671" t="str">
            <v>Shipment</v>
          </cell>
        </row>
        <row r="9672">
          <cell r="B9672" t="str">
            <v>Shipment</v>
          </cell>
        </row>
        <row r="9673">
          <cell r="B9673" t="str">
            <v>Shipment</v>
          </cell>
        </row>
        <row r="9674">
          <cell r="B9674" t="str">
            <v>Shipment</v>
          </cell>
        </row>
        <row r="9675">
          <cell r="B9675" t="str">
            <v>Shipment</v>
          </cell>
        </row>
        <row r="9676">
          <cell r="B9676" t="str">
            <v>Shipment</v>
          </cell>
        </row>
        <row r="9677">
          <cell r="B9677" t="str">
            <v>Shipment</v>
          </cell>
        </row>
        <row r="9678">
          <cell r="B9678" t="str">
            <v>Shipment</v>
          </cell>
        </row>
        <row r="9679">
          <cell r="B9679" t="str">
            <v>Shipment</v>
          </cell>
        </row>
        <row r="9680">
          <cell r="B9680" t="str">
            <v>Shipment</v>
          </cell>
        </row>
        <row r="9681">
          <cell r="B9681" t="str">
            <v>Shipment</v>
          </cell>
        </row>
        <row r="9682">
          <cell r="B9682" t="str">
            <v>Shipment</v>
          </cell>
        </row>
        <row r="9683">
          <cell r="B9683" t="str">
            <v>Shipment</v>
          </cell>
        </row>
        <row r="9684">
          <cell r="B9684" t="str">
            <v>Shipment</v>
          </cell>
        </row>
        <row r="9685">
          <cell r="B9685" t="str">
            <v>Shipment</v>
          </cell>
        </row>
        <row r="9686">
          <cell r="B9686" t="str">
            <v>Shipment</v>
          </cell>
        </row>
        <row r="9687">
          <cell r="B9687" t="str">
            <v>Shipment</v>
          </cell>
        </row>
        <row r="9688">
          <cell r="B9688" t="str">
            <v>Shipment</v>
          </cell>
        </row>
        <row r="9689">
          <cell r="B9689" t="str">
            <v>Shipment</v>
          </cell>
        </row>
        <row r="9690">
          <cell r="B9690" t="str">
            <v>Shipment</v>
          </cell>
        </row>
        <row r="9691">
          <cell r="B9691" t="str">
            <v>Shipment</v>
          </cell>
        </row>
        <row r="9692">
          <cell r="B9692" t="str">
            <v>Shipment</v>
          </cell>
        </row>
        <row r="9693">
          <cell r="B9693" t="str">
            <v>Shipment</v>
          </cell>
        </row>
        <row r="9694">
          <cell r="B9694" t="str">
            <v>Shipment</v>
          </cell>
        </row>
        <row r="9695">
          <cell r="B9695" t="str">
            <v>Shipment</v>
          </cell>
        </row>
        <row r="9696">
          <cell r="B9696" t="str">
            <v>Shipment</v>
          </cell>
        </row>
        <row r="9697">
          <cell r="B9697" t="str">
            <v>Shipment</v>
          </cell>
        </row>
        <row r="9698">
          <cell r="B9698" t="str">
            <v>Shipment</v>
          </cell>
        </row>
        <row r="9699">
          <cell r="B9699" t="str">
            <v>Shipment</v>
          </cell>
        </row>
        <row r="9700">
          <cell r="B9700" t="str">
            <v>Shipment</v>
          </cell>
        </row>
        <row r="9701">
          <cell r="B9701" t="str">
            <v>Shipment</v>
          </cell>
        </row>
        <row r="9702">
          <cell r="B9702" t="str">
            <v>Shipment</v>
          </cell>
        </row>
        <row r="9703">
          <cell r="B9703" t="str">
            <v>Shipment</v>
          </cell>
        </row>
        <row r="9704">
          <cell r="B9704" t="str">
            <v>Shipment</v>
          </cell>
        </row>
        <row r="9705">
          <cell r="B9705" t="str">
            <v>Shipment</v>
          </cell>
        </row>
        <row r="9706">
          <cell r="B9706" t="str">
            <v>Shipment</v>
          </cell>
        </row>
        <row r="9707">
          <cell r="B9707" t="str">
            <v>Shipment</v>
          </cell>
        </row>
        <row r="9708">
          <cell r="B9708" t="str">
            <v>Shipment</v>
          </cell>
        </row>
        <row r="9709">
          <cell r="B9709" t="str">
            <v>Shipment</v>
          </cell>
        </row>
        <row r="9710">
          <cell r="B9710" t="str">
            <v>Shipment</v>
          </cell>
        </row>
        <row r="9711">
          <cell r="B9711" t="str">
            <v>Shipment</v>
          </cell>
        </row>
        <row r="9712">
          <cell r="B9712" t="str">
            <v>Shipment</v>
          </cell>
        </row>
        <row r="9713">
          <cell r="B9713" t="str">
            <v>Shipment</v>
          </cell>
        </row>
        <row r="9714">
          <cell r="B9714" t="str">
            <v>Shipment</v>
          </cell>
        </row>
        <row r="9715">
          <cell r="B9715" t="str">
            <v>Shipment</v>
          </cell>
        </row>
        <row r="9716">
          <cell r="B9716" t="str">
            <v>Shipment</v>
          </cell>
        </row>
        <row r="9717">
          <cell r="B9717" t="str">
            <v>Shipment</v>
          </cell>
        </row>
        <row r="9718">
          <cell r="B9718" t="str">
            <v>Shipment</v>
          </cell>
        </row>
        <row r="9719">
          <cell r="B9719" t="str">
            <v>Shipment</v>
          </cell>
        </row>
        <row r="9720">
          <cell r="B9720" t="str">
            <v>Shipment</v>
          </cell>
        </row>
        <row r="9721">
          <cell r="B9721" t="str">
            <v>Shipment</v>
          </cell>
        </row>
        <row r="9722">
          <cell r="B9722" t="str">
            <v>Shipment</v>
          </cell>
        </row>
        <row r="9723">
          <cell r="B9723" t="str">
            <v>Shipment</v>
          </cell>
        </row>
        <row r="9724">
          <cell r="B9724" t="str">
            <v>Shipment</v>
          </cell>
        </row>
        <row r="9725">
          <cell r="B9725" t="str">
            <v>Shipment</v>
          </cell>
        </row>
        <row r="9726">
          <cell r="B9726" t="str">
            <v>Shipment</v>
          </cell>
        </row>
        <row r="9727">
          <cell r="B9727" t="str">
            <v>Shipment</v>
          </cell>
        </row>
        <row r="9728">
          <cell r="B9728" t="str">
            <v>Shipment</v>
          </cell>
        </row>
        <row r="9729">
          <cell r="B9729" t="str">
            <v>Shipment</v>
          </cell>
        </row>
        <row r="9730">
          <cell r="B9730" t="str">
            <v>Shipment</v>
          </cell>
        </row>
        <row r="9731">
          <cell r="B9731" t="str">
            <v>Shipment</v>
          </cell>
        </row>
        <row r="9732">
          <cell r="B9732" t="str">
            <v>Shipment</v>
          </cell>
        </row>
        <row r="9733">
          <cell r="B9733" t="str">
            <v>Shipment</v>
          </cell>
        </row>
        <row r="9734">
          <cell r="B9734" t="str">
            <v>Shipment</v>
          </cell>
        </row>
        <row r="9735">
          <cell r="B9735" t="str">
            <v>Shipment</v>
          </cell>
        </row>
        <row r="9736">
          <cell r="B9736" t="str">
            <v>Shipment</v>
          </cell>
        </row>
        <row r="9737">
          <cell r="B9737" t="str">
            <v>Shipment</v>
          </cell>
        </row>
        <row r="9738">
          <cell r="B9738" t="str">
            <v>Shipment</v>
          </cell>
        </row>
        <row r="9739">
          <cell r="B9739" t="str">
            <v>Shipment</v>
          </cell>
        </row>
        <row r="9740">
          <cell r="B9740" t="str">
            <v>Shipment</v>
          </cell>
        </row>
        <row r="9741">
          <cell r="B9741" t="str">
            <v>Shipment</v>
          </cell>
        </row>
        <row r="9742">
          <cell r="B9742" t="str">
            <v>Shipment</v>
          </cell>
        </row>
        <row r="9743">
          <cell r="B9743" t="str">
            <v>Shipment</v>
          </cell>
        </row>
        <row r="9744">
          <cell r="B9744" t="str">
            <v>Shipment</v>
          </cell>
        </row>
        <row r="9745">
          <cell r="B9745" t="str">
            <v>Shipment</v>
          </cell>
        </row>
        <row r="9746">
          <cell r="B9746" t="str">
            <v>Shipment</v>
          </cell>
        </row>
        <row r="9747">
          <cell r="B9747" t="str">
            <v>Shipment</v>
          </cell>
        </row>
        <row r="9748">
          <cell r="B9748" t="str">
            <v>Shipment</v>
          </cell>
        </row>
        <row r="9749">
          <cell r="B9749" t="str">
            <v>Shipment</v>
          </cell>
        </row>
        <row r="9750">
          <cell r="B9750" t="str">
            <v>Shipment</v>
          </cell>
        </row>
        <row r="9751">
          <cell r="B9751" t="str">
            <v>Shipment</v>
          </cell>
        </row>
        <row r="9752">
          <cell r="B9752" t="str">
            <v>Shipment</v>
          </cell>
        </row>
        <row r="9753">
          <cell r="B9753" t="str">
            <v>Shipment</v>
          </cell>
        </row>
        <row r="9754">
          <cell r="B9754" t="str">
            <v>Shipment</v>
          </cell>
        </row>
        <row r="9755">
          <cell r="B9755" t="str">
            <v>Shipment</v>
          </cell>
        </row>
        <row r="9756">
          <cell r="B9756" t="str">
            <v>Shipment</v>
          </cell>
        </row>
        <row r="9757">
          <cell r="B9757" t="str">
            <v>Shipment</v>
          </cell>
        </row>
        <row r="9758">
          <cell r="B9758" t="str">
            <v>Shipment</v>
          </cell>
        </row>
        <row r="9759">
          <cell r="B9759" t="str">
            <v>Shipment</v>
          </cell>
        </row>
        <row r="9760">
          <cell r="B9760" t="str">
            <v>Shipment</v>
          </cell>
        </row>
        <row r="9761">
          <cell r="B9761" t="str">
            <v>Shipment</v>
          </cell>
        </row>
        <row r="9762">
          <cell r="B9762" t="str">
            <v>Shipment</v>
          </cell>
        </row>
        <row r="9763">
          <cell r="B9763" t="str">
            <v>Shipment</v>
          </cell>
        </row>
        <row r="9764">
          <cell r="B9764" t="str">
            <v>Shipment</v>
          </cell>
        </row>
        <row r="9765">
          <cell r="B9765" t="str">
            <v>Shipment</v>
          </cell>
        </row>
        <row r="9766">
          <cell r="B9766" t="str">
            <v>Shipment</v>
          </cell>
        </row>
        <row r="9767">
          <cell r="B9767" t="str">
            <v>Shipment</v>
          </cell>
        </row>
        <row r="9768">
          <cell r="B9768" t="str">
            <v>Shipment</v>
          </cell>
        </row>
        <row r="9769">
          <cell r="B9769" t="str">
            <v>Shipment</v>
          </cell>
        </row>
        <row r="9770">
          <cell r="B9770" t="str">
            <v>Shipment</v>
          </cell>
        </row>
        <row r="9771">
          <cell r="B9771" t="str">
            <v>Shipment</v>
          </cell>
        </row>
        <row r="9772">
          <cell r="B9772" t="str">
            <v>Shipment</v>
          </cell>
        </row>
        <row r="9773">
          <cell r="B9773" t="str">
            <v>Shipment</v>
          </cell>
        </row>
        <row r="9774">
          <cell r="B9774" t="str">
            <v>Shipment</v>
          </cell>
        </row>
        <row r="9775">
          <cell r="B9775" t="str">
            <v>Shipment</v>
          </cell>
        </row>
        <row r="9776">
          <cell r="B9776" t="str">
            <v>Shipment</v>
          </cell>
        </row>
        <row r="9777">
          <cell r="B9777" t="str">
            <v>Shipment</v>
          </cell>
        </row>
        <row r="9778">
          <cell r="B9778" t="str">
            <v>Shipment</v>
          </cell>
        </row>
        <row r="9779">
          <cell r="B9779" t="str">
            <v>Shipment</v>
          </cell>
        </row>
        <row r="9780">
          <cell r="B9780" t="str">
            <v>Shipment</v>
          </cell>
        </row>
        <row r="9781">
          <cell r="B9781" t="str">
            <v>Shipment</v>
          </cell>
        </row>
        <row r="9782">
          <cell r="B9782" t="str">
            <v>Shipment</v>
          </cell>
        </row>
        <row r="9783">
          <cell r="B9783" t="str">
            <v>Shipment</v>
          </cell>
        </row>
        <row r="9784">
          <cell r="B9784" t="str">
            <v>Shipment</v>
          </cell>
        </row>
        <row r="9785">
          <cell r="B9785" t="str">
            <v>Shipment</v>
          </cell>
        </row>
        <row r="9786">
          <cell r="B9786" t="str">
            <v>Shipment</v>
          </cell>
        </row>
        <row r="9787">
          <cell r="B9787" t="str">
            <v>Shipment</v>
          </cell>
        </row>
        <row r="9788">
          <cell r="B9788" t="str">
            <v>Shipment</v>
          </cell>
        </row>
        <row r="9789">
          <cell r="B9789" t="str">
            <v>Shipment</v>
          </cell>
        </row>
        <row r="9790">
          <cell r="B9790" t="str">
            <v>Shipment</v>
          </cell>
        </row>
        <row r="9791">
          <cell r="B9791" t="str">
            <v>Shipment</v>
          </cell>
        </row>
        <row r="9792">
          <cell r="B9792" t="str">
            <v>Shipment</v>
          </cell>
        </row>
        <row r="9793">
          <cell r="B9793" t="str">
            <v>Shipment</v>
          </cell>
        </row>
        <row r="9794">
          <cell r="B9794" t="str">
            <v>Shipment</v>
          </cell>
        </row>
        <row r="9795">
          <cell r="B9795" t="str">
            <v>Shipment</v>
          </cell>
        </row>
        <row r="9796">
          <cell r="B9796" t="str">
            <v>Shipment</v>
          </cell>
        </row>
        <row r="9797">
          <cell r="B9797" t="str">
            <v>Shipment</v>
          </cell>
        </row>
        <row r="9798">
          <cell r="B9798" t="str">
            <v>Shipment</v>
          </cell>
        </row>
        <row r="9799">
          <cell r="B9799" t="str">
            <v>Shipment</v>
          </cell>
        </row>
        <row r="9800">
          <cell r="B9800" t="str">
            <v>Shipment</v>
          </cell>
        </row>
        <row r="9801">
          <cell r="B9801" t="str">
            <v>Shipment</v>
          </cell>
        </row>
        <row r="9802">
          <cell r="B9802" t="str">
            <v>Shipment</v>
          </cell>
        </row>
        <row r="9803">
          <cell r="B9803" t="str">
            <v>Shipment</v>
          </cell>
        </row>
        <row r="9804">
          <cell r="B9804" t="str">
            <v>Shipment</v>
          </cell>
        </row>
        <row r="9805">
          <cell r="B9805" t="str">
            <v>Shipment</v>
          </cell>
        </row>
        <row r="9806">
          <cell r="B9806" t="str">
            <v>Shipment</v>
          </cell>
        </row>
        <row r="9807">
          <cell r="B9807" t="str">
            <v>Shipment</v>
          </cell>
        </row>
        <row r="9808">
          <cell r="B9808" t="str">
            <v>Shipment</v>
          </cell>
        </row>
        <row r="9809">
          <cell r="B9809" t="str">
            <v>Shipment</v>
          </cell>
        </row>
        <row r="9810">
          <cell r="B9810" t="str">
            <v>Shipment</v>
          </cell>
        </row>
        <row r="9811">
          <cell r="B9811" t="str">
            <v>Shipment</v>
          </cell>
        </row>
        <row r="9812">
          <cell r="B9812" t="str">
            <v>Shipment</v>
          </cell>
        </row>
        <row r="9813">
          <cell r="B9813" t="str">
            <v>Shipment</v>
          </cell>
        </row>
        <row r="9814">
          <cell r="B9814" t="str">
            <v>Shipment</v>
          </cell>
        </row>
        <row r="9815">
          <cell r="B9815" t="str">
            <v>Shipment</v>
          </cell>
        </row>
        <row r="9816">
          <cell r="B9816" t="str">
            <v>Shipment</v>
          </cell>
        </row>
        <row r="9817">
          <cell r="B9817" t="str">
            <v>Shipment</v>
          </cell>
        </row>
        <row r="9818">
          <cell r="B9818" t="str">
            <v>Shipment</v>
          </cell>
        </row>
        <row r="9819">
          <cell r="B9819" t="str">
            <v>Shipment</v>
          </cell>
        </row>
        <row r="9820">
          <cell r="B9820" t="str">
            <v>Shipment</v>
          </cell>
        </row>
        <row r="9821">
          <cell r="B9821" t="str">
            <v>Shipment</v>
          </cell>
        </row>
        <row r="9822">
          <cell r="B9822" t="str">
            <v>Shipment</v>
          </cell>
        </row>
        <row r="9823">
          <cell r="B9823" t="str">
            <v>Shipment</v>
          </cell>
        </row>
        <row r="9824">
          <cell r="B9824" t="str">
            <v>Shipment</v>
          </cell>
        </row>
        <row r="9825">
          <cell r="B9825" t="str">
            <v>Shipment</v>
          </cell>
        </row>
        <row r="9826">
          <cell r="B9826" t="str">
            <v>Shipment</v>
          </cell>
        </row>
        <row r="9827">
          <cell r="B9827" t="str">
            <v>Shipment</v>
          </cell>
        </row>
        <row r="9828">
          <cell r="B9828" t="str">
            <v>Shipment</v>
          </cell>
        </row>
        <row r="9829">
          <cell r="B9829" t="str">
            <v>Shipment</v>
          </cell>
        </row>
        <row r="9830">
          <cell r="B9830" t="str">
            <v>Shipment</v>
          </cell>
        </row>
        <row r="9831">
          <cell r="B9831" t="str">
            <v>Shipment</v>
          </cell>
        </row>
        <row r="9832">
          <cell r="B9832" t="str">
            <v>Shipment</v>
          </cell>
        </row>
        <row r="9833">
          <cell r="B9833" t="str">
            <v>Shipment</v>
          </cell>
        </row>
        <row r="9834">
          <cell r="B9834" t="str">
            <v>Shipment</v>
          </cell>
        </row>
        <row r="9835">
          <cell r="B9835" t="str">
            <v>Shipment</v>
          </cell>
        </row>
        <row r="9836">
          <cell r="B9836" t="str">
            <v>Shipment</v>
          </cell>
        </row>
        <row r="9837">
          <cell r="B9837" t="str">
            <v>Shipment</v>
          </cell>
        </row>
        <row r="9838">
          <cell r="B9838" t="str">
            <v>Shipment</v>
          </cell>
        </row>
        <row r="9839">
          <cell r="B9839" t="str">
            <v>Shipment</v>
          </cell>
        </row>
        <row r="9840">
          <cell r="B9840" t="str">
            <v>Shipment</v>
          </cell>
        </row>
        <row r="9841">
          <cell r="B9841" t="str">
            <v>Shipment</v>
          </cell>
        </row>
        <row r="9842">
          <cell r="B9842" t="str">
            <v>Shipment</v>
          </cell>
        </row>
        <row r="9843">
          <cell r="B9843" t="str">
            <v>Shipment</v>
          </cell>
        </row>
        <row r="9844">
          <cell r="B9844" t="str">
            <v>Shipment</v>
          </cell>
        </row>
        <row r="9845">
          <cell r="B9845" t="str">
            <v>Shipment</v>
          </cell>
        </row>
        <row r="9846">
          <cell r="B9846" t="str">
            <v>Shipment</v>
          </cell>
        </row>
        <row r="9847">
          <cell r="B9847" t="str">
            <v>Shipment</v>
          </cell>
        </row>
        <row r="9848">
          <cell r="B9848" t="str">
            <v>Shipment</v>
          </cell>
        </row>
        <row r="9849">
          <cell r="B9849" t="str">
            <v>Shipment</v>
          </cell>
        </row>
        <row r="9850">
          <cell r="B9850" t="str">
            <v>Shipment</v>
          </cell>
        </row>
        <row r="9851">
          <cell r="B9851" t="str">
            <v>Shipment</v>
          </cell>
        </row>
        <row r="9852">
          <cell r="B9852" t="str">
            <v>Shipment</v>
          </cell>
        </row>
        <row r="9853">
          <cell r="B9853" t="str">
            <v>Shipment</v>
          </cell>
        </row>
        <row r="9854">
          <cell r="B9854" t="str">
            <v>Shipment</v>
          </cell>
        </row>
        <row r="9855">
          <cell r="B9855" t="str">
            <v>Shipment</v>
          </cell>
        </row>
        <row r="9856">
          <cell r="B9856" t="str">
            <v>Shipment</v>
          </cell>
        </row>
        <row r="9857">
          <cell r="B9857" t="str">
            <v>Shipment</v>
          </cell>
        </row>
        <row r="9858">
          <cell r="B9858" t="str">
            <v>Shipment</v>
          </cell>
        </row>
        <row r="9859">
          <cell r="B9859" t="str">
            <v>Shipment</v>
          </cell>
        </row>
        <row r="9860">
          <cell r="B9860" t="str">
            <v>Shipment</v>
          </cell>
        </row>
        <row r="9861">
          <cell r="B9861" t="str">
            <v>Shipment</v>
          </cell>
        </row>
        <row r="9862">
          <cell r="B9862" t="str">
            <v>Shipment</v>
          </cell>
        </row>
        <row r="9863">
          <cell r="B9863" t="str">
            <v>Shipment</v>
          </cell>
        </row>
        <row r="9864">
          <cell r="B9864" t="str">
            <v>Shipment</v>
          </cell>
        </row>
        <row r="9865">
          <cell r="B9865" t="str">
            <v>Shipment</v>
          </cell>
        </row>
        <row r="9866">
          <cell r="B9866" t="str">
            <v>Shipment</v>
          </cell>
        </row>
        <row r="9867">
          <cell r="B9867" t="str">
            <v>Shipment</v>
          </cell>
        </row>
        <row r="9868">
          <cell r="B9868" t="str">
            <v>Shipment</v>
          </cell>
        </row>
        <row r="9869">
          <cell r="B9869" t="str">
            <v>Shipment</v>
          </cell>
        </row>
        <row r="9870">
          <cell r="B9870" t="str">
            <v>Shipment</v>
          </cell>
        </row>
        <row r="9871">
          <cell r="B9871" t="str">
            <v>Shipment</v>
          </cell>
        </row>
        <row r="9872">
          <cell r="B9872" t="str">
            <v>Shipment</v>
          </cell>
        </row>
        <row r="9873">
          <cell r="B9873" t="str">
            <v>Shipment</v>
          </cell>
        </row>
        <row r="9874">
          <cell r="B9874" t="str">
            <v>Shipment</v>
          </cell>
        </row>
        <row r="9875">
          <cell r="B9875" t="str">
            <v>Shipment</v>
          </cell>
        </row>
        <row r="9876">
          <cell r="B9876" t="str">
            <v>Shipment</v>
          </cell>
        </row>
        <row r="9877">
          <cell r="B9877" t="str">
            <v>Shipment</v>
          </cell>
        </row>
        <row r="9878">
          <cell r="B9878" t="str">
            <v>Shipment</v>
          </cell>
        </row>
        <row r="9879">
          <cell r="B9879" t="str">
            <v>Shipment</v>
          </cell>
        </row>
        <row r="9880">
          <cell r="B9880" t="str">
            <v>Shipment</v>
          </cell>
        </row>
        <row r="9881">
          <cell r="B9881" t="str">
            <v>Shipment</v>
          </cell>
        </row>
        <row r="9882">
          <cell r="B9882" t="str">
            <v>Shipment</v>
          </cell>
        </row>
        <row r="9883">
          <cell r="B9883" t="str">
            <v>Shipment</v>
          </cell>
        </row>
        <row r="9884">
          <cell r="B9884" t="str">
            <v>Shipment</v>
          </cell>
        </row>
        <row r="9885">
          <cell r="B9885" t="str">
            <v>Shipment</v>
          </cell>
        </row>
        <row r="9886">
          <cell r="B9886" t="str">
            <v>Shipment</v>
          </cell>
        </row>
        <row r="9887">
          <cell r="B9887" t="str">
            <v>Shipment</v>
          </cell>
        </row>
        <row r="9888">
          <cell r="B9888" t="str">
            <v>Shipment</v>
          </cell>
        </row>
        <row r="9889">
          <cell r="B9889" t="str">
            <v>Shipment</v>
          </cell>
        </row>
        <row r="9890">
          <cell r="B9890" t="str">
            <v>Shipment</v>
          </cell>
        </row>
        <row r="9891">
          <cell r="B9891" t="str">
            <v>Shipment</v>
          </cell>
        </row>
        <row r="9892">
          <cell r="B9892" t="str">
            <v>Shipment</v>
          </cell>
        </row>
        <row r="9893">
          <cell r="B9893" t="str">
            <v>Shipment</v>
          </cell>
        </row>
        <row r="9894">
          <cell r="B9894" t="str">
            <v>Shipment</v>
          </cell>
        </row>
        <row r="9895">
          <cell r="B9895" t="str">
            <v>Shipment</v>
          </cell>
        </row>
        <row r="9896">
          <cell r="B9896" t="str">
            <v>Shipment</v>
          </cell>
        </row>
        <row r="9897">
          <cell r="B9897" t="str">
            <v>Shipment</v>
          </cell>
        </row>
        <row r="9898">
          <cell r="B9898" t="str">
            <v>Shipment</v>
          </cell>
        </row>
        <row r="9899">
          <cell r="B9899" t="str">
            <v>Shipment</v>
          </cell>
        </row>
        <row r="9900">
          <cell r="B9900" t="str">
            <v>Shipment</v>
          </cell>
        </row>
        <row r="9901">
          <cell r="B9901" t="str">
            <v>Shipment</v>
          </cell>
        </row>
        <row r="9902">
          <cell r="B9902" t="str">
            <v>Shipment</v>
          </cell>
        </row>
        <row r="9903">
          <cell r="B9903" t="str">
            <v>Shipment</v>
          </cell>
        </row>
        <row r="9904">
          <cell r="B9904" t="str">
            <v>Shipment</v>
          </cell>
        </row>
        <row r="9905">
          <cell r="B9905" t="str">
            <v>Shipment</v>
          </cell>
        </row>
        <row r="9906">
          <cell r="B9906" t="str">
            <v>Shipment</v>
          </cell>
        </row>
        <row r="9907">
          <cell r="B9907" t="str">
            <v>Shipment</v>
          </cell>
        </row>
        <row r="9908">
          <cell r="B9908" t="str">
            <v>Shipment</v>
          </cell>
        </row>
        <row r="9909">
          <cell r="B9909" t="str">
            <v>Shipment</v>
          </cell>
        </row>
        <row r="9910">
          <cell r="B9910" t="str">
            <v>Shipment</v>
          </cell>
        </row>
        <row r="9911">
          <cell r="B9911" t="str">
            <v>Shipment</v>
          </cell>
        </row>
        <row r="9912">
          <cell r="B9912" t="str">
            <v>Shipment</v>
          </cell>
        </row>
        <row r="9913">
          <cell r="B9913" t="str">
            <v>Shipment</v>
          </cell>
        </row>
        <row r="9914">
          <cell r="B9914" t="str">
            <v>Shipment</v>
          </cell>
        </row>
        <row r="9915">
          <cell r="B9915" t="str">
            <v>Shipment</v>
          </cell>
        </row>
        <row r="9916">
          <cell r="B9916" t="str">
            <v>Shipment</v>
          </cell>
        </row>
        <row r="9917">
          <cell r="B9917" t="str">
            <v>Shipment</v>
          </cell>
        </row>
        <row r="9918">
          <cell r="B9918" t="str">
            <v>Shipment</v>
          </cell>
        </row>
        <row r="9919">
          <cell r="B9919" t="str">
            <v>Shipment</v>
          </cell>
        </row>
        <row r="9920">
          <cell r="B9920" t="str">
            <v>Shipment</v>
          </cell>
        </row>
        <row r="9921">
          <cell r="B9921" t="str">
            <v>Shipment</v>
          </cell>
        </row>
        <row r="9922">
          <cell r="B9922" t="str">
            <v>Shipment</v>
          </cell>
        </row>
        <row r="9923">
          <cell r="B9923" t="str">
            <v>Shipment</v>
          </cell>
        </row>
        <row r="9924">
          <cell r="B9924" t="str">
            <v>Shipment</v>
          </cell>
        </row>
        <row r="9925">
          <cell r="B9925" t="str">
            <v>Shipment</v>
          </cell>
        </row>
        <row r="9926">
          <cell r="B9926" t="str">
            <v>Shipment</v>
          </cell>
        </row>
        <row r="9927">
          <cell r="B9927" t="str">
            <v>Shipment</v>
          </cell>
        </row>
        <row r="9928">
          <cell r="B9928" t="str">
            <v>Shipment</v>
          </cell>
        </row>
        <row r="9929">
          <cell r="B9929" t="str">
            <v>Shipment</v>
          </cell>
        </row>
        <row r="9930">
          <cell r="B9930" t="str">
            <v>Shipment</v>
          </cell>
        </row>
        <row r="9931">
          <cell r="B9931" t="str">
            <v>Shipment</v>
          </cell>
        </row>
        <row r="9932">
          <cell r="B9932" t="str">
            <v>Shipment</v>
          </cell>
        </row>
        <row r="9933">
          <cell r="B9933" t="str">
            <v>Shipment</v>
          </cell>
        </row>
        <row r="9934">
          <cell r="B9934" t="str">
            <v>Shipment</v>
          </cell>
        </row>
        <row r="9935">
          <cell r="B9935" t="str">
            <v>Shipment</v>
          </cell>
        </row>
        <row r="9936">
          <cell r="B9936" t="str">
            <v>Shipment</v>
          </cell>
        </row>
        <row r="9937">
          <cell r="B9937" t="str">
            <v>Shipment</v>
          </cell>
        </row>
        <row r="9938">
          <cell r="B9938" t="str">
            <v>Shipment</v>
          </cell>
        </row>
        <row r="9939">
          <cell r="B9939" t="str">
            <v>Shipment</v>
          </cell>
        </row>
        <row r="9940">
          <cell r="B9940" t="str">
            <v>Shipment</v>
          </cell>
        </row>
        <row r="9941">
          <cell r="B9941" t="str">
            <v>Shipment</v>
          </cell>
        </row>
        <row r="9942">
          <cell r="B9942" t="str">
            <v>Shipment</v>
          </cell>
        </row>
        <row r="9943">
          <cell r="B9943" t="str">
            <v>Shipment</v>
          </cell>
        </row>
        <row r="9944">
          <cell r="B9944" t="str">
            <v>Shipment</v>
          </cell>
        </row>
        <row r="9945">
          <cell r="B9945" t="str">
            <v>Shipment</v>
          </cell>
        </row>
        <row r="9946">
          <cell r="B9946" t="str">
            <v>Shipment</v>
          </cell>
        </row>
        <row r="9947">
          <cell r="B9947" t="str">
            <v>Shipment</v>
          </cell>
        </row>
        <row r="9948">
          <cell r="B9948" t="str">
            <v>Shipment</v>
          </cell>
        </row>
        <row r="9949">
          <cell r="B9949" t="str">
            <v>Shipment</v>
          </cell>
        </row>
        <row r="9950">
          <cell r="B9950" t="str">
            <v>Shipment</v>
          </cell>
        </row>
        <row r="9951">
          <cell r="B9951" t="str">
            <v>Shipment</v>
          </cell>
        </row>
        <row r="9952">
          <cell r="B9952" t="str">
            <v>Shipment</v>
          </cell>
        </row>
        <row r="9953">
          <cell r="B9953" t="str">
            <v>Shipment</v>
          </cell>
        </row>
        <row r="9954">
          <cell r="B9954" t="str">
            <v>Shipment</v>
          </cell>
        </row>
        <row r="9955">
          <cell r="B9955" t="str">
            <v>Shipment</v>
          </cell>
        </row>
        <row r="9956">
          <cell r="B9956" t="str">
            <v>Shipment</v>
          </cell>
        </row>
        <row r="9957">
          <cell r="B9957" t="str">
            <v>Shipment</v>
          </cell>
        </row>
        <row r="9958">
          <cell r="B9958" t="str">
            <v>Shipment</v>
          </cell>
        </row>
        <row r="9959">
          <cell r="B9959" t="str">
            <v>Shipment</v>
          </cell>
        </row>
        <row r="9960">
          <cell r="B9960" t="str">
            <v>Shipment</v>
          </cell>
        </row>
        <row r="9961">
          <cell r="B9961" t="str">
            <v>Shipment</v>
          </cell>
        </row>
        <row r="9962">
          <cell r="B9962" t="str">
            <v>Shipment</v>
          </cell>
        </row>
        <row r="9963">
          <cell r="B9963" t="str">
            <v>Shipment</v>
          </cell>
        </row>
        <row r="9964">
          <cell r="B9964" t="str">
            <v>Shipment</v>
          </cell>
        </row>
        <row r="9965">
          <cell r="B9965" t="str">
            <v>Shipment</v>
          </cell>
        </row>
        <row r="9966">
          <cell r="B9966" t="str">
            <v>Shipment</v>
          </cell>
        </row>
        <row r="9967">
          <cell r="B9967" t="str">
            <v>Shipment</v>
          </cell>
        </row>
        <row r="9968">
          <cell r="B9968" t="str">
            <v>Shipment</v>
          </cell>
        </row>
        <row r="9969">
          <cell r="B9969" t="str">
            <v>Shipment</v>
          </cell>
        </row>
        <row r="9970">
          <cell r="B9970" t="str">
            <v>Shipment</v>
          </cell>
        </row>
        <row r="9971">
          <cell r="B9971" t="str">
            <v>Shipment</v>
          </cell>
        </row>
        <row r="9972">
          <cell r="B9972" t="str">
            <v>Shipment</v>
          </cell>
        </row>
        <row r="9973">
          <cell r="B9973" t="str">
            <v>Shipment</v>
          </cell>
        </row>
        <row r="9974">
          <cell r="B9974" t="str">
            <v>Shipment</v>
          </cell>
        </row>
        <row r="9975">
          <cell r="B9975" t="str">
            <v>Shipment</v>
          </cell>
        </row>
        <row r="9976">
          <cell r="B9976" t="str">
            <v>Shipment</v>
          </cell>
        </row>
        <row r="9977">
          <cell r="B9977" t="str">
            <v>Shipment</v>
          </cell>
        </row>
        <row r="9978">
          <cell r="B9978" t="str">
            <v>Shipment</v>
          </cell>
        </row>
        <row r="9979">
          <cell r="B9979" t="str">
            <v>Shipment</v>
          </cell>
        </row>
        <row r="9980">
          <cell r="B9980" t="str">
            <v>Shipment</v>
          </cell>
        </row>
        <row r="9981">
          <cell r="B9981" t="str">
            <v>Shipment</v>
          </cell>
        </row>
        <row r="9982">
          <cell r="B9982" t="str">
            <v>Shipment</v>
          </cell>
        </row>
        <row r="9983">
          <cell r="B9983" t="str">
            <v>Shipment</v>
          </cell>
        </row>
        <row r="9984">
          <cell r="B9984" t="str">
            <v>Shipment</v>
          </cell>
        </row>
        <row r="9985">
          <cell r="B9985" t="str">
            <v>Shipment</v>
          </cell>
        </row>
        <row r="9986">
          <cell r="B9986" t="str">
            <v>Shipment</v>
          </cell>
        </row>
        <row r="9987">
          <cell r="B9987" t="str">
            <v>Shipment</v>
          </cell>
        </row>
        <row r="9988">
          <cell r="B9988" t="str">
            <v>Shipment</v>
          </cell>
        </row>
        <row r="9989">
          <cell r="B9989" t="str">
            <v>Shipment</v>
          </cell>
        </row>
        <row r="9990">
          <cell r="B9990" t="str">
            <v>Shipment</v>
          </cell>
        </row>
        <row r="9991">
          <cell r="B9991" t="str">
            <v>Shipment</v>
          </cell>
        </row>
        <row r="9992">
          <cell r="B9992" t="str">
            <v>Shipment</v>
          </cell>
        </row>
        <row r="9993">
          <cell r="B9993" t="str">
            <v>Shipment</v>
          </cell>
        </row>
        <row r="9994">
          <cell r="B9994" t="str">
            <v>Shipment</v>
          </cell>
        </row>
        <row r="9995">
          <cell r="B9995" t="str">
            <v>Shipment</v>
          </cell>
        </row>
        <row r="9996">
          <cell r="B9996" t="str">
            <v>Shipment</v>
          </cell>
        </row>
        <row r="9997">
          <cell r="B9997" t="str">
            <v>Shipment</v>
          </cell>
        </row>
        <row r="9998">
          <cell r="B9998" t="str">
            <v>Shipment</v>
          </cell>
        </row>
        <row r="9999">
          <cell r="B9999" t="str">
            <v>Shipment</v>
          </cell>
        </row>
        <row r="10000">
          <cell r="B10000" t="str">
            <v>Shipment</v>
          </cell>
        </row>
        <row r="10001">
          <cell r="B10001" t="str">
            <v>Shipment</v>
          </cell>
        </row>
        <row r="10002">
          <cell r="B10002" t="str">
            <v>Shipment</v>
          </cell>
        </row>
        <row r="10003">
          <cell r="B10003" t="str">
            <v>Shipment</v>
          </cell>
        </row>
        <row r="10004">
          <cell r="B10004" t="str">
            <v>Shipment</v>
          </cell>
        </row>
        <row r="10005">
          <cell r="B10005" t="str">
            <v>Shipment</v>
          </cell>
        </row>
        <row r="10006">
          <cell r="B10006" t="str">
            <v>Shipment</v>
          </cell>
        </row>
        <row r="10007">
          <cell r="B10007" t="str">
            <v>Shipment</v>
          </cell>
        </row>
        <row r="10008">
          <cell r="B10008" t="str">
            <v>Shipment</v>
          </cell>
        </row>
        <row r="10009">
          <cell r="B10009" t="str">
            <v>Shipment</v>
          </cell>
        </row>
        <row r="10010">
          <cell r="B10010" t="str">
            <v>Shipment</v>
          </cell>
        </row>
        <row r="10011">
          <cell r="B10011" t="str">
            <v>Shipment</v>
          </cell>
        </row>
        <row r="10012">
          <cell r="B10012" t="str">
            <v>Shipment</v>
          </cell>
        </row>
        <row r="10013">
          <cell r="B10013" t="str">
            <v>Shipment</v>
          </cell>
        </row>
        <row r="10014">
          <cell r="B10014" t="str">
            <v>Shipment</v>
          </cell>
        </row>
        <row r="10015">
          <cell r="B10015" t="str">
            <v>Shipment</v>
          </cell>
        </row>
        <row r="10016">
          <cell r="B10016" t="str">
            <v>Shipment</v>
          </cell>
        </row>
        <row r="10017">
          <cell r="B10017" t="str">
            <v>Shipment</v>
          </cell>
        </row>
        <row r="10018">
          <cell r="B10018" t="str">
            <v>Shipment</v>
          </cell>
        </row>
        <row r="10019">
          <cell r="B10019" t="str">
            <v>Shipment</v>
          </cell>
        </row>
        <row r="10020">
          <cell r="B10020" t="str">
            <v>Shipment</v>
          </cell>
        </row>
        <row r="10021">
          <cell r="B10021" t="str">
            <v>Shipment</v>
          </cell>
        </row>
        <row r="10022">
          <cell r="B10022" t="str">
            <v>Shipment</v>
          </cell>
        </row>
        <row r="10023">
          <cell r="B10023" t="str">
            <v>Shipment</v>
          </cell>
        </row>
        <row r="10024">
          <cell r="B10024" t="str">
            <v>Shipment</v>
          </cell>
        </row>
        <row r="10025">
          <cell r="B10025" t="str">
            <v>Shipment</v>
          </cell>
        </row>
        <row r="10026">
          <cell r="B10026" t="str">
            <v>Shipment</v>
          </cell>
        </row>
        <row r="10027">
          <cell r="B10027" t="str">
            <v>Shipment</v>
          </cell>
        </row>
        <row r="10028">
          <cell r="B10028" t="str">
            <v>Shipment</v>
          </cell>
        </row>
        <row r="10029">
          <cell r="B10029" t="str">
            <v>Shipment</v>
          </cell>
        </row>
        <row r="10030">
          <cell r="B10030" t="str">
            <v>Shipment</v>
          </cell>
        </row>
        <row r="10031">
          <cell r="B10031" t="str">
            <v>Shipment</v>
          </cell>
        </row>
        <row r="10032">
          <cell r="B10032" t="str">
            <v>Shipment</v>
          </cell>
        </row>
        <row r="10033">
          <cell r="B10033" t="str">
            <v>Shipment</v>
          </cell>
        </row>
        <row r="10034">
          <cell r="B10034" t="str">
            <v>Shipment</v>
          </cell>
        </row>
        <row r="10035">
          <cell r="B10035" t="str">
            <v>Shipment</v>
          </cell>
        </row>
        <row r="10036">
          <cell r="B10036" t="str">
            <v>Shipment</v>
          </cell>
        </row>
        <row r="10037">
          <cell r="B10037" t="str">
            <v>Shipment</v>
          </cell>
        </row>
        <row r="10038">
          <cell r="B10038" t="str">
            <v>Shipment</v>
          </cell>
        </row>
        <row r="10039">
          <cell r="B10039" t="str">
            <v>Shipment</v>
          </cell>
        </row>
        <row r="10040">
          <cell r="B10040" t="str">
            <v>Shipment</v>
          </cell>
        </row>
        <row r="10041">
          <cell r="B10041" t="str">
            <v>Shipment</v>
          </cell>
        </row>
        <row r="10042">
          <cell r="B10042" t="str">
            <v>Shipment</v>
          </cell>
        </row>
        <row r="10043">
          <cell r="B10043" t="str">
            <v>Shipment</v>
          </cell>
        </row>
        <row r="10044">
          <cell r="B10044" t="str">
            <v>Shipment</v>
          </cell>
        </row>
        <row r="10045">
          <cell r="B10045" t="str">
            <v>Shipment</v>
          </cell>
        </row>
        <row r="10046">
          <cell r="B10046" t="str">
            <v>Shipment</v>
          </cell>
        </row>
        <row r="10047">
          <cell r="B10047" t="str">
            <v>Shipment</v>
          </cell>
        </row>
        <row r="10048">
          <cell r="B10048" t="str">
            <v>Shipment</v>
          </cell>
        </row>
        <row r="10049">
          <cell r="B10049" t="str">
            <v>Shipment</v>
          </cell>
        </row>
        <row r="10050">
          <cell r="B10050" t="str">
            <v>Shipment</v>
          </cell>
        </row>
        <row r="10051">
          <cell r="B10051" t="str">
            <v>Shipment</v>
          </cell>
        </row>
        <row r="10052">
          <cell r="B10052" t="str">
            <v>Shipment</v>
          </cell>
        </row>
        <row r="10053">
          <cell r="B10053" t="str">
            <v>Shipment</v>
          </cell>
        </row>
        <row r="10054">
          <cell r="B10054" t="str">
            <v>Shipment</v>
          </cell>
        </row>
        <row r="10055">
          <cell r="B10055" t="str">
            <v>Shipment</v>
          </cell>
        </row>
        <row r="10056">
          <cell r="B10056" t="str">
            <v>Shipment</v>
          </cell>
        </row>
        <row r="10057">
          <cell r="B10057" t="str">
            <v>Shipment</v>
          </cell>
        </row>
        <row r="10058">
          <cell r="B10058" t="str">
            <v>Shipment</v>
          </cell>
        </row>
        <row r="10059">
          <cell r="B10059" t="str">
            <v>Shipment</v>
          </cell>
        </row>
        <row r="10060">
          <cell r="B10060" t="str">
            <v>Shipment</v>
          </cell>
        </row>
        <row r="10061">
          <cell r="B10061" t="str">
            <v>Shipment</v>
          </cell>
        </row>
        <row r="10062">
          <cell r="B10062" t="str">
            <v>Shipment</v>
          </cell>
        </row>
        <row r="10063">
          <cell r="B10063" t="str">
            <v>Shipment</v>
          </cell>
        </row>
        <row r="10064">
          <cell r="B10064" t="str">
            <v>Shipment</v>
          </cell>
        </row>
        <row r="10065">
          <cell r="B10065" t="str">
            <v>Shipment</v>
          </cell>
        </row>
        <row r="10066">
          <cell r="B10066" t="str">
            <v>Shipment</v>
          </cell>
        </row>
        <row r="10067">
          <cell r="B10067" t="str">
            <v>Shipment</v>
          </cell>
        </row>
        <row r="10068">
          <cell r="B10068" t="str">
            <v>Shipment</v>
          </cell>
        </row>
        <row r="10069">
          <cell r="B10069" t="str">
            <v>Shipment</v>
          </cell>
        </row>
        <row r="10070">
          <cell r="B10070" t="str">
            <v>Shipment</v>
          </cell>
        </row>
        <row r="10071">
          <cell r="B10071" t="str">
            <v>Shipment</v>
          </cell>
        </row>
        <row r="10072">
          <cell r="B10072" t="str">
            <v>Shipment</v>
          </cell>
        </row>
        <row r="10073">
          <cell r="B10073" t="str">
            <v>Shipment</v>
          </cell>
        </row>
        <row r="10074">
          <cell r="B10074" t="str">
            <v>Shipment</v>
          </cell>
        </row>
        <row r="10075">
          <cell r="B10075" t="str">
            <v>Shipment</v>
          </cell>
        </row>
        <row r="10076">
          <cell r="B10076" t="str">
            <v>Shipment</v>
          </cell>
        </row>
        <row r="10077">
          <cell r="B10077" t="str">
            <v>Shipment</v>
          </cell>
        </row>
        <row r="10078">
          <cell r="B10078" t="str">
            <v>Shipment</v>
          </cell>
        </row>
        <row r="10079">
          <cell r="B10079" t="str">
            <v>Shipment</v>
          </cell>
        </row>
        <row r="10080">
          <cell r="B10080" t="str">
            <v>Shipment</v>
          </cell>
        </row>
        <row r="10081">
          <cell r="B10081" t="str">
            <v>Shipment</v>
          </cell>
        </row>
        <row r="10082">
          <cell r="B10082" t="str">
            <v>Shipment</v>
          </cell>
        </row>
        <row r="10083">
          <cell r="B10083" t="str">
            <v>Shipment</v>
          </cell>
        </row>
        <row r="10084">
          <cell r="B10084" t="str">
            <v>Shipment</v>
          </cell>
        </row>
        <row r="10085">
          <cell r="B10085" t="str">
            <v>Shipment</v>
          </cell>
        </row>
        <row r="10086">
          <cell r="B10086" t="str">
            <v>Shipment</v>
          </cell>
        </row>
        <row r="10087">
          <cell r="B10087" t="str">
            <v>Shipment</v>
          </cell>
        </row>
        <row r="10088">
          <cell r="B10088" t="str">
            <v>Shipment</v>
          </cell>
        </row>
        <row r="10089">
          <cell r="B10089" t="str">
            <v>Shipment</v>
          </cell>
        </row>
        <row r="10090">
          <cell r="B10090" t="str">
            <v>Shipment</v>
          </cell>
        </row>
        <row r="10091">
          <cell r="B10091" t="str">
            <v>Shipment</v>
          </cell>
        </row>
        <row r="10092">
          <cell r="B10092" t="str">
            <v>Shipment</v>
          </cell>
        </row>
        <row r="10093">
          <cell r="B10093" t="str">
            <v>Shipment</v>
          </cell>
        </row>
        <row r="10094">
          <cell r="B10094" t="str">
            <v>Shipment</v>
          </cell>
        </row>
        <row r="10095">
          <cell r="B10095" t="str">
            <v>Shipment</v>
          </cell>
        </row>
        <row r="10096">
          <cell r="B10096" t="str">
            <v>Shipment</v>
          </cell>
        </row>
        <row r="10097">
          <cell r="B10097" t="str">
            <v>Shipment</v>
          </cell>
        </row>
        <row r="10098">
          <cell r="B10098" t="str">
            <v>Shipment</v>
          </cell>
        </row>
        <row r="10099">
          <cell r="B10099" t="str">
            <v>Shipment</v>
          </cell>
        </row>
        <row r="10100">
          <cell r="B10100" t="str">
            <v>Shipment</v>
          </cell>
        </row>
        <row r="10101">
          <cell r="B10101" t="str">
            <v>Shipment</v>
          </cell>
        </row>
        <row r="10102">
          <cell r="B10102" t="str">
            <v>Shipment</v>
          </cell>
        </row>
        <row r="10103">
          <cell r="B10103" t="str">
            <v>Shipment</v>
          </cell>
        </row>
        <row r="10104">
          <cell r="B10104" t="str">
            <v>Shipment</v>
          </cell>
        </row>
        <row r="10105">
          <cell r="B10105" t="str">
            <v>Shipment</v>
          </cell>
        </row>
        <row r="10106">
          <cell r="B10106" t="str">
            <v>Shipment</v>
          </cell>
        </row>
        <row r="10107">
          <cell r="B10107" t="str">
            <v>Shipment</v>
          </cell>
        </row>
        <row r="10108">
          <cell r="B10108" t="str">
            <v>Shipment</v>
          </cell>
        </row>
        <row r="10109">
          <cell r="B10109" t="str">
            <v>Shipment</v>
          </cell>
        </row>
        <row r="10110">
          <cell r="B10110" t="str">
            <v>Shipment</v>
          </cell>
        </row>
        <row r="10111">
          <cell r="B10111" t="str">
            <v>Shipment</v>
          </cell>
        </row>
        <row r="10112">
          <cell r="B10112" t="str">
            <v>Shipment</v>
          </cell>
        </row>
        <row r="10113">
          <cell r="B10113" t="str">
            <v>Shipment</v>
          </cell>
        </row>
        <row r="10114">
          <cell r="B10114" t="str">
            <v>Shipment</v>
          </cell>
        </row>
        <row r="10115">
          <cell r="B10115" t="str">
            <v>Shipment</v>
          </cell>
        </row>
        <row r="10116">
          <cell r="B10116" t="str">
            <v>Shipment</v>
          </cell>
        </row>
        <row r="10117">
          <cell r="B10117" t="str">
            <v>Shipment</v>
          </cell>
        </row>
        <row r="10118">
          <cell r="B10118" t="str">
            <v>Shipment</v>
          </cell>
        </row>
        <row r="10119">
          <cell r="B10119" t="str">
            <v>Shipment</v>
          </cell>
        </row>
        <row r="10120">
          <cell r="B10120" t="str">
            <v>Shipment</v>
          </cell>
        </row>
        <row r="10121">
          <cell r="B10121" t="str">
            <v>Shipment</v>
          </cell>
        </row>
        <row r="10122">
          <cell r="B10122" t="str">
            <v>Shipment</v>
          </cell>
        </row>
        <row r="10123">
          <cell r="B10123" t="str">
            <v>Shipment</v>
          </cell>
        </row>
        <row r="10124">
          <cell r="B10124" t="str">
            <v>Shipment</v>
          </cell>
        </row>
        <row r="10125">
          <cell r="B10125" t="str">
            <v>Shipment</v>
          </cell>
        </row>
        <row r="10126">
          <cell r="B10126" t="str">
            <v>Shipment</v>
          </cell>
        </row>
        <row r="10127">
          <cell r="B10127" t="str">
            <v>Shipment</v>
          </cell>
        </row>
        <row r="10128">
          <cell r="B10128" t="str">
            <v>Shipment</v>
          </cell>
        </row>
        <row r="10129">
          <cell r="B10129" t="str">
            <v>Shipment</v>
          </cell>
        </row>
        <row r="10130">
          <cell r="B10130" t="str">
            <v>Shipment</v>
          </cell>
        </row>
        <row r="10131">
          <cell r="B10131" t="str">
            <v>Shipment</v>
          </cell>
        </row>
        <row r="10132">
          <cell r="B10132" t="str">
            <v>Shipment</v>
          </cell>
        </row>
        <row r="10133">
          <cell r="B10133" t="str">
            <v>Shipment</v>
          </cell>
        </row>
        <row r="10134">
          <cell r="B10134" t="str">
            <v>Shipment</v>
          </cell>
        </row>
        <row r="10135">
          <cell r="B10135" t="str">
            <v>Shipment</v>
          </cell>
        </row>
        <row r="10136">
          <cell r="B10136" t="str">
            <v>Shipment</v>
          </cell>
        </row>
        <row r="10137">
          <cell r="B10137" t="str">
            <v>Shipment</v>
          </cell>
        </row>
        <row r="10138">
          <cell r="B10138" t="str">
            <v>Shipment</v>
          </cell>
        </row>
        <row r="10139">
          <cell r="B10139" t="str">
            <v>Shipment</v>
          </cell>
        </row>
        <row r="10140">
          <cell r="B10140" t="str">
            <v>Shipment</v>
          </cell>
        </row>
        <row r="10141">
          <cell r="B10141" t="str">
            <v>Shipment</v>
          </cell>
        </row>
        <row r="10142">
          <cell r="B10142" t="str">
            <v>Shipment</v>
          </cell>
        </row>
        <row r="10143">
          <cell r="B10143" t="str">
            <v>Shipment</v>
          </cell>
        </row>
        <row r="10144">
          <cell r="B10144" t="str">
            <v>Shipment</v>
          </cell>
        </row>
        <row r="10145">
          <cell r="B10145" t="str">
            <v>Shipment</v>
          </cell>
        </row>
        <row r="10146">
          <cell r="B10146" t="str">
            <v>Shipment</v>
          </cell>
        </row>
        <row r="10147">
          <cell r="B10147" t="str">
            <v>Shipment</v>
          </cell>
        </row>
        <row r="10148">
          <cell r="B10148" t="str">
            <v>Shipment</v>
          </cell>
        </row>
        <row r="10149">
          <cell r="B10149" t="str">
            <v>Shipment</v>
          </cell>
        </row>
        <row r="10150">
          <cell r="B10150" t="str">
            <v>Shipment</v>
          </cell>
        </row>
        <row r="10151">
          <cell r="B10151" t="str">
            <v>Shipment</v>
          </cell>
        </row>
        <row r="10152">
          <cell r="B10152" t="str">
            <v>Shipment</v>
          </cell>
        </row>
        <row r="10153">
          <cell r="B10153" t="str">
            <v>Shipment</v>
          </cell>
        </row>
        <row r="10154">
          <cell r="B10154" t="str">
            <v>Shipment</v>
          </cell>
        </row>
        <row r="10155">
          <cell r="B10155" t="str">
            <v>Shipment</v>
          </cell>
        </row>
        <row r="10156">
          <cell r="B10156" t="str">
            <v>Shipment</v>
          </cell>
        </row>
        <row r="10157">
          <cell r="B10157" t="str">
            <v>Shipment</v>
          </cell>
        </row>
        <row r="10158">
          <cell r="B10158" t="str">
            <v>Shipment</v>
          </cell>
        </row>
        <row r="10159">
          <cell r="B10159" t="str">
            <v>Shipment</v>
          </cell>
        </row>
        <row r="10160">
          <cell r="B10160" t="str">
            <v>Shipment</v>
          </cell>
        </row>
        <row r="10161">
          <cell r="B10161" t="str">
            <v>Shipment</v>
          </cell>
        </row>
        <row r="10162">
          <cell r="B10162" t="str">
            <v>Shipment</v>
          </cell>
        </row>
        <row r="10163">
          <cell r="B10163" t="str">
            <v>Shipment</v>
          </cell>
        </row>
        <row r="10164">
          <cell r="B10164" t="str">
            <v>Shipment</v>
          </cell>
        </row>
        <row r="10165">
          <cell r="B10165" t="str">
            <v>Shipment</v>
          </cell>
        </row>
        <row r="10166">
          <cell r="B10166" t="str">
            <v>Shipment</v>
          </cell>
        </row>
        <row r="10167">
          <cell r="B10167" t="str">
            <v>Shipment</v>
          </cell>
        </row>
        <row r="10168">
          <cell r="B10168" t="str">
            <v>Shipment</v>
          </cell>
        </row>
        <row r="10169">
          <cell r="B10169" t="str">
            <v>Shipment</v>
          </cell>
        </row>
        <row r="10170">
          <cell r="B10170" t="str">
            <v>Shipment</v>
          </cell>
        </row>
        <row r="10171">
          <cell r="B10171" t="str">
            <v>Shipment</v>
          </cell>
        </row>
        <row r="10172">
          <cell r="B10172" t="str">
            <v>Shipment</v>
          </cell>
        </row>
        <row r="10173">
          <cell r="B10173" t="str">
            <v>Shipment</v>
          </cell>
        </row>
        <row r="10174">
          <cell r="B10174" t="str">
            <v>Shipment</v>
          </cell>
        </row>
        <row r="10175">
          <cell r="B10175" t="str">
            <v>Shipment</v>
          </cell>
        </row>
        <row r="10176">
          <cell r="B10176" t="str">
            <v>Shipment</v>
          </cell>
        </row>
        <row r="10177">
          <cell r="B10177" t="str">
            <v>Shipment</v>
          </cell>
        </row>
        <row r="10178">
          <cell r="B10178" t="str">
            <v>Shipment</v>
          </cell>
        </row>
        <row r="10179">
          <cell r="B10179" t="str">
            <v>Shipment</v>
          </cell>
        </row>
        <row r="10180">
          <cell r="B10180" t="str">
            <v>Shipment</v>
          </cell>
        </row>
        <row r="10181">
          <cell r="B10181" t="str">
            <v>Shipment</v>
          </cell>
        </row>
        <row r="10182">
          <cell r="B10182" t="str">
            <v>Shipment</v>
          </cell>
        </row>
        <row r="10183">
          <cell r="B10183" t="str">
            <v>Shipment</v>
          </cell>
        </row>
        <row r="10184">
          <cell r="B10184" t="str">
            <v>Shipment</v>
          </cell>
        </row>
        <row r="10185">
          <cell r="B10185" t="str">
            <v>Shipment</v>
          </cell>
        </row>
        <row r="10186">
          <cell r="B10186" t="str">
            <v>Shipment</v>
          </cell>
        </row>
        <row r="10187">
          <cell r="B10187" t="str">
            <v>Shipment</v>
          </cell>
        </row>
        <row r="10188">
          <cell r="B10188" t="str">
            <v>Shipment</v>
          </cell>
        </row>
        <row r="10189">
          <cell r="B10189" t="str">
            <v>Shipment</v>
          </cell>
        </row>
        <row r="10190">
          <cell r="B10190" t="str">
            <v>Shipment</v>
          </cell>
        </row>
        <row r="10191">
          <cell r="B10191" t="str">
            <v>Shipment</v>
          </cell>
        </row>
        <row r="10192">
          <cell r="B10192" t="str">
            <v>Shipment</v>
          </cell>
        </row>
        <row r="10193">
          <cell r="B10193" t="str">
            <v>Shipment</v>
          </cell>
        </row>
        <row r="10194">
          <cell r="B10194" t="str">
            <v>Shipment</v>
          </cell>
        </row>
        <row r="10195">
          <cell r="B10195" t="str">
            <v>Shipment</v>
          </cell>
        </row>
        <row r="10196">
          <cell r="B10196" t="str">
            <v>Shipment</v>
          </cell>
        </row>
        <row r="10197">
          <cell r="B10197" t="str">
            <v>Shipment</v>
          </cell>
        </row>
        <row r="10198">
          <cell r="B10198" t="str">
            <v>Shipment</v>
          </cell>
        </row>
        <row r="10199">
          <cell r="B10199" t="str">
            <v>Shipment</v>
          </cell>
        </row>
        <row r="10200">
          <cell r="B10200" t="str">
            <v>Shipment</v>
          </cell>
        </row>
        <row r="10201">
          <cell r="B10201" t="str">
            <v>Shipment</v>
          </cell>
        </row>
        <row r="10202">
          <cell r="B10202" t="str">
            <v>Shipment</v>
          </cell>
        </row>
        <row r="10203">
          <cell r="B10203" t="str">
            <v>Shipment</v>
          </cell>
        </row>
        <row r="10204">
          <cell r="B10204" t="str">
            <v>Shipment</v>
          </cell>
        </row>
        <row r="10205">
          <cell r="B10205" t="str">
            <v>Shipment</v>
          </cell>
        </row>
        <row r="10206">
          <cell r="B10206" t="str">
            <v>Shipment</v>
          </cell>
        </row>
        <row r="10207">
          <cell r="B10207" t="str">
            <v>Shipment</v>
          </cell>
        </row>
        <row r="10208">
          <cell r="B10208" t="str">
            <v>Shipment</v>
          </cell>
        </row>
        <row r="10209">
          <cell r="B10209" t="str">
            <v>Shipment</v>
          </cell>
        </row>
        <row r="10210">
          <cell r="B10210" t="str">
            <v>Shipment</v>
          </cell>
        </row>
        <row r="10211">
          <cell r="B10211" t="str">
            <v>Shipment</v>
          </cell>
        </row>
        <row r="10212">
          <cell r="B10212" t="str">
            <v>Shipment</v>
          </cell>
        </row>
        <row r="10213">
          <cell r="B10213" t="str">
            <v>Shipment</v>
          </cell>
        </row>
        <row r="10214">
          <cell r="B10214" t="str">
            <v>Shipment</v>
          </cell>
        </row>
        <row r="10215">
          <cell r="B10215" t="str">
            <v>Shipment</v>
          </cell>
        </row>
        <row r="10216">
          <cell r="B10216" t="str">
            <v>Shipment</v>
          </cell>
        </row>
        <row r="10217">
          <cell r="B10217" t="str">
            <v>Shipment</v>
          </cell>
        </row>
        <row r="10218">
          <cell r="B10218" t="str">
            <v>Shipment</v>
          </cell>
        </row>
        <row r="10219">
          <cell r="B10219" t="str">
            <v>Shipment</v>
          </cell>
        </row>
        <row r="10220">
          <cell r="B10220" t="str">
            <v>Shipment</v>
          </cell>
        </row>
        <row r="10221">
          <cell r="B10221" t="str">
            <v>Shipment</v>
          </cell>
        </row>
        <row r="10222">
          <cell r="B10222" t="str">
            <v>Shipment</v>
          </cell>
        </row>
        <row r="10223">
          <cell r="B10223" t="str">
            <v>Shipment</v>
          </cell>
        </row>
        <row r="10224">
          <cell r="B10224" t="str">
            <v>Shipment</v>
          </cell>
        </row>
        <row r="10225">
          <cell r="B10225" t="str">
            <v>Shipment</v>
          </cell>
        </row>
        <row r="10226">
          <cell r="B10226" t="str">
            <v>Shipment</v>
          </cell>
        </row>
        <row r="10227">
          <cell r="B10227" t="str">
            <v>Shipment</v>
          </cell>
        </row>
        <row r="10228">
          <cell r="B10228" t="str">
            <v>Shipment</v>
          </cell>
        </row>
        <row r="10229">
          <cell r="B10229" t="str">
            <v>Shipment</v>
          </cell>
        </row>
        <row r="10230">
          <cell r="B10230" t="str">
            <v>Shipment</v>
          </cell>
        </row>
        <row r="10231">
          <cell r="B10231" t="str">
            <v>Shipment</v>
          </cell>
        </row>
        <row r="10232">
          <cell r="B10232" t="str">
            <v>Shipment</v>
          </cell>
        </row>
        <row r="10233">
          <cell r="B10233" t="str">
            <v>Shipment</v>
          </cell>
        </row>
        <row r="10234">
          <cell r="B10234" t="str">
            <v>Shipment</v>
          </cell>
        </row>
        <row r="10235">
          <cell r="B10235" t="str">
            <v>Shipment</v>
          </cell>
        </row>
        <row r="10236">
          <cell r="B10236" t="str">
            <v>Shipment</v>
          </cell>
        </row>
        <row r="10237">
          <cell r="B10237" t="str">
            <v>Shipment</v>
          </cell>
        </row>
        <row r="10238">
          <cell r="B10238" t="str">
            <v>Shipment</v>
          </cell>
        </row>
        <row r="10239">
          <cell r="B10239" t="str">
            <v>Shipment</v>
          </cell>
        </row>
        <row r="10240">
          <cell r="B10240" t="str">
            <v>Shipment</v>
          </cell>
        </row>
        <row r="10241">
          <cell r="B10241" t="str">
            <v>Shipment</v>
          </cell>
        </row>
        <row r="10242">
          <cell r="B10242" t="str">
            <v>Shipment</v>
          </cell>
        </row>
        <row r="10243">
          <cell r="B10243" t="str">
            <v>Shipment</v>
          </cell>
        </row>
        <row r="10244">
          <cell r="B10244" t="str">
            <v>Shipment</v>
          </cell>
        </row>
        <row r="10245">
          <cell r="B10245" t="str">
            <v>Shipment</v>
          </cell>
        </row>
        <row r="10246">
          <cell r="B10246" t="str">
            <v>Shipment</v>
          </cell>
        </row>
        <row r="10247">
          <cell r="B10247" t="str">
            <v>Shipment</v>
          </cell>
        </row>
        <row r="10248">
          <cell r="B10248" t="str">
            <v>Shipment</v>
          </cell>
        </row>
        <row r="10249">
          <cell r="B10249" t="str">
            <v>Shipment</v>
          </cell>
        </row>
        <row r="10250">
          <cell r="B10250" t="str">
            <v>Shipment</v>
          </cell>
        </row>
        <row r="10251">
          <cell r="B10251" t="str">
            <v>Shipment</v>
          </cell>
        </row>
        <row r="10252">
          <cell r="B10252" t="str">
            <v>Shipment</v>
          </cell>
        </row>
        <row r="10253">
          <cell r="B10253" t="str">
            <v>Shipment</v>
          </cell>
        </row>
        <row r="10254">
          <cell r="B10254" t="str">
            <v>Shipment</v>
          </cell>
        </row>
        <row r="10255">
          <cell r="B10255" t="str">
            <v>Shipment</v>
          </cell>
        </row>
        <row r="10256">
          <cell r="B10256" t="str">
            <v>Shipment</v>
          </cell>
        </row>
        <row r="10257">
          <cell r="B10257" t="str">
            <v>Shipment</v>
          </cell>
        </row>
        <row r="10258">
          <cell r="B10258" t="str">
            <v>Shipment</v>
          </cell>
        </row>
        <row r="10259">
          <cell r="B10259" t="str">
            <v>Shipment</v>
          </cell>
        </row>
        <row r="10260">
          <cell r="B10260" t="str">
            <v>Shipment</v>
          </cell>
        </row>
        <row r="10261">
          <cell r="B10261" t="str">
            <v>Shipment</v>
          </cell>
        </row>
        <row r="10262">
          <cell r="B10262" t="str">
            <v>Shipment</v>
          </cell>
        </row>
        <row r="10263">
          <cell r="B10263" t="str">
            <v>Shipment</v>
          </cell>
        </row>
        <row r="10264">
          <cell r="B10264" t="str">
            <v>Shipment</v>
          </cell>
        </row>
        <row r="10265">
          <cell r="B10265" t="str">
            <v>Shipment</v>
          </cell>
        </row>
        <row r="10266">
          <cell r="B10266" t="str">
            <v>Shipment</v>
          </cell>
        </row>
        <row r="10267">
          <cell r="B10267" t="str">
            <v>Shipment</v>
          </cell>
        </row>
        <row r="10268">
          <cell r="B10268" t="str">
            <v>Shipment</v>
          </cell>
        </row>
        <row r="10269">
          <cell r="B10269" t="str">
            <v>Shipment</v>
          </cell>
        </row>
        <row r="10270">
          <cell r="B10270" t="str">
            <v>Shipment</v>
          </cell>
        </row>
        <row r="10271">
          <cell r="B10271" t="str">
            <v>Shipment</v>
          </cell>
        </row>
        <row r="10272">
          <cell r="B10272" t="str">
            <v>Shipment</v>
          </cell>
        </row>
        <row r="10273">
          <cell r="B10273" t="str">
            <v>Shipment</v>
          </cell>
        </row>
        <row r="10274">
          <cell r="B10274" t="str">
            <v>Shipment</v>
          </cell>
        </row>
        <row r="10275">
          <cell r="B10275" t="str">
            <v>Shipment</v>
          </cell>
        </row>
        <row r="10276">
          <cell r="B10276" t="str">
            <v>Shipment</v>
          </cell>
        </row>
        <row r="10277">
          <cell r="B10277" t="str">
            <v>Shipment</v>
          </cell>
        </row>
        <row r="10278">
          <cell r="B10278" t="str">
            <v>Shipment</v>
          </cell>
        </row>
        <row r="10279">
          <cell r="B10279" t="str">
            <v>Shipment</v>
          </cell>
        </row>
        <row r="10280">
          <cell r="B10280" t="str">
            <v>Shipment</v>
          </cell>
        </row>
        <row r="10281">
          <cell r="B10281" t="str">
            <v>Shipment</v>
          </cell>
        </row>
        <row r="10282">
          <cell r="B10282" t="str">
            <v>Shipment</v>
          </cell>
        </row>
        <row r="10283">
          <cell r="B10283" t="str">
            <v>Shipment</v>
          </cell>
        </row>
        <row r="10284">
          <cell r="B10284" t="str">
            <v>Shipment</v>
          </cell>
        </row>
        <row r="10285">
          <cell r="B10285" t="str">
            <v>Shipment</v>
          </cell>
        </row>
        <row r="10286">
          <cell r="B10286" t="str">
            <v>Shipment</v>
          </cell>
        </row>
        <row r="10287">
          <cell r="B10287" t="str">
            <v>Shipment</v>
          </cell>
        </row>
        <row r="10288">
          <cell r="B10288" t="str">
            <v>Shipment</v>
          </cell>
        </row>
        <row r="10289">
          <cell r="B10289" t="str">
            <v>Shipment</v>
          </cell>
        </row>
        <row r="10290">
          <cell r="B10290" t="str">
            <v>Shipment</v>
          </cell>
        </row>
        <row r="10291">
          <cell r="B10291" t="str">
            <v>Shipment</v>
          </cell>
        </row>
        <row r="10292">
          <cell r="B10292" t="str">
            <v>Shipment</v>
          </cell>
        </row>
        <row r="10293">
          <cell r="B10293" t="str">
            <v>Shipment</v>
          </cell>
        </row>
        <row r="10294">
          <cell r="B10294" t="str">
            <v>Shipment</v>
          </cell>
        </row>
        <row r="10295">
          <cell r="B10295" t="str">
            <v>Shipment</v>
          </cell>
        </row>
        <row r="10296">
          <cell r="B10296" t="str">
            <v>Shipment</v>
          </cell>
        </row>
        <row r="10297">
          <cell r="B10297" t="str">
            <v>Shipment</v>
          </cell>
        </row>
        <row r="10298">
          <cell r="B10298" t="str">
            <v>Shipment</v>
          </cell>
        </row>
        <row r="10299">
          <cell r="B10299" t="str">
            <v>Shipment</v>
          </cell>
        </row>
        <row r="10300">
          <cell r="B10300" t="str">
            <v>Shipment</v>
          </cell>
        </row>
        <row r="10301">
          <cell r="B10301" t="str">
            <v>Shipment</v>
          </cell>
        </row>
        <row r="10302">
          <cell r="B10302" t="str">
            <v>Shipment</v>
          </cell>
        </row>
        <row r="10303">
          <cell r="B10303" t="str">
            <v>Shipment</v>
          </cell>
        </row>
        <row r="10304">
          <cell r="B10304" t="str">
            <v>Shipment</v>
          </cell>
        </row>
        <row r="10305">
          <cell r="B10305" t="str">
            <v>Shipment</v>
          </cell>
        </row>
        <row r="10306">
          <cell r="B10306" t="str">
            <v>Shipment</v>
          </cell>
        </row>
        <row r="10307">
          <cell r="B10307" t="str">
            <v>Shipment</v>
          </cell>
        </row>
        <row r="10308">
          <cell r="B10308" t="str">
            <v>Shipment</v>
          </cell>
        </row>
        <row r="10309">
          <cell r="B10309" t="str">
            <v>Shipment</v>
          </cell>
        </row>
        <row r="10310">
          <cell r="B10310" t="str">
            <v>Shipment</v>
          </cell>
        </row>
        <row r="10311">
          <cell r="B10311" t="str">
            <v>Shipment</v>
          </cell>
        </row>
        <row r="10312">
          <cell r="B10312" t="str">
            <v>Shipment</v>
          </cell>
        </row>
        <row r="10313">
          <cell r="B10313" t="str">
            <v>Shipment</v>
          </cell>
        </row>
        <row r="10314">
          <cell r="B10314" t="str">
            <v>Shipment</v>
          </cell>
        </row>
        <row r="10315">
          <cell r="B10315" t="str">
            <v>Shipment</v>
          </cell>
        </row>
        <row r="10316">
          <cell r="B10316" t="str">
            <v>Shipment</v>
          </cell>
        </row>
        <row r="10317">
          <cell r="B10317" t="str">
            <v>Shipment</v>
          </cell>
        </row>
        <row r="10318">
          <cell r="B10318" t="str">
            <v>Shipment</v>
          </cell>
        </row>
        <row r="10319">
          <cell r="B10319" t="str">
            <v>Shipment</v>
          </cell>
        </row>
        <row r="10320">
          <cell r="B10320" t="str">
            <v>Shipment</v>
          </cell>
        </row>
        <row r="10321">
          <cell r="B10321" t="str">
            <v>Shipment</v>
          </cell>
        </row>
        <row r="10322">
          <cell r="B10322" t="str">
            <v>Shipment</v>
          </cell>
        </row>
        <row r="10323">
          <cell r="B10323" t="str">
            <v>Shipment</v>
          </cell>
        </row>
        <row r="10324">
          <cell r="B10324" t="str">
            <v>Shipment</v>
          </cell>
        </row>
        <row r="10325">
          <cell r="B10325" t="str">
            <v>Shipment</v>
          </cell>
        </row>
        <row r="10326">
          <cell r="B10326" t="str">
            <v>Shipment</v>
          </cell>
        </row>
        <row r="10327">
          <cell r="B10327" t="str">
            <v>Shipment</v>
          </cell>
        </row>
        <row r="10328">
          <cell r="B10328" t="str">
            <v>Shipment</v>
          </cell>
        </row>
        <row r="10329">
          <cell r="B10329" t="str">
            <v>Shipment</v>
          </cell>
        </row>
        <row r="10330">
          <cell r="B10330" t="str">
            <v>Shipment</v>
          </cell>
        </row>
        <row r="10331">
          <cell r="B10331" t="str">
            <v>Shipment</v>
          </cell>
        </row>
        <row r="10332">
          <cell r="B10332" t="str">
            <v>Shipment</v>
          </cell>
        </row>
        <row r="10333">
          <cell r="B10333" t="str">
            <v>Shipment</v>
          </cell>
        </row>
        <row r="10334">
          <cell r="B10334" t="str">
            <v>Shipment</v>
          </cell>
        </row>
        <row r="10335">
          <cell r="B10335" t="str">
            <v>Shipment</v>
          </cell>
        </row>
        <row r="10336">
          <cell r="B10336" t="str">
            <v>Shipment</v>
          </cell>
        </row>
        <row r="10337">
          <cell r="B10337" t="str">
            <v>Shipment</v>
          </cell>
        </row>
        <row r="10338">
          <cell r="B10338" t="str">
            <v>Shipment</v>
          </cell>
        </row>
        <row r="10339">
          <cell r="B10339" t="str">
            <v>Shipment</v>
          </cell>
        </row>
        <row r="10340">
          <cell r="B10340" t="str">
            <v>Shipment</v>
          </cell>
        </row>
        <row r="10341">
          <cell r="B10341" t="str">
            <v>Shipment</v>
          </cell>
        </row>
        <row r="10342">
          <cell r="B10342" t="str">
            <v>Shipment</v>
          </cell>
        </row>
        <row r="10343">
          <cell r="B10343" t="str">
            <v>Shipment</v>
          </cell>
        </row>
        <row r="10344">
          <cell r="B10344" t="str">
            <v>Shipment</v>
          </cell>
        </row>
        <row r="10345">
          <cell r="B10345" t="str">
            <v>Shipment</v>
          </cell>
        </row>
        <row r="10346">
          <cell r="B10346" t="str">
            <v>Shipment</v>
          </cell>
        </row>
        <row r="10347">
          <cell r="B10347" t="str">
            <v>Shipment</v>
          </cell>
        </row>
        <row r="10348">
          <cell r="B10348" t="str">
            <v>Shipment</v>
          </cell>
        </row>
        <row r="10349">
          <cell r="B10349" t="str">
            <v>Shipment</v>
          </cell>
        </row>
        <row r="10350">
          <cell r="B10350" t="str">
            <v>Shipment</v>
          </cell>
        </row>
        <row r="10351">
          <cell r="B10351" t="str">
            <v>Shipment</v>
          </cell>
        </row>
        <row r="10352">
          <cell r="B10352" t="str">
            <v>Shipment</v>
          </cell>
        </row>
        <row r="10353">
          <cell r="B10353" t="str">
            <v>Shipment</v>
          </cell>
        </row>
        <row r="10354">
          <cell r="B10354" t="str">
            <v>Shipment</v>
          </cell>
        </row>
        <row r="10355">
          <cell r="B10355" t="str">
            <v>Shipment</v>
          </cell>
        </row>
        <row r="10356">
          <cell r="B10356" t="str">
            <v>Shipment</v>
          </cell>
        </row>
        <row r="10357">
          <cell r="B10357" t="str">
            <v>Shipment</v>
          </cell>
        </row>
        <row r="10358">
          <cell r="B10358" t="str">
            <v>Shipment</v>
          </cell>
        </row>
        <row r="10359">
          <cell r="B10359" t="str">
            <v>Shipment</v>
          </cell>
        </row>
        <row r="10360">
          <cell r="B10360" t="str">
            <v>Shipment</v>
          </cell>
        </row>
        <row r="10361">
          <cell r="B10361" t="str">
            <v>Shipment</v>
          </cell>
        </row>
        <row r="10362">
          <cell r="B10362" t="str">
            <v>Shipment</v>
          </cell>
        </row>
        <row r="10363">
          <cell r="B10363" t="str">
            <v>Shipment</v>
          </cell>
        </row>
        <row r="10364">
          <cell r="B10364" t="str">
            <v>Shipment</v>
          </cell>
        </row>
        <row r="10365">
          <cell r="B10365" t="str">
            <v>Shipment</v>
          </cell>
        </row>
        <row r="10366">
          <cell r="B10366" t="str">
            <v>Shipment</v>
          </cell>
        </row>
        <row r="10367">
          <cell r="B10367" t="str">
            <v>Shipment</v>
          </cell>
        </row>
        <row r="10368">
          <cell r="B10368" t="str">
            <v>Shipment</v>
          </cell>
        </row>
        <row r="10369">
          <cell r="B10369" t="str">
            <v>Shipment</v>
          </cell>
        </row>
        <row r="10370">
          <cell r="B10370" t="str">
            <v>Shipment</v>
          </cell>
        </row>
        <row r="10371">
          <cell r="B10371" t="str">
            <v>Shipment</v>
          </cell>
        </row>
        <row r="10372">
          <cell r="B10372" t="str">
            <v>Shipment</v>
          </cell>
        </row>
        <row r="10373">
          <cell r="B10373" t="str">
            <v>Shipment</v>
          </cell>
        </row>
        <row r="10374">
          <cell r="B10374" t="str">
            <v>Shipment</v>
          </cell>
        </row>
        <row r="10375">
          <cell r="B10375" t="str">
            <v>Shipment</v>
          </cell>
        </row>
        <row r="10376">
          <cell r="B10376" t="str">
            <v>Shipment</v>
          </cell>
        </row>
        <row r="10377">
          <cell r="B10377" t="str">
            <v>Shipment</v>
          </cell>
        </row>
        <row r="10378">
          <cell r="B10378" t="str">
            <v>Shipment</v>
          </cell>
        </row>
        <row r="10379">
          <cell r="B10379" t="str">
            <v>Shipment</v>
          </cell>
        </row>
        <row r="10380">
          <cell r="B10380" t="str">
            <v>Shipment</v>
          </cell>
        </row>
        <row r="10381">
          <cell r="B10381" t="str">
            <v>Shipment</v>
          </cell>
        </row>
        <row r="10382">
          <cell r="B10382" t="str">
            <v>Shipment</v>
          </cell>
        </row>
        <row r="10383">
          <cell r="B10383" t="str">
            <v>Shipment</v>
          </cell>
        </row>
        <row r="10384">
          <cell r="B10384" t="str">
            <v>Shipment</v>
          </cell>
        </row>
        <row r="10385">
          <cell r="B10385" t="str">
            <v>Shipment</v>
          </cell>
        </row>
        <row r="10386">
          <cell r="B10386" t="str">
            <v>Shipment</v>
          </cell>
        </row>
        <row r="10387">
          <cell r="B10387" t="str">
            <v>Shipment</v>
          </cell>
        </row>
        <row r="10388">
          <cell r="B10388" t="str">
            <v>Shipment</v>
          </cell>
        </row>
        <row r="10389">
          <cell r="B10389" t="str">
            <v>Shipment</v>
          </cell>
        </row>
        <row r="10390">
          <cell r="B10390" t="str">
            <v>Shipment</v>
          </cell>
        </row>
        <row r="10391">
          <cell r="B10391" t="str">
            <v>Shipment</v>
          </cell>
        </row>
        <row r="10392">
          <cell r="B10392" t="str">
            <v>Shipment</v>
          </cell>
        </row>
        <row r="10393">
          <cell r="B10393" t="str">
            <v>Shipment</v>
          </cell>
        </row>
        <row r="10394">
          <cell r="B10394" t="str">
            <v>Shipment</v>
          </cell>
        </row>
        <row r="10395">
          <cell r="B10395" t="str">
            <v>Shipment</v>
          </cell>
        </row>
        <row r="10396">
          <cell r="B10396" t="str">
            <v>Shipment</v>
          </cell>
        </row>
        <row r="10397">
          <cell r="B10397" t="str">
            <v>Shipment</v>
          </cell>
        </row>
        <row r="10398">
          <cell r="B10398" t="str">
            <v>Shipment</v>
          </cell>
        </row>
        <row r="10399">
          <cell r="B10399" t="str">
            <v>Shipment</v>
          </cell>
        </row>
        <row r="10400">
          <cell r="B10400" t="str">
            <v>Shipment</v>
          </cell>
        </row>
        <row r="10401">
          <cell r="B10401" t="str">
            <v>Shipment</v>
          </cell>
        </row>
        <row r="10402">
          <cell r="B10402" t="str">
            <v>Shipment</v>
          </cell>
        </row>
        <row r="10403">
          <cell r="B10403" t="str">
            <v>Shipment</v>
          </cell>
        </row>
        <row r="10404">
          <cell r="B10404" t="str">
            <v>Shipment</v>
          </cell>
        </row>
        <row r="10405">
          <cell r="B10405" t="str">
            <v>Shipment</v>
          </cell>
        </row>
        <row r="10406">
          <cell r="B10406" t="str">
            <v>Shipment</v>
          </cell>
        </row>
        <row r="10407">
          <cell r="B10407" t="str">
            <v>Shipment</v>
          </cell>
        </row>
        <row r="10408">
          <cell r="B10408" t="str">
            <v>Shipment</v>
          </cell>
        </row>
        <row r="10409">
          <cell r="B10409" t="str">
            <v>Shipment</v>
          </cell>
        </row>
        <row r="10410">
          <cell r="B10410" t="str">
            <v>Shipment</v>
          </cell>
        </row>
        <row r="10411">
          <cell r="B10411" t="str">
            <v>Shipment</v>
          </cell>
        </row>
        <row r="10412">
          <cell r="B10412" t="str">
            <v>Shipment</v>
          </cell>
        </row>
        <row r="10413">
          <cell r="B10413" t="str">
            <v>Shipment</v>
          </cell>
        </row>
        <row r="10414">
          <cell r="B10414" t="str">
            <v>Shipment</v>
          </cell>
        </row>
        <row r="10415">
          <cell r="B10415" t="str">
            <v>Shipment</v>
          </cell>
        </row>
        <row r="10416">
          <cell r="B10416" t="str">
            <v>Shipment</v>
          </cell>
        </row>
        <row r="10417">
          <cell r="B10417" t="str">
            <v>Shipment</v>
          </cell>
        </row>
        <row r="10418">
          <cell r="B10418" t="str">
            <v>Shipment</v>
          </cell>
        </row>
        <row r="10419">
          <cell r="B10419" t="str">
            <v>Shipment</v>
          </cell>
        </row>
        <row r="10420">
          <cell r="B10420" t="str">
            <v>Shipment</v>
          </cell>
        </row>
        <row r="10421">
          <cell r="B10421" t="str">
            <v>Shipment</v>
          </cell>
        </row>
        <row r="10422">
          <cell r="B10422" t="str">
            <v>Shipment</v>
          </cell>
        </row>
        <row r="10423">
          <cell r="B10423" t="str">
            <v>Shipment</v>
          </cell>
        </row>
        <row r="10424">
          <cell r="B10424" t="str">
            <v>Shipment</v>
          </cell>
        </row>
        <row r="10425">
          <cell r="B10425" t="str">
            <v>Shipment</v>
          </cell>
        </row>
        <row r="10426">
          <cell r="B10426" t="str">
            <v>Shipment</v>
          </cell>
        </row>
        <row r="10427">
          <cell r="B10427" t="str">
            <v>Shipment</v>
          </cell>
        </row>
        <row r="10428">
          <cell r="B10428" t="str">
            <v>Shipment</v>
          </cell>
        </row>
        <row r="10429">
          <cell r="B10429" t="str">
            <v>Shipment</v>
          </cell>
        </row>
        <row r="10430">
          <cell r="B10430" t="str">
            <v>Shipment</v>
          </cell>
        </row>
        <row r="10431">
          <cell r="B10431" t="str">
            <v>Shipment</v>
          </cell>
        </row>
        <row r="10432">
          <cell r="B10432" t="str">
            <v>Shipment</v>
          </cell>
        </row>
        <row r="10433">
          <cell r="B10433" t="str">
            <v>Shipment</v>
          </cell>
        </row>
        <row r="10434">
          <cell r="B10434" t="str">
            <v>Shipment</v>
          </cell>
        </row>
        <row r="10435">
          <cell r="B10435" t="str">
            <v>Shipment</v>
          </cell>
        </row>
        <row r="10436">
          <cell r="B10436" t="str">
            <v>Shipment</v>
          </cell>
        </row>
        <row r="10437">
          <cell r="B10437" t="str">
            <v>Shipment</v>
          </cell>
        </row>
        <row r="10438">
          <cell r="B10438" t="str">
            <v>Shipment</v>
          </cell>
        </row>
        <row r="10439">
          <cell r="B10439" t="str">
            <v>Shipment</v>
          </cell>
        </row>
        <row r="10440">
          <cell r="B10440" t="str">
            <v>Shipment</v>
          </cell>
        </row>
        <row r="10441">
          <cell r="B10441" t="str">
            <v>Shipment</v>
          </cell>
        </row>
        <row r="10442">
          <cell r="B10442" t="str">
            <v>Shipment</v>
          </cell>
        </row>
        <row r="10443">
          <cell r="B10443" t="str">
            <v>Shipment</v>
          </cell>
        </row>
        <row r="10444">
          <cell r="B10444" t="str">
            <v>Shipment</v>
          </cell>
        </row>
        <row r="10445">
          <cell r="B10445" t="str">
            <v>Shipment</v>
          </cell>
        </row>
        <row r="10446">
          <cell r="B10446" t="str">
            <v>Shipment</v>
          </cell>
        </row>
        <row r="10447">
          <cell r="B10447" t="str">
            <v>Shipment</v>
          </cell>
        </row>
        <row r="10448">
          <cell r="B10448" t="str">
            <v>Shipment</v>
          </cell>
        </row>
        <row r="10449">
          <cell r="B10449" t="str">
            <v>Shipment</v>
          </cell>
        </row>
        <row r="10450">
          <cell r="B10450" t="str">
            <v>Shipment</v>
          </cell>
        </row>
        <row r="10451">
          <cell r="B10451" t="str">
            <v>Shipment</v>
          </cell>
        </row>
        <row r="10452">
          <cell r="B10452" t="str">
            <v>Shipment</v>
          </cell>
        </row>
        <row r="10453">
          <cell r="B10453" t="str">
            <v>Shipment</v>
          </cell>
        </row>
        <row r="10454">
          <cell r="B10454" t="str">
            <v>Shipment</v>
          </cell>
        </row>
        <row r="10455">
          <cell r="B10455" t="str">
            <v>Shipment</v>
          </cell>
        </row>
        <row r="10456">
          <cell r="B10456" t="str">
            <v>Shipment</v>
          </cell>
        </row>
        <row r="10457">
          <cell r="B10457" t="str">
            <v>Shipment</v>
          </cell>
        </row>
        <row r="10458">
          <cell r="B10458" t="str">
            <v>Shipment</v>
          </cell>
        </row>
        <row r="10459">
          <cell r="B10459" t="str">
            <v>Shipment</v>
          </cell>
        </row>
        <row r="10460">
          <cell r="B10460" t="str">
            <v>Shipment</v>
          </cell>
        </row>
        <row r="10461">
          <cell r="B10461" t="str">
            <v>Shipment</v>
          </cell>
        </row>
        <row r="10462">
          <cell r="B10462" t="str">
            <v>Shipment</v>
          </cell>
        </row>
        <row r="10463">
          <cell r="B10463" t="str">
            <v>Shipment</v>
          </cell>
        </row>
        <row r="10464">
          <cell r="B10464" t="str">
            <v>Shipment</v>
          </cell>
        </row>
        <row r="10465">
          <cell r="B10465" t="str">
            <v>Shipment</v>
          </cell>
        </row>
        <row r="10466">
          <cell r="B10466" t="str">
            <v>Shipment</v>
          </cell>
        </row>
        <row r="10467">
          <cell r="B10467" t="str">
            <v>Shipment</v>
          </cell>
        </row>
        <row r="10468">
          <cell r="B10468" t="str">
            <v>Shipment</v>
          </cell>
        </row>
        <row r="10469">
          <cell r="B10469" t="str">
            <v>Shipment</v>
          </cell>
        </row>
        <row r="10470">
          <cell r="B10470" t="str">
            <v>Shipment</v>
          </cell>
        </row>
        <row r="10471">
          <cell r="B10471" t="str">
            <v>Shipment</v>
          </cell>
        </row>
        <row r="10472">
          <cell r="B10472" t="str">
            <v>Shipment</v>
          </cell>
        </row>
        <row r="10473">
          <cell r="B10473" t="str">
            <v>Shipment</v>
          </cell>
        </row>
        <row r="10474">
          <cell r="B10474" t="str">
            <v>Shipment</v>
          </cell>
        </row>
        <row r="10475">
          <cell r="B10475" t="str">
            <v>Shipment</v>
          </cell>
        </row>
        <row r="10476">
          <cell r="B10476" t="str">
            <v>Shipment</v>
          </cell>
        </row>
        <row r="10477">
          <cell r="B10477" t="str">
            <v>Shipment</v>
          </cell>
        </row>
        <row r="10478">
          <cell r="B10478" t="str">
            <v>Shipment</v>
          </cell>
        </row>
        <row r="10479">
          <cell r="B10479" t="str">
            <v>Shipment</v>
          </cell>
        </row>
        <row r="10480">
          <cell r="B10480" t="str">
            <v>Shipment</v>
          </cell>
        </row>
        <row r="10481">
          <cell r="B10481" t="str">
            <v>Shipment</v>
          </cell>
        </row>
        <row r="10482">
          <cell r="B10482" t="str">
            <v>Shipment</v>
          </cell>
        </row>
        <row r="10483">
          <cell r="B10483" t="str">
            <v>Shipment</v>
          </cell>
        </row>
        <row r="10484">
          <cell r="B10484" t="str">
            <v>Shipment</v>
          </cell>
        </row>
        <row r="10485">
          <cell r="B10485" t="str">
            <v>Shipment</v>
          </cell>
        </row>
        <row r="10486">
          <cell r="B10486" t="str">
            <v>Shipment</v>
          </cell>
        </row>
        <row r="10487">
          <cell r="B10487" t="str">
            <v>Shipment</v>
          </cell>
        </row>
        <row r="10488">
          <cell r="B10488" t="str">
            <v>Shipment</v>
          </cell>
        </row>
        <row r="10489">
          <cell r="B10489" t="str">
            <v>Shipment</v>
          </cell>
        </row>
        <row r="10490">
          <cell r="B10490" t="str">
            <v>Shipment</v>
          </cell>
        </row>
        <row r="10491">
          <cell r="B10491" t="str">
            <v>Shipment</v>
          </cell>
        </row>
        <row r="10492">
          <cell r="B10492" t="str">
            <v>Shipment</v>
          </cell>
        </row>
        <row r="10493">
          <cell r="B10493" t="str">
            <v>Shipment</v>
          </cell>
        </row>
        <row r="10494">
          <cell r="B10494" t="str">
            <v>Shipment</v>
          </cell>
        </row>
        <row r="10495">
          <cell r="B10495" t="str">
            <v>Shipment</v>
          </cell>
        </row>
        <row r="10496">
          <cell r="B10496" t="str">
            <v>Shipment</v>
          </cell>
        </row>
        <row r="10497">
          <cell r="B10497" t="str">
            <v>Shipment</v>
          </cell>
        </row>
        <row r="10498">
          <cell r="B10498" t="str">
            <v>Shipment</v>
          </cell>
        </row>
        <row r="10499">
          <cell r="B10499" t="str">
            <v>Shipment</v>
          </cell>
        </row>
        <row r="10500">
          <cell r="B10500" t="str">
            <v>Shipment</v>
          </cell>
        </row>
        <row r="10501">
          <cell r="B10501" t="str">
            <v>Shipment</v>
          </cell>
        </row>
        <row r="10502">
          <cell r="B10502" t="str">
            <v>Shipment</v>
          </cell>
        </row>
        <row r="10503">
          <cell r="B10503" t="str">
            <v>Shipment</v>
          </cell>
        </row>
        <row r="10504">
          <cell r="B10504" t="str">
            <v>Shipment</v>
          </cell>
        </row>
        <row r="10505">
          <cell r="B10505" t="str">
            <v>Shipment</v>
          </cell>
        </row>
        <row r="10506">
          <cell r="B10506" t="str">
            <v>Shipment</v>
          </cell>
        </row>
        <row r="10507">
          <cell r="B10507" t="str">
            <v>Shipment</v>
          </cell>
        </row>
        <row r="10508">
          <cell r="B10508" t="str">
            <v>Shipment</v>
          </cell>
        </row>
        <row r="10509">
          <cell r="B10509" t="str">
            <v>Shipment</v>
          </cell>
        </row>
        <row r="10510">
          <cell r="B10510" t="str">
            <v>Shipment</v>
          </cell>
        </row>
        <row r="10511">
          <cell r="B10511" t="str">
            <v>Shipment</v>
          </cell>
        </row>
        <row r="10512">
          <cell r="B10512" t="str">
            <v>Shipment</v>
          </cell>
        </row>
        <row r="10513">
          <cell r="B10513" t="str">
            <v>Shipment</v>
          </cell>
        </row>
        <row r="10514">
          <cell r="B10514" t="str">
            <v>Shipment</v>
          </cell>
        </row>
        <row r="10515">
          <cell r="B10515" t="str">
            <v>Shipment</v>
          </cell>
        </row>
        <row r="10516">
          <cell r="B10516" t="str">
            <v>Shipment</v>
          </cell>
        </row>
        <row r="10517">
          <cell r="B10517" t="str">
            <v>Shipment</v>
          </cell>
        </row>
        <row r="10518">
          <cell r="B10518" t="str">
            <v>Shipment</v>
          </cell>
        </row>
        <row r="10519">
          <cell r="B10519" t="str">
            <v>Shipment</v>
          </cell>
        </row>
        <row r="10520">
          <cell r="B10520" t="str">
            <v>Shipment</v>
          </cell>
        </row>
        <row r="10521">
          <cell r="B10521" t="str">
            <v>Shipment</v>
          </cell>
        </row>
        <row r="10522">
          <cell r="B10522" t="str">
            <v>Shipment</v>
          </cell>
        </row>
        <row r="10523">
          <cell r="B10523" t="str">
            <v>Shipment</v>
          </cell>
        </row>
        <row r="10524">
          <cell r="B10524" t="str">
            <v>Shipment</v>
          </cell>
        </row>
        <row r="10525">
          <cell r="B10525" t="str">
            <v>Shipment</v>
          </cell>
        </row>
        <row r="10526">
          <cell r="B10526" t="str">
            <v>Shipment</v>
          </cell>
        </row>
        <row r="10527">
          <cell r="B10527" t="str">
            <v>Shipment</v>
          </cell>
        </row>
        <row r="10528">
          <cell r="B10528" t="str">
            <v>Shipment</v>
          </cell>
        </row>
        <row r="10529">
          <cell r="B10529" t="str">
            <v>Shipment</v>
          </cell>
        </row>
        <row r="10530">
          <cell r="B10530" t="str">
            <v>Shipment</v>
          </cell>
        </row>
        <row r="10531">
          <cell r="B10531" t="str">
            <v>Shipment</v>
          </cell>
        </row>
        <row r="10532">
          <cell r="B10532" t="str">
            <v>Shipment</v>
          </cell>
        </row>
        <row r="10533">
          <cell r="B10533" t="str">
            <v>Shipment</v>
          </cell>
        </row>
        <row r="10534">
          <cell r="B10534" t="str">
            <v>Shipment</v>
          </cell>
        </row>
        <row r="10535">
          <cell r="B10535" t="str">
            <v>Shipment</v>
          </cell>
        </row>
        <row r="10536">
          <cell r="B10536" t="str">
            <v>Shipment</v>
          </cell>
        </row>
        <row r="10537">
          <cell r="B10537" t="str">
            <v>Shipment</v>
          </cell>
        </row>
        <row r="10538">
          <cell r="B10538" t="str">
            <v>Shipment</v>
          </cell>
        </row>
        <row r="10539">
          <cell r="B10539" t="str">
            <v>Shipment</v>
          </cell>
        </row>
        <row r="10540">
          <cell r="B10540" t="str">
            <v>Shipment</v>
          </cell>
        </row>
        <row r="10541">
          <cell r="B10541" t="str">
            <v>Shipment</v>
          </cell>
        </row>
        <row r="10542">
          <cell r="B10542" t="str">
            <v>Shipment</v>
          </cell>
        </row>
        <row r="10543">
          <cell r="B10543" t="str">
            <v>Shipment</v>
          </cell>
        </row>
        <row r="10544">
          <cell r="B10544" t="str">
            <v>Shipment</v>
          </cell>
        </row>
        <row r="10545">
          <cell r="B10545" t="str">
            <v>Shipment</v>
          </cell>
        </row>
        <row r="10546">
          <cell r="B10546" t="str">
            <v>Shipment</v>
          </cell>
        </row>
        <row r="10547">
          <cell r="B10547" t="str">
            <v>Shipment</v>
          </cell>
        </row>
        <row r="10548">
          <cell r="B10548" t="str">
            <v>Shipment</v>
          </cell>
        </row>
        <row r="10549">
          <cell r="B10549" t="str">
            <v>Shipment</v>
          </cell>
        </row>
        <row r="10550">
          <cell r="B10550" t="str">
            <v>Shipment</v>
          </cell>
        </row>
        <row r="10551">
          <cell r="B10551" t="str">
            <v>Shipment</v>
          </cell>
        </row>
        <row r="10552">
          <cell r="B10552" t="str">
            <v>Shipment</v>
          </cell>
        </row>
        <row r="10553">
          <cell r="B10553" t="str">
            <v>Shipment</v>
          </cell>
        </row>
        <row r="10554">
          <cell r="B10554" t="str">
            <v>Shipment</v>
          </cell>
        </row>
        <row r="10555">
          <cell r="B10555" t="str">
            <v>Shipment</v>
          </cell>
        </row>
        <row r="10556">
          <cell r="B10556" t="str">
            <v>Shipment</v>
          </cell>
        </row>
        <row r="10557">
          <cell r="B10557" t="str">
            <v>Shipment</v>
          </cell>
        </row>
        <row r="10558">
          <cell r="B10558" t="str">
            <v>Shipment</v>
          </cell>
        </row>
        <row r="10559">
          <cell r="B10559" t="str">
            <v>Shipment</v>
          </cell>
        </row>
        <row r="10560">
          <cell r="B10560" t="str">
            <v>Shipment</v>
          </cell>
        </row>
        <row r="10561">
          <cell r="B10561" t="str">
            <v>Shipment</v>
          </cell>
        </row>
        <row r="10562">
          <cell r="B10562" t="str">
            <v>Shipment</v>
          </cell>
        </row>
        <row r="10563">
          <cell r="B10563" t="str">
            <v>Shipment</v>
          </cell>
        </row>
        <row r="10564">
          <cell r="B10564" t="str">
            <v>Shipment</v>
          </cell>
        </row>
        <row r="10565">
          <cell r="B10565" t="str">
            <v>Shipment</v>
          </cell>
        </row>
        <row r="10566">
          <cell r="B10566" t="str">
            <v>Shipment</v>
          </cell>
        </row>
        <row r="10567">
          <cell r="B10567" t="str">
            <v>Shipment</v>
          </cell>
        </row>
        <row r="10568">
          <cell r="B10568" t="str">
            <v>Shipment</v>
          </cell>
        </row>
        <row r="10569">
          <cell r="B10569" t="str">
            <v>Shipment</v>
          </cell>
        </row>
        <row r="10570">
          <cell r="B10570" t="str">
            <v>Shipment</v>
          </cell>
        </row>
        <row r="10571">
          <cell r="B10571" t="str">
            <v>Shipment</v>
          </cell>
        </row>
        <row r="10572">
          <cell r="B10572" t="str">
            <v>Shipment</v>
          </cell>
        </row>
        <row r="10573">
          <cell r="B10573" t="str">
            <v>Shipment</v>
          </cell>
        </row>
        <row r="10574">
          <cell r="B10574" t="str">
            <v>Shipment</v>
          </cell>
        </row>
        <row r="10575">
          <cell r="B10575" t="str">
            <v>Shipment</v>
          </cell>
        </row>
        <row r="10576">
          <cell r="B10576" t="str">
            <v>Shipment</v>
          </cell>
        </row>
        <row r="10577">
          <cell r="B10577" t="str">
            <v>Shipment</v>
          </cell>
        </row>
        <row r="10578">
          <cell r="B10578" t="str">
            <v>Shipment</v>
          </cell>
        </row>
        <row r="10579">
          <cell r="B10579" t="str">
            <v>Shipment</v>
          </cell>
        </row>
        <row r="10580">
          <cell r="B10580" t="str">
            <v>Shipment</v>
          </cell>
        </row>
        <row r="10581">
          <cell r="B10581" t="str">
            <v>Shipment</v>
          </cell>
        </row>
        <row r="10582">
          <cell r="B10582" t="str">
            <v>Shipment</v>
          </cell>
        </row>
        <row r="10583">
          <cell r="B10583" t="str">
            <v>Shipment</v>
          </cell>
        </row>
        <row r="10584">
          <cell r="B10584" t="str">
            <v>Shipment</v>
          </cell>
        </row>
        <row r="10585">
          <cell r="B10585" t="str">
            <v>Shipment</v>
          </cell>
        </row>
        <row r="10586">
          <cell r="B10586" t="str">
            <v>Shipment</v>
          </cell>
        </row>
        <row r="10587">
          <cell r="B10587" t="str">
            <v>Shipment</v>
          </cell>
        </row>
        <row r="10588">
          <cell r="B10588" t="str">
            <v>Shipment</v>
          </cell>
        </row>
        <row r="10589">
          <cell r="B10589" t="str">
            <v>Shipment</v>
          </cell>
        </row>
        <row r="10590">
          <cell r="B10590" t="str">
            <v>Shipment</v>
          </cell>
        </row>
        <row r="10591">
          <cell r="B10591" t="str">
            <v>Shipment</v>
          </cell>
        </row>
        <row r="10592">
          <cell r="B10592" t="str">
            <v>Shipment</v>
          </cell>
        </row>
        <row r="10593">
          <cell r="B10593" t="str">
            <v>Shipment</v>
          </cell>
        </row>
        <row r="10594">
          <cell r="B10594" t="str">
            <v>Shipment</v>
          </cell>
        </row>
        <row r="10595">
          <cell r="B10595" t="str">
            <v>Shipment</v>
          </cell>
        </row>
        <row r="10596">
          <cell r="B10596" t="str">
            <v>Shipment</v>
          </cell>
        </row>
        <row r="10597">
          <cell r="B10597" t="str">
            <v>Shipment</v>
          </cell>
        </row>
        <row r="10598">
          <cell r="B10598" t="str">
            <v>Shipment</v>
          </cell>
        </row>
        <row r="10599">
          <cell r="B10599" t="str">
            <v>Shipment</v>
          </cell>
        </row>
        <row r="10600">
          <cell r="B10600" t="str">
            <v>Shipment</v>
          </cell>
        </row>
        <row r="10601">
          <cell r="B10601" t="str">
            <v>Shipment</v>
          </cell>
        </row>
        <row r="10602">
          <cell r="B10602" t="str">
            <v>Shipment</v>
          </cell>
        </row>
        <row r="10603">
          <cell r="B10603" t="str">
            <v>Shipment</v>
          </cell>
        </row>
        <row r="10604">
          <cell r="B10604" t="str">
            <v>Shipment</v>
          </cell>
        </row>
        <row r="10605">
          <cell r="B10605" t="str">
            <v>Shipment</v>
          </cell>
        </row>
        <row r="10606">
          <cell r="B10606" t="str">
            <v>Shipment</v>
          </cell>
        </row>
        <row r="10607">
          <cell r="B10607" t="str">
            <v>Shipment</v>
          </cell>
        </row>
        <row r="10608">
          <cell r="B10608" t="str">
            <v>Shipment</v>
          </cell>
        </row>
        <row r="10609">
          <cell r="B10609" t="str">
            <v>Shipment</v>
          </cell>
        </row>
        <row r="10610">
          <cell r="B10610" t="str">
            <v>Shipment</v>
          </cell>
        </row>
        <row r="10611">
          <cell r="B10611" t="str">
            <v>Shipment</v>
          </cell>
        </row>
        <row r="10612">
          <cell r="B10612" t="str">
            <v>Shipment</v>
          </cell>
        </row>
        <row r="10613">
          <cell r="B10613" t="str">
            <v>Shipment</v>
          </cell>
        </row>
        <row r="10614">
          <cell r="B10614" t="str">
            <v>Shipment</v>
          </cell>
        </row>
        <row r="10615">
          <cell r="B10615" t="str">
            <v>Shipment</v>
          </cell>
        </row>
        <row r="10616">
          <cell r="B10616" t="str">
            <v>Shipment</v>
          </cell>
        </row>
        <row r="10617">
          <cell r="B10617" t="str">
            <v>Shipment</v>
          </cell>
        </row>
        <row r="10618">
          <cell r="B10618" t="str">
            <v>Shipment</v>
          </cell>
        </row>
        <row r="10619">
          <cell r="B10619" t="str">
            <v>Shipment</v>
          </cell>
        </row>
        <row r="10620">
          <cell r="B10620" t="str">
            <v>Shipment</v>
          </cell>
        </row>
        <row r="10621">
          <cell r="B10621" t="str">
            <v>Shipment</v>
          </cell>
        </row>
        <row r="10622">
          <cell r="B10622" t="str">
            <v>Shipment</v>
          </cell>
        </row>
        <row r="10623">
          <cell r="B10623" t="str">
            <v>Shipment</v>
          </cell>
        </row>
        <row r="10624">
          <cell r="B10624" t="str">
            <v>Shipment</v>
          </cell>
        </row>
        <row r="10625">
          <cell r="B10625" t="str">
            <v>Shipment</v>
          </cell>
        </row>
        <row r="10626">
          <cell r="B10626" t="str">
            <v>Shipment</v>
          </cell>
        </row>
        <row r="10627">
          <cell r="B10627" t="str">
            <v>Shipment</v>
          </cell>
        </row>
        <row r="10628">
          <cell r="B10628" t="str">
            <v>Shipment</v>
          </cell>
        </row>
        <row r="10629">
          <cell r="B10629" t="str">
            <v>Shipment</v>
          </cell>
        </row>
        <row r="10630">
          <cell r="B10630" t="str">
            <v>Shipment</v>
          </cell>
        </row>
        <row r="10631">
          <cell r="B10631" t="str">
            <v>Shipment</v>
          </cell>
        </row>
        <row r="10632">
          <cell r="B10632" t="str">
            <v>Shipment</v>
          </cell>
        </row>
        <row r="10633">
          <cell r="B10633" t="str">
            <v>Shipment</v>
          </cell>
        </row>
        <row r="10634">
          <cell r="B10634" t="str">
            <v>Shipment</v>
          </cell>
        </row>
        <row r="10635">
          <cell r="B10635" t="str">
            <v>Shipment</v>
          </cell>
        </row>
        <row r="10636">
          <cell r="B10636" t="str">
            <v>Shipment</v>
          </cell>
        </row>
        <row r="10637">
          <cell r="B10637" t="str">
            <v>Shipment</v>
          </cell>
        </row>
        <row r="10638">
          <cell r="B10638" t="str">
            <v>Shipment</v>
          </cell>
        </row>
        <row r="10639">
          <cell r="B10639" t="str">
            <v>Shipment</v>
          </cell>
        </row>
        <row r="10640">
          <cell r="B10640" t="str">
            <v>Shipment</v>
          </cell>
        </row>
        <row r="10641">
          <cell r="B10641" t="str">
            <v>Shipment</v>
          </cell>
        </row>
        <row r="10642">
          <cell r="B10642" t="str">
            <v>Shipment</v>
          </cell>
        </row>
        <row r="10643">
          <cell r="B10643" t="str">
            <v>Shipment</v>
          </cell>
        </row>
        <row r="10644">
          <cell r="B10644" t="str">
            <v>Shipment</v>
          </cell>
        </row>
        <row r="10645">
          <cell r="B10645" t="str">
            <v>Shipment</v>
          </cell>
        </row>
        <row r="10646">
          <cell r="B10646" t="str">
            <v>Shipment</v>
          </cell>
        </row>
        <row r="10647">
          <cell r="B10647" t="str">
            <v>Shipment</v>
          </cell>
        </row>
        <row r="10648">
          <cell r="B10648" t="str">
            <v>Shipment</v>
          </cell>
        </row>
        <row r="10649">
          <cell r="B10649" t="str">
            <v>Shipment</v>
          </cell>
        </row>
        <row r="10650">
          <cell r="B10650" t="str">
            <v>Shipment</v>
          </cell>
        </row>
        <row r="10651">
          <cell r="B10651" t="str">
            <v>Shipment</v>
          </cell>
        </row>
        <row r="10652">
          <cell r="B10652" t="str">
            <v>Shipment</v>
          </cell>
        </row>
        <row r="10653">
          <cell r="B10653" t="str">
            <v>Shipment</v>
          </cell>
        </row>
        <row r="10654">
          <cell r="B10654" t="str">
            <v>Shipment</v>
          </cell>
        </row>
        <row r="10655">
          <cell r="B10655" t="str">
            <v>Shipment</v>
          </cell>
        </row>
        <row r="10656">
          <cell r="B10656" t="str">
            <v>Shipment</v>
          </cell>
        </row>
        <row r="10657">
          <cell r="B10657" t="str">
            <v>Shipment</v>
          </cell>
        </row>
        <row r="10658">
          <cell r="B10658" t="str">
            <v>Shipment</v>
          </cell>
        </row>
        <row r="10659">
          <cell r="B10659" t="str">
            <v>Shipment</v>
          </cell>
        </row>
        <row r="10660">
          <cell r="B10660" t="str">
            <v>Shipment</v>
          </cell>
        </row>
        <row r="10661">
          <cell r="B10661" t="str">
            <v>Shipment</v>
          </cell>
        </row>
        <row r="10662">
          <cell r="B10662" t="str">
            <v>Shipment</v>
          </cell>
        </row>
        <row r="10663">
          <cell r="B10663" t="str">
            <v>Shipment</v>
          </cell>
        </row>
        <row r="10664">
          <cell r="B10664" t="str">
            <v>Shipment</v>
          </cell>
        </row>
        <row r="10665">
          <cell r="B10665" t="str">
            <v>Shipment</v>
          </cell>
        </row>
        <row r="10666">
          <cell r="B10666" t="str">
            <v>Shipment</v>
          </cell>
        </row>
        <row r="10667">
          <cell r="B10667" t="str">
            <v>Shipment</v>
          </cell>
        </row>
        <row r="10668">
          <cell r="B10668" t="str">
            <v>Shipment</v>
          </cell>
        </row>
        <row r="10669">
          <cell r="B10669" t="str">
            <v>Shipment</v>
          </cell>
        </row>
        <row r="10670">
          <cell r="B10670" t="str">
            <v>Shipment</v>
          </cell>
        </row>
        <row r="10671">
          <cell r="B10671" t="str">
            <v>Shipment</v>
          </cell>
        </row>
        <row r="10672">
          <cell r="B10672" t="str">
            <v>Shipment</v>
          </cell>
        </row>
        <row r="10673">
          <cell r="B10673" t="str">
            <v>Shipment</v>
          </cell>
        </row>
        <row r="10674">
          <cell r="B10674" t="str">
            <v>Shipment</v>
          </cell>
        </row>
        <row r="10675">
          <cell r="B10675" t="str">
            <v>Shipment</v>
          </cell>
        </row>
        <row r="10676">
          <cell r="B10676" t="str">
            <v>Shipment</v>
          </cell>
        </row>
        <row r="10677">
          <cell r="B10677" t="str">
            <v>Shipment</v>
          </cell>
        </row>
        <row r="10678">
          <cell r="B10678" t="str">
            <v>Shipment</v>
          </cell>
        </row>
        <row r="10679">
          <cell r="B10679" t="str">
            <v>Shipment</v>
          </cell>
        </row>
        <row r="10680">
          <cell r="B10680" t="str">
            <v>Shipment</v>
          </cell>
        </row>
        <row r="10681">
          <cell r="B10681" t="str">
            <v>Shipment</v>
          </cell>
        </row>
        <row r="10682">
          <cell r="B10682" t="str">
            <v>Shipment</v>
          </cell>
        </row>
        <row r="10683">
          <cell r="B10683" t="str">
            <v>Shipment</v>
          </cell>
        </row>
        <row r="10684">
          <cell r="B10684" t="str">
            <v>Shipment</v>
          </cell>
        </row>
        <row r="10685">
          <cell r="B10685" t="str">
            <v>Shipment</v>
          </cell>
        </row>
        <row r="10686">
          <cell r="B10686" t="str">
            <v>Shipment</v>
          </cell>
        </row>
        <row r="10687">
          <cell r="B10687" t="str">
            <v>Shipment</v>
          </cell>
        </row>
        <row r="10688">
          <cell r="B10688" t="str">
            <v>Shipment</v>
          </cell>
        </row>
        <row r="10689">
          <cell r="B10689" t="str">
            <v>Shipment</v>
          </cell>
        </row>
        <row r="10690">
          <cell r="B10690" t="str">
            <v>Shipment</v>
          </cell>
        </row>
        <row r="10691">
          <cell r="B10691" t="str">
            <v>Shipment</v>
          </cell>
        </row>
        <row r="10692">
          <cell r="B10692" t="str">
            <v>Shipment</v>
          </cell>
        </row>
        <row r="10693">
          <cell r="B10693" t="str">
            <v>Shipment</v>
          </cell>
        </row>
        <row r="10694">
          <cell r="B10694" t="str">
            <v>Shipment</v>
          </cell>
        </row>
        <row r="10695">
          <cell r="B10695" t="str">
            <v>Shipment</v>
          </cell>
        </row>
        <row r="10696">
          <cell r="B10696" t="str">
            <v>Shipment</v>
          </cell>
        </row>
        <row r="10697">
          <cell r="B10697" t="str">
            <v>Shipment</v>
          </cell>
        </row>
        <row r="10698">
          <cell r="B10698" t="str">
            <v>Shipment</v>
          </cell>
        </row>
        <row r="10699">
          <cell r="B10699" t="str">
            <v>Shipment</v>
          </cell>
        </row>
        <row r="10700">
          <cell r="B10700" t="str">
            <v>Shipment</v>
          </cell>
        </row>
        <row r="10701">
          <cell r="B10701" t="str">
            <v>Shipment</v>
          </cell>
        </row>
        <row r="10702">
          <cell r="B10702" t="str">
            <v>Shipment</v>
          </cell>
        </row>
        <row r="10703">
          <cell r="B10703" t="str">
            <v>Shipment</v>
          </cell>
        </row>
        <row r="10704">
          <cell r="B10704" t="str">
            <v>Shipment</v>
          </cell>
        </row>
        <row r="10705">
          <cell r="B10705" t="str">
            <v>Shipment</v>
          </cell>
        </row>
        <row r="10706">
          <cell r="B10706" t="str">
            <v>Shipment</v>
          </cell>
        </row>
        <row r="10707">
          <cell r="B10707" t="str">
            <v>Shipment</v>
          </cell>
        </row>
        <row r="10708">
          <cell r="B10708" t="str">
            <v>Shipment</v>
          </cell>
        </row>
        <row r="10709">
          <cell r="B10709" t="str">
            <v>Shipment</v>
          </cell>
        </row>
        <row r="10710">
          <cell r="B10710" t="str">
            <v>Shipment</v>
          </cell>
        </row>
        <row r="10711">
          <cell r="B10711" t="str">
            <v>Shipment</v>
          </cell>
        </row>
        <row r="10712">
          <cell r="B10712" t="str">
            <v>Shipment</v>
          </cell>
        </row>
        <row r="10713">
          <cell r="B10713" t="str">
            <v>Shipment</v>
          </cell>
        </row>
        <row r="10714">
          <cell r="B10714" t="str">
            <v>Shipment</v>
          </cell>
        </row>
        <row r="10715">
          <cell r="B10715" t="str">
            <v>Shipment</v>
          </cell>
        </row>
        <row r="10716">
          <cell r="B10716" t="str">
            <v>Shipment</v>
          </cell>
        </row>
        <row r="10717">
          <cell r="B10717" t="str">
            <v>Shipment</v>
          </cell>
        </row>
        <row r="10718">
          <cell r="B10718" t="str">
            <v>Shipment</v>
          </cell>
        </row>
        <row r="10719">
          <cell r="B10719" t="str">
            <v>Shipment</v>
          </cell>
        </row>
        <row r="10720">
          <cell r="B10720" t="str">
            <v>Shipment</v>
          </cell>
        </row>
        <row r="10721">
          <cell r="B10721" t="str">
            <v>Shipment</v>
          </cell>
        </row>
        <row r="10722">
          <cell r="B10722" t="str">
            <v>Shipment</v>
          </cell>
        </row>
        <row r="10723">
          <cell r="B10723" t="str">
            <v>Shipment</v>
          </cell>
        </row>
        <row r="10724">
          <cell r="B10724" t="str">
            <v>Shipment</v>
          </cell>
        </row>
        <row r="10725">
          <cell r="B10725" t="str">
            <v>Shipment</v>
          </cell>
        </row>
        <row r="10726">
          <cell r="B10726" t="str">
            <v>Shipment</v>
          </cell>
        </row>
        <row r="10727">
          <cell r="B10727" t="str">
            <v>Shipment</v>
          </cell>
        </row>
        <row r="10728">
          <cell r="B10728" t="str">
            <v>Shipment</v>
          </cell>
        </row>
        <row r="10729">
          <cell r="B10729" t="str">
            <v>Shipment</v>
          </cell>
        </row>
        <row r="10730">
          <cell r="B10730" t="str">
            <v>Shipment</v>
          </cell>
        </row>
        <row r="10731">
          <cell r="B10731" t="str">
            <v>Shipment</v>
          </cell>
        </row>
        <row r="10732">
          <cell r="B10732" t="str">
            <v>Shipment</v>
          </cell>
        </row>
        <row r="10733">
          <cell r="B10733" t="str">
            <v>Shipment</v>
          </cell>
        </row>
        <row r="10734">
          <cell r="B10734" t="str">
            <v>Shipment</v>
          </cell>
        </row>
        <row r="10735">
          <cell r="B10735" t="str">
            <v>Shipment</v>
          </cell>
        </row>
        <row r="10736">
          <cell r="B10736" t="str">
            <v>Shipment</v>
          </cell>
        </row>
        <row r="10737">
          <cell r="B10737" t="str">
            <v>Shipment</v>
          </cell>
        </row>
        <row r="10738">
          <cell r="B10738" t="str">
            <v>Shipment</v>
          </cell>
        </row>
        <row r="10739">
          <cell r="B10739" t="str">
            <v>Shipment</v>
          </cell>
        </row>
        <row r="10740">
          <cell r="B10740" t="str">
            <v>Shipment</v>
          </cell>
        </row>
        <row r="10741">
          <cell r="B10741" t="str">
            <v>Shipment</v>
          </cell>
        </row>
        <row r="10742">
          <cell r="B10742" t="str">
            <v>Shipment</v>
          </cell>
        </row>
        <row r="10743">
          <cell r="B10743" t="str">
            <v>Shipment</v>
          </cell>
        </row>
        <row r="10744">
          <cell r="B10744" t="str">
            <v>Shipment</v>
          </cell>
        </row>
        <row r="10745">
          <cell r="B10745" t="str">
            <v>Shipment</v>
          </cell>
        </row>
        <row r="10746">
          <cell r="B10746" t="str">
            <v>Shipment</v>
          </cell>
        </row>
        <row r="10747">
          <cell r="B10747" t="str">
            <v>Shipment</v>
          </cell>
        </row>
        <row r="10748">
          <cell r="B10748" t="str">
            <v>Shipment</v>
          </cell>
        </row>
        <row r="10749">
          <cell r="B10749" t="str">
            <v>Shipment</v>
          </cell>
        </row>
        <row r="10750">
          <cell r="B10750" t="str">
            <v>Shipment</v>
          </cell>
        </row>
        <row r="10751">
          <cell r="B10751" t="str">
            <v>Shipment</v>
          </cell>
        </row>
        <row r="10752">
          <cell r="B10752" t="str">
            <v>Shipment</v>
          </cell>
        </row>
        <row r="10753">
          <cell r="B10753" t="str">
            <v>Shipment</v>
          </cell>
        </row>
        <row r="10754">
          <cell r="B10754" t="str">
            <v>Shipment</v>
          </cell>
        </row>
        <row r="10755">
          <cell r="B10755" t="str">
            <v>Shipment</v>
          </cell>
        </row>
        <row r="10756">
          <cell r="B10756" t="str">
            <v>Shipment</v>
          </cell>
        </row>
        <row r="10757">
          <cell r="B10757" t="str">
            <v>Shipment</v>
          </cell>
        </row>
        <row r="10758">
          <cell r="B10758" t="str">
            <v>Shipment</v>
          </cell>
        </row>
        <row r="10759">
          <cell r="B10759" t="str">
            <v>Shipment</v>
          </cell>
        </row>
        <row r="10760">
          <cell r="B10760" t="str">
            <v>Shipment</v>
          </cell>
        </row>
        <row r="10761">
          <cell r="B10761" t="str">
            <v>Shipment</v>
          </cell>
        </row>
        <row r="10762">
          <cell r="B10762" t="str">
            <v>Shipment</v>
          </cell>
        </row>
        <row r="10763">
          <cell r="B10763" t="str">
            <v>Shipment</v>
          </cell>
        </row>
        <row r="10764">
          <cell r="B10764" t="str">
            <v>Shipment</v>
          </cell>
        </row>
        <row r="10765">
          <cell r="B10765" t="str">
            <v>Shipment</v>
          </cell>
        </row>
        <row r="10766">
          <cell r="B10766" t="str">
            <v>Shipment</v>
          </cell>
        </row>
        <row r="10767">
          <cell r="B10767" t="str">
            <v>Shipment</v>
          </cell>
        </row>
        <row r="10768">
          <cell r="B10768" t="str">
            <v>Shipment</v>
          </cell>
        </row>
        <row r="10769">
          <cell r="B10769" t="str">
            <v>Shipment</v>
          </cell>
        </row>
        <row r="10770">
          <cell r="B10770" t="str">
            <v>Shipment</v>
          </cell>
        </row>
        <row r="10771">
          <cell r="B10771" t="str">
            <v>Shipment</v>
          </cell>
        </row>
        <row r="10772">
          <cell r="B10772" t="str">
            <v>Shipment</v>
          </cell>
        </row>
        <row r="10773">
          <cell r="B10773" t="str">
            <v>Shipment</v>
          </cell>
        </row>
        <row r="10774">
          <cell r="B10774" t="str">
            <v>Shipment</v>
          </cell>
        </row>
        <row r="10775">
          <cell r="B10775" t="str">
            <v>Shipment</v>
          </cell>
        </row>
        <row r="10776">
          <cell r="B10776" t="str">
            <v>Shipment</v>
          </cell>
        </row>
        <row r="10777">
          <cell r="B10777" t="str">
            <v>Shipment</v>
          </cell>
        </row>
        <row r="10778">
          <cell r="B10778" t="str">
            <v>Shipment</v>
          </cell>
        </row>
        <row r="10779">
          <cell r="B10779" t="str">
            <v>Shipment</v>
          </cell>
        </row>
        <row r="10780">
          <cell r="B10780" t="str">
            <v>Shipment</v>
          </cell>
        </row>
        <row r="10781">
          <cell r="B10781" t="str">
            <v>Shipment</v>
          </cell>
        </row>
        <row r="10782">
          <cell r="B10782" t="str">
            <v>Shipment</v>
          </cell>
        </row>
        <row r="10783">
          <cell r="B10783" t="str">
            <v>Shipment</v>
          </cell>
        </row>
        <row r="10784">
          <cell r="B10784" t="str">
            <v>Shipment</v>
          </cell>
        </row>
        <row r="10785">
          <cell r="B10785" t="str">
            <v>Shipment</v>
          </cell>
        </row>
        <row r="10786">
          <cell r="B10786" t="str">
            <v>Shipment</v>
          </cell>
        </row>
        <row r="10787">
          <cell r="B10787" t="str">
            <v>Shipment</v>
          </cell>
        </row>
        <row r="10788">
          <cell r="B10788" t="str">
            <v>Shipment</v>
          </cell>
        </row>
        <row r="10789">
          <cell r="B10789" t="str">
            <v>Shipment</v>
          </cell>
        </row>
        <row r="10790">
          <cell r="B10790" t="str">
            <v>Shipment</v>
          </cell>
        </row>
        <row r="10791">
          <cell r="B10791" t="str">
            <v>Shipment</v>
          </cell>
        </row>
        <row r="10792">
          <cell r="B10792" t="str">
            <v>Shipment</v>
          </cell>
        </row>
        <row r="10793">
          <cell r="B10793" t="str">
            <v>Shipment</v>
          </cell>
        </row>
        <row r="10794">
          <cell r="B10794" t="str">
            <v>Shipment</v>
          </cell>
        </row>
        <row r="10795">
          <cell r="B10795" t="str">
            <v>Shipment</v>
          </cell>
        </row>
        <row r="10796">
          <cell r="B10796" t="str">
            <v>Shipment</v>
          </cell>
        </row>
        <row r="10797">
          <cell r="B10797" t="str">
            <v>Shipment</v>
          </cell>
        </row>
        <row r="10798">
          <cell r="B10798" t="str">
            <v>Shipment</v>
          </cell>
        </row>
        <row r="10799">
          <cell r="B10799" t="str">
            <v>Shipment</v>
          </cell>
        </row>
        <row r="10800">
          <cell r="B10800" t="str">
            <v>Shipment</v>
          </cell>
        </row>
        <row r="10801">
          <cell r="B10801" t="str">
            <v>Shipment</v>
          </cell>
        </row>
        <row r="10802">
          <cell r="B10802" t="str">
            <v>Shipment</v>
          </cell>
        </row>
        <row r="10803">
          <cell r="B10803" t="str">
            <v>Shipment</v>
          </cell>
        </row>
        <row r="10804">
          <cell r="B10804" t="str">
            <v>Shipment</v>
          </cell>
        </row>
        <row r="10805">
          <cell r="B10805" t="str">
            <v>Shipment</v>
          </cell>
        </row>
        <row r="10806">
          <cell r="B10806" t="str">
            <v>Shipment</v>
          </cell>
        </row>
        <row r="10807">
          <cell r="B10807" t="str">
            <v>Shipment</v>
          </cell>
        </row>
        <row r="10808">
          <cell r="B10808" t="str">
            <v>Shipment</v>
          </cell>
        </row>
        <row r="10809">
          <cell r="B10809" t="str">
            <v>Shipment</v>
          </cell>
        </row>
        <row r="10810">
          <cell r="B10810" t="str">
            <v>Shipment</v>
          </cell>
        </row>
        <row r="10811">
          <cell r="B10811" t="str">
            <v>Shipment</v>
          </cell>
        </row>
        <row r="10812">
          <cell r="B10812" t="str">
            <v>Shipment</v>
          </cell>
        </row>
        <row r="10813">
          <cell r="B10813" t="str">
            <v>Shipment</v>
          </cell>
        </row>
        <row r="10814">
          <cell r="B10814" t="str">
            <v>Shipment</v>
          </cell>
        </row>
        <row r="10815">
          <cell r="B10815" t="str">
            <v>Shipment</v>
          </cell>
        </row>
        <row r="10816">
          <cell r="B10816" t="str">
            <v>Shipment</v>
          </cell>
        </row>
        <row r="10817">
          <cell r="B10817" t="str">
            <v>Shipment</v>
          </cell>
        </row>
        <row r="10818">
          <cell r="B10818" t="str">
            <v>Shipment</v>
          </cell>
        </row>
        <row r="10819">
          <cell r="B10819" t="str">
            <v>Shipment</v>
          </cell>
        </row>
        <row r="10820">
          <cell r="B10820" t="str">
            <v>Shipment</v>
          </cell>
        </row>
        <row r="10821">
          <cell r="B10821" t="str">
            <v>Shipment</v>
          </cell>
        </row>
        <row r="10822">
          <cell r="B10822" t="str">
            <v>Shipment</v>
          </cell>
        </row>
        <row r="10823">
          <cell r="B10823" t="str">
            <v>Shipment</v>
          </cell>
        </row>
        <row r="10824">
          <cell r="B10824" t="str">
            <v>Shipment</v>
          </cell>
        </row>
        <row r="10825">
          <cell r="B10825" t="str">
            <v>Shipment</v>
          </cell>
        </row>
        <row r="10826">
          <cell r="B10826" t="str">
            <v>Shipment</v>
          </cell>
        </row>
        <row r="10827">
          <cell r="B10827" t="str">
            <v>Shipment</v>
          </cell>
        </row>
        <row r="10828">
          <cell r="B10828" t="str">
            <v>Shipment</v>
          </cell>
        </row>
        <row r="10829">
          <cell r="B10829" t="str">
            <v>Shipment</v>
          </cell>
        </row>
        <row r="10830">
          <cell r="B10830" t="str">
            <v>Shipment</v>
          </cell>
        </row>
        <row r="10831">
          <cell r="B10831" t="str">
            <v>Shipment</v>
          </cell>
        </row>
        <row r="10832">
          <cell r="B10832" t="str">
            <v>Shipment</v>
          </cell>
        </row>
        <row r="10833">
          <cell r="B10833" t="str">
            <v>Shipment</v>
          </cell>
        </row>
        <row r="10834">
          <cell r="B10834" t="str">
            <v>Shipment</v>
          </cell>
        </row>
        <row r="10835">
          <cell r="B10835" t="str">
            <v>Shipment</v>
          </cell>
        </row>
        <row r="10836">
          <cell r="B10836" t="str">
            <v>Shipment</v>
          </cell>
        </row>
        <row r="10837">
          <cell r="B10837" t="str">
            <v>Shipment</v>
          </cell>
        </row>
        <row r="10838">
          <cell r="B10838" t="str">
            <v>Shipment</v>
          </cell>
        </row>
        <row r="10839">
          <cell r="B10839" t="str">
            <v>Shipment</v>
          </cell>
        </row>
        <row r="10840">
          <cell r="B10840" t="str">
            <v>Shipment</v>
          </cell>
        </row>
        <row r="10841">
          <cell r="B10841" t="str">
            <v>Shipment</v>
          </cell>
        </row>
        <row r="10842">
          <cell r="B10842" t="str">
            <v>Shipment</v>
          </cell>
        </row>
        <row r="10843">
          <cell r="B10843" t="str">
            <v>Shipment</v>
          </cell>
        </row>
        <row r="10844">
          <cell r="B10844" t="str">
            <v>Shipment</v>
          </cell>
        </row>
        <row r="10845">
          <cell r="B10845" t="str">
            <v>Shipment</v>
          </cell>
        </row>
        <row r="10846">
          <cell r="B10846" t="str">
            <v>Shipment</v>
          </cell>
        </row>
        <row r="10847">
          <cell r="B10847" t="str">
            <v>Shipment</v>
          </cell>
        </row>
        <row r="10848">
          <cell r="B10848" t="str">
            <v>Shipment</v>
          </cell>
        </row>
        <row r="10849">
          <cell r="B10849" t="str">
            <v>Shipment</v>
          </cell>
        </row>
        <row r="10850">
          <cell r="B10850" t="str">
            <v>Shipment</v>
          </cell>
        </row>
        <row r="10851">
          <cell r="B10851" t="str">
            <v>Shipment</v>
          </cell>
        </row>
        <row r="10852">
          <cell r="B10852" t="str">
            <v>Shipment</v>
          </cell>
        </row>
        <row r="10853">
          <cell r="B10853" t="str">
            <v>Shipment</v>
          </cell>
        </row>
        <row r="10854">
          <cell r="B10854" t="str">
            <v>Shipment</v>
          </cell>
        </row>
        <row r="10855">
          <cell r="B10855" t="str">
            <v>Shipment</v>
          </cell>
        </row>
        <row r="10856">
          <cell r="B10856" t="str">
            <v>Shipment</v>
          </cell>
        </row>
        <row r="10857">
          <cell r="B10857" t="str">
            <v>Shipment</v>
          </cell>
        </row>
        <row r="10858">
          <cell r="B10858" t="str">
            <v>Shipment</v>
          </cell>
        </row>
        <row r="10859">
          <cell r="B10859" t="str">
            <v>Shipment</v>
          </cell>
        </row>
        <row r="10860">
          <cell r="B10860" t="str">
            <v>Shipment</v>
          </cell>
        </row>
        <row r="10861">
          <cell r="B10861" t="str">
            <v>Shipment</v>
          </cell>
        </row>
        <row r="10862">
          <cell r="B10862" t="str">
            <v>Shipment</v>
          </cell>
        </row>
        <row r="10863">
          <cell r="B10863" t="str">
            <v>Shipment</v>
          </cell>
        </row>
        <row r="10864">
          <cell r="B10864" t="str">
            <v>Shipment</v>
          </cell>
        </row>
        <row r="10865">
          <cell r="B10865" t="str">
            <v>Shipment</v>
          </cell>
        </row>
        <row r="10866">
          <cell r="B10866" t="str">
            <v>Shipment</v>
          </cell>
        </row>
        <row r="10867">
          <cell r="B10867" t="str">
            <v>Shipment</v>
          </cell>
        </row>
        <row r="10868">
          <cell r="B10868" t="str">
            <v>Shipment</v>
          </cell>
        </row>
        <row r="10869">
          <cell r="B10869" t="str">
            <v>Shipment</v>
          </cell>
        </row>
        <row r="10870">
          <cell r="B10870" t="str">
            <v>Shipment</v>
          </cell>
        </row>
        <row r="10871">
          <cell r="B10871" t="str">
            <v>Shipment</v>
          </cell>
        </row>
        <row r="10872">
          <cell r="B10872" t="str">
            <v>Shipment</v>
          </cell>
        </row>
        <row r="10873">
          <cell r="B10873" t="str">
            <v>Shipment</v>
          </cell>
        </row>
        <row r="10874">
          <cell r="B10874" t="str">
            <v>Shipment</v>
          </cell>
        </row>
        <row r="10875">
          <cell r="B10875" t="str">
            <v>Shipment</v>
          </cell>
        </row>
        <row r="10876">
          <cell r="B10876" t="str">
            <v>Shipment</v>
          </cell>
        </row>
        <row r="10877">
          <cell r="B10877" t="str">
            <v>Shipment</v>
          </cell>
        </row>
        <row r="10878">
          <cell r="B10878" t="str">
            <v>Shipment</v>
          </cell>
        </row>
        <row r="10879">
          <cell r="B10879" t="str">
            <v>Shipment</v>
          </cell>
        </row>
        <row r="10880">
          <cell r="B10880" t="str">
            <v>Shipment</v>
          </cell>
        </row>
        <row r="10881">
          <cell r="B10881" t="str">
            <v>Shipment</v>
          </cell>
        </row>
        <row r="10882">
          <cell r="B10882" t="str">
            <v>Shipment</v>
          </cell>
        </row>
        <row r="10883">
          <cell r="B10883" t="str">
            <v>Shipment</v>
          </cell>
        </row>
        <row r="10884">
          <cell r="B10884" t="str">
            <v>Shipment</v>
          </cell>
        </row>
        <row r="10885">
          <cell r="B10885" t="str">
            <v>Shipment</v>
          </cell>
        </row>
        <row r="10886">
          <cell r="B10886" t="str">
            <v>Shipment</v>
          </cell>
        </row>
        <row r="10887">
          <cell r="B10887" t="str">
            <v>Shipment</v>
          </cell>
        </row>
        <row r="10888">
          <cell r="B10888" t="str">
            <v>Shipment</v>
          </cell>
        </row>
        <row r="10889">
          <cell r="B10889" t="str">
            <v>Shipment</v>
          </cell>
        </row>
        <row r="10890">
          <cell r="B10890" t="str">
            <v>Shipment</v>
          </cell>
        </row>
        <row r="10891">
          <cell r="B10891" t="str">
            <v>Shipment</v>
          </cell>
        </row>
        <row r="10892">
          <cell r="B10892" t="str">
            <v>Shipment</v>
          </cell>
        </row>
        <row r="10893">
          <cell r="B10893" t="str">
            <v>Shipment</v>
          </cell>
        </row>
        <row r="10894">
          <cell r="B10894" t="str">
            <v>Shipment</v>
          </cell>
        </row>
        <row r="10895">
          <cell r="B10895" t="str">
            <v>Shipment</v>
          </cell>
        </row>
        <row r="10896">
          <cell r="B10896" t="str">
            <v>Shipment</v>
          </cell>
        </row>
        <row r="10897">
          <cell r="B10897" t="str">
            <v>Shipment</v>
          </cell>
        </row>
        <row r="10898">
          <cell r="B10898" t="str">
            <v>Shipment</v>
          </cell>
        </row>
        <row r="10899">
          <cell r="B10899" t="str">
            <v>Shipment</v>
          </cell>
        </row>
        <row r="10900">
          <cell r="B10900" t="str">
            <v>Shipment</v>
          </cell>
        </row>
        <row r="10901">
          <cell r="B10901" t="str">
            <v>Shipment</v>
          </cell>
        </row>
        <row r="10902">
          <cell r="B10902" t="str">
            <v>Shipment</v>
          </cell>
        </row>
        <row r="10903">
          <cell r="B10903" t="str">
            <v>Shipment</v>
          </cell>
        </row>
        <row r="10904">
          <cell r="B10904" t="str">
            <v>Shipment</v>
          </cell>
        </row>
        <row r="10905">
          <cell r="B10905" t="str">
            <v>Shipment</v>
          </cell>
        </row>
        <row r="10906">
          <cell r="B10906" t="str">
            <v>Shipment</v>
          </cell>
        </row>
        <row r="10907">
          <cell r="B10907" t="str">
            <v>Shipment</v>
          </cell>
        </row>
        <row r="10908">
          <cell r="B10908" t="str">
            <v>Shipment</v>
          </cell>
        </row>
        <row r="10909">
          <cell r="B10909" t="str">
            <v>Shipment</v>
          </cell>
        </row>
        <row r="10910">
          <cell r="B10910" t="str">
            <v>Shipment</v>
          </cell>
        </row>
        <row r="10911">
          <cell r="B10911" t="str">
            <v>Shipment</v>
          </cell>
        </row>
        <row r="10912">
          <cell r="B10912" t="str">
            <v>Shipment</v>
          </cell>
        </row>
        <row r="10913">
          <cell r="B10913" t="str">
            <v>Shipment</v>
          </cell>
        </row>
        <row r="10914">
          <cell r="B10914" t="str">
            <v>Shipment</v>
          </cell>
        </row>
        <row r="10915">
          <cell r="B10915" t="str">
            <v>Shipment</v>
          </cell>
        </row>
        <row r="10916">
          <cell r="B10916" t="str">
            <v>Shipment</v>
          </cell>
        </row>
        <row r="10917">
          <cell r="B10917" t="str">
            <v>Shipment</v>
          </cell>
        </row>
        <row r="10918">
          <cell r="B10918" t="str">
            <v>Shipment</v>
          </cell>
        </row>
        <row r="10919">
          <cell r="B10919" t="str">
            <v>Shipment</v>
          </cell>
        </row>
        <row r="10920">
          <cell r="B10920" t="str">
            <v>Shipment</v>
          </cell>
        </row>
        <row r="10921">
          <cell r="B10921" t="str">
            <v>Shipment</v>
          </cell>
        </row>
        <row r="10922">
          <cell r="B10922" t="str">
            <v>Shipment</v>
          </cell>
        </row>
        <row r="10923">
          <cell r="B10923" t="str">
            <v>Shipment</v>
          </cell>
        </row>
        <row r="10924">
          <cell r="B10924" t="str">
            <v>Shipment</v>
          </cell>
        </row>
        <row r="10925">
          <cell r="B10925" t="str">
            <v>Shipment</v>
          </cell>
        </row>
        <row r="10926">
          <cell r="B10926" t="str">
            <v>Shipment</v>
          </cell>
        </row>
        <row r="10927">
          <cell r="B10927" t="str">
            <v>Shipment</v>
          </cell>
        </row>
        <row r="10928">
          <cell r="B10928" t="str">
            <v>Shipment</v>
          </cell>
        </row>
        <row r="10929">
          <cell r="B10929" t="str">
            <v>Shipment</v>
          </cell>
        </row>
        <row r="10930">
          <cell r="B10930" t="str">
            <v>Shipment</v>
          </cell>
        </row>
        <row r="10931">
          <cell r="B10931" t="str">
            <v>Shipment</v>
          </cell>
        </row>
        <row r="10932">
          <cell r="B10932" t="str">
            <v>Shipment</v>
          </cell>
        </row>
        <row r="10933">
          <cell r="B10933" t="str">
            <v>Shipment</v>
          </cell>
        </row>
        <row r="10934">
          <cell r="B10934" t="str">
            <v>Shipment</v>
          </cell>
        </row>
        <row r="10935">
          <cell r="B10935" t="str">
            <v>Shipment</v>
          </cell>
        </row>
        <row r="10936">
          <cell r="B10936" t="str">
            <v>Shipment</v>
          </cell>
        </row>
        <row r="10937">
          <cell r="B10937" t="str">
            <v>Shipment</v>
          </cell>
        </row>
        <row r="10938">
          <cell r="B10938" t="str">
            <v>Shipment</v>
          </cell>
        </row>
        <row r="10939">
          <cell r="B10939" t="str">
            <v>Shipment</v>
          </cell>
        </row>
        <row r="10940">
          <cell r="B10940" t="str">
            <v>Shipment</v>
          </cell>
        </row>
        <row r="10941">
          <cell r="B10941" t="str">
            <v>Shipment</v>
          </cell>
        </row>
        <row r="10942">
          <cell r="B10942" t="str">
            <v>Shipment</v>
          </cell>
        </row>
        <row r="10943">
          <cell r="B10943" t="str">
            <v>Shipment</v>
          </cell>
        </row>
        <row r="10944">
          <cell r="B10944" t="str">
            <v>Shipment</v>
          </cell>
        </row>
        <row r="10945">
          <cell r="B10945" t="str">
            <v>Shipment</v>
          </cell>
        </row>
        <row r="10946">
          <cell r="B10946" t="str">
            <v>Shipment</v>
          </cell>
        </row>
        <row r="10947">
          <cell r="B10947" t="str">
            <v>Shipment</v>
          </cell>
        </row>
        <row r="10948">
          <cell r="B10948" t="str">
            <v>Shipment</v>
          </cell>
        </row>
        <row r="10949">
          <cell r="B10949" t="str">
            <v>Shipment</v>
          </cell>
        </row>
        <row r="10950">
          <cell r="B10950" t="str">
            <v>Shipment</v>
          </cell>
        </row>
        <row r="10951">
          <cell r="B10951" t="str">
            <v>Shipment</v>
          </cell>
        </row>
        <row r="10952">
          <cell r="B10952" t="str">
            <v>Shipment</v>
          </cell>
        </row>
        <row r="10953">
          <cell r="B10953" t="str">
            <v>Shipment</v>
          </cell>
        </row>
        <row r="10954">
          <cell r="B10954" t="str">
            <v>Shipment</v>
          </cell>
        </row>
        <row r="10955">
          <cell r="B10955" t="str">
            <v>Shipment</v>
          </cell>
        </row>
        <row r="10956">
          <cell r="B10956" t="str">
            <v>Shipment</v>
          </cell>
        </row>
        <row r="10957">
          <cell r="B10957" t="str">
            <v>Shipment</v>
          </cell>
        </row>
        <row r="10958">
          <cell r="B10958" t="str">
            <v>Shipment</v>
          </cell>
        </row>
        <row r="10959">
          <cell r="B10959" t="str">
            <v>Shipment</v>
          </cell>
        </row>
        <row r="10960">
          <cell r="B10960" t="str">
            <v>Shipment</v>
          </cell>
        </row>
        <row r="10961">
          <cell r="B10961" t="str">
            <v>Shipment</v>
          </cell>
        </row>
        <row r="10962">
          <cell r="B10962" t="str">
            <v>Shipment</v>
          </cell>
        </row>
        <row r="10963">
          <cell r="B10963" t="str">
            <v>Shipment</v>
          </cell>
        </row>
        <row r="10964">
          <cell r="B10964" t="str">
            <v>Shipment</v>
          </cell>
        </row>
        <row r="10965">
          <cell r="B10965" t="str">
            <v>Shipment</v>
          </cell>
        </row>
        <row r="10966">
          <cell r="B10966" t="str">
            <v>Shipment</v>
          </cell>
        </row>
        <row r="10967">
          <cell r="B10967" t="str">
            <v>Shipment</v>
          </cell>
        </row>
        <row r="10968">
          <cell r="B10968" t="str">
            <v>Shipment</v>
          </cell>
        </row>
        <row r="10969">
          <cell r="B10969" t="str">
            <v>Shipment</v>
          </cell>
        </row>
        <row r="10970">
          <cell r="B10970" t="str">
            <v>Shipment</v>
          </cell>
        </row>
        <row r="10971">
          <cell r="B10971" t="str">
            <v>Shipment</v>
          </cell>
        </row>
        <row r="10972">
          <cell r="B10972" t="str">
            <v>Shipment</v>
          </cell>
        </row>
        <row r="10973">
          <cell r="B10973" t="str">
            <v>Shipment</v>
          </cell>
        </row>
        <row r="10974">
          <cell r="B10974" t="str">
            <v>Shipment</v>
          </cell>
        </row>
        <row r="10975">
          <cell r="B10975" t="str">
            <v>Shipment</v>
          </cell>
        </row>
        <row r="10976">
          <cell r="B10976" t="str">
            <v>Shipment</v>
          </cell>
        </row>
        <row r="10977">
          <cell r="B10977" t="str">
            <v>Shipment</v>
          </cell>
        </row>
        <row r="10978">
          <cell r="B10978" t="str">
            <v>Shipment</v>
          </cell>
        </row>
        <row r="10979">
          <cell r="B10979" t="str">
            <v>Shipment</v>
          </cell>
        </row>
        <row r="10980">
          <cell r="B10980" t="str">
            <v>Shipment</v>
          </cell>
        </row>
        <row r="10981">
          <cell r="B10981" t="str">
            <v>Shipment</v>
          </cell>
        </row>
        <row r="10982">
          <cell r="B10982" t="str">
            <v>Shipment</v>
          </cell>
        </row>
        <row r="10983">
          <cell r="B10983" t="str">
            <v>Shipment</v>
          </cell>
        </row>
        <row r="10984">
          <cell r="B10984" t="str">
            <v>Shipment</v>
          </cell>
        </row>
        <row r="10985">
          <cell r="B10985" t="str">
            <v>Shipment</v>
          </cell>
        </row>
        <row r="10986">
          <cell r="B10986" t="str">
            <v>Shipment</v>
          </cell>
        </row>
        <row r="10987">
          <cell r="B10987" t="str">
            <v>Shipment</v>
          </cell>
        </row>
        <row r="10988">
          <cell r="B10988" t="str">
            <v>Shipment</v>
          </cell>
        </row>
        <row r="10989">
          <cell r="B10989" t="str">
            <v>Shipment</v>
          </cell>
        </row>
        <row r="10990">
          <cell r="B10990" t="str">
            <v>Shipment</v>
          </cell>
        </row>
        <row r="10991">
          <cell r="B10991" t="str">
            <v>Shipment</v>
          </cell>
        </row>
        <row r="10992">
          <cell r="B10992" t="str">
            <v>Shipment</v>
          </cell>
        </row>
        <row r="10993">
          <cell r="B10993" t="str">
            <v>Shipment</v>
          </cell>
        </row>
        <row r="10994">
          <cell r="B10994" t="str">
            <v>Shipment</v>
          </cell>
        </row>
        <row r="10995">
          <cell r="B10995" t="str">
            <v>Shipment</v>
          </cell>
        </row>
        <row r="10996">
          <cell r="B10996" t="str">
            <v>Shipment</v>
          </cell>
        </row>
        <row r="10997">
          <cell r="B10997" t="str">
            <v>Shipment</v>
          </cell>
        </row>
        <row r="10998">
          <cell r="B10998" t="str">
            <v>Shipment</v>
          </cell>
        </row>
        <row r="10999">
          <cell r="B10999" t="str">
            <v>Shipment</v>
          </cell>
        </row>
        <row r="11000">
          <cell r="B11000" t="str">
            <v>Shipment</v>
          </cell>
        </row>
        <row r="11001">
          <cell r="B11001" t="str">
            <v>Shipment</v>
          </cell>
        </row>
        <row r="11002">
          <cell r="B11002" t="str">
            <v>Shipment</v>
          </cell>
        </row>
        <row r="11003">
          <cell r="B11003" t="str">
            <v>Shipment</v>
          </cell>
        </row>
        <row r="11004">
          <cell r="B11004" t="str">
            <v>Shipment</v>
          </cell>
        </row>
        <row r="11005">
          <cell r="B11005" t="str">
            <v>Shipment</v>
          </cell>
        </row>
        <row r="11006">
          <cell r="B11006" t="str">
            <v>Shipment</v>
          </cell>
        </row>
        <row r="11007">
          <cell r="B11007" t="str">
            <v>Shipment</v>
          </cell>
        </row>
        <row r="11008">
          <cell r="B11008" t="str">
            <v>Shipment</v>
          </cell>
        </row>
        <row r="11009">
          <cell r="B11009" t="str">
            <v>Shipment</v>
          </cell>
        </row>
        <row r="11010">
          <cell r="B11010" t="str">
            <v>Shipment</v>
          </cell>
        </row>
        <row r="11011">
          <cell r="B11011" t="str">
            <v>Shipment</v>
          </cell>
        </row>
        <row r="11012">
          <cell r="B11012" t="str">
            <v>Shipment</v>
          </cell>
        </row>
        <row r="11013">
          <cell r="B11013" t="str">
            <v>Shipment</v>
          </cell>
        </row>
        <row r="11014">
          <cell r="B11014" t="str">
            <v>Shipment</v>
          </cell>
        </row>
        <row r="11015">
          <cell r="B11015" t="str">
            <v>Shipment</v>
          </cell>
        </row>
        <row r="11016">
          <cell r="B11016" t="str">
            <v>Shipment</v>
          </cell>
        </row>
        <row r="11017">
          <cell r="B11017" t="str">
            <v>Shipment</v>
          </cell>
        </row>
        <row r="11018">
          <cell r="B11018" t="str">
            <v>Shipment</v>
          </cell>
        </row>
        <row r="11019">
          <cell r="B11019" t="str">
            <v>Shipment</v>
          </cell>
        </row>
        <row r="11020">
          <cell r="B11020" t="str">
            <v>Shipment</v>
          </cell>
        </row>
        <row r="11021">
          <cell r="B11021" t="str">
            <v>Shipment</v>
          </cell>
        </row>
        <row r="11022">
          <cell r="B11022" t="str">
            <v>Shipment</v>
          </cell>
        </row>
        <row r="11023">
          <cell r="B11023" t="str">
            <v>Shipment</v>
          </cell>
        </row>
        <row r="11024">
          <cell r="B11024" t="str">
            <v>Shipment</v>
          </cell>
        </row>
        <row r="11025">
          <cell r="B11025" t="str">
            <v>Shipment</v>
          </cell>
        </row>
        <row r="11026">
          <cell r="B11026" t="str">
            <v>Shipment</v>
          </cell>
        </row>
        <row r="11027">
          <cell r="B11027" t="str">
            <v>Shipment</v>
          </cell>
        </row>
        <row r="11028">
          <cell r="B11028" t="str">
            <v>Shipment</v>
          </cell>
        </row>
        <row r="11029">
          <cell r="B11029" t="str">
            <v>Shipment</v>
          </cell>
        </row>
        <row r="11030">
          <cell r="B11030" t="str">
            <v>Shipment</v>
          </cell>
        </row>
        <row r="11031">
          <cell r="B11031" t="str">
            <v>Shipment</v>
          </cell>
        </row>
        <row r="11032">
          <cell r="B11032" t="str">
            <v>Shipment</v>
          </cell>
        </row>
        <row r="11033">
          <cell r="B11033" t="str">
            <v>Shipment</v>
          </cell>
        </row>
        <row r="11034">
          <cell r="B11034" t="str">
            <v>Shipment</v>
          </cell>
        </row>
        <row r="11035">
          <cell r="B11035" t="str">
            <v>Shipment</v>
          </cell>
        </row>
        <row r="11036">
          <cell r="B11036" t="str">
            <v>Shipment</v>
          </cell>
        </row>
        <row r="11037">
          <cell r="B11037" t="str">
            <v>Shipment</v>
          </cell>
        </row>
        <row r="11038">
          <cell r="B11038" t="str">
            <v>Shipment</v>
          </cell>
        </row>
        <row r="11039">
          <cell r="B11039" t="str">
            <v>Shipment</v>
          </cell>
        </row>
        <row r="11040">
          <cell r="B11040" t="str">
            <v>Shipment</v>
          </cell>
        </row>
        <row r="11041">
          <cell r="B11041" t="str">
            <v>Shipment</v>
          </cell>
        </row>
        <row r="11042">
          <cell r="B11042" t="str">
            <v>Shipment</v>
          </cell>
        </row>
        <row r="11043">
          <cell r="B11043" t="str">
            <v>Shipment</v>
          </cell>
        </row>
        <row r="11044">
          <cell r="B11044" t="str">
            <v>Shipment</v>
          </cell>
        </row>
        <row r="11045">
          <cell r="B11045" t="str">
            <v>Shipment</v>
          </cell>
        </row>
        <row r="11046">
          <cell r="B11046" t="str">
            <v>Shipment</v>
          </cell>
        </row>
        <row r="11047">
          <cell r="B11047" t="str">
            <v>Shipment</v>
          </cell>
        </row>
        <row r="11048">
          <cell r="B11048" t="str">
            <v>Shipment</v>
          </cell>
        </row>
        <row r="11049">
          <cell r="B11049" t="str">
            <v>Shipment</v>
          </cell>
        </row>
        <row r="11050">
          <cell r="B11050" t="str">
            <v>Shipment</v>
          </cell>
        </row>
        <row r="11051">
          <cell r="B11051" t="str">
            <v>Shipment</v>
          </cell>
        </row>
        <row r="11052">
          <cell r="B11052" t="str">
            <v>Shipment</v>
          </cell>
        </row>
        <row r="11053">
          <cell r="B11053" t="str">
            <v>Shipment</v>
          </cell>
        </row>
        <row r="11054">
          <cell r="B11054" t="str">
            <v>Shipment</v>
          </cell>
        </row>
        <row r="11055">
          <cell r="B11055" t="str">
            <v>Shipment</v>
          </cell>
        </row>
        <row r="11056">
          <cell r="B11056" t="str">
            <v>Shipment</v>
          </cell>
        </row>
        <row r="11057">
          <cell r="B11057" t="str">
            <v>Shipment</v>
          </cell>
        </row>
        <row r="11058">
          <cell r="B11058" t="str">
            <v>Shipment</v>
          </cell>
        </row>
        <row r="11059">
          <cell r="B11059" t="str">
            <v>Shipment</v>
          </cell>
        </row>
        <row r="11060">
          <cell r="B11060" t="str">
            <v>Shipment</v>
          </cell>
        </row>
        <row r="11061">
          <cell r="B11061" t="str">
            <v>Shipment</v>
          </cell>
        </row>
        <row r="11062">
          <cell r="B11062" t="str">
            <v>Shipment</v>
          </cell>
        </row>
        <row r="11063">
          <cell r="B11063" t="str">
            <v>Shipment</v>
          </cell>
        </row>
        <row r="11064">
          <cell r="B11064" t="str">
            <v>Shipment</v>
          </cell>
        </row>
        <row r="11065">
          <cell r="B11065" t="str">
            <v>Shipment</v>
          </cell>
        </row>
        <row r="11066">
          <cell r="B11066" t="str">
            <v>Shipment</v>
          </cell>
        </row>
        <row r="11067">
          <cell r="B11067" t="str">
            <v>Shipment</v>
          </cell>
        </row>
        <row r="11068">
          <cell r="B11068" t="str">
            <v>Shipment</v>
          </cell>
        </row>
        <row r="11069">
          <cell r="B11069" t="str">
            <v>Shipment</v>
          </cell>
        </row>
        <row r="11070">
          <cell r="B11070" t="str">
            <v>Shipment</v>
          </cell>
        </row>
        <row r="11071">
          <cell r="B11071" t="str">
            <v>Shipment</v>
          </cell>
        </row>
        <row r="11072">
          <cell r="B11072" t="str">
            <v>Shipment</v>
          </cell>
        </row>
        <row r="11073">
          <cell r="B11073" t="str">
            <v>Shipment</v>
          </cell>
        </row>
        <row r="11074">
          <cell r="B11074" t="str">
            <v>Shipment</v>
          </cell>
        </row>
        <row r="11075">
          <cell r="B11075" t="str">
            <v>Shipment</v>
          </cell>
        </row>
        <row r="11076">
          <cell r="B11076" t="str">
            <v>Shipment</v>
          </cell>
        </row>
        <row r="11077">
          <cell r="B11077" t="str">
            <v>Shipment</v>
          </cell>
        </row>
        <row r="11078">
          <cell r="B11078" t="str">
            <v>Shipment</v>
          </cell>
        </row>
        <row r="11079">
          <cell r="B11079" t="str">
            <v>Shipment</v>
          </cell>
        </row>
        <row r="11080">
          <cell r="B11080" t="str">
            <v>Shipment</v>
          </cell>
        </row>
        <row r="11081">
          <cell r="B11081" t="str">
            <v>Shipment</v>
          </cell>
        </row>
        <row r="11082">
          <cell r="B11082" t="str">
            <v>Shipment</v>
          </cell>
        </row>
        <row r="11083">
          <cell r="B11083" t="str">
            <v>Shipment</v>
          </cell>
        </row>
        <row r="11084">
          <cell r="B11084" t="str">
            <v>Shipment</v>
          </cell>
        </row>
        <row r="11085">
          <cell r="B11085" t="str">
            <v>Shipment</v>
          </cell>
        </row>
        <row r="11086">
          <cell r="B11086" t="str">
            <v>Shipment</v>
          </cell>
        </row>
        <row r="11087">
          <cell r="B11087" t="str">
            <v>Shipment</v>
          </cell>
        </row>
        <row r="11088">
          <cell r="B11088" t="str">
            <v>Shipment</v>
          </cell>
        </row>
        <row r="11089">
          <cell r="B11089" t="str">
            <v>Shipment</v>
          </cell>
        </row>
        <row r="11090">
          <cell r="B11090" t="str">
            <v>Shipment</v>
          </cell>
        </row>
        <row r="11091">
          <cell r="B11091" t="str">
            <v>Shipment</v>
          </cell>
        </row>
        <row r="11092">
          <cell r="B11092" t="str">
            <v>Shipment</v>
          </cell>
        </row>
        <row r="11093">
          <cell r="B11093" t="str">
            <v>Shipment</v>
          </cell>
        </row>
        <row r="11094">
          <cell r="B11094" t="str">
            <v>Shipment</v>
          </cell>
        </row>
        <row r="11095">
          <cell r="B11095" t="str">
            <v>Shipment</v>
          </cell>
        </row>
        <row r="11096">
          <cell r="B11096" t="str">
            <v>Shipment</v>
          </cell>
        </row>
        <row r="11097">
          <cell r="B11097" t="str">
            <v>Shipment</v>
          </cell>
        </row>
        <row r="11098">
          <cell r="B11098" t="str">
            <v>Shipment</v>
          </cell>
        </row>
        <row r="11099">
          <cell r="B11099" t="str">
            <v>Shipment</v>
          </cell>
        </row>
        <row r="11100">
          <cell r="B11100" t="str">
            <v>Shipment</v>
          </cell>
        </row>
        <row r="11101">
          <cell r="B11101" t="str">
            <v>Shipment</v>
          </cell>
        </row>
        <row r="11102">
          <cell r="B11102" t="str">
            <v>Shipment</v>
          </cell>
        </row>
        <row r="11103">
          <cell r="B11103" t="str">
            <v>Shipment</v>
          </cell>
        </row>
        <row r="11104">
          <cell r="B11104" t="str">
            <v>Shipment</v>
          </cell>
        </row>
        <row r="11105">
          <cell r="B11105" t="str">
            <v>Shipment</v>
          </cell>
        </row>
        <row r="11106">
          <cell r="B11106" t="str">
            <v>Shipment</v>
          </cell>
        </row>
        <row r="11107">
          <cell r="B11107" t="str">
            <v>Shipment</v>
          </cell>
        </row>
        <row r="11108">
          <cell r="B11108" t="str">
            <v>Shipment</v>
          </cell>
        </row>
        <row r="11109">
          <cell r="B11109" t="str">
            <v>Shipment</v>
          </cell>
        </row>
        <row r="11110">
          <cell r="B11110" t="str">
            <v>Shipment</v>
          </cell>
        </row>
        <row r="11111">
          <cell r="B11111" t="str">
            <v>Shipment</v>
          </cell>
        </row>
        <row r="11112">
          <cell r="B11112" t="str">
            <v>Shipment</v>
          </cell>
        </row>
        <row r="11113">
          <cell r="B11113" t="str">
            <v>Shipment</v>
          </cell>
        </row>
        <row r="11114">
          <cell r="B11114" t="str">
            <v>Shipment</v>
          </cell>
        </row>
        <row r="11115">
          <cell r="B11115" t="str">
            <v>Shipment</v>
          </cell>
        </row>
        <row r="11116">
          <cell r="B11116" t="str">
            <v>Shipment</v>
          </cell>
        </row>
        <row r="11117">
          <cell r="B11117" t="str">
            <v>Shipment</v>
          </cell>
        </row>
        <row r="11118">
          <cell r="B11118" t="str">
            <v>Shipment</v>
          </cell>
        </row>
        <row r="11119">
          <cell r="B11119" t="str">
            <v>Shipment</v>
          </cell>
        </row>
        <row r="11120">
          <cell r="B11120" t="str">
            <v>Shipment</v>
          </cell>
        </row>
        <row r="11121">
          <cell r="B11121" t="str">
            <v>Shipment</v>
          </cell>
        </row>
        <row r="11122">
          <cell r="B11122" t="str">
            <v>Shipment</v>
          </cell>
        </row>
        <row r="11123">
          <cell r="B11123" t="str">
            <v>Shipment</v>
          </cell>
        </row>
        <row r="11124">
          <cell r="B11124" t="str">
            <v>Shipment</v>
          </cell>
        </row>
        <row r="11125">
          <cell r="B11125" t="str">
            <v>Shipment</v>
          </cell>
        </row>
        <row r="11126">
          <cell r="B11126" t="str">
            <v>Shipment</v>
          </cell>
        </row>
        <row r="11127">
          <cell r="B11127" t="str">
            <v>Shipment</v>
          </cell>
        </row>
        <row r="11128">
          <cell r="B11128" t="str">
            <v>Shipment</v>
          </cell>
        </row>
        <row r="11129">
          <cell r="B11129" t="str">
            <v>Shipment</v>
          </cell>
        </row>
        <row r="11130">
          <cell r="B11130" t="str">
            <v>Shipment</v>
          </cell>
        </row>
        <row r="11131">
          <cell r="B11131" t="str">
            <v>Shipment</v>
          </cell>
        </row>
        <row r="11132">
          <cell r="B11132" t="str">
            <v>Shipment</v>
          </cell>
        </row>
        <row r="11133">
          <cell r="B11133" t="str">
            <v>Shipment</v>
          </cell>
        </row>
        <row r="11134">
          <cell r="B11134" t="str">
            <v>Shipment</v>
          </cell>
        </row>
        <row r="11135">
          <cell r="B11135" t="str">
            <v>Shipment</v>
          </cell>
        </row>
        <row r="11136">
          <cell r="B11136" t="str">
            <v>Shipment</v>
          </cell>
        </row>
        <row r="11137">
          <cell r="B11137" t="str">
            <v>Shipment</v>
          </cell>
        </row>
        <row r="11138">
          <cell r="B11138" t="str">
            <v>Shipment</v>
          </cell>
        </row>
        <row r="11139">
          <cell r="B11139" t="str">
            <v>Shipment</v>
          </cell>
        </row>
        <row r="11140">
          <cell r="B11140" t="str">
            <v>Shipment</v>
          </cell>
        </row>
        <row r="11141">
          <cell r="B11141" t="str">
            <v>Shipment</v>
          </cell>
        </row>
        <row r="11142">
          <cell r="B11142" t="str">
            <v>Shipment</v>
          </cell>
        </row>
        <row r="11143">
          <cell r="B11143" t="str">
            <v>Shipment</v>
          </cell>
        </row>
        <row r="11144">
          <cell r="B11144" t="str">
            <v>Shipment</v>
          </cell>
        </row>
        <row r="11145">
          <cell r="B11145" t="str">
            <v>Shipment</v>
          </cell>
        </row>
        <row r="11146">
          <cell r="B11146" t="str">
            <v>Shipment</v>
          </cell>
        </row>
        <row r="11147">
          <cell r="B11147" t="str">
            <v>Shipment</v>
          </cell>
        </row>
        <row r="11148">
          <cell r="B11148" t="str">
            <v>Shipment</v>
          </cell>
        </row>
        <row r="11149">
          <cell r="B11149" t="str">
            <v>Shipment</v>
          </cell>
        </row>
        <row r="11150">
          <cell r="B11150" t="str">
            <v>Shipment</v>
          </cell>
        </row>
        <row r="11151">
          <cell r="B11151" t="str">
            <v>Shipment</v>
          </cell>
        </row>
        <row r="11152">
          <cell r="B11152" t="str">
            <v>Shipment</v>
          </cell>
        </row>
        <row r="11153">
          <cell r="B11153" t="str">
            <v>Shipment</v>
          </cell>
        </row>
        <row r="11154">
          <cell r="B11154" t="str">
            <v>Shipment</v>
          </cell>
        </row>
        <row r="11155">
          <cell r="B11155" t="str">
            <v>Shipment</v>
          </cell>
        </row>
        <row r="11156">
          <cell r="B11156" t="str">
            <v>Shipment</v>
          </cell>
        </row>
        <row r="11157">
          <cell r="B11157" t="str">
            <v>Shipment</v>
          </cell>
        </row>
        <row r="11158">
          <cell r="B11158" t="str">
            <v>Shipment</v>
          </cell>
        </row>
        <row r="11159">
          <cell r="B11159" t="str">
            <v>Shipment</v>
          </cell>
        </row>
        <row r="11160">
          <cell r="B11160" t="str">
            <v>Shipment</v>
          </cell>
        </row>
        <row r="11161">
          <cell r="B11161" t="str">
            <v>Shipment</v>
          </cell>
        </row>
        <row r="11162">
          <cell r="B11162" t="str">
            <v>Shipment</v>
          </cell>
        </row>
        <row r="11163">
          <cell r="B11163" t="str">
            <v>Shipment</v>
          </cell>
        </row>
        <row r="11164">
          <cell r="B11164" t="str">
            <v>Shipment</v>
          </cell>
        </row>
        <row r="11165">
          <cell r="B11165" t="str">
            <v>Shipment</v>
          </cell>
        </row>
        <row r="11166">
          <cell r="B11166" t="str">
            <v>Shipment</v>
          </cell>
        </row>
        <row r="11167">
          <cell r="B11167" t="str">
            <v>Shipment</v>
          </cell>
        </row>
        <row r="11168">
          <cell r="B11168" t="str">
            <v>Shipment</v>
          </cell>
        </row>
        <row r="11169">
          <cell r="B11169" t="str">
            <v>Shipment</v>
          </cell>
        </row>
        <row r="11170">
          <cell r="B11170" t="str">
            <v>Shipment</v>
          </cell>
        </row>
        <row r="11171">
          <cell r="B11171" t="str">
            <v>Shipment</v>
          </cell>
        </row>
        <row r="11172">
          <cell r="B11172" t="str">
            <v>Shipment</v>
          </cell>
        </row>
        <row r="11173">
          <cell r="B11173" t="str">
            <v>Shipment</v>
          </cell>
        </row>
        <row r="11174">
          <cell r="B11174" t="str">
            <v>Shipment</v>
          </cell>
        </row>
        <row r="11175">
          <cell r="B11175" t="str">
            <v>Shipment</v>
          </cell>
        </row>
        <row r="11176">
          <cell r="B11176" t="str">
            <v>Shipment</v>
          </cell>
        </row>
        <row r="11177">
          <cell r="B11177" t="str">
            <v>Shipment</v>
          </cell>
        </row>
        <row r="11178">
          <cell r="B11178" t="str">
            <v>Shipment</v>
          </cell>
        </row>
        <row r="11179">
          <cell r="B11179" t="str">
            <v>Shipment</v>
          </cell>
        </row>
        <row r="11180">
          <cell r="B11180" t="str">
            <v>Shipment</v>
          </cell>
        </row>
        <row r="11181">
          <cell r="B11181" t="str">
            <v>Shipment</v>
          </cell>
        </row>
        <row r="11182">
          <cell r="B11182" t="str">
            <v>Shipment</v>
          </cell>
        </row>
        <row r="11183">
          <cell r="B11183" t="str">
            <v>Shipment</v>
          </cell>
        </row>
        <row r="11184">
          <cell r="B11184" t="str">
            <v>Shipment</v>
          </cell>
        </row>
        <row r="11185">
          <cell r="B11185" t="str">
            <v>Shipment</v>
          </cell>
        </row>
        <row r="11186">
          <cell r="B11186" t="str">
            <v>Shipment</v>
          </cell>
        </row>
        <row r="11187">
          <cell r="B11187" t="str">
            <v>Shipment</v>
          </cell>
        </row>
        <row r="11188">
          <cell r="B11188" t="str">
            <v>Shipment</v>
          </cell>
        </row>
        <row r="11189">
          <cell r="B11189" t="str">
            <v>Shipment</v>
          </cell>
        </row>
        <row r="11190">
          <cell r="B11190" t="str">
            <v>Shipment</v>
          </cell>
        </row>
        <row r="11191">
          <cell r="B11191" t="str">
            <v>Shipment</v>
          </cell>
        </row>
        <row r="11192">
          <cell r="B11192" t="str">
            <v>Shipment</v>
          </cell>
        </row>
        <row r="11193">
          <cell r="B11193" t="str">
            <v>Shipment</v>
          </cell>
        </row>
        <row r="11194">
          <cell r="B11194" t="str">
            <v>Shipment</v>
          </cell>
        </row>
        <row r="11195">
          <cell r="B11195" t="str">
            <v>Shipment</v>
          </cell>
        </row>
        <row r="11196">
          <cell r="B11196" t="str">
            <v>Shipment</v>
          </cell>
        </row>
        <row r="11197">
          <cell r="B11197" t="str">
            <v>Shipment</v>
          </cell>
        </row>
        <row r="11198">
          <cell r="B11198" t="str">
            <v>Shipment</v>
          </cell>
        </row>
        <row r="11199">
          <cell r="B11199" t="str">
            <v>Shipment</v>
          </cell>
        </row>
        <row r="11200">
          <cell r="B11200" t="str">
            <v>Shipment</v>
          </cell>
        </row>
        <row r="11201">
          <cell r="B11201" t="str">
            <v>Shipment</v>
          </cell>
        </row>
        <row r="11202">
          <cell r="B11202" t="str">
            <v>Shipment</v>
          </cell>
        </row>
        <row r="11203">
          <cell r="B11203" t="str">
            <v>Shipment</v>
          </cell>
        </row>
        <row r="11204">
          <cell r="B11204" t="str">
            <v>Shipment</v>
          </cell>
        </row>
        <row r="11205">
          <cell r="B11205" t="str">
            <v>Shipment</v>
          </cell>
        </row>
        <row r="11206">
          <cell r="B11206" t="str">
            <v>Shipment</v>
          </cell>
        </row>
        <row r="11207">
          <cell r="B11207" t="str">
            <v>Shipment</v>
          </cell>
        </row>
        <row r="11208">
          <cell r="B11208" t="str">
            <v>Shipment</v>
          </cell>
        </row>
        <row r="11209">
          <cell r="B11209" t="str">
            <v>Shipment</v>
          </cell>
        </row>
        <row r="11210">
          <cell r="B11210" t="str">
            <v>Shipment</v>
          </cell>
        </row>
        <row r="11211">
          <cell r="B11211" t="str">
            <v>Shipment</v>
          </cell>
        </row>
        <row r="11212">
          <cell r="B11212" t="str">
            <v>Shipment</v>
          </cell>
        </row>
        <row r="11213">
          <cell r="B11213" t="str">
            <v>Shipment</v>
          </cell>
        </row>
        <row r="11214">
          <cell r="B11214" t="str">
            <v>Shipment</v>
          </cell>
        </row>
        <row r="11215">
          <cell r="B11215" t="str">
            <v>Shipment</v>
          </cell>
        </row>
        <row r="11216">
          <cell r="B11216" t="str">
            <v>Shipment</v>
          </cell>
        </row>
        <row r="11217">
          <cell r="B11217" t="str">
            <v>Shipment</v>
          </cell>
        </row>
        <row r="11218">
          <cell r="B11218" t="str">
            <v>Shipment</v>
          </cell>
        </row>
        <row r="11219">
          <cell r="B11219" t="str">
            <v>Shipment</v>
          </cell>
        </row>
        <row r="11220">
          <cell r="B11220" t="str">
            <v>Shipment</v>
          </cell>
        </row>
        <row r="11221">
          <cell r="B11221" t="str">
            <v>Shipment</v>
          </cell>
        </row>
        <row r="11222">
          <cell r="B11222" t="str">
            <v>Shipment</v>
          </cell>
        </row>
        <row r="11223">
          <cell r="B11223" t="str">
            <v>Shipment</v>
          </cell>
        </row>
        <row r="11224">
          <cell r="B11224" t="str">
            <v>Shipment</v>
          </cell>
        </row>
        <row r="11225">
          <cell r="B11225" t="str">
            <v>Shipment</v>
          </cell>
        </row>
        <row r="11226">
          <cell r="B11226" t="str">
            <v>Shipment</v>
          </cell>
        </row>
        <row r="11227">
          <cell r="B11227" t="str">
            <v>Shipment</v>
          </cell>
        </row>
        <row r="11228">
          <cell r="B11228" t="str">
            <v>Shipment</v>
          </cell>
        </row>
        <row r="11229">
          <cell r="B11229" t="str">
            <v>Shipment</v>
          </cell>
        </row>
        <row r="11230">
          <cell r="B11230" t="str">
            <v>Shipment</v>
          </cell>
        </row>
        <row r="11231">
          <cell r="B11231" t="str">
            <v>Shipment</v>
          </cell>
        </row>
        <row r="11232">
          <cell r="B11232" t="str">
            <v>Shipment</v>
          </cell>
        </row>
        <row r="11233">
          <cell r="B11233" t="str">
            <v>Shipment</v>
          </cell>
        </row>
        <row r="11234">
          <cell r="B11234" t="str">
            <v>Shipment</v>
          </cell>
        </row>
        <row r="11235">
          <cell r="B11235" t="str">
            <v>Shipment</v>
          </cell>
        </row>
        <row r="11236">
          <cell r="B11236" t="str">
            <v>Shipment</v>
          </cell>
        </row>
        <row r="11237">
          <cell r="B11237" t="str">
            <v>Shipment</v>
          </cell>
        </row>
        <row r="11238">
          <cell r="B11238" t="str">
            <v>Shipment</v>
          </cell>
        </row>
        <row r="11239">
          <cell r="B11239" t="str">
            <v>Shipment</v>
          </cell>
        </row>
        <row r="11240">
          <cell r="B11240" t="str">
            <v>Shipment</v>
          </cell>
        </row>
        <row r="11241">
          <cell r="B11241" t="str">
            <v>Shipment</v>
          </cell>
        </row>
        <row r="11242">
          <cell r="B11242" t="str">
            <v>Shipment</v>
          </cell>
        </row>
        <row r="11243">
          <cell r="B11243" t="str">
            <v>Shipment</v>
          </cell>
        </row>
        <row r="11244">
          <cell r="B11244" t="str">
            <v>Shipment</v>
          </cell>
        </row>
        <row r="11245">
          <cell r="B11245" t="str">
            <v>Shipment</v>
          </cell>
        </row>
        <row r="11246">
          <cell r="B11246" t="str">
            <v>Shipment</v>
          </cell>
        </row>
        <row r="11247">
          <cell r="B11247" t="str">
            <v>Shipment</v>
          </cell>
        </row>
        <row r="11248">
          <cell r="B11248" t="str">
            <v>Shipment</v>
          </cell>
        </row>
        <row r="11249">
          <cell r="B11249" t="str">
            <v>Shipment</v>
          </cell>
        </row>
        <row r="11250">
          <cell r="B11250" t="str">
            <v>Shipment</v>
          </cell>
        </row>
        <row r="11251">
          <cell r="B11251" t="str">
            <v>Shipment</v>
          </cell>
        </row>
        <row r="11252">
          <cell r="B11252" t="str">
            <v>Shipment</v>
          </cell>
        </row>
        <row r="11253">
          <cell r="B11253" t="str">
            <v>Shipment</v>
          </cell>
        </row>
        <row r="11254">
          <cell r="B11254" t="str">
            <v>Shipment</v>
          </cell>
        </row>
        <row r="11255">
          <cell r="B11255" t="str">
            <v>Shipment</v>
          </cell>
        </row>
        <row r="11256">
          <cell r="B11256" t="str">
            <v>Shipment</v>
          </cell>
        </row>
        <row r="11257">
          <cell r="B11257" t="str">
            <v>Shipment</v>
          </cell>
        </row>
        <row r="11258">
          <cell r="B11258" t="str">
            <v>Shipment</v>
          </cell>
        </row>
        <row r="11259">
          <cell r="B11259" t="str">
            <v>Shipment</v>
          </cell>
        </row>
        <row r="11260">
          <cell r="B11260" t="str">
            <v>Shipment</v>
          </cell>
        </row>
        <row r="11261">
          <cell r="B11261" t="str">
            <v>Shipment</v>
          </cell>
        </row>
        <row r="11262">
          <cell r="B11262" t="str">
            <v>Shipment</v>
          </cell>
        </row>
        <row r="11263">
          <cell r="B11263" t="str">
            <v>Shipment</v>
          </cell>
        </row>
        <row r="11264">
          <cell r="B11264" t="str">
            <v>Shipment</v>
          </cell>
        </row>
        <row r="11265">
          <cell r="B11265" t="str">
            <v>Shipment</v>
          </cell>
        </row>
        <row r="11266">
          <cell r="B11266" t="str">
            <v>Shipment</v>
          </cell>
        </row>
        <row r="11267">
          <cell r="B11267" t="str">
            <v>Shipment</v>
          </cell>
        </row>
        <row r="11268">
          <cell r="B11268" t="str">
            <v>Shipment</v>
          </cell>
        </row>
        <row r="11269">
          <cell r="B11269" t="str">
            <v>Shipment</v>
          </cell>
        </row>
        <row r="11270">
          <cell r="B11270" t="str">
            <v>Shipment</v>
          </cell>
        </row>
        <row r="11271">
          <cell r="B11271" t="str">
            <v>Shipment</v>
          </cell>
        </row>
        <row r="11272">
          <cell r="B11272" t="str">
            <v>Shipment</v>
          </cell>
        </row>
        <row r="11273">
          <cell r="B11273" t="str">
            <v>Shipment</v>
          </cell>
        </row>
        <row r="11274">
          <cell r="B11274" t="str">
            <v>Shipment</v>
          </cell>
        </row>
        <row r="11275">
          <cell r="B11275" t="str">
            <v>Shipment</v>
          </cell>
        </row>
        <row r="11276">
          <cell r="B11276" t="str">
            <v>Shipment</v>
          </cell>
        </row>
        <row r="11277">
          <cell r="B11277" t="str">
            <v>Shipment</v>
          </cell>
        </row>
        <row r="11278">
          <cell r="B11278" t="str">
            <v>Shipment</v>
          </cell>
        </row>
        <row r="11279">
          <cell r="B11279" t="str">
            <v>Shipment</v>
          </cell>
        </row>
        <row r="11280">
          <cell r="B11280" t="str">
            <v>Shipment</v>
          </cell>
        </row>
        <row r="11281">
          <cell r="B11281" t="str">
            <v>Shipment</v>
          </cell>
        </row>
        <row r="11282">
          <cell r="B11282" t="str">
            <v>Shipment</v>
          </cell>
        </row>
        <row r="11283">
          <cell r="B11283" t="str">
            <v>Shipment</v>
          </cell>
        </row>
        <row r="11284">
          <cell r="B11284" t="str">
            <v>Shipment</v>
          </cell>
        </row>
        <row r="11285">
          <cell r="B11285" t="str">
            <v>Shipment</v>
          </cell>
        </row>
        <row r="11286">
          <cell r="B11286" t="str">
            <v>Shipment</v>
          </cell>
        </row>
        <row r="11287">
          <cell r="B11287" t="str">
            <v>Shipment</v>
          </cell>
        </row>
        <row r="11288">
          <cell r="B11288" t="str">
            <v>Shipment</v>
          </cell>
        </row>
        <row r="11289">
          <cell r="B11289" t="str">
            <v>Shipment</v>
          </cell>
        </row>
        <row r="11290">
          <cell r="B11290" t="str">
            <v>Shipment</v>
          </cell>
        </row>
        <row r="11291">
          <cell r="B11291" t="str">
            <v>Shipment</v>
          </cell>
        </row>
        <row r="11292">
          <cell r="B11292" t="str">
            <v>Shipment</v>
          </cell>
        </row>
        <row r="11293">
          <cell r="B11293" t="str">
            <v>Shipment</v>
          </cell>
        </row>
        <row r="11294">
          <cell r="B11294" t="str">
            <v>Shipment</v>
          </cell>
        </row>
        <row r="11295">
          <cell r="B11295" t="str">
            <v>Shipment</v>
          </cell>
        </row>
        <row r="11296">
          <cell r="B11296" t="str">
            <v>Shipment</v>
          </cell>
        </row>
        <row r="11297">
          <cell r="B11297" t="str">
            <v>Shipment</v>
          </cell>
        </row>
        <row r="11298">
          <cell r="B11298" t="str">
            <v>Shipment</v>
          </cell>
        </row>
        <row r="11299">
          <cell r="B11299" t="str">
            <v>Shipment</v>
          </cell>
        </row>
        <row r="11300">
          <cell r="B11300" t="str">
            <v>Shipment</v>
          </cell>
        </row>
        <row r="11301">
          <cell r="B11301" t="str">
            <v>Shipment</v>
          </cell>
        </row>
        <row r="11302">
          <cell r="B11302" t="str">
            <v>Shipment</v>
          </cell>
        </row>
        <row r="11303">
          <cell r="B11303" t="str">
            <v>Shipment</v>
          </cell>
        </row>
        <row r="11304">
          <cell r="B11304" t="str">
            <v>Shipment</v>
          </cell>
        </row>
        <row r="11305">
          <cell r="B11305" t="str">
            <v>Shipment</v>
          </cell>
        </row>
        <row r="11306">
          <cell r="B11306" t="str">
            <v>Shipment</v>
          </cell>
        </row>
        <row r="11307">
          <cell r="B11307" t="str">
            <v>Shipment</v>
          </cell>
        </row>
        <row r="11308">
          <cell r="B11308" t="str">
            <v>Shipment</v>
          </cell>
        </row>
        <row r="11309">
          <cell r="B11309" t="str">
            <v>Shipment</v>
          </cell>
        </row>
        <row r="11310">
          <cell r="B11310" t="str">
            <v>Shipment</v>
          </cell>
        </row>
        <row r="11311">
          <cell r="B11311" t="str">
            <v>Shipment</v>
          </cell>
        </row>
        <row r="11312">
          <cell r="B11312" t="str">
            <v>Shipment</v>
          </cell>
        </row>
        <row r="11313">
          <cell r="B11313" t="str">
            <v>Shipment</v>
          </cell>
        </row>
        <row r="11314">
          <cell r="B11314" t="str">
            <v>Shipment</v>
          </cell>
        </row>
        <row r="11315">
          <cell r="B11315" t="str">
            <v>Shipment</v>
          </cell>
        </row>
        <row r="11316">
          <cell r="B11316" t="str">
            <v>Shipment</v>
          </cell>
        </row>
        <row r="11317">
          <cell r="B11317" t="str">
            <v>Shipment</v>
          </cell>
        </row>
        <row r="11318">
          <cell r="B11318" t="str">
            <v>Shipment</v>
          </cell>
        </row>
        <row r="11319">
          <cell r="B11319" t="str">
            <v>Shipment</v>
          </cell>
        </row>
        <row r="11320">
          <cell r="B11320" t="str">
            <v>Shipment</v>
          </cell>
        </row>
        <row r="11321">
          <cell r="B11321" t="str">
            <v>Shipment</v>
          </cell>
        </row>
        <row r="11322">
          <cell r="B11322" t="str">
            <v>Shipment</v>
          </cell>
        </row>
        <row r="11323">
          <cell r="B11323" t="str">
            <v>Shipment</v>
          </cell>
        </row>
        <row r="11324">
          <cell r="B11324" t="str">
            <v>Shipment</v>
          </cell>
        </row>
        <row r="11325">
          <cell r="B11325" t="str">
            <v>Shipment</v>
          </cell>
        </row>
        <row r="11326">
          <cell r="B11326" t="str">
            <v>Shipment</v>
          </cell>
        </row>
        <row r="11327">
          <cell r="B11327" t="str">
            <v>Shipment</v>
          </cell>
        </row>
        <row r="11328">
          <cell r="B11328" t="str">
            <v>Shipment</v>
          </cell>
        </row>
        <row r="11329">
          <cell r="B11329" t="str">
            <v>Shipment</v>
          </cell>
        </row>
        <row r="11330">
          <cell r="B11330" t="str">
            <v>Shipment</v>
          </cell>
        </row>
        <row r="11331">
          <cell r="B11331" t="str">
            <v>Shipment</v>
          </cell>
        </row>
        <row r="11332">
          <cell r="B11332" t="str">
            <v>Shipment</v>
          </cell>
        </row>
        <row r="11333">
          <cell r="B11333" t="str">
            <v>Shipment</v>
          </cell>
        </row>
        <row r="11334">
          <cell r="B11334" t="str">
            <v>Shipment</v>
          </cell>
        </row>
        <row r="11335">
          <cell r="B11335" t="str">
            <v>Shipment</v>
          </cell>
        </row>
        <row r="11336">
          <cell r="B11336" t="str">
            <v>Shipment</v>
          </cell>
        </row>
        <row r="11337">
          <cell r="B11337" t="str">
            <v>Shipment</v>
          </cell>
        </row>
        <row r="11338">
          <cell r="B11338" t="str">
            <v>Shipment</v>
          </cell>
        </row>
        <row r="11339">
          <cell r="B11339" t="str">
            <v>Shipment</v>
          </cell>
        </row>
        <row r="11340">
          <cell r="B11340" t="str">
            <v>Shipment</v>
          </cell>
        </row>
        <row r="11341">
          <cell r="B11341" t="str">
            <v>Shipment</v>
          </cell>
        </row>
        <row r="11342">
          <cell r="B11342" t="str">
            <v>Shipment</v>
          </cell>
        </row>
        <row r="11343">
          <cell r="B11343" t="str">
            <v>Shipment</v>
          </cell>
        </row>
        <row r="11344">
          <cell r="B11344" t="str">
            <v>Shipment</v>
          </cell>
        </row>
        <row r="11345">
          <cell r="B11345" t="str">
            <v>Shipment</v>
          </cell>
        </row>
        <row r="11346">
          <cell r="B11346" t="str">
            <v>Shipment</v>
          </cell>
        </row>
        <row r="11347">
          <cell r="B11347" t="str">
            <v>Shipment</v>
          </cell>
        </row>
        <row r="11348">
          <cell r="B11348" t="str">
            <v>Shipment</v>
          </cell>
        </row>
        <row r="11349">
          <cell r="B11349" t="str">
            <v>Shipment</v>
          </cell>
        </row>
        <row r="11350">
          <cell r="B11350" t="str">
            <v>Shipment</v>
          </cell>
        </row>
        <row r="11351">
          <cell r="B11351" t="str">
            <v>Shipment</v>
          </cell>
        </row>
        <row r="11352">
          <cell r="B11352" t="str">
            <v>Shipment</v>
          </cell>
        </row>
        <row r="11353">
          <cell r="B11353" t="str">
            <v>Shipment</v>
          </cell>
        </row>
        <row r="11354">
          <cell r="B11354" t="str">
            <v>Shipment</v>
          </cell>
        </row>
        <row r="11355">
          <cell r="B11355" t="str">
            <v>Shipment</v>
          </cell>
        </row>
        <row r="11356">
          <cell r="B11356" t="str">
            <v>Shipment</v>
          </cell>
        </row>
        <row r="11357">
          <cell r="B11357" t="str">
            <v>Shipment</v>
          </cell>
        </row>
        <row r="11358">
          <cell r="B11358" t="str">
            <v>Shipment</v>
          </cell>
        </row>
        <row r="11359">
          <cell r="B11359" t="str">
            <v>Shipment</v>
          </cell>
        </row>
        <row r="11360">
          <cell r="B11360" t="str">
            <v>Shipment</v>
          </cell>
        </row>
        <row r="11361">
          <cell r="B11361" t="str">
            <v>Shipment</v>
          </cell>
        </row>
        <row r="11362">
          <cell r="B11362" t="str">
            <v>Shipment</v>
          </cell>
        </row>
        <row r="11363">
          <cell r="B11363" t="str">
            <v>Shipment</v>
          </cell>
        </row>
        <row r="11364">
          <cell r="B11364" t="str">
            <v>Shipment</v>
          </cell>
        </row>
        <row r="11365">
          <cell r="B11365" t="str">
            <v>Shipment</v>
          </cell>
        </row>
        <row r="11366">
          <cell r="B11366" t="str">
            <v>Shipment</v>
          </cell>
        </row>
        <row r="11367">
          <cell r="B11367" t="str">
            <v>Shipment</v>
          </cell>
        </row>
        <row r="11368">
          <cell r="B11368" t="str">
            <v>Shipment</v>
          </cell>
        </row>
        <row r="11369">
          <cell r="B11369" t="str">
            <v>Shipment</v>
          </cell>
        </row>
        <row r="11370">
          <cell r="B11370" t="str">
            <v>Shipment</v>
          </cell>
        </row>
        <row r="11371">
          <cell r="B11371" t="str">
            <v>Shipment</v>
          </cell>
        </row>
        <row r="11372">
          <cell r="B11372" t="str">
            <v>Shipment</v>
          </cell>
        </row>
        <row r="11373">
          <cell r="B11373" t="str">
            <v>Shipment</v>
          </cell>
        </row>
        <row r="11374">
          <cell r="B11374" t="str">
            <v>Shipment</v>
          </cell>
        </row>
        <row r="11375">
          <cell r="B11375" t="str">
            <v>Shipment</v>
          </cell>
        </row>
        <row r="11376">
          <cell r="B11376" t="str">
            <v>Shipment</v>
          </cell>
        </row>
        <row r="11377">
          <cell r="B11377" t="str">
            <v>Shipment</v>
          </cell>
        </row>
        <row r="11378">
          <cell r="B11378" t="str">
            <v>Shipment</v>
          </cell>
        </row>
        <row r="11379">
          <cell r="B11379" t="str">
            <v>Shipment</v>
          </cell>
        </row>
        <row r="11380">
          <cell r="B11380" t="str">
            <v>Shipment</v>
          </cell>
        </row>
        <row r="11381">
          <cell r="B11381" t="str">
            <v>Shipment</v>
          </cell>
        </row>
        <row r="11382">
          <cell r="B11382" t="str">
            <v>Shipment</v>
          </cell>
        </row>
        <row r="11383">
          <cell r="B11383" t="str">
            <v>Shipment</v>
          </cell>
        </row>
        <row r="11384">
          <cell r="B11384" t="str">
            <v>Shipment</v>
          </cell>
        </row>
        <row r="11385">
          <cell r="B11385" t="str">
            <v>Shipment</v>
          </cell>
        </row>
        <row r="11386">
          <cell r="B11386" t="str">
            <v>Shipment</v>
          </cell>
        </row>
        <row r="11387">
          <cell r="B11387" t="str">
            <v>Shipment</v>
          </cell>
        </row>
        <row r="11388">
          <cell r="B11388" t="str">
            <v>Shipment</v>
          </cell>
        </row>
        <row r="11389">
          <cell r="B11389" t="str">
            <v>Shipment</v>
          </cell>
        </row>
        <row r="11390">
          <cell r="B11390" t="str">
            <v>Shipment</v>
          </cell>
        </row>
        <row r="11391">
          <cell r="B11391" t="str">
            <v>Shipment</v>
          </cell>
        </row>
        <row r="11392">
          <cell r="B11392" t="str">
            <v>Shipment</v>
          </cell>
        </row>
        <row r="11393">
          <cell r="B11393" t="str">
            <v>Shipment</v>
          </cell>
        </row>
        <row r="11394">
          <cell r="B11394" t="str">
            <v>Shipment</v>
          </cell>
        </row>
        <row r="11395">
          <cell r="B11395" t="str">
            <v>Shipment</v>
          </cell>
        </row>
        <row r="11396">
          <cell r="B11396" t="str">
            <v>Shipment</v>
          </cell>
        </row>
        <row r="11397">
          <cell r="B11397" t="str">
            <v>Shipment</v>
          </cell>
        </row>
        <row r="11398">
          <cell r="B11398" t="str">
            <v>Shipment</v>
          </cell>
        </row>
        <row r="11399">
          <cell r="B11399" t="str">
            <v>Shipment</v>
          </cell>
        </row>
        <row r="11400">
          <cell r="B11400" t="str">
            <v>Shipment</v>
          </cell>
        </row>
        <row r="11401">
          <cell r="B11401" t="str">
            <v>Shipment</v>
          </cell>
        </row>
        <row r="11402">
          <cell r="B11402" t="str">
            <v>Shipment</v>
          </cell>
        </row>
        <row r="11403">
          <cell r="B11403" t="str">
            <v>Shipment</v>
          </cell>
        </row>
        <row r="11404">
          <cell r="B11404" t="str">
            <v>Shipment</v>
          </cell>
        </row>
        <row r="11405">
          <cell r="B11405" t="str">
            <v>Shipment</v>
          </cell>
        </row>
        <row r="11406">
          <cell r="B11406" t="str">
            <v>Shipment</v>
          </cell>
        </row>
        <row r="11407">
          <cell r="B11407" t="str">
            <v>Shipment</v>
          </cell>
        </row>
        <row r="11408">
          <cell r="B11408" t="str">
            <v>Shipment</v>
          </cell>
        </row>
        <row r="11409">
          <cell r="B11409" t="str">
            <v>Shipment</v>
          </cell>
        </row>
        <row r="11410">
          <cell r="B11410" t="str">
            <v>Shipment</v>
          </cell>
        </row>
        <row r="11411">
          <cell r="B11411" t="str">
            <v>Shipment</v>
          </cell>
        </row>
        <row r="11412">
          <cell r="B11412" t="str">
            <v>Shipment</v>
          </cell>
        </row>
        <row r="11413">
          <cell r="B11413" t="str">
            <v>Shipment</v>
          </cell>
        </row>
        <row r="11414">
          <cell r="B11414" t="str">
            <v>Shipment</v>
          </cell>
        </row>
        <row r="11415">
          <cell r="B11415" t="str">
            <v>Shipment</v>
          </cell>
        </row>
        <row r="11416">
          <cell r="B11416" t="str">
            <v>Shipment</v>
          </cell>
        </row>
        <row r="11417">
          <cell r="B11417" t="str">
            <v>Shipment</v>
          </cell>
        </row>
        <row r="11418">
          <cell r="B11418" t="str">
            <v>Shipment</v>
          </cell>
        </row>
        <row r="11419">
          <cell r="B11419" t="str">
            <v>Shipment</v>
          </cell>
        </row>
        <row r="11420">
          <cell r="B11420" t="str">
            <v>Shipment</v>
          </cell>
        </row>
        <row r="11421">
          <cell r="B11421" t="str">
            <v>Shipment</v>
          </cell>
        </row>
        <row r="11422">
          <cell r="B11422" t="str">
            <v>Shipment</v>
          </cell>
        </row>
        <row r="11423">
          <cell r="B11423" t="str">
            <v>Shipment</v>
          </cell>
        </row>
        <row r="11424">
          <cell r="B11424" t="str">
            <v>Shipment</v>
          </cell>
        </row>
        <row r="11425">
          <cell r="B11425" t="str">
            <v>Shipment</v>
          </cell>
        </row>
        <row r="11426">
          <cell r="B11426" t="str">
            <v>Shipment</v>
          </cell>
        </row>
        <row r="11427">
          <cell r="B11427" t="str">
            <v>Shipment</v>
          </cell>
        </row>
        <row r="11428">
          <cell r="B11428" t="str">
            <v>Shipment</v>
          </cell>
        </row>
        <row r="11429">
          <cell r="B11429" t="str">
            <v>Shipment</v>
          </cell>
        </row>
        <row r="11430">
          <cell r="B11430" t="str">
            <v>Shipment</v>
          </cell>
        </row>
        <row r="11431">
          <cell r="B11431" t="str">
            <v>Shipment</v>
          </cell>
        </row>
        <row r="11432">
          <cell r="B11432" t="str">
            <v>Shipment</v>
          </cell>
        </row>
        <row r="11433">
          <cell r="B11433" t="str">
            <v>Shipment</v>
          </cell>
        </row>
        <row r="11434">
          <cell r="B11434" t="str">
            <v>Shipment</v>
          </cell>
        </row>
        <row r="11435">
          <cell r="B11435" t="str">
            <v>Shipment</v>
          </cell>
        </row>
        <row r="11436">
          <cell r="B11436" t="str">
            <v>Shipment</v>
          </cell>
        </row>
        <row r="11437">
          <cell r="B11437" t="str">
            <v>Shipment</v>
          </cell>
        </row>
        <row r="11438">
          <cell r="B11438" t="str">
            <v>Shipment</v>
          </cell>
        </row>
        <row r="11439">
          <cell r="B11439" t="str">
            <v>Shipment</v>
          </cell>
        </row>
        <row r="11440">
          <cell r="B11440" t="str">
            <v>Shipment</v>
          </cell>
        </row>
        <row r="11441">
          <cell r="B11441" t="str">
            <v>Shipment</v>
          </cell>
        </row>
        <row r="11442">
          <cell r="B11442" t="str">
            <v>Shipment</v>
          </cell>
        </row>
        <row r="11443">
          <cell r="B11443" t="str">
            <v>Shipment</v>
          </cell>
        </row>
        <row r="11444">
          <cell r="B11444" t="str">
            <v>Shipment</v>
          </cell>
        </row>
        <row r="11445">
          <cell r="B11445" t="str">
            <v>Shipment</v>
          </cell>
        </row>
        <row r="11446">
          <cell r="B11446" t="str">
            <v>Shipment</v>
          </cell>
        </row>
        <row r="11447">
          <cell r="B11447" t="str">
            <v>Shipment</v>
          </cell>
        </row>
        <row r="11448">
          <cell r="B11448" t="str">
            <v>Shipment</v>
          </cell>
        </row>
        <row r="11449">
          <cell r="B11449" t="str">
            <v>Shipment</v>
          </cell>
        </row>
        <row r="11450">
          <cell r="B11450" t="str">
            <v>Shipment</v>
          </cell>
        </row>
        <row r="11451">
          <cell r="B11451" t="str">
            <v>Shipment</v>
          </cell>
        </row>
        <row r="11452">
          <cell r="B11452" t="str">
            <v>Shipment</v>
          </cell>
        </row>
        <row r="11453">
          <cell r="B11453" t="str">
            <v>Shipment</v>
          </cell>
        </row>
        <row r="11454">
          <cell r="B11454" t="str">
            <v>Shipment</v>
          </cell>
        </row>
        <row r="11455">
          <cell r="B11455" t="str">
            <v>Shipment</v>
          </cell>
        </row>
        <row r="11456">
          <cell r="B11456" t="str">
            <v>Shipment</v>
          </cell>
        </row>
        <row r="11457">
          <cell r="B11457" t="str">
            <v>Shipment</v>
          </cell>
        </row>
        <row r="11458">
          <cell r="B11458" t="str">
            <v>Shipment</v>
          </cell>
        </row>
        <row r="11459">
          <cell r="B11459" t="str">
            <v>Shipment</v>
          </cell>
        </row>
        <row r="11460">
          <cell r="B11460" t="str">
            <v>Shipment</v>
          </cell>
        </row>
        <row r="11461">
          <cell r="B11461" t="str">
            <v>Shipment</v>
          </cell>
        </row>
        <row r="11462">
          <cell r="B11462" t="str">
            <v>Shipment</v>
          </cell>
        </row>
        <row r="11463">
          <cell r="B11463" t="str">
            <v>Shipment</v>
          </cell>
        </row>
        <row r="11464">
          <cell r="B11464" t="str">
            <v>Shipment</v>
          </cell>
        </row>
        <row r="11465">
          <cell r="B11465" t="str">
            <v>Shipment</v>
          </cell>
        </row>
        <row r="11466">
          <cell r="B11466" t="str">
            <v>Shipment</v>
          </cell>
        </row>
        <row r="11467">
          <cell r="B11467" t="str">
            <v>Shipment</v>
          </cell>
        </row>
        <row r="11468">
          <cell r="B11468" t="str">
            <v>Shipment</v>
          </cell>
        </row>
        <row r="11469">
          <cell r="B11469" t="str">
            <v>Shipment</v>
          </cell>
        </row>
        <row r="11470">
          <cell r="B11470" t="str">
            <v>Shipment</v>
          </cell>
        </row>
        <row r="11471">
          <cell r="B11471" t="str">
            <v>Shipment</v>
          </cell>
        </row>
        <row r="11472">
          <cell r="B11472" t="str">
            <v>Shipment</v>
          </cell>
        </row>
        <row r="11473">
          <cell r="B11473" t="str">
            <v>Shipment</v>
          </cell>
        </row>
        <row r="11474">
          <cell r="B11474" t="str">
            <v>Shipment</v>
          </cell>
        </row>
        <row r="11475">
          <cell r="B11475" t="str">
            <v>Shipment</v>
          </cell>
        </row>
        <row r="11476">
          <cell r="B11476" t="str">
            <v>Shipment</v>
          </cell>
        </row>
        <row r="11477">
          <cell r="B11477" t="str">
            <v>Shipment</v>
          </cell>
        </row>
        <row r="11478">
          <cell r="B11478" t="str">
            <v>Shipment</v>
          </cell>
        </row>
        <row r="11479">
          <cell r="B11479" t="str">
            <v>Shipment</v>
          </cell>
        </row>
        <row r="11480">
          <cell r="B11480" t="str">
            <v>Shipment</v>
          </cell>
        </row>
        <row r="11481">
          <cell r="B11481" t="str">
            <v>Shipment</v>
          </cell>
        </row>
        <row r="11482">
          <cell r="B11482" t="str">
            <v>Shipment</v>
          </cell>
        </row>
        <row r="11483">
          <cell r="B11483" t="str">
            <v>Shipment</v>
          </cell>
        </row>
        <row r="11484">
          <cell r="B11484" t="str">
            <v>Shipment</v>
          </cell>
        </row>
        <row r="11485">
          <cell r="B11485" t="str">
            <v>Shipment</v>
          </cell>
        </row>
        <row r="11486">
          <cell r="B11486" t="str">
            <v>Shipment</v>
          </cell>
        </row>
        <row r="11487">
          <cell r="B11487" t="str">
            <v>Shipment</v>
          </cell>
        </row>
        <row r="11488">
          <cell r="B11488" t="str">
            <v>Shipment</v>
          </cell>
        </row>
        <row r="11489">
          <cell r="B11489" t="str">
            <v>Shipment</v>
          </cell>
        </row>
        <row r="11490">
          <cell r="B11490" t="str">
            <v>Shipment</v>
          </cell>
        </row>
        <row r="11491">
          <cell r="B11491" t="str">
            <v>Shipment</v>
          </cell>
        </row>
        <row r="11492">
          <cell r="B11492" t="str">
            <v>Shipment</v>
          </cell>
        </row>
        <row r="11493">
          <cell r="B11493" t="str">
            <v>Shipment</v>
          </cell>
        </row>
        <row r="11494">
          <cell r="B11494" t="str">
            <v>Shipment</v>
          </cell>
        </row>
        <row r="11495">
          <cell r="B11495" t="str">
            <v>Shipment</v>
          </cell>
        </row>
        <row r="11496">
          <cell r="B11496" t="str">
            <v>Shipment</v>
          </cell>
        </row>
        <row r="11497">
          <cell r="B11497" t="str">
            <v>Shipment</v>
          </cell>
        </row>
        <row r="11498">
          <cell r="B11498" t="str">
            <v>Shipment</v>
          </cell>
        </row>
        <row r="11499">
          <cell r="B11499" t="str">
            <v>Shipment</v>
          </cell>
        </row>
        <row r="11500">
          <cell r="B11500" t="str">
            <v>Shipment</v>
          </cell>
        </row>
        <row r="11501">
          <cell r="B11501" t="str">
            <v>Shipment</v>
          </cell>
        </row>
        <row r="11502">
          <cell r="B11502" t="str">
            <v>Shipment</v>
          </cell>
        </row>
        <row r="11503">
          <cell r="B11503" t="str">
            <v>Shipment</v>
          </cell>
        </row>
        <row r="11504">
          <cell r="B11504" t="str">
            <v>Shipment</v>
          </cell>
        </row>
        <row r="11505">
          <cell r="B11505" t="str">
            <v>Shipment</v>
          </cell>
        </row>
        <row r="11506">
          <cell r="B11506" t="str">
            <v>Shipment</v>
          </cell>
        </row>
        <row r="11507">
          <cell r="B11507" t="str">
            <v>Shipment</v>
          </cell>
        </row>
        <row r="11508">
          <cell r="B11508" t="str">
            <v>Shipment</v>
          </cell>
        </row>
        <row r="11509">
          <cell r="B11509" t="str">
            <v>Shipment</v>
          </cell>
        </row>
        <row r="11510">
          <cell r="B11510" t="str">
            <v>Shipment</v>
          </cell>
        </row>
        <row r="11511">
          <cell r="B11511" t="str">
            <v>Shipment</v>
          </cell>
        </row>
        <row r="11512">
          <cell r="B11512" t="str">
            <v>Shipment</v>
          </cell>
        </row>
        <row r="11513">
          <cell r="B11513" t="str">
            <v>Shipment</v>
          </cell>
        </row>
        <row r="11514">
          <cell r="B11514" t="str">
            <v>Shipment</v>
          </cell>
        </row>
        <row r="11515">
          <cell r="B11515" t="str">
            <v>Shipment</v>
          </cell>
        </row>
        <row r="11516">
          <cell r="B11516" t="str">
            <v>Shipment</v>
          </cell>
        </row>
        <row r="11517">
          <cell r="B11517" t="str">
            <v>Shipment</v>
          </cell>
        </row>
        <row r="11518">
          <cell r="B11518" t="str">
            <v>Shipment</v>
          </cell>
        </row>
        <row r="11519">
          <cell r="B11519" t="str">
            <v>Shipment</v>
          </cell>
        </row>
        <row r="11520">
          <cell r="B11520" t="str">
            <v>Shipment</v>
          </cell>
        </row>
        <row r="11521">
          <cell r="B11521" t="str">
            <v>Shipment</v>
          </cell>
        </row>
        <row r="11522">
          <cell r="B11522" t="str">
            <v>Shipment</v>
          </cell>
        </row>
        <row r="11523">
          <cell r="B11523" t="str">
            <v>Shipment</v>
          </cell>
        </row>
        <row r="11524">
          <cell r="B11524" t="str">
            <v>Shipment</v>
          </cell>
        </row>
        <row r="11525">
          <cell r="B11525" t="str">
            <v>Shipment</v>
          </cell>
        </row>
        <row r="11526">
          <cell r="B11526" t="str">
            <v>Shipment</v>
          </cell>
        </row>
        <row r="11527">
          <cell r="B11527" t="str">
            <v>Shipment</v>
          </cell>
        </row>
        <row r="11528">
          <cell r="B11528" t="str">
            <v>Shipment</v>
          </cell>
        </row>
        <row r="11529">
          <cell r="B11529" t="str">
            <v>Shipment</v>
          </cell>
        </row>
        <row r="11530">
          <cell r="B11530" t="str">
            <v>Shipment</v>
          </cell>
        </row>
        <row r="11531">
          <cell r="B11531" t="str">
            <v>Shipment</v>
          </cell>
        </row>
        <row r="11532">
          <cell r="B11532" t="str">
            <v>Shipment</v>
          </cell>
        </row>
        <row r="11533">
          <cell r="B11533" t="str">
            <v>Shipment</v>
          </cell>
        </row>
        <row r="11534">
          <cell r="B11534" t="str">
            <v>Shipment</v>
          </cell>
        </row>
        <row r="11535">
          <cell r="B11535" t="str">
            <v>Shipment</v>
          </cell>
        </row>
        <row r="11536">
          <cell r="B11536" t="str">
            <v>Shipment</v>
          </cell>
        </row>
        <row r="11537">
          <cell r="B11537" t="str">
            <v>Shipment</v>
          </cell>
        </row>
        <row r="11538">
          <cell r="B11538" t="str">
            <v>Shipment</v>
          </cell>
        </row>
        <row r="11539">
          <cell r="B11539" t="str">
            <v>Shipment</v>
          </cell>
        </row>
        <row r="11540">
          <cell r="B11540" t="str">
            <v>Shipment</v>
          </cell>
        </row>
        <row r="11541">
          <cell r="B11541" t="str">
            <v>Shipment</v>
          </cell>
        </row>
        <row r="11542">
          <cell r="B11542" t="str">
            <v>Shipment</v>
          </cell>
        </row>
        <row r="11543">
          <cell r="B11543" t="str">
            <v>Shipment</v>
          </cell>
        </row>
        <row r="11544">
          <cell r="B11544" t="str">
            <v>Shipment</v>
          </cell>
        </row>
        <row r="11545">
          <cell r="B11545" t="str">
            <v>Shipment</v>
          </cell>
        </row>
        <row r="11546">
          <cell r="B11546" t="str">
            <v>Shipment</v>
          </cell>
        </row>
        <row r="11547">
          <cell r="B11547" t="str">
            <v>Shipment</v>
          </cell>
        </row>
        <row r="11548">
          <cell r="B11548" t="str">
            <v>Shipment</v>
          </cell>
        </row>
        <row r="11549">
          <cell r="B11549" t="str">
            <v>Shipment</v>
          </cell>
        </row>
        <row r="11550">
          <cell r="B11550" t="str">
            <v>Shipment</v>
          </cell>
        </row>
        <row r="11551">
          <cell r="B11551" t="str">
            <v>Shipment</v>
          </cell>
        </row>
        <row r="11552">
          <cell r="B11552" t="str">
            <v>Shipment</v>
          </cell>
        </row>
        <row r="11553">
          <cell r="B11553" t="str">
            <v>Shipment</v>
          </cell>
        </row>
        <row r="11554">
          <cell r="B11554" t="str">
            <v>Shipment</v>
          </cell>
        </row>
        <row r="11555">
          <cell r="B11555" t="str">
            <v>Shipment</v>
          </cell>
        </row>
        <row r="11556">
          <cell r="B11556" t="str">
            <v>Shipment</v>
          </cell>
        </row>
        <row r="11557">
          <cell r="B11557" t="str">
            <v>Shipment</v>
          </cell>
        </row>
        <row r="11558">
          <cell r="B11558" t="str">
            <v>Shipment</v>
          </cell>
        </row>
        <row r="11559">
          <cell r="B11559" t="str">
            <v>Shipment</v>
          </cell>
        </row>
        <row r="11560">
          <cell r="B11560" t="str">
            <v>Shipment</v>
          </cell>
        </row>
        <row r="11561">
          <cell r="B11561" t="str">
            <v>Shipment</v>
          </cell>
        </row>
        <row r="11562">
          <cell r="B11562" t="str">
            <v>Shipment</v>
          </cell>
        </row>
        <row r="11563">
          <cell r="B11563" t="str">
            <v>Shipment</v>
          </cell>
        </row>
        <row r="11564">
          <cell r="B11564" t="str">
            <v>Shipment</v>
          </cell>
        </row>
        <row r="11565">
          <cell r="B11565" t="str">
            <v>Shipment</v>
          </cell>
        </row>
        <row r="11566">
          <cell r="B11566" t="str">
            <v>Shipment</v>
          </cell>
        </row>
        <row r="11567">
          <cell r="B11567" t="str">
            <v>Shipment</v>
          </cell>
        </row>
        <row r="11568">
          <cell r="B11568" t="str">
            <v>Shipment</v>
          </cell>
        </row>
        <row r="11569">
          <cell r="B11569" t="str">
            <v>Shipment</v>
          </cell>
        </row>
        <row r="11570">
          <cell r="B11570" t="str">
            <v>Shipment</v>
          </cell>
        </row>
        <row r="11571">
          <cell r="B11571" t="str">
            <v>Shipment</v>
          </cell>
        </row>
        <row r="11572">
          <cell r="B11572" t="str">
            <v>Shipment</v>
          </cell>
        </row>
        <row r="11573">
          <cell r="B11573" t="str">
            <v>Shipment</v>
          </cell>
        </row>
        <row r="11574">
          <cell r="B11574" t="str">
            <v>Shipment</v>
          </cell>
        </row>
        <row r="11575">
          <cell r="B11575" t="str">
            <v>Shipment</v>
          </cell>
        </row>
        <row r="11576">
          <cell r="B11576" t="str">
            <v>Shipment</v>
          </cell>
        </row>
        <row r="11577">
          <cell r="B11577" t="str">
            <v>Shipment</v>
          </cell>
        </row>
        <row r="11578">
          <cell r="B11578" t="str">
            <v>Shipment</v>
          </cell>
        </row>
        <row r="11579">
          <cell r="B11579" t="str">
            <v>Shipment</v>
          </cell>
        </row>
        <row r="11580">
          <cell r="B11580" t="str">
            <v>Shipment</v>
          </cell>
        </row>
        <row r="11581">
          <cell r="B11581" t="str">
            <v>Shipment</v>
          </cell>
        </row>
        <row r="11582">
          <cell r="B11582" t="str">
            <v>Shipment</v>
          </cell>
        </row>
        <row r="11583">
          <cell r="B11583" t="str">
            <v>Shipment</v>
          </cell>
        </row>
        <row r="11584">
          <cell r="B11584" t="str">
            <v>Shipment</v>
          </cell>
        </row>
        <row r="11585">
          <cell r="B11585" t="str">
            <v>Shipment</v>
          </cell>
        </row>
        <row r="11586">
          <cell r="B11586" t="str">
            <v>Shipment</v>
          </cell>
        </row>
        <row r="11587">
          <cell r="B11587" t="str">
            <v>Shipment</v>
          </cell>
        </row>
        <row r="11588">
          <cell r="B11588" t="str">
            <v>Shipment</v>
          </cell>
        </row>
        <row r="11589">
          <cell r="B11589" t="str">
            <v>Shipment</v>
          </cell>
        </row>
        <row r="11590">
          <cell r="B11590" t="str">
            <v>Shipment</v>
          </cell>
        </row>
        <row r="11591">
          <cell r="B11591" t="str">
            <v>Shipment</v>
          </cell>
        </row>
        <row r="11592">
          <cell r="B11592" t="str">
            <v>Shipment</v>
          </cell>
        </row>
        <row r="11593">
          <cell r="B11593" t="str">
            <v>Shipment</v>
          </cell>
        </row>
        <row r="11594">
          <cell r="B11594" t="str">
            <v>Shipment</v>
          </cell>
        </row>
        <row r="11595">
          <cell r="B11595" t="str">
            <v>Shipment</v>
          </cell>
        </row>
        <row r="11596">
          <cell r="B11596" t="str">
            <v>Shipment</v>
          </cell>
        </row>
        <row r="11597">
          <cell r="B11597" t="str">
            <v>Shipment</v>
          </cell>
        </row>
        <row r="11598">
          <cell r="B11598" t="str">
            <v>Shipment</v>
          </cell>
        </row>
        <row r="11599">
          <cell r="B11599" t="str">
            <v>Shipment</v>
          </cell>
        </row>
        <row r="11600">
          <cell r="B11600" t="str">
            <v>Shipment</v>
          </cell>
        </row>
        <row r="11601">
          <cell r="B11601" t="str">
            <v>Shipment</v>
          </cell>
        </row>
        <row r="11602">
          <cell r="B11602" t="str">
            <v>Shipment</v>
          </cell>
        </row>
        <row r="11603">
          <cell r="B11603" t="str">
            <v>Shipment</v>
          </cell>
        </row>
        <row r="11604">
          <cell r="B11604" t="str">
            <v>Shipment</v>
          </cell>
        </row>
        <row r="11605">
          <cell r="B11605" t="str">
            <v>Shipment</v>
          </cell>
        </row>
        <row r="11606">
          <cell r="B11606" t="str">
            <v>Shipment</v>
          </cell>
        </row>
        <row r="11607">
          <cell r="B11607" t="str">
            <v>Shipment</v>
          </cell>
        </row>
        <row r="11608">
          <cell r="B11608" t="str">
            <v>Shipment</v>
          </cell>
        </row>
        <row r="11609">
          <cell r="B11609" t="str">
            <v>Shipment</v>
          </cell>
        </row>
        <row r="11610">
          <cell r="B11610" t="str">
            <v>Shipment</v>
          </cell>
        </row>
        <row r="11611">
          <cell r="B11611" t="str">
            <v>Shipment</v>
          </cell>
        </row>
        <row r="11612">
          <cell r="B11612" t="str">
            <v>Shipment</v>
          </cell>
        </row>
        <row r="11613">
          <cell r="B11613" t="str">
            <v>Shipment</v>
          </cell>
        </row>
        <row r="11614">
          <cell r="B11614" t="str">
            <v>Shipment</v>
          </cell>
        </row>
        <row r="11615">
          <cell r="B11615" t="str">
            <v>Shipment</v>
          </cell>
        </row>
        <row r="11616">
          <cell r="B11616" t="str">
            <v>Shipment</v>
          </cell>
        </row>
        <row r="11617">
          <cell r="B11617" t="str">
            <v>Shipment</v>
          </cell>
        </row>
        <row r="11618">
          <cell r="B11618" t="str">
            <v>Shipment</v>
          </cell>
        </row>
        <row r="11619">
          <cell r="B11619" t="str">
            <v>Shipment</v>
          </cell>
        </row>
        <row r="11620">
          <cell r="B11620" t="str">
            <v>Shipment</v>
          </cell>
        </row>
        <row r="11621">
          <cell r="B11621" t="str">
            <v>Shipment</v>
          </cell>
        </row>
        <row r="11622">
          <cell r="B11622" t="str">
            <v>Shipment</v>
          </cell>
        </row>
        <row r="11623">
          <cell r="B11623" t="str">
            <v>Shipment</v>
          </cell>
        </row>
        <row r="11624">
          <cell r="B11624" t="str">
            <v>Shipment</v>
          </cell>
        </row>
        <row r="11625">
          <cell r="B11625" t="str">
            <v>Shipment</v>
          </cell>
        </row>
        <row r="11626">
          <cell r="B11626" t="str">
            <v>Shipment</v>
          </cell>
        </row>
        <row r="11627">
          <cell r="B11627" t="str">
            <v>Shipment</v>
          </cell>
        </row>
        <row r="11628">
          <cell r="B11628" t="str">
            <v>Shipment</v>
          </cell>
        </row>
        <row r="11629">
          <cell r="B11629" t="str">
            <v>Shipment</v>
          </cell>
        </row>
        <row r="11630">
          <cell r="B11630" t="str">
            <v>Shipment</v>
          </cell>
        </row>
        <row r="11631">
          <cell r="B11631" t="str">
            <v>Shipment</v>
          </cell>
        </row>
        <row r="11632">
          <cell r="B11632" t="str">
            <v>Shipment</v>
          </cell>
        </row>
        <row r="11633">
          <cell r="B11633" t="str">
            <v>Shipment</v>
          </cell>
        </row>
        <row r="11634">
          <cell r="B11634" t="str">
            <v>Shipment</v>
          </cell>
        </row>
        <row r="11635">
          <cell r="B11635" t="str">
            <v>Shipment</v>
          </cell>
        </row>
        <row r="11636">
          <cell r="B11636" t="str">
            <v>Shipment</v>
          </cell>
        </row>
        <row r="11637">
          <cell r="B11637" t="str">
            <v>Shipment</v>
          </cell>
        </row>
        <row r="11638">
          <cell r="B11638" t="str">
            <v>Shipment</v>
          </cell>
        </row>
        <row r="11639">
          <cell r="B11639" t="str">
            <v>Shipment</v>
          </cell>
        </row>
        <row r="11640">
          <cell r="B11640" t="str">
            <v>Shipment</v>
          </cell>
        </row>
        <row r="11641">
          <cell r="B11641" t="str">
            <v>Shipment</v>
          </cell>
        </row>
        <row r="11642">
          <cell r="B11642" t="str">
            <v>Shipment</v>
          </cell>
        </row>
        <row r="11643">
          <cell r="B11643" t="str">
            <v>Shipment</v>
          </cell>
        </row>
        <row r="11644">
          <cell r="B11644" t="str">
            <v>Shipment</v>
          </cell>
        </row>
        <row r="11645">
          <cell r="B11645" t="str">
            <v>Shipment</v>
          </cell>
        </row>
        <row r="11646">
          <cell r="B11646" t="str">
            <v>Shipment</v>
          </cell>
        </row>
        <row r="11647">
          <cell r="B11647" t="str">
            <v>Shipment</v>
          </cell>
        </row>
        <row r="11648">
          <cell r="B11648" t="str">
            <v>Shipment</v>
          </cell>
        </row>
        <row r="11649">
          <cell r="B11649" t="str">
            <v>Shipment</v>
          </cell>
        </row>
        <row r="11650">
          <cell r="B11650" t="str">
            <v>Shipment</v>
          </cell>
        </row>
        <row r="11651">
          <cell r="B11651" t="str">
            <v>Shipment</v>
          </cell>
        </row>
        <row r="11652">
          <cell r="B11652" t="str">
            <v>Shipment</v>
          </cell>
        </row>
        <row r="11653">
          <cell r="B11653" t="str">
            <v>Shipment</v>
          </cell>
        </row>
        <row r="11654">
          <cell r="B11654" t="str">
            <v>Shipment</v>
          </cell>
        </row>
        <row r="11655">
          <cell r="B11655" t="str">
            <v>Shipment</v>
          </cell>
        </row>
        <row r="11656">
          <cell r="B11656" t="str">
            <v>Shipment</v>
          </cell>
        </row>
        <row r="11657">
          <cell r="B11657" t="str">
            <v>Shipment</v>
          </cell>
        </row>
        <row r="11658">
          <cell r="B11658" t="str">
            <v>Shipment</v>
          </cell>
        </row>
        <row r="11659">
          <cell r="B11659" t="str">
            <v>Shipment</v>
          </cell>
        </row>
        <row r="11660">
          <cell r="B11660" t="str">
            <v>Shipment</v>
          </cell>
        </row>
        <row r="11661">
          <cell r="B11661" t="str">
            <v>Shipment</v>
          </cell>
        </row>
        <row r="11662">
          <cell r="B11662" t="str">
            <v>Shipment</v>
          </cell>
        </row>
        <row r="11663">
          <cell r="B11663" t="str">
            <v>Shipment</v>
          </cell>
        </row>
        <row r="11664">
          <cell r="B11664" t="str">
            <v>Shipment</v>
          </cell>
        </row>
        <row r="11665">
          <cell r="B11665" t="str">
            <v>Shipment</v>
          </cell>
        </row>
        <row r="11666">
          <cell r="B11666" t="str">
            <v>Shipment</v>
          </cell>
        </row>
        <row r="11667">
          <cell r="B11667" t="str">
            <v>Shipment</v>
          </cell>
        </row>
        <row r="11668">
          <cell r="B11668" t="str">
            <v>Shipment</v>
          </cell>
        </row>
        <row r="11669">
          <cell r="B11669" t="str">
            <v>Shipment</v>
          </cell>
        </row>
        <row r="11670">
          <cell r="B11670" t="str">
            <v>Shipment</v>
          </cell>
        </row>
        <row r="11671">
          <cell r="B11671" t="str">
            <v>Shipment</v>
          </cell>
        </row>
        <row r="11672">
          <cell r="B11672" t="str">
            <v>Shipment</v>
          </cell>
        </row>
        <row r="11673">
          <cell r="B11673" t="str">
            <v>Shipment</v>
          </cell>
        </row>
        <row r="11674">
          <cell r="B11674" t="str">
            <v>Shipment</v>
          </cell>
        </row>
        <row r="11675">
          <cell r="B11675" t="str">
            <v>Shipment</v>
          </cell>
        </row>
        <row r="11676">
          <cell r="B11676" t="str">
            <v>Shipment</v>
          </cell>
        </row>
        <row r="11677">
          <cell r="B11677" t="str">
            <v>Shipment</v>
          </cell>
        </row>
        <row r="11678">
          <cell r="B11678" t="str">
            <v>Shipment</v>
          </cell>
        </row>
        <row r="11679">
          <cell r="B11679" t="str">
            <v>Shipment</v>
          </cell>
        </row>
        <row r="11680">
          <cell r="B11680" t="str">
            <v>Shipment</v>
          </cell>
        </row>
        <row r="11681">
          <cell r="B11681" t="str">
            <v>Shipment</v>
          </cell>
        </row>
        <row r="11682">
          <cell r="B11682" t="str">
            <v>Shipment</v>
          </cell>
        </row>
        <row r="11683">
          <cell r="B11683" t="str">
            <v>Shipment</v>
          </cell>
        </row>
        <row r="11684">
          <cell r="B11684" t="str">
            <v>Shipment</v>
          </cell>
        </row>
        <row r="11685">
          <cell r="B11685" t="str">
            <v>Shipment</v>
          </cell>
        </row>
        <row r="11686">
          <cell r="B11686" t="str">
            <v>Shipment</v>
          </cell>
        </row>
        <row r="11687">
          <cell r="B11687" t="str">
            <v>Shipment</v>
          </cell>
        </row>
        <row r="11688">
          <cell r="B11688" t="str">
            <v>Shipment</v>
          </cell>
        </row>
        <row r="11689">
          <cell r="B11689" t="str">
            <v>Shipment</v>
          </cell>
        </row>
        <row r="11690">
          <cell r="B11690" t="str">
            <v>Shipment</v>
          </cell>
        </row>
        <row r="11691">
          <cell r="B11691" t="str">
            <v>Shipment</v>
          </cell>
        </row>
        <row r="11692">
          <cell r="B11692" t="str">
            <v>Shipment</v>
          </cell>
        </row>
        <row r="11693">
          <cell r="B11693" t="str">
            <v>Shipment</v>
          </cell>
        </row>
        <row r="11694">
          <cell r="B11694" t="str">
            <v>Shipment</v>
          </cell>
        </row>
        <row r="11695">
          <cell r="B11695" t="str">
            <v>Shipment</v>
          </cell>
        </row>
        <row r="11696">
          <cell r="B11696" t="str">
            <v>Shipment</v>
          </cell>
        </row>
        <row r="11697">
          <cell r="B11697" t="str">
            <v>Shipment</v>
          </cell>
        </row>
        <row r="11698">
          <cell r="B11698" t="str">
            <v>Shipment</v>
          </cell>
        </row>
        <row r="11699">
          <cell r="B11699" t="str">
            <v>Shipment</v>
          </cell>
        </row>
        <row r="11700">
          <cell r="B11700" t="str">
            <v>Shipment</v>
          </cell>
        </row>
        <row r="11701">
          <cell r="B11701" t="str">
            <v>Shipment</v>
          </cell>
        </row>
        <row r="11702">
          <cell r="B11702" t="str">
            <v>Shipment</v>
          </cell>
        </row>
        <row r="11703">
          <cell r="B11703" t="str">
            <v>Shipment</v>
          </cell>
        </row>
        <row r="11704">
          <cell r="B11704" t="str">
            <v>Shipment</v>
          </cell>
        </row>
        <row r="11705">
          <cell r="B11705" t="str">
            <v>Shipment</v>
          </cell>
        </row>
        <row r="11706">
          <cell r="B11706" t="str">
            <v>Shipment</v>
          </cell>
        </row>
        <row r="11707">
          <cell r="B11707" t="str">
            <v>Shipment</v>
          </cell>
        </row>
        <row r="11708">
          <cell r="B11708" t="str">
            <v>Shipment</v>
          </cell>
        </row>
        <row r="11709">
          <cell r="B11709" t="str">
            <v>Shipment</v>
          </cell>
        </row>
        <row r="11710">
          <cell r="B11710" t="str">
            <v>Shipment</v>
          </cell>
        </row>
        <row r="11711">
          <cell r="B11711" t="str">
            <v>Shipment</v>
          </cell>
        </row>
        <row r="11712">
          <cell r="B11712" t="str">
            <v>Shipment</v>
          </cell>
        </row>
        <row r="11713">
          <cell r="B11713" t="str">
            <v>Shipment</v>
          </cell>
        </row>
        <row r="11714">
          <cell r="B11714" t="str">
            <v>Shipment</v>
          </cell>
        </row>
        <row r="11715">
          <cell r="B11715" t="str">
            <v>Shipment</v>
          </cell>
        </row>
        <row r="11716">
          <cell r="B11716" t="str">
            <v>Shipment</v>
          </cell>
        </row>
        <row r="11717">
          <cell r="B11717" t="str">
            <v>Shipment</v>
          </cell>
        </row>
        <row r="11718">
          <cell r="B11718" t="str">
            <v>Shipment</v>
          </cell>
        </row>
        <row r="11719">
          <cell r="B11719" t="str">
            <v>Shipment</v>
          </cell>
        </row>
        <row r="11720">
          <cell r="B11720" t="str">
            <v>Shipment</v>
          </cell>
        </row>
        <row r="11721">
          <cell r="B11721" t="str">
            <v>Shipment</v>
          </cell>
        </row>
        <row r="11722">
          <cell r="B11722" t="str">
            <v>Shipment</v>
          </cell>
        </row>
        <row r="11723">
          <cell r="B11723" t="str">
            <v>Shipment</v>
          </cell>
        </row>
        <row r="11724">
          <cell r="B11724" t="str">
            <v>Shipment</v>
          </cell>
        </row>
        <row r="11725">
          <cell r="B11725" t="str">
            <v>Shipment</v>
          </cell>
        </row>
        <row r="11726">
          <cell r="B11726" t="str">
            <v>Shipment</v>
          </cell>
        </row>
        <row r="11727">
          <cell r="B11727" t="str">
            <v>Shipment</v>
          </cell>
        </row>
        <row r="11728">
          <cell r="B11728" t="str">
            <v>Shipment</v>
          </cell>
        </row>
        <row r="11729">
          <cell r="B11729" t="str">
            <v>Shipment</v>
          </cell>
        </row>
        <row r="11730">
          <cell r="B11730" t="str">
            <v>Shipment</v>
          </cell>
        </row>
        <row r="11731">
          <cell r="B11731" t="str">
            <v>Shipment</v>
          </cell>
        </row>
        <row r="11732">
          <cell r="B11732" t="str">
            <v>Shipment</v>
          </cell>
        </row>
        <row r="11733">
          <cell r="B11733" t="str">
            <v>Shipment</v>
          </cell>
        </row>
        <row r="11734">
          <cell r="B11734" t="str">
            <v>Shipment</v>
          </cell>
        </row>
        <row r="11735">
          <cell r="B11735" t="str">
            <v>Shipment</v>
          </cell>
        </row>
        <row r="11736">
          <cell r="B11736" t="str">
            <v>Shipment</v>
          </cell>
        </row>
        <row r="11737">
          <cell r="B11737" t="str">
            <v>Shipment</v>
          </cell>
        </row>
        <row r="11738">
          <cell r="B11738" t="str">
            <v>Shipment</v>
          </cell>
        </row>
        <row r="11739">
          <cell r="B11739" t="str">
            <v>Shipment</v>
          </cell>
        </row>
        <row r="11740">
          <cell r="B11740" t="str">
            <v>Shipment</v>
          </cell>
        </row>
        <row r="11741">
          <cell r="B11741" t="str">
            <v>Shipment</v>
          </cell>
        </row>
        <row r="11742">
          <cell r="B11742" t="str">
            <v>Shipment</v>
          </cell>
        </row>
        <row r="11743">
          <cell r="B11743" t="str">
            <v>Shipment</v>
          </cell>
        </row>
        <row r="11744">
          <cell r="B11744" t="str">
            <v>Shipment</v>
          </cell>
        </row>
        <row r="11745">
          <cell r="B11745" t="str">
            <v>Shipment</v>
          </cell>
        </row>
        <row r="11746">
          <cell r="B11746" t="str">
            <v>Shipment</v>
          </cell>
        </row>
        <row r="11747">
          <cell r="B11747" t="str">
            <v>Shipment</v>
          </cell>
        </row>
        <row r="11748">
          <cell r="B11748" t="str">
            <v>Shipment</v>
          </cell>
        </row>
        <row r="11749">
          <cell r="B11749" t="str">
            <v>Shipment</v>
          </cell>
        </row>
        <row r="11750">
          <cell r="B11750" t="str">
            <v>Shipment</v>
          </cell>
        </row>
        <row r="11751">
          <cell r="B11751" t="str">
            <v>Shipment</v>
          </cell>
        </row>
        <row r="11752">
          <cell r="B11752" t="str">
            <v>Shipment</v>
          </cell>
        </row>
        <row r="11753">
          <cell r="B11753" t="str">
            <v>Shipment</v>
          </cell>
        </row>
        <row r="11754">
          <cell r="B11754" t="str">
            <v>Shipment</v>
          </cell>
        </row>
        <row r="11755">
          <cell r="B11755" t="str">
            <v>Shipment</v>
          </cell>
        </row>
        <row r="11756">
          <cell r="B11756" t="str">
            <v>Shipment</v>
          </cell>
        </row>
        <row r="11757">
          <cell r="B11757" t="str">
            <v>Shipment</v>
          </cell>
        </row>
        <row r="11758">
          <cell r="B11758" t="str">
            <v>Shipment</v>
          </cell>
        </row>
        <row r="11759">
          <cell r="B11759" t="str">
            <v>Shipment</v>
          </cell>
        </row>
        <row r="11760">
          <cell r="B11760" t="str">
            <v>Shipment</v>
          </cell>
        </row>
        <row r="11761">
          <cell r="B11761" t="str">
            <v>Shipment</v>
          </cell>
        </row>
        <row r="11762">
          <cell r="B11762" t="str">
            <v>Shipment</v>
          </cell>
        </row>
        <row r="11763">
          <cell r="B11763" t="str">
            <v>Shipment</v>
          </cell>
        </row>
        <row r="11764">
          <cell r="B11764" t="str">
            <v>Shipment</v>
          </cell>
        </row>
        <row r="11765">
          <cell r="B11765" t="str">
            <v>Shipment</v>
          </cell>
        </row>
        <row r="11766">
          <cell r="B11766" t="str">
            <v>Shipment</v>
          </cell>
        </row>
        <row r="11767">
          <cell r="B11767" t="str">
            <v>Shipment</v>
          </cell>
        </row>
        <row r="11768">
          <cell r="B11768" t="str">
            <v>Shipment</v>
          </cell>
        </row>
        <row r="11769">
          <cell r="B11769" t="str">
            <v>Shipment</v>
          </cell>
        </row>
        <row r="11770">
          <cell r="B11770" t="str">
            <v>Shipment</v>
          </cell>
        </row>
        <row r="11771">
          <cell r="B11771" t="str">
            <v>Shipment</v>
          </cell>
        </row>
        <row r="11772">
          <cell r="B11772" t="str">
            <v>Shipment</v>
          </cell>
        </row>
        <row r="11773">
          <cell r="B11773" t="str">
            <v>Shipment</v>
          </cell>
        </row>
        <row r="11774">
          <cell r="B11774" t="str">
            <v>Shipment</v>
          </cell>
        </row>
        <row r="11775">
          <cell r="B11775" t="str">
            <v>Shipment</v>
          </cell>
        </row>
        <row r="11776">
          <cell r="B11776" t="str">
            <v>Shipment</v>
          </cell>
        </row>
        <row r="11777">
          <cell r="B11777" t="str">
            <v>Shipment</v>
          </cell>
        </row>
        <row r="11778">
          <cell r="B11778" t="str">
            <v>Shipment</v>
          </cell>
        </row>
        <row r="11779">
          <cell r="B11779" t="str">
            <v>Shipment</v>
          </cell>
        </row>
        <row r="11780">
          <cell r="B11780" t="str">
            <v>Shipment</v>
          </cell>
        </row>
        <row r="11781">
          <cell r="B11781" t="str">
            <v>Shipment</v>
          </cell>
        </row>
        <row r="11782">
          <cell r="B11782" t="str">
            <v>Shipment</v>
          </cell>
        </row>
        <row r="11783">
          <cell r="B11783" t="str">
            <v>Shipment</v>
          </cell>
        </row>
        <row r="11784">
          <cell r="B11784" t="str">
            <v>Shipment</v>
          </cell>
        </row>
        <row r="11785">
          <cell r="B11785" t="str">
            <v>Shipment</v>
          </cell>
        </row>
        <row r="11786">
          <cell r="B11786" t="str">
            <v>Shipment</v>
          </cell>
        </row>
        <row r="11787">
          <cell r="B11787" t="str">
            <v>Shipment</v>
          </cell>
        </row>
        <row r="11788">
          <cell r="B11788" t="str">
            <v>Shipment</v>
          </cell>
        </row>
        <row r="11789">
          <cell r="B11789" t="str">
            <v>Shipment</v>
          </cell>
        </row>
        <row r="11790">
          <cell r="B11790" t="str">
            <v>Shipment</v>
          </cell>
        </row>
        <row r="11791">
          <cell r="B11791" t="str">
            <v>Shipment</v>
          </cell>
        </row>
        <row r="11792">
          <cell r="B11792" t="str">
            <v>Shipment</v>
          </cell>
        </row>
        <row r="11793">
          <cell r="B11793" t="str">
            <v>Shipment</v>
          </cell>
        </row>
        <row r="11794">
          <cell r="B11794" t="str">
            <v>Shipment</v>
          </cell>
        </row>
        <row r="11795">
          <cell r="B11795" t="str">
            <v>Shipment</v>
          </cell>
        </row>
        <row r="11796">
          <cell r="B11796" t="str">
            <v>Shipment</v>
          </cell>
        </row>
        <row r="11797">
          <cell r="B11797" t="str">
            <v>Shipment</v>
          </cell>
        </row>
        <row r="11798">
          <cell r="B11798" t="str">
            <v>Shipment</v>
          </cell>
        </row>
        <row r="11799">
          <cell r="B11799" t="str">
            <v>Shipment</v>
          </cell>
        </row>
        <row r="11800">
          <cell r="B11800" t="str">
            <v>Shipment</v>
          </cell>
        </row>
        <row r="11801">
          <cell r="B11801" t="str">
            <v>Shipment</v>
          </cell>
        </row>
        <row r="11802">
          <cell r="B11802" t="str">
            <v>Shipment</v>
          </cell>
        </row>
        <row r="11803">
          <cell r="B11803" t="str">
            <v>Shipment</v>
          </cell>
        </row>
        <row r="11804">
          <cell r="B11804" t="str">
            <v>Shipment</v>
          </cell>
        </row>
        <row r="11805">
          <cell r="B11805" t="str">
            <v>Shipment</v>
          </cell>
        </row>
        <row r="11806">
          <cell r="B11806" t="str">
            <v>Shipment</v>
          </cell>
        </row>
        <row r="11807">
          <cell r="B11807" t="str">
            <v>Shipment</v>
          </cell>
        </row>
        <row r="11808">
          <cell r="B11808" t="str">
            <v>Shipment</v>
          </cell>
        </row>
        <row r="11809">
          <cell r="B11809" t="str">
            <v>Shipment</v>
          </cell>
        </row>
        <row r="11810">
          <cell r="B11810" t="str">
            <v>Shipment</v>
          </cell>
        </row>
        <row r="11811">
          <cell r="B11811" t="str">
            <v>Shipment</v>
          </cell>
        </row>
        <row r="11812">
          <cell r="B11812" t="str">
            <v>Shipment</v>
          </cell>
        </row>
        <row r="11813">
          <cell r="B11813" t="str">
            <v>Shipment</v>
          </cell>
        </row>
        <row r="11814">
          <cell r="B11814" t="str">
            <v>Shipment</v>
          </cell>
        </row>
        <row r="11815">
          <cell r="B11815" t="str">
            <v>Shipment</v>
          </cell>
        </row>
        <row r="11816">
          <cell r="B11816" t="str">
            <v>Shipment</v>
          </cell>
        </row>
        <row r="11817">
          <cell r="B11817" t="str">
            <v>Shipment</v>
          </cell>
        </row>
        <row r="11818">
          <cell r="B11818" t="str">
            <v>Shipment</v>
          </cell>
        </row>
        <row r="11819">
          <cell r="B11819" t="str">
            <v>Shipment</v>
          </cell>
        </row>
        <row r="11820">
          <cell r="B11820" t="str">
            <v>Shipment</v>
          </cell>
        </row>
        <row r="11821">
          <cell r="B11821" t="str">
            <v>Shipment</v>
          </cell>
        </row>
        <row r="11822">
          <cell r="B11822" t="str">
            <v>Shipment</v>
          </cell>
        </row>
        <row r="11823">
          <cell r="B11823" t="str">
            <v>Shipment</v>
          </cell>
        </row>
        <row r="11824">
          <cell r="B11824" t="str">
            <v>Shipment</v>
          </cell>
        </row>
        <row r="11825">
          <cell r="B11825" t="str">
            <v>Shipment</v>
          </cell>
        </row>
        <row r="11826">
          <cell r="B11826" t="str">
            <v>Shipment</v>
          </cell>
        </row>
        <row r="11827">
          <cell r="B11827" t="str">
            <v>Shipment</v>
          </cell>
        </row>
        <row r="11828">
          <cell r="B11828" t="str">
            <v>Shipment</v>
          </cell>
        </row>
        <row r="11829">
          <cell r="B11829" t="str">
            <v>Shipment</v>
          </cell>
        </row>
        <row r="11830">
          <cell r="B11830" t="str">
            <v>Shipment</v>
          </cell>
        </row>
        <row r="11831">
          <cell r="B11831" t="str">
            <v>Shipment</v>
          </cell>
        </row>
        <row r="11832">
          <cell r="B11832" t="str">
            <v>Shipment</v>
          </cell>
        </row>
        <row r="11833">
          <cell r="B11833" t="str">
            <v>Shipment</v>
          </cell>
        </row>
        <row r="11834">
          <cell r="B11834" t="str">
            <v>Shipment</v>
          </cell>
        </row>
        <row r="11835">
          <cell r="B11835" t="str">
            <v>Shipment</v>
          </cell>
        </row>
        <row r="11836">
          <cell r="B11836" t="str">
            <v>Shipment</v>
          </cell>
        </row>
        <row r="11837">
          <cell r="B11837" t="str">
            <v>Shipment</v>
          </cell>
        </row>
        <row r="11838">
          <cell r="B11838" t="str">
            <v>Shipment</v>
          </cell>
        </row>
        <row r="11839">
          <cell r="B11839" t="str">
            <v>Shipment</v>
          </cell>
        </row>
        <row r="11840">
          <cell r="B11840" t="str">
            <v>Shipment</v>
          </cell>
        </row>
        <row r="11841">
          <cell r="B11841" t="str">
            <v>Shipment</v>
          </cell>
        </row>
        <row r="11842">
          <cell r="B11842" t="str">
            <v>Shipment</v>
          </cell>
        </row>
        <row r="11843">
          <cell r="B11843" t="str">
            <v>Shipment</v>
          </cell>
        </row>
        <row r="11844">
          <cell r="B11844" t="str">
            <v>Shipment</v>
          </cell>
        </row>
        <row r="11845">
          <cell r="B11845" t="str">
            <v>Shipment</v>
          </cell>
        </row>
        <row r="11846">
          <cell r="B11846" t="str">
            <v>Shipment</v>
          </cell>
        </row>
        <row r="11847">
          <cell r="B11847" t="str">
            <v>Shipment</v>
          </cell>
        </row>
        <row r="11848">
          <cell r="B11848" t="str">
            <v>Shipment</v>
          </cell>
        </row>
        <row r="11849">
          <cell r="B11849" t="str">
            <v>Shipment</v>
          </cell>
        </row>
        <row r="11850">
          <cell r="B11850" t="str">
            <v>Shipment</v>
          </cell>
        </row>
        <row r="11851">
          <cell r="B11851" t="str">
            <v>Shipment</v>
          </cell>
        </row>
        <row r="11852">
          <cell r="B11852" t="str">
            <v>Shipment</v>
          </cell>
        </row>
        <row r="11853">
          <cell r="B11853" t="str">
            <v>Shipment</v>
          </cell>
        </row>
        <row r="11854">
          <cell r="B11854" t="str">
            <v>Shipment</v>
          </cell>
        </row>
        <row r="11855">
          <cell r="B11855" t="str">
            <v>Shipment</v>
          </cell>
        </row>
        <row r="11856">
          <cell r="B11856" t="str">
            <v>Shipment</v>
          </cell>
        </row>
        <row r="11857">
          <cell r="B11857" t="str">
            <v>Shipment</v>
          </cell>
        </row>
        <row r="11858">
          <cell r="B11858" t="str">
            <v>Shipment</v>
          </cell>
        </row>
        <row r="11859">
          <cell r="B11859" t="str">
            <v>Shipment</v>
          </cell>
        </row>
        <row r="11860">
          <cell r="B11860" t="str">
            <v>Shipment</v>
          </cell>
        </row>
        <row r="11861">
          <cell r="B11861" t="str">
            <v>Shipment</v>
          </cell>
        </row>
        <row r="11862">
          <cell r="B11862" t="str">
            <v>Shipment</v>
          </cell>
        </row>
        <row r="11863">
          <cell r="B11863" t="str">
            <v>Shipment</v>
          </cell>
        </row>
        <row r="11864">
          <cell r="B11864" t="str">
            <v>Shipment</v>
          </cell>
        </row>
        <row r="11865">
          <cell r="B11865" t="str">
            <v>Shipment</v>
          </cell>
        </row>
        <row r="11866">
          <cell r="B11866" t="str">
            <v>Shipment</v>
          </cell>
        </row>
        <row r="11867">
          <cell r="B11867" t="str">
            <v>Shipment</v>
          </cell>
        </row>
        <row r="11868">
          <cell r="B11868" t="str">
            <v>Shipment</v>
          </cell>
        </row>
        <row r="11869">
          <cell r="B11869" t="str">
            <v>Shipment</v>
          </cell>
        </row>
        <row r="11870">
          <cell r="B11870" t="str">
            <v>Shipment</v>
          </cell>
        </row>
        <row r="11871">
          <cell r="B11871" t="str">
            <v>Shipment</v>
          </cell>
        </row>
        <row r="11872">
          <cell r="B11872" t="str">
            <v>Shipment</v>
          </cell>
        </row>
        <row r="11873">
          <cell r="B11873" t="str">
            <v>Shipment</v>
          </cell>
        </row>
        <row r="11874">
          <cell r="B11874" t="str">
            <v>Shipment</v>
          </cell>
        </row>
        <row r="11875">
          <cell r="B11875" t="str">
            <v>Shipment</v>
          </cell>
        </row>
        <row r="11876">
          <cell r="B11876" t="str">
            <v>Shipment</v>
          </cell>
        </row>
        <row r="11877">
          <cell r="B11877" t="str">
            <v>Shipment</v>
          </cell>
        </row>
        <row r="11878">
          <cell r="B11878" t="str">
            <v>Shipment</v>
          </cell>
        </row>
        <row r="11879">
          <cell r="B11879" t="str">
            <v>Shipment</v>
          </cell>
        </row>
        <row r="11880">
          <cell r="B11880" t="str">
            <v>Shipment</v>
          </cell>
        </row>
        <row r="11881">
          <cell r="B11881" t="str">
            <v>Shipment</v>
          </cell>
        </row>
        <row r="11882">
          <cell r="B11882" t="str">
            <v>Shipment</v>
          </cell>
        </row>
        <row r="11883">
          <cell r="B11883" t="str">
            <v>Shipment</v>
          </cell>
        </row>
        <row r="11884">
          <cell r="B11884" t="str">
            <v>Shipment</v>
          </cell>
        </row>
        <row r="11885">
          <cell r="B11885" t="str">
            <v>Shipment</v>
          </cell>
        </row>
        <row r="11886">
          <cell r="B11886" t="str">
            <v>Shipment</v>
          </cell>
        </row>
        <row r="11887">
          <cell r="B11887" t="str">
            <v>Shipment</v>
          </cell>
        </row>
        <row r="11888">
          <cell r="B11888" t="str">
            <v>Shipment</v>
          </cell>
        </row>
        <row r="11889">
          <cell r="B11889" t="str">
            <v>Shipment</v>
          </cell>
        </row>
        <row r="11890">
          <cell r="B11890" t="str">
            <v>Shipment</v>
          </cell>
        </row>
        <row r="11891">
          <cell r="B11891" t="str">
            <v>Shipment</v>
          </cell>
        </row>
        <row r="11892">
          <cell r="B11892" t="str">
            <v>Shipment</v>
          </cell>
        </row>
        <row r="11893">
          <cell r="B11893" t="str">
            <v>Shipment</v>
          </cell>
        </row>
        <row r="11894">
          <cell r="B11894" t="str">
            <v>Shipment</v>
          </cell>
        </row>
        <row r="11895">
          <cell r="B11895" t="str">
            <v>Shipment</v>
          </cell>
        </row>
        <row r="11896">
          <cell r="B11896" t="str">
            <v>Shipment</v>
          </cell>
        </row>
        <row r="11897">
          <cell r="B11897" t="str">
            <v>Shipment</v>
          </cell>
        </row>
        <row r="11898">
          <cell r="B11898" t="str">
            <v>Shipment</v>
          </cell>
        </row>
        <row r="11899">
          <cell r="B11899" t="str">
            <v>Shipment</v>
          </cell>
        </row>
        <row r="11900">
          <cell r="B11900" t="str">
            <v>Shipment</v>
          </cell>
        </row>
        <row r="11901">
          <cell r="B11901" t="str">
            <v>Shipment</v>
          </cell>
        </row>
        <row r="11902">
          <cell r="B11902" t="str">
            <v>Shipment</v>
          </cell>
        </row>
        <row r="11903">
          <cell r="B11903" t="str">
            <v>Shipment</v>
          </cell>
        </row>
        <row r="11904">
          <cell r="B11904" t="str">
            <v>Shipment</v>
          </cell>
        </row>
        <row r="11905">
          <cell r="B11905" t="str">
            <v>Shipment</v>
          </cell>
        </row>
        <row r="11906">
          <cell r="B11906" t="str">
            <v>Shipment</v>
          </cell>
        </row>
        <row r="11907">
          <cell r="B11907" t="str">
            <v>Shipment</v>
          </cell>
        </row>
        <row r="11908">
          <cell r="B11908" t="str">
            <v>Shipment</v>
          </cell>
        </row>
        <row r="11909">
          <cell r="B11909" t="str">
            <v>Shipment</v>
          </cell>
        </row>
        <row r="11910">
          <cell r="B11910" t="str">
            <v>Shipment</v>
          </cell>
        </row>
        <row r="11911">
          <cell r="B11911" t="str">
            <v>Shipment</v>
          </cell>
        </row>
        <row r="11912">
          <cell r="B11912" t="str">
            <v>Shipment</v>
          </cell>
        </row>
        <row r="11913">
          <cell r="B11913" t="str">
            <v>Shipment</v>
          </cell>
        </row>
        <row r="11914">
          <cell r="B11914" t="str">
            <v>Shipment</v>
          </cell>
        </row>
        <row r="11915">
          <cell r="B11915" t="str">
            <v>Shipment</v>
          </cell>
        </row>
        <row r="11916">
          <cell r="B11916" t="str">
            <v>Shipment</v>
          </cell>
        </row>
        <row r="11917">
          <cell r="B11917" t="str">
            <v>Shipment</v>
          </cell>
        </row>
        <row r="11918">
          <cell r="B11918" t="str">
            <v>Shipment</v>
          </cell>
        </row>
        <row r="11919">
          <cell r="B11919" t="str">
            <v>Shipment</v>
          </cell>
        </row>
        <row r="11920">
          <cell r="B11920" t="str">
            <v>Shipment</v>
          </cell>
        </row>
        <row r="11921">
          <cell r="B11921" t="str">
            <v>Shipment</v>
          </cell>
        </row>
        <row r="11922">
          <cell r="B11922" t="str">
            <v>Shipment</v>
          </cell>
        </row>
        <row r="11923">
          <cell r="B11923" t="str">
            <v>Shipment</v>
          </cell>
        </row>
        <row r="11924">
          <cell r="B11924" t="str">
            <v>Shipment</v>
          </cell>
        </row>
        <row r="11925">
          <cell r="B11925" t="str">
            <v>Shipment</v>
          </cell>
        </row>
        <row r="11926">
          <cell r="B11926" t="str">
            <v>Shipment</v>
          </cell>
        </row>
        <row r="11927">
          <cell r="B11927" t="str">
            <v>Shipment</v>
          </cell>
        </row>
        <row r="11928">
          <cell r="B11928" t="str">
            <v>Shipment</v>
          </cell>
        </row>
        <row r="11929">
          <cell r="B11929" t="str">
            <v>Shipment</v>
          </cell>
        </row>
        <row r="11930">
          <cell r="B11930" t="str">
            <v>Shipment</v>
          </cell>
        </row>
        <row r="11931">
          <cell r="B11931" t="str">
            <v>Shipment</v>
          </cell>
        </row>
        <row r="11932">
          <cell r="B11932" t="str">
            <v>Shipment</v>
          </cell>
        </row>
        <row r="11933">
          <cell r="B11933" t="str">
            <v>Shipment</v>
          </cell>
        </row>
        <row r="11934">
          <cell r="B11934" t="str">
            <v>Shipment</v>
          </cell>
        </row>
        <row r="11935">
          <cell r="B11935" t="str">
            <v>Shipment</v>
          </cell>
        </row>
        <row r="11936">
          <cell r="B11936" t="str">
            <v>Shipment</v>
          </cell>
        </row>
        <row r="11937">
          <cell r="B11937" t="str">
            <v>Shipment</v>
          </cell>
        </row>
        <row r="11938">
          <cell r="B11938" t="str">
            <v>Shipment</v>
          </cell>
        </row>
        <row r="11939">
          <cell r="B11939" t="str">
            <v>Shipment</v>
          </cell>
        </row>
        <row r="11940">
          <cell r="B11940" t="str">
            <v>Shipment</v>
          </cell>
        </row>
        <row r="11941">
          <cell r="B11941" t="str">
            <v>Shipment</v>
          </cell>
        </row>
        <row r="11942">
          <cell r="B11942" t="str">
            <v>Shipment</v>
          </cell>
        </row>
        <row r="11943">
          <cell r="B11943" t="str">
            <v>Shipment</v>
          </cell>
        </row>
        <row r="11944">
          <cell r="B11944" t="str">
            <v>Shipment</v>
          </cell>
        </row>
        <row r="11945">
          <cell r="B11945" t="str">
            <v>Shipment</v>
          </cell>
        </row>
        <row r="11946">
          <cell r="B11946" t="str">
            <v>Shipment</v>
          </cell>
        </row>
        <row r="11947">
          <cell r="B11947" t="str">
            <v>Shipment</v>
          </cell>
        </row>
        <row r="11948">
          <cell r="B11948" t="str">
            <v>Shipment</v>
          </cell>
        </row>
        <row r="11949">
          <cell r="B11949" t="str">
            <v>Shipment</v>
          </cell>
        </row>
        <row r="11950">
          <cell r="B11950" t="str">
            <v>Shipment</v>
          </cell>
        </row>
        <row r="11951">
          <cell r="B11951" t="str">
            <v>Shipment</v>
          </cell>
        </row>
        <row r="11952">
          <cell r="B11952" t="str">
            <v>Shipment</v>
          </cell>
        </row>
        <row r="11953">
          <cell r="B11953" t="str">
            <v>Shipment</v>
          </cell>
        </row>
        <row r="11954">
          <cell r="B11954" t="str">
            <v>Shipment</v>
          </cell>
        </row>
        <row r="11955">
          <cell r="B11955" t="str">
            <v>Shipment</v>
          </cell>
        </row>
        <row r="11956">
          <cell r="B11956" t="str">
            <v>Shipment</v>
          </cell>
        </row>
        <row r="11957">
          <cell r="B11957" t="str">
            <v>Shipment</v>
          </cell>
        </row>
        <row r="11958">
          <cell r="B11958" t="str">
            <v>Shipment</v>
          </cell>
        </row>
        <row r="11959">
          <cell r="B11959" t="str">
            <v>Shipment</v>
          </cell>
        </row>
        <row r="11960">
          <cell r="B11960" t="str">
            <v>Shipment</v>
          </cell>
        </row>
        <row r="11961">
          <cell r="B11961" t="str">
            <v>Shipment</v>
          </cell>
        </row>
        <row r="11962">
          <cell r="B11962" t="str">
            <v>Shipment</v>
          </cell>
        </row>
        <row r="11963">
          <cell r="B11963" t="str">
            <v>Shipment</v>
          </cell>
        </row>
        <row r="11964">
          <cell r="B11964" t="str">
            <v>Shipment</v>
          </cell>
        </row>
        <row r="11965">
          <cell r="B11965" t="str">
            <v>Shipment</v>
          </cell>
        </row>
        <row r="11966">
          <cell r="B11966" t="str">
            <v>Shipment</v>
          </cell>
        </row>
        <row r="11967">
          <cell r="B11967" t="str">
            <v>Shipment</v>
          </cell>
        </row>
        <row r="11968">
          <cell r="B11968" t="str">
            <v>Shipment</v>
          </cell>
        </row>
        <row r="11969">
          <cell r="B11969" t="str">
            <v>Shipment</v>
          </cell>
        </row>
        <row r="11970">
          <cell r="B11970" t="str">
            <v>Shipment</v>
          </cell>
        </row>
        <row r="11971">
          <cell r="B11971" t="str">
            <v>Shipment</v>
          </cell>
        </row>
        <row r="11972">
          <cell r="B11972" t="str">
            <v>Shipment</v>
          </cell>
        </row>
        <row r="11973">
          <cell r="B11973" t="str">
            <v>Shipment</v>
          </cell>
        </row>
        <row r="11974">
          <cell r="B11974" t="str">
            <v>Shipment</v>
          </cell>
        </row>
        <row r="11975">
          <cell r="B11975" t="str">
            <v>Shipment</v>
          </cell>
        </row>
        <row r="11976">
          <cell r="B11976" t="str">
            <v>Shipment</v>
          </cell>
        </row>
        <row r="11977">
          <cell r="B11977" t="str">
            <v>Shipment</v>
          </cell>
        </row>
        <row r="11978">
          <cell r="B11978" t="str">
            <v>Shipment</v>
          </cell>
        </row>
        <row r="11979">
          <cell r="B11979" t="str">
            <v>Shipment</v>
          </cell>
        </row>
        <row r="11980">
          <cell r="B11980" t="str">
            <v>Shipment</v>
          </cell>
        </row>
        <row r="11981">
          <cell r="B11981" t="str">
            <v>Shipment</v>
          </cell>
        </row>
        <row r="11982">
          <cell r="B11982" t="str">
            <v>Shipment</v>
          </cell>
        </row>
        <row r="11983">
          <cell r="B11983" t="str">
            <v>Shipment</v>
          </cell>
        </row>
        <row r="11984">
          <cell r="B11984" t="str">
            <v>Shipment</v>
          </cell>
        </row>
        <row r="11985">
          <cell r="B11985" t="str">
            <v>Shipment</v>
          </cell>
        </row>
        <row r="11986">
          <cell r="B11986" t="str">
            <v>Shipment</v>
          </cell>
        </row>
        <row r="11987">
          <cell r="B11987" t="str">
            <v>Shipment</v>
          </cell>
        </row>
        <row r="11988">
          <cell r="B11988" t="str">
            <v>Shipment</v>
          </cell>
        </row>
        <row r="11989">
          <cell r="B11989" t="str">
            <v>Shipment</v>
          </cell>
        </row>
        <row r="11990">
          <cell r="B11990" t="str">
            <v>Shipment</v>
          </cell>
        </row>
        <row r="11991">
          <cell r="B11991" t="str">
            <v>Shipment</v>
          </cell>
        </row>
        <row r="11992">
          <cell r="B11992" t="str">
            <v>Shipment</v>
          </cell>
        </row>
        <row r="11993">
          <cell r="B11993" t="str">
            <v>Shipment</v>
          </cell>
        </row>
        <row r="11994">
          <cell r="B11994" t="str">
            <v>Shipment</v>
          </cell>
        </row>
        <row r="11995">
          <cell r="B11995" t="str">
            <v>Shipment</v>
          </cell>
        </row>
        <row r="11996">
          <cell r="B11996" t="str">
            <v>Shipment</v>
          </cell>
        </row>
        <row r="11997">
          <cell r="B11997" t="str">
            <v>Shipment</v>
          </cell>
        </row>
        <row r="11998">
          <cell r="B11998" t="str">
            <v>Shipment</v>
          </cell>
        </row>
        <row r="11999">
          <cell r="B11999" t="str">
            <v>Shipment</v>
          </cell>
        </row>
        <row r="12000">
          <cell r="B12000" t="str">
            <v>Shipment</v>
          </cell>
        </row>
        <row r="12001">
          <cell r="B12001" t="str">
            <v>Shipment</v>
          </cell>
        </row>
        <row r="12002">
          <cell r="B12002" t="str">
            <v>Shipment</v>
          </cell>
        </row>
        <row r="12003">
          <cell r="B12003" t="str">
            <v>Shipment</v>
          </cell>
        </row>
        <row r="12004">
          <cell r="B12004" t="str">
            <v>Shipment</v>
          </cell>
        </row>
        <row r="12005">
          <cell r="B12005" t="str">
            <v>Shipment</v>
          </cell>
        </row>
        <row r="12006">
          <cell r="B12006" t="str">
            <v>Shipment</v>
          </cell>
        </row>
        <row r="12007">
          <cell r="B12007" t="str">
            <v>Shipment</v>
          </cell>
        </row>
        <row r="12008">
          <cell r="B12008" t="str">
            <v>Shipment</v>
          </cell>
        </row>
        <row r="12009">
          <cell r="B12009" t="str">
            <v>Shipment</v>
          </cell>
        </row>
        <row r="12010">
          <cell r="B12010" t="str">
            <v>Shipment</v>
          </cell>
        </row>
        <row r="12011">
          <cell r="B12011" t="str">
            <v>Shipment</v>
          </cell>
        </row>
        <row r="12012">
          <cell r="B12012" t="str">
            <v>Shipment</v>
          </cell>
        </row>
        <row r="12013">
          <cell r="B12013" t="str">
            <v>Shipment</v>
          </cell>
        </row>
        <row r="12014">
          <cell r="B12014" t="str">
            <v>Shipment</v>
          </cell>
        </row>
        <row r="12015">
          <cell r="B12015" t="str">
            <v>Shipment</v>
          </cell>
        </row>
        <row r="12016">
          <cell r="B12016" t="str">
            <v>Shipment</v>
          </cell>
        </row>
        <row r="12017">
          <cell r="B12017" t="str">
            <v>Shipment</v>
          </cell>
        </row>
        <row r="12018">
          <cell r="B12018" t="str">
            <v>Shipment</v>
          </cell>
        </row>
        <row r="12019">
          <cell r="B12019" t="str">
            <v>Shipment</v>
          </cell>
        </row>
        <row r="12020">
          <cell r="B12020" t="str">
            <v>Shipment</v>
          </cell>
        </row>
        <row r="12021">
          <cell r="B12021" t="str">
            <v>Shipment</v>
          </cell>
        </row>
        <row r="12022">
          <cell r="B12022" t="str">
            <v>Shipment</v>
          </cell>
        </row>
        <row r="12023">
          <cell r="B12023" t="str">
            <v>Shipment</v>
          </cell>
        </row>
        <row r="12024">
          <cell r="B12024" t="str">
            <v>Shipment</v>
          </cell>
        </row>
        <row r="12025">
          <cell r="B12025" t="str">
            <v>Shipment</v>
          </cell>
        </row>
        <row r="12026">
          <cell r="B12026" t="str">
            <v>Shipment</v>
          </cell>
        </row>
        <row r="12027">
          <cell r="B12027" t="str">
            <v>Shipment</v>
          </cell>
        </row>
        <row r="12028">
          <cell r="B12028" t="str">
            <v>Shipment</v>
          </cell>
        </row>
        <row r="12029">
          <cell r="B12029" t="str">
            <v>Shipment</v>
          </cell>
        </row>
        <row r="12030">
          <cell r="B12030" t="str">
            <v>Shipment</v>
          </cell>
        </row>
        <row r="12031">
          <cell r="B12031" t="str">
            <v>Shipment</v>
          </cell>
        </row>
        <row r="12032">
          <cell r="B12032" t="str">
            <v>Shipment</v>
          </cell>
        </row>
        <row r="12033">
          <cell r="B12033" t="str">
            <v>Shipment</v>
          </cell>
        </row>
        <row r="12034">
          <cell r="B12034" t="str">
            <v>Shipment</v>
          </cell>
        </row>
        <row r="12035">
          <cell r="B12035" t="str">
            <v>Shipment</v>
          </cell>
        </row>
        <row r="12036">
          <cell r="B12036" t="str">
            <v>Shipment</v>
          </cell>
        </row>
        <row r="12037">
          <cell r="B12037" t="str">
            <v>Shipment</v>
          </cell>
        </row>
        <row r="12038">
          <cell r="B12038" t="str">
            <v>Shipment</v>
          </cell>
        </row>
        <row r="12039">
          <cell r="B12039" t="str">
            <v>Shipment</v>
          </cell>
        </row>
        <row r="12040">
          <cell r="B12040" t="str">
            <v>Shipment</v>
          </cell>
        </row>
        <row r="12041">
          <cell r="B12041" t="str">
            <v>Shipment</v>
          </cell>
        </row>
        <row r="12042">
          <cell r="B12042" t="str">
            <v>Shipment</v>
          </cell>
        </row>
        <row r="12043">
          <cell r="B12043" t="str">
            <v>Shipment</v>
          </cell>
        </row>
        <row r="12044">
          <cell r="B12044" t="str">
            <v>Shipment</v>
          </cell>
        </row>
        <row r="12045">
          <cell r="B12045" t="str">
            <v>Shipment</v>
          </cell>
        </row>
        <row r="12046">
          <cell r="B12046" t="str">
            <v>Shipment</v>
          </cell>
        </row>
        <row r="12047">
          <cell r="B12047" t="str">
            <v>Shipment</v>
          </cell>
        </row>
        <row r="12048">
          <cell r="B12048" t="str">
            <v>Shipment</v>
          </cell>
        </row>
        <row r="12049">
          <cell r="B12049" t="str">
            <v>Shipment</v>
          </cell>
        </row>
        <row r="12050">
          <cell r="B12050" t="str">
            <v>Shipment</v>
          </cell>
        </row>
        <row r="12051">
          <cell r="B12051" t="str">
            <v>Shipment</v>
          </cell>
        </row>
        <row r="12052">
          <cell r="B12052" t="str">
            <v>Shipment</v>
          </cell>
        </row>
        <row r="12053">
          <cell r="B12053" t="str">
            <v>Shipment</v>
          </cell>
        </row>
        <row r="12054">
          <cell r="B12054" t="str">
            <v>Shipment</v>
          </cell>
        </row>
        <row r="12055">
          <cell r="B12055" t="str">
            <v>Shipment</v>
          </cell>
        </row>
        <row r="12056">
          <cell r="B12056" t="str">
            <v>Shipment</v>
          </cell>
        </row>
        <row r="12057">
          <cell r="B12057" t="str">
            <v>Shipment</v>
          </cell>
        </row>
        <row r="12058">
          <cell r="B12058" t="str">
            <v>Shipment</v>
          </cell>
        </row>
        <row r="12059">
          <cell r="B12059" t="str">
            <v>Shipment</v>
          </cell>
        </row>
        <row r="12060">
          <cell r="B12060" t="str">
            <v>Shipment</v>
          </cell>
        </row>
        <row r="12061">
          <cell r="B12061" t="str">
            <v>Shipment</v>
          </cell>
        </row>
        <row r="12062">
          <cell r="B12062" t="str">
            <v>Shipment</v>
          </cell>
        </row>
        <row r="12063">
          <cell r="B12063" t="str">
            <v>Shipment</v>
          </cell>
        </row>
        <row r="12064">
          <cell r="B12064" t="str">
            <v>Shipment</v>
          </cell>
        </row>
        <row r="12065">
          <cell r="B12065" t="str">
            <v>Shipment</v>
          </cell>
        </row>
        <row r="12066">
          <cell r="B12066" t="str">
            <v>Shipment</v>
          </cell>
        </row>
        <row r="12067">
          <cell r="B12067" t="str">
            <v>Shipment</v>
          </cell>
        </row>
        <row r="12068">
          <cell r="B12068" t="str">
            <v>Shipment</v>
          </cell>
        </row>
        <row r="12069">
          <cell r="B12069" t="str">
            <v>Shipment</v>
          </cell>
        </row>
        <row r="12070">
          <cell r="B12070" t="str">
            <v>Shipment</v>
          </cell>
        </row>
        <row r="12071">
          <cell r="B12071" t="str">
            <v>Shipment</v>
          </cell>
        </row>
        <row r="12072">
          <cell r="B12072" t="str">
            <v>Shipment</v>
          </cell>
        </row>
        <row r="12073">
          <cell r="B12073" t="str">
            <v>Shipment</v>
          </cell>
        </row>
        <row r="12074">
          <cell r="B12074" t="str">
            <v>Shipment</v>
          </cell>
        </row>
        <row r="12075">
          <cell r="B12075" t="str">
            <v>Shipment</v>
          </cell>
        </row>
        <row r="12076">
          <cell r="B12076" t="str">
            <v>Shipment</v>
          </cell>
        </row>
        <row r="12077">
          <cell r="B12077" t="str">
            <v>Shipment</v>
          </cell>
        </row>
        <row r="12078">
          <cell r="B12078" t="str">
            <v>Shipment</v>
          </cell>
        </row>
        <row r="12079">
          <cell r="B12079" t="str">
            <v>Shipment</v>
          </cell>
        </row>
        <row r="12080">
          <cell r="B12080" t="str">
            <v>Shipment</v>
          </cell>
        </row>
        <row r="12081">
          <cell r="B12081" t="str">
            <v>Shipment</v>
          </cell>
        </row>
        <row r="12082">
          <cell r="B12082" t="str">
            <v>Shipment</v>
          </cell>
        </row>
        <row r="12083">
          <cell r="B12083" t="str">
            <v>Shipment</v>
          </cell>
        </row>
        <row r="12084">
          <cell r="B12084" t="str">
            <v>Shipment</v>
          </cell>
        </row>
        <row r="12085">
          <cell r="B12085" t="str">
            <v>Shipment</v>
          </cell>
        </row>
        <row r="12086">
          <cell r="B12086" t="str">
            <v>Shipment</v>
          </cell>
        </row>
        <row r="12087">
          <cell r="B12087" t="str">
            <v>Shipment</v>
          </cell>
        </row>
        <row r="12088">
          <cell r="B12088" t="str">
            <v>Shipment</v>
          </cell>
        </row>
        <row r="12089">
          <cell r="B12089" t="str">
            <v>Shipment</v>
          </cell>
        </row>
        <row r="12090">
          <cell r="B12090" t="str">
            <v>Shipment</v>
          </cell>
        </row>
        <row r="12091">
          <cell r="B12091" t="str">
            <v>Shipment</v>
          </cell>
        </row>
        <row r="12092">
          <cell r="B12092" t="str">
            <v>Shipment</v>
          </cell>
        </row>
        <row r="12093">
          <cell r="B12093" t="str">
            <v>Shipment</v>
          </cell>
        </row>
        <row r="12094">
          <cell r="B12094" t="str">
            <v>Shipment</v>
          </cell>
        </row>
        <row r="12095">
          <cell r="B12095" t="str">
            <v>Shipment</v>
          </cell>
        </row>
        <row r="12096">
          <cell r="B12096" t="str">
            <v>Shipment</v>
          </cell>
        </row>
        <row r="12097">
          <cell r="B12097" t="str">
            <v>Shipment</v>
          </cell>
        </row>
        <row r="12098">
          <cell r="B12098" t="str">
            <v>Shipment</v>
          </cell>
        </row>
        <row r="12099">
          <cell r="B12099" t="str">
            <v>Shipment</v>
          </cell>
        </row>
        <row r="12100">
          <cell r="B12100" t="str">
            <v>Shipment</v>
          </cell>
        </row>
        <row r="12101">
          <cell r="B12101" t="str">
            <v>Shipment</v>
          </cell>
        </row>
        <row r="12102">
          <cell r="B12102" t="str">
            <v>Shipment</v>
          </cell>
        </row>
        <row r="12103">
          <cell r="B12103" t="str">
            <v>Shipment</v>
          </cell>
        </row>
        <row r="12104">
          <cell r="B12104" t="str">
            <v>Shipment</v>
          </cell>
        </row>
        <row r="12105">
          <cell r="B12105" t="str">
            <v>Shipment</v>
          </cell>
        </row>
        <row r="12106">
          <cell r="B12106" t="str">
            <v>Shipment</v>
          </cell>
        </row>
        <row r="12107">
          <cell r="B12107" t="str">
            <v>Shipment</v>
          </cell>
        </row>
        <row r="12108">
          <cell r="B12108" t="str">
            <v>Shipment</v>
          </cell>
        </row>
        <row r="12109">
          <cell r="B12109" t="str">
            <v>Shipment</v>
          </cell>
        </row>
        <row r="12110">
          <cell r="B12110" t="str">
            <v>Shipment</v>
          </cell>
        </row>
        <row r="12111">
          <cell r="B12111" t="str">
            <v>Shipment</v>
          </cell>
        </row>
        <row r="12112">
          <cell r="B12112" t="str">
            <v>Shipment</v>
          </cell>
        </row>
        <row r="12113">
          <cell r="B12113" t="str">
            <v>Shipment</v>
          </cell>
        </row>
        <row r="12114">
          <cell r="B12114" t="str">
            <v>Shipment</v>
          </cell>
        </row>
        <row r="12115">
          <cell r="B12115" t="str">
            <v>Shipment</v>
          </cell>
        </row>
        <row r="12116">
          <cell r="B12116" t="str">
            <v>Shipment</v>
          </cell>
        </row>
        <row r="12117">
          <cell r="B12117" t="str">
            <v>Shipment</v>
          </cell>
        </row>
        <row r="12118">
          <cell r="B12118" t="str">
            <v>Shipment</v>
          </cell>
        </row>
        <row r="12119">
          <cell r="B12119" t="str">
            <v>Shipment</v>
          </cell>
        </row>
        <row r="12120">
          <cell r="B12120" t="str">
            <v>Shipment</v>
          </cell>
        </row>
        <row r="12121">
          <cell r="B12121" t="str">
            <v>Shipment</v>
          </cell>
        </row>
        <row r="12122">
          <cell r="B12122" t="str">
            <v>Shipment</v>
          </cell>
        </row>
        <row r="12123">
          <cell r="B12123" t="str">
            <v>Shipment</v>
          </cell>
        </row>
        <row r="12124">
          <cell r="B12124" t="str">
            <v>Shipment</v>
          </cell>
        </row>
        <row r="12125">
          <cell r="B12125" t="str">
            <v>Shipment</v>
          </cell>
        </row>
        <row r="12126">
          <cell r="B12126" t="str">
            <v>Shipment</v>
          </cell>
        </row>
        <row r="12127">
          <cell r="B12127" t="str">
            <v>Shipment</v>
          </cell>
        </row>
        <row r="12128">
          <cell r="B12128" t="str">
            <v>Shipment</v>
          </cell>
        </row>
        <row r="12129">
          <cell r="B12129" t="str">
            <v>Shipment</v>
          </cell>
        </row>
        <row r="12130">
          <cell r="B12130" t="str">
            <v>Shipment</v>
          </cell>
        </row>
        <row r="12131">
          <cell r="B12131" t="str">
            <v>Shipment</v>
          </cell>
        </row>
        <row r="12132">
          <cell r="B12132" t="str">
            <v>Shipment</v>
          </cell>
        </row>
        <row r="12133">
          <cell r="B12133" t="str">
            <v>Shipment</v>
          </cell>
        </row>
        <row r="12134">
          <cell r="B12134" t="str">
            <v>Shipment</v>
          </cell>
        </row>
        <row r="12135">
          <cell r="B12135" t="str">
            <v>Shipment</v>
          </cell>
        </row>
        <row r="12136">
          <cell r="B12136" t="str">
            <v>Shipment</v>
          </cell>
        </row>
        <row r="12137">
          <cell r="B12137" t="str">
            <v>Shipment</v>
          </cell>
        </row>
        <row r="12138">
          <cell r="B12138" t="str">
            <v>Shipment</v>
          </cell>
        </row>
        <row r="12139">
          <cell r="B12139" t="str">
            <v>Shipment</v>
          </cell>
        </row>
        <row r="12140">
          <cell r="B12140" t="str">
            <v>Shipment</v>
          </cell>
        </row>
        <row r="12141">
          <cell r="B12141" t="str">
            <v>Shipment</v>
          </cell>
        </row>
        <row r="12142">
          <cell r="B12142" t="str">
            <v>Shipment</v>
          </cell>
        </row>
        <row r="12143">
          <cell r="B12143" t="str">
            <v>Shipment</v>
          </cell>
        </row>
        <row r="12144">
          <cell r="B12144" t="str">
            <v>Shipment</v>
          </cell>
        </row>
        <row r="12145">
          <cell r="B12145" t="str">
            <v>Shipment</v>
          </cell>
        </row>
        <row r="12146">
          <cell r="B12146" t="str">
            <v>Shipment</v>
          </cell>
        </row>
        <row r="12147">
          <cell r="B12147" t="str">
            <v>Shipment</v>
          </cell>
        </row>
        <row r="12148">
          <cell r="B12148" t="str">
            <v>Shipment</v>
          </cell>
        </row>
        <row r="12149">
          <cell r="B12149" t="str">
            <v>Shipment</v>
          </cell>
        </row>
        <row r="12150">
          <cell r="B12150" t="str">
            <v>Shipment</v>
          </cell>
        </row>
        <row r="12151">
          <cell r="B12151" t="str">
            <v>Shipment</v>
          </cell>
        </row>
        <row r="12152">
          <cell r="B12152" t="str">
            <v>Shipment</v>
          </cell>
        </row>
        <row r="12153">
          <cell r="B12153" t="str">
            <v>Shipment</v>
          </cell>
        </row>
        <row r="12154">
          <cell r="B12154" t="str">
            <v>Shipment</v>
          </cell>
        </row>
        <row r="12155">
          <cell r="B12155" t="str">
            <v>Shipment</v>
          </cell>
        </row>
        <row r="12156">
          <cell r="B12156" t="str">
            <v>Shipment</v>
          </cell>
        </row>
        <row r="12157">
          <cell r="B12157" t="str">
            <v>Shipment</v>
          </cell>
        </row>
        <row r="12158">
          <cell r="B12158" t="str">
            <v>Shipment</v>
          </cell>
        </row>
        <row r="12159">
          <cell r="B12159" t="str">
            <v>Shipment</v>
          </cell>
        </row>
        <row r="12160">
          <cell r="B12160" t="str">
            <v>Shipment</v>
          </cell>
        </row>
        <row r="12161">
          <cell r="B12161" t="str">
            <v>Shipment</v>
          </cell>
        </row>
        <row r="12162">
          <cell r="B12162" t="str">
            <v>Shipment</v>
          </cell>
        </row>
        <row r="12163">
          <cell r="B12163" t="str">
            <v>Shipment</v>
          </cell>
        </row>
        <row r="12164">
          <cell r="B12164" t="str">
            <v>Shipment</v>
          </cell>
        </row>
        <row r="12165">
          <cell r="B12165" t="str">
            <v>Shipment</v>
          </cell>
        </row>
        <row r="12166">
          <cell r="B12166" t="str">
            <v>Shipment</v>
          </cell>
        </row>
        <row r="12167">
          <cell r="B12167" t="str">
            <v>Shipment</v>
          </cell>
        </row>
        <row r="12168">
          <cell r="B12168" t="str">
            <v>Shipment</v>
          </cell>
        </row>
        <row r="12169">
          <cell r="B12169" t="str">
            <v>Shipment</v>
          </cell>
        </row>
        <row r="12170">
          <cell r="B12170" t="str">
            <v>Shipment</v>
          </cell>
        </row>
        <row r="12171">
          <cell r="B12171" t="str">
            <v>Shipment</v>
          </cell>
        </row>
        <row r="12172">
          <cell r="B12172" t="str">
            <v>Shipment</v>
          </cell>
        </row>
        <row r="12173">
          <cell r="B12173" t="str">
            <v>Shipment</v>
          </cell>
        </row>
        <row r="12174">
          <cell r="B12174" t="str">
            <v>Shipment</v>
          </cell>
        </row>
        <row r="12175">
          <cell r="B12175" t="str">
            <v>Shipment</v>
          </cell>
        </row>
        <row r="12176">
          <cell r="B12176" t="str">
            <v>Shipment</v>
          </cell>
        </row>
        <row r="12177">
          <cell r="B12177" t="str">
            <v>Shipment</v>
          </cell>
        </row>
        <row r="12178">
          <cell r="B12178" t="str">
            <v>Shipment</v>
          </cell>
        </row>
        <row r="12179">
          <cell r="B12179" t="str">
            <v>Shipment</v>
          </cell>
        </row>
        <row r="12180">
          <cell r="B12180" t="str">
            <v>Shipment</v>
          </cell>
        </row>
        <row r="12181">
          <cell r="B12181" t="str">
            <v>Shipment</v>
          </cell>
        </row>
        <row r="12182">
          <cell r="B12182" t="str">
            <v>Shipment</v>
          </cell>
        </row>
        <row r="12183">
          <cell r="B12183" t="str">
            <v>Shipment</v>
          </cell>
        </row>
        <row r="12184">
          <cell r="B12184" t="str">
            <v>Shipment</v>
          </cell>
        </row>
        <row r="12185">
          <cell r="B12185" t="str">
            <v>Shipment</v>
          </cell>
        </row>
        <row r="12186">
          <cell r="B12186" t="str">
            <v>Shipment</v>
          </cell>
        </row>
        <row r="12187">
          <cell r="B12187" t="str">
            <v>Shipment</v>
          </cell>
        </row>
        <row r="12188">
          <cell r="B12188" t="str">
            <v>Shipment</v>
          </cell>
        </row>
        <row r="12189">
          <cell r="B12189" t="str">
            <v>Shipment</v>
          </cell>
        </row>
        <row r="12190">
          <cell r="B12190" t="str">
            <v>Shipment</v>
          </cell>
        </row>
        <row r="12191">
          <cell r="B12191" t="str">
            <v>Shipment</v>
          </cell>
        </row>
        <row r="12192">
          <cell r="B12192" t="str">
            <v>Shipment</v>
          </cell>
        </row>
        <row r="12193">
          <cell r="B12193" t="str">
            <v>Shipment</v>
          </cell>
        </row>
        <row r="12194">
          <cell r="B12194" t="str">
            <v>Shipment</v>
          </cell>
        </row>
        <row r="12195">
          <cell r="B12195" t="str">
            <v>Shipment</v>
          </cell>
        </row>
        <row r="12196">
          <cell r="B12196" t="str">
            <v>Shipment</v>
          </cell>
        </row>
        <row r="12197">
          <cell r="B12197" t="str">
            <v>Shipment</v>
          </cell>
        </row>
        <row r="12198">
          <cell r="B12198" t="str">
            <v>Shipment</v>
          </cell>
        </row>
        <row r="12199">
          <cell r="B12199" t="str">
            <v>Shipment</v>
          </cell>
        </row>
        <row r="12200">
          <cell r="B12200" t="str">
            <v>Shipment</v>
          </cell>
        </row>
        <row r="12201">
          <cell r="B12201" t="str">
            <v>Shipment</v>
          </cell>
        </row>
        <row r="12202">
          <cell r="B12202" t="str">
            <v>Shipment</v>
          </cell>
        </row>
        <row r="12203">
          <cell r="B12203" t="str">
            <v>Shipment</v>
          </cell>
        </row>
        <row r="12204">
          <cell r="B12204" t="str">
            <v>Shipment</v>
          </cell>
        </row>
        <row r="12205">
          <cell r="B12205" t="str">
            <v>Shipment</v>
          </cell>
        </row>
        <row r="12206">
          <cell r="B12206" t="str">
            <v>Shipment</v>
          </cell>
        </row>
        <row r="12207">
          <cell r="B12207" t="str">
            <v>Shipment</v>
          </cell>
        </row>
        <row r="12208">
          <cell r="B12208" t="str">
            <v>Shipment</v>
          </cell>
        </row>
        <row r="12209">
          <cell r="B12209" t="str">
            <v>Shipment</v>
          </cell>
        </row>
        <row r="12210">
          <cell r="B12210" t="str">
            <v>Shipment</v>
          </cell>
        </row>
        <row r="12211">
          <cell r="B12211" t="str">
            <v>Shipment</v>
          </cell>
        </row>
        <row r="12212">
          <cell r="B12212" t="str">
            <v>Shipment</v>
          </cell>
        </row>
        <row r="12213">
          <cell r="B12213" t="str">
            <v>Shipment</v>
          </cell>
        </row>
        <row r="12214">
          <cell r="B12214" t="str">
            <v>Shipment</v>
          </cell>
        </row>
        <row r="12215">
          <cell r="B12215" t="str">
            <v>Shipment</v>
          </cell>
        </row>
        <row r="12216">
          <cell r="B12216" t="str">
            <v>Shipment</v>
          </cell>
        </row>
        <row r="12217">
          <cell r="B12217" t="str">
            <v>Shipment</v>
          </cell>
        </row>
        <row r="12218">
          <cell r="B12218" t="str">
            <v>Shipment</v>
          </cell>
        </row>
        <row r="12219">
          <cell r="B12219" t="str">
            <v>Shipment</v>
          </cell>
        </row>
        <row r="12220">
          <cell r="B12220" t="str">
            <v>Shipment</v>
          </cell>
        </row>
        <row r="12221">
          <cell r="B12221" t="str">
            <v>Shipment</v>
          </cell>
        </row>
        <row r="12222">
          <cell r="B12222" t="str">
            <v>Shipment</v>
          </cell>
        </row>
        <row r="12223">
          <cell r="B12223" t="str">
            <v>Shipment</v>
          </cell>
        </row>
        <row r="12224">
          <cell r="B12224" t="str">
            <v>Shipment</v>
          </cell>
        </row>
        <row r="12225">
          <cell r="B12225" t="str">
            <v>Shipment</v>
          </cell>
        </row>
        <row r="12226">
          <cell r="B12226" t="str">
            <v>Shipment</v>
          </cell>
        </row>
        <row r="12227">
          <cell r="B12227" t="str">
            <v>Shipment</v>
          </cell>
        </row>
        <row r="12228">
          <cell r="B12228" t="str">
            <v>Shipment</v>
          </cell>
        </row>
        <row r="12229">
          <cell r="B12229" t="str">
            <v>Shipment</v>
          </cell>
        </row>
        <row r="12230">
          <cell r="B12230" t="str">
            <v>Shipment</v>
          </cell>
        </row>
        <row r="12231">
          <cell r="B12231" t="str">
            <v>Shipment</v>
          </cell>
        </row>
        <row r="12232">
          <cell r="B12232" t="str">
            <v>Shipment</v>
          </cell>
        </row>
        <row r="12233">
          <cell r="B12233" t="str">
            <v>Shipment</v>
          </cell>
        </row>
        <row r="12234">
          <cell r="B12234" t="str">
            <v>Shipment</v>
          </cell>
        </row>
        <row r="12235">
          <cell r="B12235" t="str">
            <v>Shipment</v>
          </cell>
        </row>
        <row r="12236">
          <cell r="B12236" t="str">
            <v>Shipment</v>
          </cell>
        </row>
        <row r="12237">
          <cell r="B12237" t="str">
            <v>Shipment</v>
          </cell>
        </row>
        <row r="12238">
          <cell r="B12238" t="str">
            <v>Shipment</v>
          </cell>
        </row>
        <row r="12239">
          <cell r="B12239" t="str">
            <v>Shipment</v>
          </cell>
        </row>
        <row r="12240">
          <cell r="B12240" t="str">
            <v>Shipment</v>
          </cell>
        </row>
        <row r="12241">
          <cell r="B12241" t="str">
            <v>Shipment</v>
          </cell>
        </row>
        <row r="12242">
          <cell r="B12242" t="str">
            <v>Shipment</v>
          </cell>
        </row>
        <row r="12243">
          <cell r="B12243" t="str">
            <v>Shipment</v>
          </cell>
        </row>
        <row r="12244">
          <cell r="B12244" t="str">
            <v>Shipment</v>
          </cell>
        </row>
        <row r="12245">
          <cell r="B12245" t="str">
            <v>Shipment</v>
          </cell>
        </row>
        <row r="12246">
          <cell r="B12246" t="str">
            <v>Shipment</v>
          </cell>
        </row>
        <row r="12247">
          <cell r="B12247" t="str">
            <v>Shipment</v>
          </cell>
        </row>
        <row r="12248">
          <cell r="B12248" t="str">
            <v>Shipment</v>
          </cell>
        </row>
        <row r="12249">
          <cell r="B12249" t="str">
            <v>Shipment</v>
          </cell>
        </row>
        <row r="12250">
          <cell r="B12250" t="str">
            <v>Shipment</v>
          </cell>
        </row>
        <row r="12251">
          <cell r="B12251" t="str">
            <v>Shipment</v>
          </cell>
        </row>
        <row r="12252">
          <cell r="B12252" t="str">
            <v>Shipment</v>
          </cell>
        </row>
        <row r="12253">
          <cell r="B12253" t="str">
            <v>Shipment</v>
          </cell>
        </row>
        <row r="12254">
          <cell r="B12254" t="str">
            <v>Shipment</v>
          </cell>
        </row>
        <row r="12255">
          <cell r="B12255" t="str">
            <v>Shipment</v>
          </cell>
        </row>
        <row r="12256">
          <cell r="B12256" t="str">
            <v>Shipment</v>
          </cell>
        </row>
        <row r="12257">
          <cell r="B12257" t="str">
            <v>Shipment</v>
          </cell>
        </row>
        <row r="12258">
          <cell r="B12258" t="str">
            <v>Shipment</v>
          </cell>
        </row>
        <row r="12259">
          <cell r="B12259" t="str">
            <v>Shipment</v>
          </cell>
        </row>
        <row r="12260">
          <cell r="B12260" t="str">
            <v>Shipment</v>
          </cell>
        </row>
        <row r="12261">
          <cell r="B12261" t="str">
            <v>Shipment</v>
          </cell>
        </row>
        <row r="12262">
          <cell r="B12262" t="str">
            <v>Shipment</v>
          </cell>
        </row>
        <row r="12263">
          <cell r="B12263" t="str">
            <v>Shipment</v>
          </cell>
        </row>
        <row r="12264">
          <cell r="B12264" t="str">
            <v>Shipment</v>
          </cell>
        </row>
        <row r="12265">
          <cell r="B12265" t="str">
            <v>Shipment</v>
          </cell>
        </row>
        <row r="12266">
          <cell r="B12266" t="str">
            <v>Shipment</v>
          </cell>
        </row>
        <row r="12267">
          <cell r="B12267" t="str">
            <v>Shipment</v>
          </cell>
        </row>
        <row r="12268">
          <cell r="B12268" t="str">
            <v>Shipment</v>
          </cell>
        </row>
        <row r="12269">
          <cell r="B12269" t="str">
            <v>Shipment</v>
          </cell>
        </row>
        <row r="12270">
          <cell r="B12270" t="str">
            <v>Shipment</v>
          </cell>
        </row>
        <row r="12271">
          <cell r="B12271" t="str">
            <v>Shipment</v>
          </cell>
        </row>
        <row r="12272">
          <cell r="B12272" t="str">
            <v>Shipment</v>
          </cell>
        </row>
        <row r="12273">
          <cell r="B12273" t="str">
            <v>Shipment</v>
          </cell>
        </row>
        <row r="12274">
          <cell r="B12274" t="str">
            <v>Shipment</v>
          </cell>
        </row>
        <row r="12275">
          <cell r="B12275" t="str">
            <v>Shipment</v>
          </cell>
        </row>
        <row r="12276">
          <cell r="B12276" t="str">
            <v>Shipment</v>
          </cell>
        </row>
        <row r="12277">
          <cell r="B12277" t="str">
            <v>Shipment</v>
          </cell>
        </row>
        <row r="12278">
          <cell r="B12278" t="str">
            <v>Shipment</v>
          </cell>
        </row>
        <row r="12279">
          <cell r="B12279" t="str">
            <v>Shipment</v>
          </cell>
        </row>
        <row r="12280">
          <cell r="B12280" t="str">
            <v>Shipment</v>
          </cell>
        </row>
        <row r="12281">
          <cell r="B12281" t="str">
            <v>Shipment</v>
          </cell>
        </row>
        <row r="12282">
          <cell r="B12282" t="str">
            <v>Shipment</v>
          </cell>
        </row>
        <row r="12283">
          <cell r="B12283" t="str">
            <v>Shipment</v>
          </cell>
        </row>
        <row r="12284">
          <cell r="B12284" t="str">
            <v>Shipment</v>
          </cell>
        </row>
        <row r="12285">
          <cell r="B12285" t="str">
            <v>Shipment</v>
          </cell>
        </row>
        <row r="12286">
          <cell r="B12286" t="str">
            <v>Shipment</v>
          </cell>
        </row>
        <row r="12287">
          <cell r="B12287" t="str">
            <v>Shipment</v>
          </cell>
        </row>
        <row r="12288">
          <cell r="B12288" t="str">
            <v>Shipment</v>
          </cell>
        </row>
        <row r="12289">
          <cell r="B12289" t="str">
            <v>Shipment</v>
          </cell>
        </row>
        <row r="12290">
          <cell r="B12290" t="str">
            <v>Shipment</v>
          </cell>
        </row>
        <row r="12291">
          <cell r="B12291" t="str">
            <v>Shipment</v>
          </cell>
        </row>
        <row r="12292">
          <cell r="B12292" t="str">
            <v>Shipment</v>
          </cell>
        </row>
        <row r="12293">
          <cell r="B12293" t="str">
            <v>Shipment</v>
          </cell>
        </row>
        <row r="12294">
          <cell r="B12294" t="str">
            <v>Shipment</v>
          </cell>
        </row>
        <row r="12295">
          <cell r="B12295" t="str">
            <v>Shipment</v>
          </cell>
        </row>
        <row r="12296">
          <cell r="B12296" t="str">
            <v>Shipment</v>
          </cell>
        </row>
        <row r="12297">
          <cell r="B12297" t="str">
            <v>Shipment</v>
          </cell>
        </row>
        <row r="12298">
          <cell r="B12298" t="str">
            <v>Shipment</v>
          </cell>
        </row>
        <row r="12299">
          <cell r="B12299" t="str">
            <v>Shipment</v>
          </cell>
        </row>
        <row r="12300">
          <cell r="B12300" t="str">
            <v>Shipment</v>
          </cell>
        </row>
        <row r="12301">
          <cell r="B12301" t="str">
            <v>Shipment</v>
          </cell>
        </row>
        <row r="12302">
          <cell r="B12302" t="str">
            <v>Shipment</v>
          </cell>
        </row>
        <row r="12303">
          <cell r="B12303" t="str">
            <v>Shipment</v>
          </cell>
        </row>
        <row r="12304">
          <cell r="B12304" t="str">
            <v>Shipment</v>
          </cell>
        </row>
        <row r="12305">
          <cell r="B12305" t="str">
            <v>Shipment</v>
          </cell>
        </row>
        <row r="12306">
          <cell r="B12306" t="str">
            <v>Shipment</v>
          </cell>
        </row>
        <row r="12307">
          <cell r="B12307" t="str">
            <v>Shipment</v>
          </cell>
        </row>
        <row r="12308">
          <cell r="B12308" t="str">
            <v>Shipment</v>
          </cell>
        </row>
        <row r="12309">
          <cell r="B12309" t="str">
            <v>Shipment</v>
          </cell>
        </row>
        <row r="12310">
          <cell r="B12310" t="str">
            <v>Shipment</v>
          </cell>
        </row>
        <row r="12311">
          <cell r="B12311" t="str">
            <v>Shipment</v>
          </cell>
        </row>
        <row r="12312">
          <cell r="B12312" t="str">
            <v>Shipment</v>
          </cell>
        </row>
        <row r="12313">
          <cell r="B12313" t="str">
            <v>Shipment</v>
          </cell>
        </row>
        <row r="12314">
          <cell r="B12314" t="str">
            <v>Shipment</v>
          </cell>
        </row>
        <row r="12315">
          <cell r="B12315" t="str">
            <v>Shipment</v>
          </cell>
        </row>
        <row r="12316">
          <cell r="B12316" t="str">
            <v>Shipment</v>
          </cell>
        </row>
        <row r="12317">
          <cell r="B12317" t="str">
            <v>Shipment</v>
          </cell>
        </row>
        <row r="12318">
          <cell r="B12318" t="str">
            <v>Shipment</v>
          </cell>
        </row>
        <row r="12319">
          <cell r="B12319" t="str">
            <v>Shipment</v>
          </cell>
        </row>
        <row r="12320">
          <cell r="B12320" t="str">
            <v>Shipment</v>
          </cell>
        </row>
        <row r="12321">
          <cell r="B12321" t="str">
            <v>Shipment</v>
          </cell>
        </row>
        <row r="12322">
          <cell r="B12322" t="str">
            <v>Shipment</v>
          </cell>
        </row>
        <row r="12323">
          <cell r="B12323" t="str">
            <v>Shipment</v>
          </cell>
        </row>
        <row r="12324">
          <cell r="B12324" t="str">
            <v>Shipment</v>
          </cell>
        </row>
        <row r="12325">
          <cell r="B12325" t="str">
            <v>Shipment</v>
          </cell>
        </row>
        <row r="12326">
          <cell r="B12326" t="str">
            <v>Shipment</v>
          </cell>
        </row>
        <row r="12327">
          <cell r="B12327" t="str">
            <v>Shipment</v>
          </cell>
        </row>
        <row r="12328">
          <cell r="B12328" t="str">
            <v>Shipment</v>
          </cell>
        </row>
        <row r="12329">
          <cell r="B12329" t="str">
            <v>Shipment</v>
          </cell>
        </row>
        <row r="12330">
          <cell r="B12330" t="str">
            <v>Shipment</v>
          </cell>
        </row>
        <row r="12331">
          <cell r="B12331" t="str">
            <v>Shipment</v>
          </cell>
        </row>
        <row r="12332">
          <cell r="B12332" t="str">
            <v>Shipment</v>
          </cell>
        </row>
        <row r="12333">
          <cell r="B12333" t="str">
            <v>Shipment</v>
          </cell>
        </row>
        <row r="12334">
          <cell r="B12334" t="str">
            <v>Shipment</v>
          </cell>
        </row>
        <row r="12335">
          <cell r="B12335" t="str">
            <v>Shipment</v>
          </cell>
        </row>
        <row r="12336">
          <cell r="B12336" t="str">
            <v>Shipment</v>
          </cell>
        </row>
        <row r="12337">
          <cell r="B12337" t="str">
            <v>Shipment</v>
          </cell>
        </row>
        <row r="12338">
          <cell r="B12338" t="str">
            <v>Shipment</v>
          </cell>
        </row>
        <row r="12339">
          <cell r="B12339" t="str">
            <v>Shipment</v>
          </cell>
        </row>
        <row r="12340">
          <cell r="B12340" t="str">
            <v>Shipment</v>
          </cell>
        </row>
        <row r="12341">
          <cell r="B12341" t="str">
            <v>Shipment</v>
          </cell>
        </row>
        <row r="12342">
          <cell r="B12342" t="str">
            <v>Shipment</v>
          </cell>
        </row>
        <row r="12343">
          <cell r="B12343" t="str">
            <v>Shipment</v>
          </cell>
        </row>
        <row r="12344">
          <cell r="B12344" t="str">
            <v>Shipment</v>
          </cell>
        </row>
        <row r="12345">
          <cell r="B12345" t="str">
            <v>Shipment</v>
          </cell>
        </row>
        <row r="12346">
          <cell r="B12346" t="str">
            <v>Shipment</v>
          </cell>
        </row>
        <row r="12347">
          <cell r="B12347" t="str">
            <v>Shipment</v>
          </cell>
        </row>
        <row r="12348">
          <cell r="B12348" t="str">
            <v>Shipment</v>
          </cell>
        </row>
        <row r="12349">
          <cell r="B12349" t="str">
            <v>Shipment</v>
          </cell>
        </row>
        <row r="12350">
          <cell r="B12350" t="str">
            <v>Shipment</v>
          </cell>
        </row>
        <row r="12351">
          <cell r="B12351" t="str">
            <v>Shipment</v>
          </cell>
        </row>
        <row r="12352">
          <cell r="B12352" t="str">
            <v>Shipment</v>
          </cell>
        </row>
        <row r="12353">
          <cell r="B12353" t="str">
            <v>Shipment</v>
          </cell>
        </row>
        <row r="12354">
          <cell r="B12354" t="str">
            <v>Shipment</v>
          </cell>
        </row>
        <row r="12355">
          <cell r="B12355" t="str">
            <v>Shipment</v>
          </cell>
        </row>
        <row r="12356">
          <cell r="B12356" t="str">
            <v>Shipment</v>
          </cell>
        </row>
        <row r="12357">
          <cell r="B12357" t="str">
            <v>Shipment</v>
          </cell>
        </row>
        <row r="12358">
          <cell r="B12358" t="str">
            <v>Shipment</v>
          </cell>
        </row>
        <row r="12359">
          <cell r="B12359" t="str">
            <v>Shipment</v>
          </cell>
        </row>
        <row r="12360">
          <cell r="B12360" t="str">
            <v>Shipment</v>
          </cell>
        </row>
        <row r="12361">
          <cell r="B12361" t="str">
            <v>Shipment</v>
          </cell>
        </row>
        <row r="12362">
          <cell r="B12362" t="str">
            <v>Shipment</v>
          </cell>
        </row>
        <row r="12363">
          <cell r="B12363" t="str">
            <v>Shipment</v>
          </cell>
        </row>
        <row r="12364">
          <cell r="B12364" t="str">
            <v>Shipment</v>
          </cell>
        </row>
        <row r="12365">
          <cell r="B12365" t="str">
            <v>Shipment</v>
          </cell>
        </row>
        <row r="12366">
          <cell r="B12366" t="str">
            <v>Shipment</v>
          </cell>
        </row>
        <row r="12367">
          <cell r="B12367" t="str">
            <v>Shipment</v>
          </cell>
        </row>
        <row r="12368">
          <cell r="B12368" t="str">
            <v>Shipment</v>
          </cell>
        </row>
        <row r="12369">
          <cell r="B12369" t="str">
            <v>Shipment</v>
          </cell>
        </row>
        <row r="12370">
          <cell r="B12370" t="str">
            <v>Shipment</v>
          </cell>
        </row>
        <row r="12371">
          <cell r="B12371" t="str">
            <v>Shipment</v>
          </cell>
        </row>
        <row r="12372">
          <cell r="B12372" t="str">
            <v>Shipment</v>
          </cell>
        </row>
        <row r="12373">
          <cell r="B12373" t="str">
            <v>Shipment</v>
          </cell>
        </row>
        <row r="12374">
          <cell r="B12374" t="str">
            <v>Shipment</v>
          </cell>
        </row>
        <row r="12375">
          <cell r="B12375" t="str">
            <v>Shipment</v>
          </cell>
        </row>
        <row r="12376">
          <cell r="B12376" t="str">
            <v>Shipment</v>
          </cell>
        </row>
        <row r="12377">
          <cell r="B12377" t="str">
            <v>Shipment</v>
          </cell>
        </row>
        <row r="12378">
          <cell r="B12378" t="str">
            <v>Shipment</v>
          </cell>
        </row>
        <row r="12379">
          <cell r="B12379" t="str">
            <v>Shipment</v>
          </cell>
        </row>
        <row r="12380">
          <cell r="B12380" t="str">
            <v>Shipment</v>
          </cell>
        </row>
        <row r="12381">
          <cell r="B12381" t="str">
            <v>Shipment</v>
          </cell>
        </row>
        <row r="12382">
          <cell r="B12382" t="str">
            <v>Shipment</v>
          </cell>
        </row>
        <row r="12383">
          <cell r="B12383" t="str">
            <v>Shipment</v>
          </cell>
        </row>
        <row r="12384">
          <cell r="B12384" t="str">
            <v>Shipment</v>
          </cell>
        </row>
        <row r="12385">
          <cell r="B12385" t="str">
            <v>Shipment</v>
          </cell>
        </row>
        <row r="12386">
          <cell r="B12386" t="str">
            <v>Shipment</v>
          </cell>
        </row>
        <row r="12387">
          <cell r="B12387" t="str">
            <v>Shipment</v>
          </cell>
        </row>
        <row r="12388">
          <cell r="B12388" t="str">
            <v>Shipment</v>
          </cell>
        </row>
        <row r="12389">
          <cell r="B12389" t="str">
            <v>Shipment</v>
          </cell>
        </row>
        <row r="12390">
          <cell r="B12390" t="str">
            <v>Shipment</v>
          </cell>
        </row>
        <row r="12391">
          <cell r="B12391" t="str">
            <v>Shipment</v>
          </cell>
        </row>
        <row r="12392">
          <cell r="B12392" t="str">
            <v>Shipment</v>
          </cell>
        </row>
        <row r="12393">
          <cell r="B12393" t="str">
            <v>Shipment</v>
          </cell>
        </row>
        <row r="12394">
          <cell r="B12394" t="str">
            <v>Shipment</v>
          </cell>
        </row>
        <row r="12395">
          <cell r="B12395" t="str">
            <v>Shipment</v>
          </cell>
        </row>
        <row r="12396">
          <cell r="B12396" t="str">
            <v>Shipment</v>
          </cell>
        </row>
        <row r="12397">
          <cell r="B12397" t="str">
            <v>Shipment</v>
          </cell>
        </row>
        <row r="12398">
          <cell r="B12398" t="str">
            <v>Shipment</v>
          </cell>
        </row>
        <row r="12399">
          <cell r="B12399" t="str">
            <v>Shipment</v>
          </cell>
        </row>
        <row r="12400">
          <cell r="B12400" t="str">
            <v>Shipment</v>
          </cell>
        </row>
        <row r="12401">
          <cell r="B12401" t="str">
            <v>Shipment</v>
          </cell>
        </row>
        <row r="12402">
          <cell r="B12402" t="str">
            <v>Shipment</v>
          </cell>
        </row>
        <row r="12403">
          <cell r="B12403" t="str">
            <v>Shipment</v>
          </cell>
        </row>
        <row r="12404">
          <cell r="B12404" t="str">
            <v>Shipment</v>
          </cell>
        </row>
        <row r="12405">
          <cell r="B12405" t="str">
            <v>Shipment</v>
          </cell>
        </row>
        <row r="12406">
          <cell r="B12406" t="str">
            <v>Shipment</v>
          </cell>
        </row>
        <row r="12407">
          <cell r="B12407" t="str">
            <v>Shipment</v>
          </cell>
        </row>
        <row r="12408">
          <cell r="B12408" t="str">
            <v>Shipment</v>
          </cell>
        </row>
        <row r="12409">
          <cell r="B12409" t="str">
            <v>Shipment</v>
          </cell>
        </row>
        <row r="12410">
          <cell r="B12410" t="str">
            <v>Shipment</v>
          </cell>
        </row>
        <row r="12411">
          <cell r="B12411" t="str">
            <v>Shipment</v>
          </cell>
        </row>
        <row r="12412">
          <cell r="B12412" t="str">
            <v>Shipment</v>
          </cell>
        </row>
        <row r="12413">
          <cell r="B12413" t="str">
            <v>Shipment</v>
          </cell>
        </row>
        <row r="12414">
          <cell r="B12414" t="str">
            <v>Shipment</v>
          </cell>
        </row>
        <row r="12415">
          <cell r="B12415" t="str">
            <v>Shipment</v>
          </cell>
        </row>
        <row r="12416">
          <cell r="B12416" t="str">
            <v>Shipment</v>
          </cell>
        </row>
        <row r="12417">
          <cell r="B12417" t="str">
            <v>Shipment</v>
          </cell>
        </row>
        <row r="12418">
          <cell r="B12418" t="str">
            <v>Shipment</v>
          </cell>
        </row>
        <row r="12419">
          <cell r="B12419" t="str">
            <v>Shipment</v>
          </cell>
        </row>
        <row r="12420">
          <cell r="B12420" t="str">
            <v>Shipment</v>
          </cell>
        </row>
        <row r="12421">
          <cell r="B12421" t="str">
            <v>Shipment</v>
          </cell>
        </row>
        <row r="12422">
          <cell r="B12422" t="str">
            <v>Shipment</v>
          </cell>
        </row>
        <row r="12423">
          <cell r="B12423" t="str">
            <v>Shipment</v>
          </cell>
        </row>
        <row r="12424">
          <cell r="B12424" t="str">
            <v>Shipment</v>
          </cell>
        </row>
        <row r="12425">
          <cell r="B12425" t="str">
            <v>Shipment</v>
          </cell>
        </row>
        <row r="12426">
          <cell r="B12426" t="str">
            <v>Shipment</v>
          </cell>
        </row>
        <row r="12427">
          <cell r="B12427" t="str">
            <v>Shipment</v>
          </cell>
        </row>
        <row r="12428">
          <cell r="B12428" t="str">
            <v>Shipment</v>
          </cell>
        </row>
        <row r="12429">
          <cell r="B12429" t="str">
            <v>Shipment</v>
          </cell>
        </row>
        <row r="12430">
          <cell r="B12430" t="str">
            <v>Shipment</v>
          </cell>
        </row>
        <row r="12431">
          <cell r="B12431" t="str">
            <v>Shipment</v>
          </cell>
        </row>
        <row r="12432">
          <cell r="B12432" t="str">
            <v>Shipment</v>
          </cell>
        </row>
        <row r="12433">
          <cell r="B12433" t="str">
            <v>Shipment</v>
          </cell>
        </row>
        <row r="12434">
          <cell r="B12434" t="str">
            <v>Shipment</v>
          </cell>
        </row>
        <row r="12435">
          <cell r="B12435" t="str">
            <v>Shipment</v>
          </cell>
        </row>
        <row r="12436">
          <cell r="B12436" t="str">
            <v>Shipment</v>
          </cell>
        </row>
        <row r="12437">
          <cell r="B12437" t="str">
            <v>Shipment</v>
          </cell>
        </row>
        <row r="12438">
          <cell r="B12438" t="str">
            <v>Shipment</v>
          </cell>
        </row>
        <row r="12439">
          <cell r="B12439" t="str">
            <v>Shipment</v>
          </cell>
        </row>
        <row r="12440">
          <cell r="B12440" t="str">
            <v>Shipment</v>
          </cell>
        </row>
        <row r="12441">
          <cell r="B12441" t="str">
            <v>Shipment</v>
          </cell>
        </row>
        <row r="12442">
          <cell r="B12442" t="str">
            <v>Shipment</v>
          </cell>
        </row>
        <row r="12443">
          <cell r="B12443" t="str">
            <v>Shipment</v>
          </cell>
        </row>
        <row r="12444">
          <cell r="B12444" t="str">
            <v>Shipment</v>
          </cell>
        </row>
        <row r="12445">
          <cell r="B12445" t="str">
            <v>Shipment</v>
          </cell>
        </row>
        <row r="12446">
          <cell r="B12446" t="str">
            <v>Shipment</v>
          </cell>
        </row>
        <row r="12447">
          <cell r="B12447" t="str">
            <v>Shipment</v>
          </cell>
        </row>
        <row r="12448">
          <cell r="B12448" t="str">
            <v>Shipment</v>
          </cell>
        </row>
        <row r="12449">
          <cell r="B12449" t="str">
            <v>Shipment</v>
          </cell>
        </row>
        <row r="12450">
          <cell r="B12450" t="str">
            <v>Shipment</v>
          </cell>
        </row>
        <row r="12451">
          <cell r="B12451" t="str">
            <v>Shipment</v>
          </cell>
        </row>
        <row r="12452">
          <cell r="B12452" t="str">
            <v>Shipment</v>
          </cell>
        </row>
        <row r="12453">
          <cell r="B12453" t="str">
            <v>Shipment</v>
          </cell>
        </row>
        <row r="12454">
          <cell r="B12454" t="str">
            <v>Shipment</v>
          </cell>
        </row>
        <row r="12455">
          <cell r="B12455" t="str">
            <v>Shipment</v>
          </cell>
        </row>
        <row r="12456">
          <cell r="B12456" t="str">
            <v>Shipment</v>
          </cell>
        </row>
        <row r="12457">
          <cell r="B12457" t="str">
            <v>Shipment</v>
          </cell>
        </row>
        <row r="12458">
          <cell r="B12458" t="str">
            <v>Shipment</v>
          </cell>
        </row>
        <row r="12459">
          <cell r="B12459" t="str">
            <v>Shipment</v>
          </cell>
        </row>
        <row r="12460">
          <cell r="B12460" t="str">
            <v>Shipment</v>
          </cell>
        </row>
        <row r="12461">
          <cell r="B12461" t="str">
            <v>Shipment</v>
          </cell>
        </row>
        <row r="12462">
          <cell r="B12462" t="str">
            <v>Shipment</v>
          </cell>
        </row>
        <row r="12463">
          <cell r="B12463" t="str">
            <v>Shipment</v>
          </cell>
        </row>
        <row r="12464">
          <cell r="B12464" t="str">
            <v>Shipment</v>
          </cell>
        </row>
        <row r="12465">
          <cell r="B12465" t="str">
            <v>Shipment</v>
          </cell>
        </row>
        <row r="12466">
          <cell r="B12466" t="str">
            <v>Shipment</v>
          </cell>
        </row>
        <row r="12467">
          <cell r="B12467" t="str">
            <v>Shipment</v>
          </cell>
        </row>
        <row r="12468">
          <cell r="B12468" t="str">
            <v>Shipment</v>
          </cell>
        </row>
        <row r="12469">
          <cell r="B12469" t="str">
            <v>Shipment</v>
          </cell>
        </row>
        <row r="12470">
          <cell r="B12470" t="str">
            <v>Shipment</v>
          </cell>
        </row>
        <row r="12471">
          <cell r="B12471" t="str">
            <v>Shipment</v>
          </cell>
        </row>
        <row r="12472">
          <cell r="B12472" t="str">
            <v>Shipment</v>
          </cell>
        </row>
        <row r="12473">
          <cell r="B12473" t="str">
            <v>Shipment</v>
          </cell>
        </row>
        <row r="12474">
          <cell r="B12474" t="str">
            <v>Shipment</v>
          </cell>
        </row>
        <row r="12475">
          <cell r="B12475" t="str">
            <v>Shipment</v>
          </cell>
        </row>
        <row r="12476">
          <cell r="B12476" t="str">
            <v>Shipment</v>
          </cell>
        </row>
        <row r="12477">
          <cell r="B12477" t="str">
            <v>Shipment</v>
          </cell>
        </row>
        <row r="12478">
          <cell r="B12478" t="str">
            <v>Shipment</v>
          </cell>
        </row>
        <row r="12479">
          <cell r="B12479" t="str">
            <v>Shipment</v>
          </cell>
        </row>
        <row r="12480">
          <cell r="B12480" t="str">
            <v>Shipment</v>
          </cell>
        </row>
        <row r="12481">
          <cell r="B12481" t="str">
            <v>Shipment</v>
          </cell>
        </row>
        <row r="12482">
          <cell r="B12482" t="str">
            <v>Shipment</v>
          </cell>
        </row>
        <row r="12483">
          <cell r="B12483" t="str">
            <v>Shipment</v>
          </cell>
        </row>
        <row r="12484">
          <cell r="B12484" t="str">
            <v>Shipment</v>
          </cell>
        </row>
        <row r="12485">
          <cell r="B12485" t="str">
            <v>Shipment</v>
          </cell>
        </row>
        <row r="12486">
          <cell r="B12486" t="str">
            <v>Shipment</v>
          </cell>
        </row>
        <row r="12487">
          <cell r="B12487" t="str">
            <v>Shipment</v>
          </cell>
        </row>
        <row r="12488">
          <cell r="B12488" t="str">
            <v>Shipment</v>
          </cell>
        </row>
        <row r="12489">
          <cell r="B12489" t="str">
            <v>Shipment</v>
          </cell>
        </row>
        <row r="12490">
          <cell r="B12490" t="str">
            <v>Shipment</v>
          </cell>
        </row>
        <row r="12491">
          <cell r="B12491" t="str">
            <v>Shipment</v>
          </cell>
        </row>
        <row r="12492">
          <cell r="B12492" t="str">
            <v>Shipment</v>
          </cell>
        </row>
        <row r="12493">
          <cell r="B12493" t="str">
            <v>Shipment</v>
          </cell>
        </row>
        <row r="12494">
          <cell r="B12494" t="str">
            <v>Shipment</v>
          </cell>
        </row>
        <row r="12495">
          <cell r="B12495" t="str">
            <v>Shipment</v>
          </cell>
        </row>
        <row r="12496">
          <cell r="B12496" t="str">
            <v>Shipment</v>
          </cell>
        </row>
        <row r="12497">
          <cell r="B12497" t="str">
            <v>Shipment</v>
          </cell>
        </row>
        <row r="12498">
          <cell r="B12498" t="str">
            <v>Shipment</v>
          </cell>
        </row>
        <row r="12499">
          <cell r="B12499" t="str">
            <v>Shipment</v>
          </cell>
        </row>
        <row r="12500">
          <cell r="B12500" t="str">
            <v>Shipment</v>
          </cell>
        </row>
        <row r="12501">
          <cell r="B12501" t="str">
            <v>Shipment</v>
          </cell>
        </row>
        <row r="12502">
          <cell r="B12502" t="str">
            <v>Shipment</v>
          </cell>
        </row>
        <row r="12503">
          <cell r="B12503" t="str">
            <v>Shipment</v>
          </cell>
        </row>
        <row r="12504">
          <cell r="B12504" t="str">
            <v>Shipment</v>
          </cell>
        </row>
        <row r="12505">
          <cell r="B12505" t="str">
            <v>Shipment</v>
          </cell>
        </row>
        <row r="12506">
          <cell r="B12506" t="str">
            <v>Shipment</v>
          </cell>
        </row>
        <row r="12507">
          <cell r="B12507" t="str">
            <v>Shipment</v>
          </cell>
        </row>
        <row r="12508">
          <cell r="B12508" t="str">
            <v>Shipment</v>
          </cell>
        </row>
        <row r="12509">
          <cell r="B12509" t="str">
            <v>Shipment</v>
          </cell>
        </row>
        <row r="12510">
          <cell r="B12510" t="str">
            <v>Shipment</v>
          </cell>
        </row>
        <row r="12511">
          <cell r="B12511" t="str">
            <v>Shipment</v>
          </cell>
        </row>
        <row r="12512">
          <cell r="B12512" t="str">
            <v>Shipment</v>
          </cell>
        </row>
        <row r="12513">
          <cell r="B12513" t="str">
            <v>Shipment</v>
          </cell>
        </row>
        <row r="12514">
          <cell r="B12514" t="str">
            <v>Shipment</v>
          </cell>
        </row>
        <row r="12515">
          <cell r="B12515" t="str">
            <v>Shipment</v>
          </cell>
        </row>
        <row r="12516">
          <cell r="B12516" t="str">
            <v>Shipment</v>
          </cell>
        </row>
        <row r="12517">
          <cell r="B12517" t="str">
            <v>Shipment</v>
          </cell>
        </row>
        <row r="12518">
          <cell r="B12518" t="str">
            <v>Shipment</v>
          </cell>
        </row>
        <row r="12519">
          <cell r="B12519" t="str">
            <v>Shipment</v>
          </cell>
        </row>
        <row r="12520">
          <cell r="B12520" t="str">
            <v>Shipment</v>
          </cell>
        </row>
        <row r="12521">
          <cell r="B12521" t="str">
            <v>Shipment</v>
          </cell>
        </row>
        <row r="12522">
          <cell r="B12522" t="str">
            <v>Shipment</v>
          </cell>
        </row>
        <row r="12523">
          <cell r="B12523" t="str">
            <v>Shipment</v>
          </cell>
        </row>
        <row r="12524">
          <cell r="B12524" t="str">
            <v>Shipment</v>
          </cell>
        </row>
        <row r="12525">
          <cell r="B12525" t="str">
            <v>Shipment</v>
          </cell>
        </row>
        <row r="12526">
          <cell r="B12526" t="str">
            <v>Shipment</v>
          </cell>
        </row>
        <row r="12527">
          <cell r="B12527" t="str">
            <v>Shipment</v>
          </cell>
        </row>
        <row r="12528">
          <cell r="B12528" t="str">
            <v>Shipment</v>
          </cell>
        </row>
        <row r="12529">
          <cell r="B12529" t="str">
            <v>Shipment</v>
          </cell>
        </row>
        <row r="12530">
          <cell r="B12530" t="str">
            <v>Shipment</v>
          </cell>
        </row>
        <row r="12531">
          <cell r="B12531" t="str">
            <v>Shipment</v>
          </cell>
        </row>
        <row r="12532">
          <cell r="B12532" t="str">
            <v>Shipment</v>
          </cell>
        </row>
        <row r="12533">
          <cell r="B12533" t="str">
            <v>Shipment</v>
          </cell>
        </row>
        <row r="12534">
          <cell r="B12534" t="str">
            <v>Shipment</v>
          </cell>
        </row>
        <row r="12535">
          <cell r="B12535" t="str">
            <v>Shipment</v>
          </cell>
        </row>
        <row r="12536">
          <cell r="B12536" t="str">
            <v>Shipment</v>
          </cell>
        </row>
        <row r="12537">
          <cell r="B12537" t="str">
            <v>Shipment</v>
          </cell>
        </row>
        <row r="12538">
          <cell r="B12538" t="str">
            <v>Shipment</v>
          </cell>
        </row>
        <row r="12539">
          <cell r="B12539" t="str">
            <v>Shipment</v>
          </cell>
        </row>
        <row r="12540">
          <cell r="B12540" t="str">
            <v>Shipment</v>
          </cell>
        </row>
        <row r="12541">
          <cell r="B12541" t="str">
            <v>Shipment</v>
          </cell>
        </row>
        <row r="12542">
          <cell r="B12542" t="str">
            <v>Shipment</v>
          </cell>
        </row>
        <row r="12543">
          <cell r="B12543" t="str">
            <v>Shipment</v>
          </cell>
        </row>
        <row r="12544">
          <cell r="B12544" t="str">
            <v>Shipment</v>
          </cell>
        </row>
        <row r="12545">
          <cell r="B12545" t="str">
            <v>Shipment</v>
          </cell>
        </row>
        <row r="12546">
          <cell r="B12546" t="str">
            <v>Shipment</v>
          </cell>
        </row>
        <row r="12547">
          <cell r="B12547" t="str">
            <v>Shipment</v>
          </cell>
        </row>
        <row r="12548">
          <cell r="B12548" t="str">
            <v>Shipment</v>
          </cell>
        </row>
        <row r="12549">
          <cell r="B12549" t="str">
            <v>Shipment</v>
          </cell>
        </row>
        <row r="12550">
          <cell r="B12550" t="str">
            <v>Shipment</v>
          </cell>
        </row>
        <row r="12551">
          <cell r="B12551" t="str">
            <v>Shipment</v>
          </cell>
        </row>
        <row r="12552">
          <cell r="B12552" t="str">
            <v>Shipment</v>
          </cell>
        </row>
        <row r="12553">
          <cell r="B12553" t="str">
            <v>Shipment</v>
          </cell>
        </row>
        <row r="12554">
          <cell r="B12554" t="str">
            <v>Shipment</v>
          </cell>
        </row>
        <row r="12555">
          <cell r="B12555" t="str">
            <v>Shipment</v>
          </cell>
        </row>
        <row r="12556">
          <cell r="B12556" t="str">
            <v>Shipment</v>
          </cell>
        </row>
        <row r="12557">
          <cell r="B12557" t="str">
            <v>Shipment</v>
          </cell>
        </row>
        <row r="12558">
          <cell r="B12558" t="str">
            <v>Shipment</v>
          </cell>
        </row>
        <row r="12559">
          <cell r="B12559" t="str">
            <v>Shipment</v>
          </cell>
        </row>
        <row r="12560">
          <cell r="B12560" t="str">
            <v>Shipment</v>
          </cell>
        </row>
        <row r="12561">
          <cell r="B12561" t="str">
            <v>Shipment</v>
          </cell>
        </row>
        <row r="12562">
          <cell r="B12562" t="str">
            <v>Shipment</v>
          </cell>
        </row>
        <row r="12563">
          <cell r="B12563" t="str">
            <v>Shipment</v>
          </cell>
        </row>
        <row r="12564">
          <cell r="B12564" t="str">
            <v>Shipment</v>
          </cell>
        </row>
        <row r="12565">
          <cell r="B12565" t="str">
            <v>Shipment</v>
          </cell>
        </row>
        <row r="12566">
          <cell r="B12566" t="str">
            <v>Shipment</v>
          </cell>
        </row>
        <row r="12567">
          <cell r="B12567" t="str">
            <v>Shipment</v>
          </cell>
        </row>
        <row r="12568">
          <cell r="B12568" t="str">
            <v>Shipment</v>
          </cell>
        </row>
        <row r="12569">
          <cell r="B12569" t="str">
            <v>Shipment</v>
          </cell>
        </row>
        <row r="12570">
          <cell r="B12570" t="str">
            <v>Shipment</v>
          </cell>
        </row>
        <row r="12571">
          <cell r="B12571" t="str">
            <v>Shipment</v>
          </cell>
        </row>
        <row r="12572">
          <cell r="B12572" t="str">
            <v>Shipment</v>
          </cell>
        </row>
        <row r="12573">
          <cell r="B12573" t="str">
            <v>Shipment</v>
          </cell>
        </row>
        <row r="12574">
          <cell r="B12574" t="str">
            <v>Shipment</v>
          </cell>
        </row>
        <row r="12575">
          <cell r="B12575" t="str">
            <v>Shipment</v>
          </cell>
        </row>
        <row r="12576">
          <cell r="B12576" t="str">
            <v>Shipment</v>
          </cell>
        </row>
        <row r="12577">
          <cell r="B12577" t="str">
            <v>Shipment</v>
          </cell>
        </row>
        <row r="12578">
          <cell r="B12578" t="str">
            <v>Shipment</v>
          </cell>
        </row>
        <row r="12579">
          <cell r="B12579" t="str">
            <v>Shipment</v>
          </cell>
        </row>
        <row r="12580">
          <cell r="B12580" t="str">
            <v>Shipment</v>
          </cell>
        </row>
        <row r="12581">
          <cell r="B12581" t="str">
            <v>Shipment</v>
          </cell>
        </row>
        <row r="12582">
          <cell r="B12582" t="str">
            <v>Shipment</v>
          </cell>
        </row>
        <row r="12583">
          <cell r="B12583" t="str">
            <v>Shipment</v>
          </cell>
        </row>
        <row r="12584">
          <cell r="B12584" t="str">
            <v>Shipment</v>
          </cell>
        </row>
        <row r="12585">
          <cell r="B12585" t="str">
            <v>Shipment</v>
          </cell>
        </row>
        <row r="12586">
          <cell r="B12586" t="str">
            <v>Shipment</v>
          </cell>
        </row>
        <row r="12587">
          <cell r="B12587" t="str">
            <v>Shipment</v>
          </cell>
        </row>
        <row r="12588">
          <cell r="B12588" t="str">
            <v>Shipment</v>
          </cell>
        </row>
        <row r="12589">
          <cell r="B12589" t="str">
            <v>Shipment</v>
          </cell>
        </row>
        <row r="12590">
          <cell r="B12590" t="str">
            <v>Shipment</v>
          </cell>
        </row>
        <row r="12591">
          <cell r="B12591" t="str">
            <v>Shipment</v>
          </cell>
        </row>
        <row r="12592">
          <cell r="B12592" t="str">
            <v>Shipment</v>
          </cell>
        </row>
        <row r="12593">
          <cell r="B12593" t="str">
            <v>Shipment</v>
          </cell>
        </row>
        <row r="12594">
          <cell r="B12594" t="str">
            <v>Shipment</v>
          </cell>
        </row>
        <row r="12595">
          <cell r="B12595" t="str">
            <v>Shipment</v>
          </cell>
        </row>
        <row r="12596">
          <cell r="B12596" t="str">
            <v>Shipment</v>
          </cell>
        </row>
        <row r="12597">
          <cell r="B12597" t="str">
            <v>Shipment</v>
          </cell>
        </row>
        <row r="12598">
          <cell r="B12598" t="str">
            <v>Shipment</v>
          </cell>
        </row>
        <row r="12599">
          <cell r="B12599" t="str">
            <v>Shipment</v>
          </cell>
        </row>
        <row r="12600">
          <cell r="B12600" t="str">
            <v>Shipment</v>
          </cell>
        </row>
        <row r="12601">
          <cell r="B12601" t="str">
            <v>Shipment</v>
          </cell>
        </row>
        <row r="12602">
          <cell r="B12602" t="str">
            <v>Shipment</v>
          </cell>
        </row>
        <row r="12603">
          <cell r="B12603" t="str">
            <v>Shipment</v>
          </cell>
        </row>
        <row r="12604">
          <cell r="B12604" t="str">
            <v>Shipment</v>
          </cell>
        </row>
        <row r="12605">
          <cell r="B12605" t="str">
            <v>Shipment</v>
          </cell>
        </row>
        <row r="12606">
          <cell r="B12606" t="str">
            <v>Shipment</v>
          </cell>
        </row>
        <row r="12607">
          <cell r="B12607" t="str">
            <v>Shipment</v>
          </cell>
        </row>
        <row r="12608">
          <cell r="B12608" t="str">
            <v>Shipment</v>
          </cell>
        </row>
        <row r="12609">
          <cell r="B12609" t="str">
            <v>Shipment</v>
          </cell>
        </row>
        <row r="12610">
          <cell r="B12610" t="str">
            <v>Shipment</v>
          </cell>
        </row>
        <row r="12611">
          <cell r="B12611" t="str">
            <v>Shipment</v>
          </cell>
        </row>
        <row r="12612">
          <cell r="B12612" t="str">
            <v>Shipment</v>
          </cell>
        </row>
        <row r="12613">
          <cell r="B12613" t="str">
            <v>Shipment</v>
          </cell>
        </row>
        <row r="12614">
          <cell r="B12614" t="str">
            <v>Shipment</v>
          </cell>
        </row>
        <row r="12615">
          <cell r="B12615" t="str">
            <v>Shipment</v>
          </cell>
        </row>
        <row r="12616">
          <cell r="B12616" t="str">
            <v>Shipment</v>
          </cell>
        </row>
        <row r="12617">
          <cell r="B12617" t="str">
            <v>Shipment</v>
          </cell>
        </row>
        <row r="12618">
          <cell r="B12618" t="str">
            <v>Shipment</v>
          </cell>
        </row>
        <row r="12619">
          <cell r="B12619" t="str">
            <v>Shipment</v>
          </cell>
        </row>
        <row r="12620">
          <cell r="B12620" t="str">
            <v>Shipment</v>
          </cell>
        </row>
        <row r="12621">
          <cell r="B12621" t="str">
            <v>Shipment</v>
          </cell>
        </row>
        <row r="12622">
          <cell r="B12622" t="str">
            <v>Shipment</v>
          </cell>
        </row>
        <row r="12623">
          <cell r="B12623" t="str">
            <v>Shipment</v>
          </cell>
        </row>
        <row r="12624">
          <cell r="B12624" t="str">
            <v>Shipment</v>
          </cell>
        </row>
        <row r="12625">
          <cell r="B12625" t="str">
            <v>Shipment</v>
          </cell>
        </row>
        <row r="12626">
          <cell r="B12626" t="str">
            <v>Shipment</v>
          </cell>
        </row>
        <row r="12627">
          <cell r="B12627" t="str">
            <v>Shipment</v>
          </cell>
        </row>
        <row r="12628">
          <cell r="B12628" t="str">
            <v>Shipment</v>
          </cell>
        </row>
        <row r="12629">
          <cell r="B12629" t="str">
            <v>Shipment</v>
          </cell>
        </row>
        <row r="12630">
          <cell r="B12630" t="str">
            <v>Shipment</v>
          </cell>
        </row>
        <row r="12631">
          <cell r="B12631" t="str">
            <v>Shipment</v>
          </cell>
        </row>
        <row r="12632">
          <cell r="B12632" t="str">
            <v>Shipment</v>
          </cell>
        </row>
        <row r="12633">
          <cell r="B12633" t="str">
            <v>Shipment</v>
          </cell>
        </row>
        <row r="12634">
          <cell r="B12634" t="str">
            <v>Shipment</v>
          </cell>
        </row>
        <row r="12635">
          <cell r="B12635" t="str">
            <v>Shipment</v>
          </cell>
        </row>
        <row r="12636">
          <cell r="B12636" t="str">
            <v>Shipment</v>
          </cell>
        </row>
        <row r="12637">
          <cell r="B12637" t="str">
            <v>Shipment</v>
          </cell>
        </row>
        <row r="12638">
          <cell r="B12638" t="str">
            <v>Shipment</v>
          </cell>
        </row>
        <row r="12639">
          <cell r="B12639" t="str">
            <v>Shipment</v>
          </cell>
        </row>
        <row r="12640">
          <cell r="B12640" t="str">
            <v>Shipment</v>
          </cell>
        </row>
        <row r="12641">
          <cell r="B12641" t="str">
            <v>Shipment</v>
          </cell>
        </row>
        <row r="12642">
          <cell r="B12642" t="str">
            <v>Shipment</v>
          </cell>
        </row>
        <row r="12643">
          <cell r="B12643" t="str">
            <v>Shipment</v>
          </cell>
        </row>
        <row r="12644">
          <cell r="B12644" t="str">
            <v>Shipment</v>
          </cell>
        </row>
        <row r="12645">
          <cell r="B12645" t="str">
            <v>Shipment</v>
          </cell>
        </row>
        <row r="12646">
          <cell r="B12646" t="str">
            <v>Shipment</v>
          </cell>
        </row>
        <row r="12647">
          <cell r="B12647" t="str">
            <v>Shipment</v>
          </cell>
        </row>
        <row r="12648">
          <cell r="B12648" t="str">
            <v>Shipment</v>
          </cell>
        </row>
        <row r="12649">
          <cell r="B12649" t="str">
            <v>Shipment</v>
          </cell>
        </row>
        <row r="12650">
          <cell r="B12650" t="str">
            <v>Shipment</v>
          </cell>
        </row>
        <row r="12651">
          <cell r="B12651" t="str">
            <v>Shipment</v>
          </cell>
        </row>
        <row r="12652">
          <cell r="B12652" t="str">
            <v>Shipment</v>
          </cell>
        </row>
        <row r="12653">
          <cell r="B12653" t="str">
            <v>Shipment</v>
          </cell>
        </row>
        <row r="12654">
          <cell r="B12654" t="str">
            <v>Shipment</v>
          </cell>
        </row>
        <row r="12655">
          <cell r="B12655" t="str">
            <v>Shipment</v>
          </cell>
        </row>
        <row r="12656">
          <cell r="B12656" t="str">
            <v>Shipment</v>
          </cell>
        </row>
        <row r="12657">
          <cell r="B12657" t="str">
            <v>Shipment</v>
          </cell>
        </row>
        <row r="12658">
          <cell r="B12658" t="str">
            <v>Shipment</v>
          </cell>
        </row>
        <row r="12659">
          <cell r="B12659" t="str">
            <v>Shipment</v>
          </cell>
        </row>
        <row r="12660">
          <cell r="B12660" t="str">
            <v>Shipment</v>
          </cell>
        </row>
        <row r="12661">
          <cell r="B12661" t="str">
            <v>Shipment</v>
          </cell>
        </row>
        <row r="12662">
          <cell r="B12662" t="str">
            <v>Shipment</v>
          </cell>
        </row>
        <row r="12663">
          <cell r="B12663" t="str">
            <v>Shipment</v>
          </cell>
        </row>
        <row r="12664">
          <cell r="B12664" t="str">
            <v>Shipment</v>
          </cell>
        </row>
        <row r="12665">
          <cell r="B12665" t="str">
            <v>Shipment</v>
          </cell>
        </row>
        <row r="12666">
          <cell r="B12666" t="str">
            <v>Shipment</v>
          </cell>
        </row>
        <row r="12667">
          <cell r="B12667" t="str">
            <v>Shipment</v>
          </cell>
        </row>
        <row r="12668">
          <cell r="B12668" t="str">
            <v>Shipment</v>
          </cell>
        </row>
        <row r="12669">
          <cell r="B12669" t="str">
            <v>Shipment</v>
          </cell>
        </row>
        <row r="12670">
          <cell r="B12670" t="str">
            <v>Shipment</v>
          </cell>
        </row>
        <row r="12671">
          <cell r="B12671" t="str">
            <v>Shipment</v>
          </cell>
        </row>
        <row r="12672">
          <cell r="B12672" t="str">
            <v>Shipment</v>
          </cell>
        </row>
        <row r="12673">
          <cell r="B12673" t="str">
            <v>Shipment</v>
          </cell>
        </row>
        <row r="12674">
          <cell r="B12674" t="str">
            <v>Shipment</v>
          </cell>
        </row>
        <row r="12675">
          <cell r="B12675" t="str">
            <v>Shipment</v>
          </cell>
        </row>
        <row r="12676">
          <cell r="B12676" t="str">
            <v>Shipment</v>
          </cell>
        </row>
        <row r="12677">
          <cell r="B12677" t="str">
            <v>Shipment</v>
          </cell>
        </row>
        <row r="12678">
          <cell r="B12678" t="str">
            <v>Shipment</v>
          </cell>
        </row>
        <row r="12679">
          <cell r="B12679" t="str">
            <v>Shipment</v>
          </cell>
        </row>
        <row r="12680">
          <cell r="B12680" t="str">
            <v>Shipment</v>
          </cell>
        </row>
        <row r="12681">
          <cell r="B12681" t="str">
            <v>Shipment</v>
          </cell>
        </row>
        <row r="12682">
          <cell r="B12682" t="str">
            <v>Shipment</v>
          </cell>
        </row>
        <row r="12683">
          <cell r="B12683" t="str">
            <v>Shipment</v>
          </cell>
        </row>
        <row r="12684">
          <cell r="B12684" t="str">
            <v>Shipment</v>
          </cell>
        </row>
        <row r="12685">
          <cell r="B12685" t="str">
            <v>Shipment</v>
          </cell>
        </row>
        <row r="12686">
          <cell r="B12686" t="str">
            <v>Shipment</v>
          </cell>
        </row>
        <row r="12687">
          <cell r="B12687" t="str">
            <v>Shipment</v>
          </cell>
        </row>
        <row r="12688">
          <cell r="B12688" t="str">
            <v>Shipment</v>
          </cell>
        </row>
        <row r="12689">
          <cell r="B12689" t="str">
            <v>Shipment</v>
          </cell>
        </row>
        <row r="12690">
          <cell r="B12690" t="str">
            <v>Shipment</v>
          </cell>
        </row>
        <row r="12691">
          <cell r="B12691" t="str">
            <v>Shipment</v>
          </cell>
        </row>
        <row r="12692">
          <cell r="B12692" t="str">
            <v>Shipment</v>
          </cell>
        </row>
        <row r="12693">
          <cell r="B12693" t="str">
            <v>Shipment</v>
          </cell>
        </row>
        <row r="12694">
          <cell r="B12694" t="str">
            <v>Shipment</v>
          </cell>
        </row>
        <row r="12695">
          <cell r="B12695" t="str">
            <v>Shipment</v>
          </cell>
        </row>
        <row r="12696">
          <cell r="B12696" t="str">
            <v>Shipment</v>
          </cell>
        </row>
        <row r="12697">
          <cell r="B12697" t="str">
            <v>Shipment</v>
          </cell>
        </row>
        <row r="12698">
          <cell r="B12698" t="str">
            <v>Shipment</v>
          </cell>
        </row>
        <row r="12699">
          <cell r="B12699" t="str">
            <v>Shipment</v>
          </cell>
        </row>
        <row r="12700">
          <cell r="B12700" t="str">
            <v>Shipment</v>
          </cell>
        </row>
        <row r="12701">
          <cell r="B12701" t="str">
            <v>Shipment</v>
          </cell>
        </row>
        <row r="12702">
          <cell r="B12702" t="str">
            <v>Shipment</v>
          </cell>
        </row>
        <row r="12703">
          <cell r="B12703" t="str">
            <v>Shipment</v>
          </cell>
        </row>
        <row r="12704">
          <cell r="B12704" t="str">
            <v>Shipment</v>
          </cell>
        </row>
        <row r="12705">
          <cell r="B12705" t="str">
            <v>Shipment</v>
          </cell>
        </row>
        <row r="12706">
          <cell r="B12706" t="str">
            <v>Shipment</v>
          </cell>
        </row>
        <row r="12707">
          <cell r="B12707" t="str">
            <v>Shipment</v>
          </cell>
        </row>
        <row r="12708">
          <cell r="B12708" t="str">
            <v>Shipment</v>
          </cell>
        </row>
        <row r="12709">
          <cell r="B12709" t="str">
            <v>Shipment</v>
          </cell>
        </row>
        <row r="12710">
          <cell r="B12710" t="str">
            <v>Shipment</v>
          </cell>
        </row>
        <row r="12711">
          <cell r="B12711" t="str">
            <v>Shipment</v>
          </cell>
        </row>
        <row r="12712">
          <cell r="B12712" t="str">
            <v>Shipment</v>
          </cell>
        </row>
        <row r="12713">
          <cell r="B12713" t="str">
            <v>Shipment</v>
          </cell>
        </row>
        <row r="12714">
          <cell r="B12714" t="str">
            <v>Shipment</v>
          </cell>
        </row>
        <row r="12715">
          <cell r="B12715" t="str">
            <v>Shipment</v>
          </cell>
        </row>
        <row r="12716">
          <cell r="B12716" t="str">
            <v>Shipment</v>
          </cell>
        </row>
        <row r="12717">
          <cell r="B12717" t="str">
            <v>Shipment</v>
          </cell>
        </row>
        <row r="12718">
          <cell r="B12718" t="str">
            <v>Shipment</v>
          </cell>
        </row>
        <row r="12719">
          <cell r="B12719" t="str">
            <v>Shipment</v>
          </cell>
        </row>
        <row r="12720">
          <cell r="B12720" t="str">
            <v>Shipment</v>
          </cell>
        </row>
        <row r="12721">
          <cell r="B12721" t="str">
            <v>Shipment</v>
          </cell>
        </row>
        <row r="12722">
          <cell r="B12722" t="str">
            <v>Shipment</v>
          </cell>
        </row>
        <row r="12723">
          <cell r="B12723" t="str">
            <v>Shipment</v>
          </cell>
        </row>
        <row r="12724">
          <cell r="B12724" t="str">
            <v>Shipment</v>
          </cell>
        </row>
        <row r="12725">
          <cell r="B12725" t="str">
            <v>Shipment</v>
          </cell>
        </row>
        <row r="12726">
          <cell r="B12726" t="str">
            <v>Shipment</v>
          </cell>
        </row>
        <row r="12727">
          <cell r="B12727" t="str">
            <v>Shipment</v>
          </cell>
        </row>
        <row r="12728">
          <cell r="B12728" t="str">
            <v>Shipment</v>
          </cell>
        </row>
        <row r="12729">
          <cell r="B12729" t="str">
            <v>Shipment</v>
          </cell>
        </row>
        <row r="12730">
          <cell r="B12730" t="str">
            <v>Shipment</v>
          </cell>
        </row>
        <row r="12731">
          <cell r="B12731" t="str">
            <v>Shipment</v>
          </cell>
        </row>
        <row r="12732">
          <cell r="B12732" t="str">
            <v>Shipment</v>
          </cell>
        </row>
        <row r="12733">
          <cell r="B12733" t="str">
            <v>Shipment</v>
          </cell>
        </row>
        <row r="12734">
          <cell r="B12734" t="str">
            <v>Shipment</v>
          </cell>
        </row>
        <row r="12735">
          <cell r="B12735" t="str">
            <v>Shipment</v>
          </cell>
        </row>
        <row r="12736">
          <cell r="B12736" t="str">
            <v>Shipment</v>
          </cell>
        </row>
        <row r="12737">
          <cell r="B12737" t="str">
            <v>Shipment</v>
          </cell>
        </row>
        <row r="12738">
          <cell r="B12738" t="str">
            <v>Shipment</v>
          </cell>
        </row>
        <row r="12739">
          <cell r="B12739" t="str">
            <v>Shipment</v>
          </cell>
        </row>
        <row r="12740">
          <cell r="B12740" t="str">
            <v>Shipment</v>
          </cell>
        </row>
        <row r="12741">
          <cell r="B12741" t="str">
            <v>Shipment</v>
          </cell>
        </row>
        <row r="12742">
          <cell r="B12742" t="str">
            <v>Shipment</v>
          </cell>
        </row>
        <row r="12743">
          <cell r="B12743" t="str">
            <v>Shipment</v>
          </cell>
        </row>
        <row r="12744">
          <cell r="B12744" t="str">
            <v>Shipment</v>
          </cell>
        </row>
        <row r="12745">
          <cell r="B12745" t="str">
            <v>Shipment</v>
          </cell>
        </row>
        <row r="12746">
          <cell r="B12746" t="str">
            <v>Shipment</v>
          </cell>
        </row>
        <row r="12747">
          <cell r="B12747" t="str">
            <v>Shipment</v>
          </cell>
        </row>
        <row r="12748">
          <cell r="B12748" t="str">
            <v>Shipment</v>
          </cell>
        </row>
        <row r="12749">
          <cell r="B12749" t="str">
            <v>Shipment</v>
          </cell>
        </row>
        <row r="12750">
          <cell r="B12750" t="str">
            <v>Shipment</v>
          </cell>
        </row>
        <row r="12751">
          <cell r="B12751" t="str">
            <v>Shipment</v>
          </cell>
        </row>
        <row r="12752">
          <cell r="B12752" t="str">
            <v>Shipment</v>
          </cell>
        </row>
        <row r="12753">
          <cell r="B12753" t="str">
            <v>Shipment</v>
          </cell>
        </row>
        <row r="12754">
          <cell r="B12754" t="str">
            <v>Shipment</v>
          </cell>
        </row>
        <row r="12755">
          <cell r="B12755" t="str">
            <v>Shipment</v>
          </cell>
        </row>
        <row r="12756">
          <cell r="B12756" t="str">
            <v>Shipment</v>
          </cell>
        </row>
        <row r="12757">
          <cell r="B12757" t="str">
            <v>Shipment</v>
          </cell>
        </row>
        <row r="12758">
          <cell r="B12758" t="str">
            <v>Shipment</v>
          </cell>
        </row>
        <row r="12759">
          <cell r="B12759" t="str">
            <v>Shipment</v>
          </cell>
        </row>
        <row r="12760">
          <cell r="B12760" t="str">
            <v>Shipment</v>
          </cell>
        </row>
        <row r="12761">
          <cell r="B12761" t="str">
            <v>Shipment</v>
          </cell>
        </row>
        <row r="12762">
          <cell r="B12762" t="str">
            <v>Shipment</v>
          </cell>
        </row>
        <row r="12763">
          <cell r="B12763" t="str">
            <v>Shipment</v>
          </cell>
        </row>
        <row r="12764">
          <cell r="B12764" t="str">
            <v>Shipment</v>
          </cell>
        </row>
        <row r="12765">
          <cell r="B12765" t="str">
            <v>Shipment</v>
          </cell>
        </row>
        <row r="12766">
          <cell r="B12766" t="str">
            <v>Shipment</v>
          </cell>
        </row>
        <row r="12767">
          <cell r="B12767" t="str">
            <v>Shipment</v>
          </cell>
        </row>
        <row r="12768">
          <cell r="B12768" t="str">
            <v>Shipment</v>
          </cell>
        </row>
        <row r="12769">
          <cell r="B12769" t="str">
            <v>Shipment</v>
          </cell>
        </row>
        <row r="12770">
          <cell r="B12770" t="str">
            <v>Shipment</v>
          </cell>
        </row>
        <row r="12771">
          <cell r="B12771" t="str">
            <v>Shipment</v>
          </cell>
        </row>
        <row r="12772">
          <cell r="B12772" t="str">
            <v>Shipment</v>
          </cell>
        </row>
        <row r="12773">
          <cell r="B12773" t="str">
            <v>Shipment</v>
          </cell>
        </row>
        <row r="12774">
          <cell r="B12774" t="str">
            <v>Shipment</v>
          </cell>
        </row>
        <row r="12775">
          <cell r="B12775" t="str">
            <v>Shipment</v>
          </cell>
        </row>
        <row r="12776">
          <cell r="B12776" t="str">
            <v>Shipment</v>
          </cell>
        </row>
        <row r="12777">
          <cell r="B12777" t="str">
            <v>Shipment</v>
          </cell>
        </row>
        <row r="12778">
          <cell r="B12778" t="str">
            <v>Shipment</v>
          </cell>
        </row>
        <row r="12779">
          <cell r="B12779" t="str">
            <v>Shipment</v>
          </cell>
        </row>
        <row r="12780">
          <cell r="B12780" t="str">
            <v>Shipment</v>
          </cell>
        </row>
        <row r="12781">
          <cell r="B12781" t="str">
            <v>Shipment</v>
          </cell>
        </row>
        <row r="12782">
          <cell r="B12782" t="str">
            <v>Shipment</v>
          </cell>
        </row>
        <row r="12783">
          <cell r="B12783" t="str">
            <v>Shipment</v>
          </cell>
        </row>
        <row r="12784">
          <cell r="B12784" t="str">
            <v>Shipment</v>
          </cell>
        </row>
        <row r="12785">
          <cell r="B12785" t="str">
            <v>Shipment</v>
          </cell>
        </row>
        <row r="12786">
          <cell r="B12786" t="str">
            <v>Shipment</v>
          </cell>
        </row>
        <row r="12787">
          <cell r="B12787" t="str">
            <v>Shipment</v>
          </cell>
        </row>
        <row r="12788">
          <cell r="B12788" t="str">
            <v>Shipment</v>
          </cell>
        </row>
        <row r="12789">
          <cell r="B12789" t="str">
            <v>Shipment</v>
          </cell>
        </row>
        <row r="12790">
          <cell r="B12790" t="str">
            <v>Shipment</v>
          </cell>
        </row>
        <row r="12791">
          <cell r="B12791" t="str">
            <v>Shipment</v>
          </cell>
        </row>
        <row r="12792">
          <cell r="B12792" t="str">
            <v>Shipment</v>
          </cell>
        </row>
        <row r="12793">
          <cell r="B12793" t="str">
            <v>Shipment</v>
          </cell>
        </row>
        <row r="12794">
          <cell r="B12794" t="str">
            <v>Shipment</v>
          </cell>
        </row>
        <row r="12795">
          <cell r="B12795" t="str">
            <v>Shipment</v>
          </cell>
        </row>
        <row r="12796">
          <cell r="B12796" t="str">
            <v>Shipment</v>
          </cell>
        </row>
        <row r="12797">
          <cell r="B12797" t="str">
            <v>Shipment</v>
          </cell>
        </row>
        <row r="12798">
          <cell r="B12798" t="str">
            <v>Shipment</v>
          </cell>
        </row>
        <row r="12799">
          <cell r="B12799" t="str">
            <v>Shipment</v>
          </cell>
        </row>
        <row r="12800">
          <cell r="B12800" t="str">
            <v>Shipment</v>
          </cell>
        </row>
        <row r="12801">
          <cell r="B12801" t="str">
            <v>Shipment</v>
          </cell>
        </row>
        <row r="12802">
          <cell r="B12802" t="str">
            <v>Shipment</v>
          </cell>
        </row>
        <row r="12803">
          <cell r="B12803" t="str">
            <v>Shipment</v>
          </cell>
        </row>
        <row r="12804">
          <cell r="B12804" t="str">
            <v>Shipment</v>
          </cell>
        </row>
        <row r="12805">
          <cell r="B12805" t="str">
            <v>Shipment</v>
          </cell>
        </row>
        <row r="12806">
          <cell r="B12806" t="str">
            <v>Shipment</v>
          </cell>
        </row>
        <row r="12807">
          <cell r="B12807" t="str">
            <v>Shipment</v>
          </cell>
        </row>
        <row r="12808">
          <cell r="B12808" t="str">
            <v>Shipment</v>
          </cell>
        </row>
        <row r="12809">
          <cell r="B12809" t="str">
            <v>Shipment</v>
          </cell>
        </row>
        <row r="12810">
          <cell r="B12810" t="str">
            <v>Shipment</v>
          </cell>
        </row>
        <row r="12811">
          <cell r="B12811" t="str">
            <v>Shipment</v>
          </cell>
        </row>
        <row r="12812">
          <cell r="B12812" t="str">
            <v>Shipment</v>
          </cell>
        </row>
        <row r="12813">
          <cell r="B12813" t="str">
            <v>Shipment</v>
          </cell>
        </row>
        <row r="12814">
          <cell r="B12814" t="str">
            <v>Shipment</v>
          </cell>
        </row>
        <row r="12815">
          <cell r="B12815" t="str">
            <v>Shipment</v>
          </cell>
        </row>
        <row r="12816">
          <cell r="B12816" t="str">
            <v>Shipment</v>
          </cell>
        </row>
        <row r="12817">
          <cell r="B12817" t="str">
            <v>Shipment</v>
          </cell>
        </row>
        <row r="12818">
          <cell r="B12818" t="str">
            <v>Shipment</v>
          </cell>
        </row>
        <row r="12819">
          <cell r="B12819" t="str">
            <v>Shipment</v>
          </cell>
        </row>
        <row r="12820">
          <cell r="B12820" t="str">
            <v>Shipment</v>
          </cell>
        </row>
        <row r="12821">
          <cell r="B12821" t="str">
            <v>Shipment</v>
          </cell>
        </row>
        <row r="12822">
          <cell r="B12822" t="str">
            <v>Shipment</v>
          </cell>
        </row>
        <row r="12823">
          <cell r="B12823" t="str">
            <v>Shipment</v>
          </cell>
        </row>
        <row r="12824">
          <cell r="B12824" t="str">
            <v>Shipment</v>
          </cell>
        </row>
        <row r="12825">
          <cell r="B12825" t="str">
            <v>Shipment</v>
          </cell>
        </row>
        <row r="12826">
          <cell r="B12826" t="str">
            <v>Shipment</v>
          </cell>
        </row>
        <row r="12827">
          <cell r="B12827" t="str">
            <v>Shipment</v>
          </cell>
        </row>
        <row r="12828">
          <cell r="B12828" t="str">
            <v>Shipment</v>
          </cell>
        </row>
        <row r="12829">
          <cell r="B12829" t="str">
            <v>Shipment</v>
          </cell>
        </row>
        <row r="12830">
          <cell r="B12830" t="str">
            <v>Shipment</v>
          </cell>
        </row>
        <row r="12831">
          <cell r="B12831" t="str">
            <v>Shipment</v>
          </cell>
        </row>
        <row r="12832">
          <cell r="B12832" t="str">
            <v>Shipment</v>
          </cell>
        </row>
        <row r="12833">
          <cell r="B12833" t="str">
            <v>Shipment</v>
          </cell>
        </row>
        <row r="12834">
          <cell r="B12834" t="str">
            <v>Shipment</v>
          </cell>
        </row>
        <row r="12835">
          <cell r="B12835" t="str">
            <v>Shipment</v>
          </cell>
        </row>
        <row r="12836">
          <cell r="B12836" t="str">
            <v>Shipment</v>
          </cell>
        </row>
        <row r="12837">
          <cell r="B12837" t="str">
            <v>Shipment</v>
          </cell>
        </row>
        <row r="12838">
          <cell r="B12838" t="str">
            <v>Shipment</v>
          </cell>
        </row>
        <row r="12839">
          <cell r="B12839" t="str">
            <v>Shipment</v>
          </cell>
        </row>
        <row r="12840">
          <cell r="B12840" t="str">
            <v>Shipment</v>
          </cell>
        </row>
        <row r="12841">
          <cell r="B12841" t="str">
            <v>Shipment</v>
          </cell>
        </row>
        <row r="12842">
          <cell r="B12842" t="str">
            <v>Shipment</v>
          </cell>
        </row>
        <row r="12843">
          <cell r="B12843" t="str">
            <v>Shipment</v>
          </cell>
        </row>
        <row r="12844">
          <cell r="B12844" t="str">
            <v>Shipment</v>
          </cell>
        </row>
        <row r="12845">
          <cell r="B12845" t="str">
            <v>Shipment</v>
          </cell>
        </row>
        <row r="12846">
          <cell r="B12846" t="str">
            <v>Shipment</v>
          </cell>
        </row>
        <row r="12847">
          <cell r="B12847" t="str">
            <v>Shipment</v>
          </cell>
        </row>
        <row r="12848">
          <cell r="B12848" t="str">
            <v>Shipment</v>
          </cell>
        </row>
        <row r="12849">
          <cell r="B12849" t="str">
            <v>Shipment</v>
          </cell>
        </row>
        <row r="12850">
          <cell r="B12850" t="str">
            <v>Shipment</v>
          </cell>
        </row>
        <row r="12851">
          <cell r="B12851" t="str">
            <v>Shipment</v>
          </cell>
        </row>
        <row r="12852">
          <cell r="B12852" t="str">
            <v>Shipment</v>
          </cell>
        </row>
        <row r="12853">
          <cell r="B12853" t="str">
            <v>Shipment</v>
          </cell>
        </row>
        <row r="12854">
          <cell r="B12854" t="str">
            <v>Shipment</v>
          </cell>
        </row>
        <row r="12855">
          <cell r="B12855" t="str">
            <v>Shipment</v>
          </cell>
        </row>
        <row r="12856">
          <cell r="B12856" t="str">
            <v>Shipment</v>
          </cell>
        </row>
        <row r="12857">
          <cell r="B12857" t="str">
            <v>Shipment</v>
          </cell>
        </row>
        <row r="12858">
          <cell r="B12858" t="str">
            <v>Shipment</v>
          </cell>
        </row>
        <row r="12859">
          <cell r="B12859" t="str">
            <v>Shipment</v>
          </cell>
        </row>
        <row r="12860">
          <cell r="B12860" t="str">
            <v>Shipment</v>
          </cell>
        </row>
        <row r="12861">
          <cell r="B12861" t="str">
            <v>Shipment</v>
          </cell>
        </row>
        <row r="12862">
          <cell r="B12862" t="str">
            <v>Shipment</v>
          </cell>
        </row>
        <row r="12863">
          <cell r="B12863" t="str">
            <v>Shipment</v>
          </cell>
        </row>
        <row r="12864">
          <cell r="B12864" t="str">
            <v>Shipment</v>
          </cell>
        </row>
        <row r="12865">
          <cell r="B12865" t="str">
            <v>Shipment</v>
          </cell>
        </row>
        <row r="12866">
          <cell r="B12866" t="str">
            <v>Shipment</v>
          </cell>
        </row>
        <row r="12867">
          <cell r="B12867" t="str">
            <v>Shipment</v>
          </cell>
        </row>
        <row r="12868">
          <cell r="B12868" t="str">
            <v>Shipment</v>
          </cell>
        </row>
        <row r="12869">
          <cell r="B12869" t="str">
            <v>Shipment</v>
          </cell>
        </row>
        <row r="12870">
          <cell r="B12870" t="str">
            <v>Shipment</v>
          </cell>
        </row>
        <row r="12871">
          <cell r="B12871" t="str">
            <v>Shipment</v>
          </cell>
        </row>
        <row r="12872">
          <cell r="B12872" t="str">
            <v>Shipment</v>
          </cell>
        </row>
        <row r="12873">
          <cell r="B12873" t="str">
            <v>Shipment</v>
          </cell>
        </row>
        <row r="12874">
          <cell r="B12874" t="str">
            <v>Shipment</v>
          </cell>
        </row>
        <row r="12875">
          <cell r="B12875" t="str">
            <v>Shipment</v>
          </cell>
        </row>
        <row r="12876">
          <cell r="B12876" t="str">
            <v>Shipment</v>
          </cell>
        </row>
        <row r="12877">
          <cell r="B12877" t="str">
            <v>Shipment</v>
          </cell>
        </row>
        <row r="12878">
          <cell r="B12878" t="str">
            <v>Shipment</v>
          </cell>
        </row>
        <row r="12879">
          <cell r="B12879" t="str">
            <v>Shipment</v>
          </cell>
        </row>
        <row r="12880">
          <cell r="B12880" t="str">
            <v>Shipment</v>
          </cell>
        </row>
        <row r="12881">
          <cell r="B12881" t="str">
            <v>Shipment</v>
          </cell>
        </row>
        <row r="12882">
          <cell r="B12882" t="str">
            <v>Shipment</v>
          </cell>
        </row>
        <row r="12883">
          <cell r="B12883" t="str">
            <v>Shipment</v>
          </cell>
        </row>
        <row r="12884">
          <cell r="B12884" t="str">
            <v>Shipment</v>
          </cell>
        </row>
        <row r="12885">
          <cell r="B12885" t="str">
            <v>Shipment</v>
          </cell>
        </row>
        <row r="12886">
          <cell r="B12886" t="str">
            <v>Shipment</v>
          </cell>
        </row>
        <row r="12887">
          <cell r="B12887" t="str">
            <v>Shipment</v>
          </cell>
        </row>
        <row r="12888">
          <cell r="B12888" t="str">
            <v>Shipment</v>
          </cell>
        </row>
        <row r="12889">
          <cell r="B12889" t="str">
            <v>Shipment</v>
          </cell>
        </row>
        <row r="12890">
          <cell r="B12890" t="str">
            <v>Shipment</v>
          </cell>
        </row>
        <row r="12891">
          <cell r="B12891" t="str">
            <v>Shipment</v>
          </cell>
        </row>
        <row r="12892">
          <cell r="B12892" t="str">
            <v>Shipment</v>
          </cell>
        </row>
        <row r="12893">
          <cell r="B12893" t="str">
            <v>Shipment</v>
          </cell>
        </row>
        <row r="12894">
          <cell r="B12894" t="str">
            <v>Shipment</v>
          </cell>
        </row>
        <row r="12895">
          <cell r="B12895" t="str">
            <v>Shipment</v>
          </cell>
        </row>
        <row r="12896">
          <cell r="B12896" t="str">
            <v>Shipment</v>
          </cell>
        </row>
        <row r="12897">
          <cell r="B12897" t="str">
            <v>Shipment</v>
          </cell>
        </row>
        <row r="12898">
          <cell r="B12898" t="str">
            <v>Shipment</v>
          </cell>
        </row>
        <row r="12899">
          <cell r="B12899" t="str">
            <v>Shipment</v>
          </cell>
        </row>
        <row r="12900">
          <cell r="B12900" t="str">
            <v>Shipment</v>
          </cell>
        </row>
        <row r="12901">
          <cell r="B12901" t="str">
            <v>Shipment</v>
          </cell>
        </row>
        <row r="12902">
          <cell r="B12902" t="str">
            <v>Shipment</v>
          </cell>
        </row>
        <row r="12903">
          <cell r="B12903" t="str">
            <v>Shipment</v>
          </cell>
        </row>
        <row r="12904">
          <cell r="B12904" t="str">
            <v>Shipment</v>
          </cell>
        </row>
        <row r="12905">
          <cell r="B12905" t="str">
            <v>Shipment</v>
          </cell>
        </row>
        <row r="12906">
          <cell r="B12906" t="str">
            <v>Shipment</v>
          </cell>
        </row>
        <row r="12907">
          <cell r="B12907" t="str">
            <v>Shipment</v>
          </cell>
        </row>
        <row r="12908">
          <cell r="B12908" t="str">
            <v>Shipment</v>
          </cell>
        </row>
        <row r="12909">
          <cell r="B12909" t="str">
            <v>Shipment</v>
          </cell>
        </row>
        <row r="12910">
          <cell r="B12910" t="str">
            <v>Shipment</v>
          </cell>
        </row>
        <row r="12911">
          <cell r="B12911" t="str">
            <v>Shipment</v>
          </cell>
        </row>
        <row r="12912">
          <cell r="B12912" t="str">
            <v>Shipment</v>
          </cell>
        </row>
        <row r="12913">
          <cell r="B12913" t="str">
            <v>Shipment</v>
          </cell>
        </row>
        <row r="12914">
          <cell r="B12914" t="str">
            <v>Shipment</v>
          </cell>
        </row>
        <row r="12915">
          <cell r="B12915" t="str">
            <v>Shipment</v>
          </cell>
        </row>
        <row r="12916">
          <cell r="B12916" t="str">
            <v>Shipment</v>
          </cell>
        </row>
        <row r="12917">
          <cell r="B12917" t="str">
            <v>Shipment</v>
          </cell>
        </row>
        <row r="12918">
          <cell r="B12918" t="str">
            <v>Shipment</v>
          </cell>
        </row>
        <row r="12919">
          <cell r="B12919" t="str">
            <v>Shipment</v>
          </cell>
        </row>
        <row r="12920">
          <cell r="B12920" t="str">
            <v>Shipment</v>
          </cell>
        </row>
        <row r="12921">
          <cell r="B12921" t="str">
            <v>Shipment</v>
          </cell>
        </row>
        <row r="12922">
          <cell r="B12922" t="str">
            <v>Shipment</v>
          </cell>
        </row>
        <row r="12923">
          <cell r="B12923" t="str">
            <v>Shipment</v>
          </cell>
        </row>
        <row r="12924">
          <cell r="B12924" t="str">
            <v>Shipment</v>
          </cell>
        </row>
        <row r="12925">
          <cell r="B12925" t="str">
            <v>Shipment</v>
          </cell>
        </row>
        <row r="12926">
          <cell r="B12926" t="str">
            <v>Shipment</v>
          </cell>
        </row>
        <row r="12927">
          <cell r="B12927" t="str">
            <v>Shipment</v>
          </cell>
        </row>
        <row r="12928">
          <cell r="B12928" t="str">
            <v>Shipment</v>
          </cell>
        </row>
        <row r="12929">
          <cell r="B12929" t="str">
            <v>Shipment</v>
          </cell>
        </row>
        <row r="12930">
          <cell r="B12930" t="str">
            <v>Shipment</v>
          </cell>
        </row>
        <row r="12931">
          <cell r="B12931" t="str">
            <v>Shipment</v>
          </cell>
        </row>
        <row r="12932">
          <cell r="B12932" t="str">
            <v>Shipment</v>
          </cell>
        </row>
        <row r="12933">
          <cell r="B12933" t="str">
            <v>Shipment</v>
          </cell>
        </row>
        <row r="12934">
          <cell r="B12934" t="str">
            <v>Shipment</v>
          </cell>
        </row>
        <row r="12935">
          <cell r="B12935" t="str">
            <v>Shipment</v>
          </cell>
        </row>
        <row r="12936">
          <cell r="B12936" t="str">
            <v>Shipment</v>
          </cell>
        </row>
        <row r="12937">
          <cell r="B12937" t="str">
            <v>Shipment</v>
          </cell>
        </row>
        <row r="12938">
          <cell r="B12938" t="str">
            <v>Shipment</v>
          </cell>
        </row>
        <row r="12939">
          <cell r="B12939" t="str">
            <v>Shipment</v>
          </cell>
        </row>
        <row r="12940">
          <cell r="B12940" t="str">
            <v>Shipment</v>
          </cell>
        </row>
        <row r="12941">
          <cell r="B12941" t="str">
            <v>Shipment</v>
          </cell>
        </row>
        <row r="12942">
          <cell r="B12942" t="str">
            <v>Shipment</v>
          </cell>
        </row>
        <row r="12943">
          <cell r="B12943" t="str">
            <v>Shipment</v>
          </cell>
        </row>
        <row r="12944">
          <cell r="B12944" t="str">
            <v>Shipment</v>
          </cell>
        </row>
        <row r="12945">
          <cell r="B12945" t="str">
            <v>Shipment</v>
          </cell>
        </row>
        <row r="12946">
          <cell r="B12946" t="str">
            <v>Shipment</v>
          </cell>
        </row>
        <row r="12947">
          <cell r="B12947" t="str">
            <v>Shipment</v>
          </cell>
        </row>
        <row r="12948">
          <cell r="B12948" t="str">
            <v>Shipment</v>
          </cell>
        </row>
        <row r="12949">
          <cell r="B12949" t="str">
            <v>Shipment</v>
          </cell>
        </row>
        <row r="12950">
          <cell r="B12950" t="str">
            <v>Shipment</v>
          </cell>
        </row>
        <row r="12951">
          <cell r="B12951" t="str">
            <v>Shipment</v>
          </cell>
        </row>
        <row r="12952">
          <cell r="B12952" t="str">
            <v>Shipment</v>
          </cell>
        </row>
        <row r="12953">
          <cell r="B12953" t="str">
            <v>Shipment</v>
          </cell>
        </row>
        <row r="12954">
          <cell r="B12954" t="str">
            <v>Shipment</v>
          </cell>
        </row>
        <row r="12955">
          <cell r="B12955" t="str">
            <v>Shipment</v>
          </cell>
        </row>
        <row r="12956">
          <cell r="B12956" t="str">
            <v>Shipment</v>
          </cell>
        </row>
        <row r="12957">
          <cell r="B12957" t="str">
            <v>Shipment</v>
          </cell>
        </row>
        <row r="12958">
          <cell r="B12958" t="str">
            <v>Shipment</v>
          </cell>
        </row>
        <row r="12959">
          <cell r="B12959" t="str">
            <v>Shipment</v>
          </cell>
        </row>
        <row r="12960">
          <cell r="B12960" t="str">
            <v>Shipment</v>
          </cell>
        </row>
        <row r="12961">
          <cell r="B12961" t="str">
            <v>Shipment</v>
          </cell>
        </row>
        <row r="12962">
          <cell r="B12962" t="str">
            <v>Shipment</v>
          </cell>
        </row>
        <row r="12963">
          <cell r="B12963" t="str">
            <v>Shipment</v>
          </cell>
        </row>
        <row r="12964">
          <cell r="B12964" t="str">
            <v>Shipment</v>
          </cell>
        </row>
        <row r="12965">
          <cell r="B12965" t="str">
            <v>Shipment</v>
          </cell>
        </row>
        <row r="12966">
          <cell r="B12966" t="str">
            <v>Shipment</v>
          </cell>
        </row>
        <row r="12967">
          <cell r="B12967" t="str">
            <v>Shipment</v>
          </cell>
        </row>
        <row r="12968">
          <cell r="B12968" t="str">
            <v>Shipment</v>
          </cell>
        </row>
        <row r="12969">
          <cell r="B12969" t="str">
            <v>Shipment</v>
          </cell>
        </row>
        <row r="12970">
          <cell r="B12970" t="str">
            <v>Shipment</v>
          </cell>
        </row>
        <row r="12971">
          <cell r="B12971" t="str">
            <v>Shipment</v>
          </cell>
        </row>
        <row r="12972">
          <cell r="B12972" t="str">
            <v>Shipment</v>
          </cell>
        </row>
        <row r="12973">
          <cell r="B12973" t="str">
            <v>Shipment</v>
          </cell>
        </row>
        <row r="12974">
          <cell r="B12974" t="str">
            <v>Shipment</v>
          </cell>
        </row>
        <row r="12975">
          <cell r="B12975" t="str">
            <v>Shipment</v>
          </cell>
        </row>
        <row r="12976">
          <cell r="B12976" t="str">
            <v>Shipment</v>
          </cell>
        </row>
        <row r="12977">
          <cell r="B12977" t="str">
            <v>Shipment</v>
          </cell>
        </row>
        <row r="12978">
          <cell r="B12978" t="str">
            <v>Shipment</v>
          </cell>
        </row>
        <row r="12979">
          <cell r="B12979" t="str">
            <v>Shipment</v>
          </cell>
        </row>
        <row r="12980">
          <cell r="B12980" t="str">
            <v>Shipment</v>
          </cell>
        </row>
        <row r="12981">
          <cell r="B12981" t="str">
            <v>Shipment</v>
          </cell>
        </row>
        <row r="12982">
          <cell r="B12982" t="str">
            <v>Shipment</v>
          </cell>
        </row>
        <row r="12983">
          <cell r="B12983" t="str">
            <v>Shipment</v>
          </cell>
        </row>
        <row r="12984">
          <cell r="B12984" t="str">
            <v>Shipment</v>
          </cell>
        </row>
        <row r="12985">
          <cell r="B12985" t="str">
            <v>Shipment</v>
          </cell>
        </row>
        <row r="12986">
          <cell r="B12986" t="str">
            <v>Shipment</v>
          </cell>
        </row>
        <row r="12987">
          <cell r="B12987" t="str">
            <v>Shipment</v>
          </cell>
        </row>
        <row r="12988">
          <cell r="B12988" t="str">
            <v>Shipment</v>
          </cell>
        </row>
        <row r="12989">
          <cell r="B12989" t="str">
            <v>Shipment</v>
          </cell>
        </row>
        <row r="12990">
          <cell r="B12990" t="str">
            <v>Shipment</v>
          </cell>
        </row>
        <row r="12991">
          <cell r="B12991" t="str">
            <v>Shipment</v>
          </cell>
        </row>
        <row r="12992">
          <cell r="B12992" t="str">
            <v>Shipment</v>
          </cell>
        </row>
        <row r="12993">
          <cell r="B12993" t="str">
            <v>Shipment</v>
          </cell>
        </row>
        <row r="12994">
          <cell r="B12994" t="str">
            <v>Shipment</v>
          </cell>
        </row>
        <row r="12995">
          <cell r="B12995" t="str">
            <v>Shipment</v>
          </cell>
        </row>
        <row r="12996">
          <cell r="B12996" t="str">
            <v>Shipment</v>
          </cell>
        </row>
        <row r="12997">
          <cell r="B12997" t="str">
            <v>Shipment</v>
          </cell>
        </row>
        <row r="12998">
          <cell r="B12998" t="str">
            <v>Shipment</v>
          </cell>
        </row>
        <row r="12999">
          <cell r="B12999" t="str">
            <v>Shipment</v>
          </cell>
        </row>
        <row r="13000">
          <cell r="B13000" t="str">
            <v>Shipment</v>
          </cell>
        </row>
        <row r="13001">
          <cell r="B13001" t="str">
            <v>Shipment</v>
          </cell>
        </row>
        <row r="13002">
          <cell r="B13002" t="str">
            <v>Shipment</v>
          </cell>
        </row>
        <row r="13003">
          <cell r="B13003" t="str">
            <v>Shipment</v>
          </cell>
        </row>
        <row r="13004">
          <cell r="B13004" t="str">
            <v>Shipment</v>
          </cell>
        </row>
        <row r="13005">
          <cell r="B13005" t="str">
            <v>Shipment</v>
          </cell>
        </row>
        <row r="13006">
          <cell r="B13006" t="str">
            <v>Shipment</v>
          </cell>
        </row>
        <row r="13007">
          <cell r="B13007" t="str">
            <v>Shipment</v>
          </cell>
        </row>
        <row r="13008">
          <cell r="B13008" t="str">
            <v>Shipment</v>
          </cell>
        </row>
        <row r="13009">
          <cell r="B13009" t="str">
            <v>Shipment</v>
          </cell>
        </row>
        <row r="13010">
          <cell r="B13010" t="str">
            <v>Shipment</v>
          </cell>
        </row>
        <row r="13011">
          <cell r="B13011" t="str">
            <v>Shipment</v>
          </cell>
        </row>
        <row r="13012">
          <cell r="B13012" t="str">
            <v>Shipment</v>
          </cell>
        </row>
        <row r="13013">
          <cell r="B13013" t="str">
            <v>Shipment</v>
          </cell>
        </row>
        <row r="13014">
          <cell r="B13014" t="str">
            <v>Shipment</v>
          </cell>
        </row>
        <row r="13015">
          <cell r="B13015" t="str">
            <v>Shipment</v>
          </cell>
        </row>
        <row r="13016">
          <cell r="B13016" t="str">
            <v>Shipment</v>
          </cell>
        </row>
        <row r="13017">
          <cell r="B13017" t="str">
            <v>Shipment</v>
          </cell>
        </row>
        <row r="13018">
          <cell r="B13018" t="str">
            <v>Shipment</v>
          </cell>
        </row>
        <row r="13019">
          <cell r="B13019" t="str">
            <v>Shipment</v>
          </cell>
        </row>
        <row r="13020">
          <cell r="B13020" t="str">
            <v>Shipment</v>
          </cell>
        </row>
        <row r="13021">
          <cell r="B13021" t="str">
            <v>Shipment</v>
          </cell>
        </row>
        <row r="13022">
          <cell r="B13022" t="str">
            <v>Shipment</v>
          </cell>
        </row>
        <row r="13023">
          <cell r="B13023" t="str">
            <v>Shipment</v>
          </cell>
        </row>
        <row r="13024">
          <cell r="B13024" t="str">
            <v>Shipment</v>
          </cell>
        </row>
        <row r="13025">
          <cell r="B13025" t="str">
            <v>Shipment</v>
          </cell>
        </row>
        <row r="13026">
          <cell r="B13026" t="str">
            <v>Shipment</v>
          </cell>
        </row>
        <row r="13027">
          <cell r="B13027" t="str">
            <v>Shipment</v>
          </cell>
        </row>
        <row r="13028">
          <cell r="B13028" t="str">
            <v>Shipment</v>
          </cell>
        </row>
        <row r="13029">
          <cell r="B13029" t="str">
            <v>Shipment</v>
          </cell>
        </row>
        <row r="13030">
          <cell r="B13030" t="str">
            <v>Shipment</v>
          </cell>
        </row>
        <row r="13031">
          <cell r="B13031" t="str">
            <v>Shipment</v>
          </cell>
        </row>
        <row r="13032">
          <cell r="B13032" t="str">
            <v>Shipment</v>
          </cell>
        </row>
        <row r="13033">
          <cell r="B13033" t="str">
            <v>Shipment</v>
          </cell>
        </row>
        <row r="13034">
          <cell r="B13034" t="str">
            <v>Shipment</v>
          </cell>
        </row>
        <row r="13035">
          <cell r="B13035" t="str">
            <v>Shipment</v>
          </cell>
        </row>
        <row r="13036">
          <cell r="B13036" t="str">
            <v>Shipment</v>
          </cell>
        </row>
        <row r="13037">
          <cell r="B13037" t="str">
            <v>Shipment</v>
          </cell>
        </row>
        <row r="13038">
          <cell r="B13038" t="str">
            <v>Shipment</v>
          </cell>
        </row>
        <row r="13039">
          <cell r="B13039" t="str">
            <v>Shipment</v>
          </cell>
        </row>
        <row r="13040">
          <cell r="B13040" t="str">
            <v>Shipment</v>
          </cell>
        </row>
        <row r="13041">
          <cell r="B13041" t="str">
            <v>Shipment</v>
          </cell>
        </row>
        <row r="13042">
          <cell r="B13042" t="str">
            <v>Shipment</v>
          </cell>
        </row>
        <row r="13043">
          <cell r="B13043" t="str">
            <v>Shipment</v>
          </cell>
        </row>
        <row r="13044">
          <cell r="B13044" t="str">
            <v>Shipment</v>
          </cell>
        </row>
        <row r="13045">
          <cell r="B13045" t="str">
            <v>Shipment</v>
          </cell>
        </row>
        <row r="13046">
          <cell r="B13046" t="str">
            <v>Shipment</v>
          </cell>
        </row>
        <row r="13047">
          <cell r="B13047" t="str">
            <v>Shipment</v>
          </cell>
        </row>
        <row r="13048">
          <cell r="B13048" t="str">
            <v>Shipment</v>
          </cell>
        </row>
        <row r="13049">
          <cell r="B13049" t="str">
            <v>Shipment</v>
          </cell>
        </row>
        <row r="13050">
          <cell r="B13050" t="str">
            <v>Shipment</v>
          </cell>
        </row>
        <row r="13051">
          <cell r="B13051" t="str">
            <v>Shipment</v>
          </cell>
        </row>
        <row r="13052">
          <cell r="B13052" t="str">
            <v>Shipment</v>
          </cell>
        </row>
        <row r="13053">
          <cell r="B13053" t="str">
            <v>Shipment</v>
          </cell>
        </row>
        <row r="13054">
          <cell r="B13054" t="str">
            <v>Shipment</v>
          </cell>
        </row>
        <row r="13055">
          <cell r="B13055" t="str">
            <v>Shipment</v>
          </cell>
        </row>
        <row r="13056">
          <cell r="B13056" t="str">
            <v>Shipment</v>
          </cell>
        </row>
        <row r="13057">
          <cell r="B13057" t="str">
            <v>Shipment</v>
          </cell>
        </row>
        <row r="13058">
          <cell r="B13058" t="str">
            <v>Shipment</v>
          </cell>
        </row>
        <row r="13059">
          <cell r="B13059" t="str">
            <v>Shipment</v>
          </cell>
        </row>
        <row r="13060">
          <cell r="B13060" t="str">
            <v>Shipment</v>
          </cell>
        </row>
        <row r="13061">
          <cell r="B13061" t="str">
            <v>Shipment</v>
          </cell>
        </row>
        <row r="13062">
          <cell r="B13062" t="str">
            <v>Shipment</v>
          </cell>
        </row>
        <row r="13063">
          <cell r="B13063" t="str">
            <v>Shipment</v>
          </cell>
        </row>
        <row r="13064">
          <cell r="B13064" t="str">
            <v>Shipment</v>
          </cell>
        </row>
        <row r="13065">
          <cell r="B13065" t="str">
            <v>Shipment</v>
          </cell>
        </row>
        <row r="13066">
          <cell r="B13066" t="str">
            <v>Shipment</v>
          </cell>
        </row>
        <row r="13067">
          <cell r="B13067" t="str">
            <v>Shipment</v>
          </cell>
        </row>
        <row r="13068">
          <cell r="B13068" t="str">
            <v>Shipment</v>
          </cell>
        </row>
        <row r="13069">
          <cell r="B13069" t="str">
            <v>Shipment</v>
          </cell>
        </row>
        <row r="13070">
          <cell r="B13070" t="str">
            <v>Shipment</v>
          </cell>
        </row>
        <row r="13071">
          <cell r="B13071" t="str">
            <v>Shipment</v>
          </cell>
        </row>
        <row r="13072">
          <cell r="B13072" t="str">
            <v>Shipment</v>
          </cell>
        </row>
        <row r="13073">
          <cell r="B13073" t="str">
            <v>Shipment</v>
          </cell>
        </row>
        <row r="13074">
          <cell r="B13074" t="str">
            <v>Shipment</v>
          </cell>
        </row>
        <row r="13075">
          <cell r="B13075" t="str">
            <v>Shipment</v>
          </cell>
        </row>
        <row r="13076">
          <cell r="B13076" t="str">
            <v>Shipment</v>
          </cell>
        </row>
        <row r="13077">
          <cell r="B13077" t="str">
            <v>Shipment</v>
          </cell>
        </row>
        <row r="13078">
          <cell r="B13078" t="str">
            <v>Shipment</v>
          </cell>
        </row>
        <row r="13079">
          <cell r="B13079" t="str">
            <v>Shipment</v>
          </cell>
        </row>
        <row r="13080">
          <cell r="B13080" t="str">
            <v>Shipment</v>
          </cell>
        </row>
        <row r="13081">
          <cell r="B13081" t="str">
            <v>Shipment</v>
          </cell>
        </row>
        <row r="13082">
          <cell r="B13082" t="str">
            <v>Shipment</v>
          </cell>
        </row>
        <row r="13083">
          <cell r="B13083" t="str">
            <v>Shipment</v>
          </cell>
        </row>
        <row r="13084">
          <cell r="B13084" t="str">
            <v>Shipment</v>
          </cell>
        </row>
        <row r="13085">
          <cell r="B13085" t="str">
            <v>Shipment</v>
          </cell>
        </row>
        <row r="13086">
          <cell r="B13086" t="str">
            <v>Shipment</v>
          </cell>
        </row>
        <row r="13087">
          <cell r="B13087" t="str">
            <v>Shipment</v>
          </cell>
        </row>
        <row r="13088">
          <cell r="B13088" t="str">
            <v>Shipment</v>
          </cell>
        </row>
        <row r="13089">
          <cell r="B13089" t="str">
            <v>Shipment</v>
          </cell>
        </row>
        <row r="13090">
          <cell r="B13090" t="str">
            <v>Shipment</v>
          </cell>
        </row>
        <row r="13091">
          <cell r="B13091" t="str">
            <v>Shipment</v>
          </cell>
        </row>
        <row r="13092">
          <cell r="B13092" t="str">
            <v>Shipment</v>
          </cell>
        </row>
        <row r="13093">
          <cell r="B13093" t="str">
            <v>Shipment</v>
          </cell>
        </row>
        <row r="13094">
          <cell r="B13094" t="str">
            <v>Shipment</v>
          </cell>
        </row>
        <row r="13095">
          <cell r="B13095" t="str">
            <v>Shipment</v>
          </cell>
        </row>
        <row r="13096">
          <cell r="B13096" t="str">
            <v>Shipment</v>
          </cell>
        </row>
        <row r="13097">
          <cell r="B13097" t="str">
            <v>Shipment</v>
          </cell>
        </row>
        <row r="13098">
          <cell r="B13098" t="str">
            <v>Shipment</v>
          </cell>
        </row>
        <row r="13099">
          <cell r="B13099" t="str">
            <v>Shipment</v>
          </cell>
        </row>
        <row r="13100">
          <cell r="B13100" t="str">
            <v>Shipment</v>
          </cell>
        </row>
        <row r="13101">
          <cell r="B13101" t="str">
            <v>Shipment</v>
          </cell>
        </row>
        <row r="13102">
          <cell r="B13102" t="str">
            <v>Shipment</v>
          </cell>
        </row>
        <row r="13103">
          <cell r="B13103" t="str">
            <v>Shipment</v>
          </cell>
        </row>
        <row r="13104">
          <cell r="B13104" t="str">
            <v>Shipment</v>
          </cell>
        </row>
        <row r="13105">
          <cell r="B13105" t="str">
            <v>Shipment</v>
          </cell>
        </row>
        <row r="13106">
          <cell r="B13106" t="str">
            <v>Shipment</v>
          </cell>
        </row>
        <row r="13107">
          <cell r="B13107" t="str">
            <v>Shipment</v>
          </cell>
        </row>
        <row r="13108">
          <cell r="B13108" t="str">
            <v>Shipment</v>
          </cell>
        </row>
        <row r="13109">
          <cell r="B13109" t="str">
            <v>Shipment</v>
          </cell>
        </row>
        <row r="13110">
          <cell r="B13110" t="str">
            <v>Shipment</v>
          </cell>
        </row>
        <row r="13111">
          <cell r="B13111" t="str">
            <v>Shipment</v>
          </cell>
        </row>
        <row r="13112">
          <cell r="B13112" t="str">
            <v>Shipment</v>
          </cell>
        </row>
        <row r="13113">
          <cell r="B13113" t="str">
            <v>Shipment</v>
          </cell>
        </row>
        <row r="13114">
          <cell r="B13114" t="str">
            <v>Shipment</v>
          </cell>
        </row>
        <row r="13115">
          <cell r="B13115" t="str">
            <v>Shipment</v>
          </cell>
        </row>
        <row r="13116">
          <cell r="B13116" t="str">
            <v>Shipment</v>
          </cell>
        </row>
        <row r="13117">
          <cell r="B13117" t="str">
            <v>Shipment</v>
          </cell>
        </row>
        <row r="13118">
          <cell r="B13118" t="str">
            <v>Shipment</v>
          </cell>
        </row>
        <row r="13119">
          <cell r="B13119" t="str">
            <v>Shipment</v>
          </cell>
        </row>
        <row r="13120">
          <cell r="B13120" t="str">
            <v>Shipment</v>
          </cell>
        </row>
        <row r="13121">
          <cell r="B13121" t="str">
            <v>Shipment</v>
          </cell>
        </row>
        <row r="13122">
          <cell r="B13122" t="str">
            <v>Shipment</v>
          </cell>
        </row>
        <row r="13123">
          <cell r="B13123" t="str">
            <v>Shipment</v>
          </cell>
        </row>
        <row r="13124">
          <cell r="B13124" t="str">
            <v>Shipment</v>
          </cell>
        </row>
        <row r="13125">
          <cell r="B13125" t="str">
            <v>Shipment</v>
          </cell>
        </row>
        <row r="13126">
          <cell r="B13126" t="str">
            <v>Shipment</v>
          </cell>
        </row>
        <row r="13127">
          <cell r="B13127" t="str">
            <v>Shipment</v>
          </cell>
        </row>
        <row r="13128">
          <cell r="B13128" t="str">
            <v>Shipment</v>
          </cell>
        </row>
        <row r="13129">
          <cell r="B13129" t="str">
            <v>Shipment</v>
          </cell>
        </row>
        <row r="13130">
          <cell r="B13130" t="str">
            <v>Shipment</v>
          </cell>
        </row>
        <row r="13131">
          <cell r="B13131" t="str">
            <v>Shipment</v>
          </cell>
        </row>
        <row r="13132">
          <cell r="B13132" t="str">
            <v>Shipment</v>
          </cell>
        </row>
        <row r="13133">
          <cell r="B13133" t="str">
            <v>Shipment</v>
          </cell>
        </row>
        <row r="13134">
          <cell r="B13134" t="str">
            <v>Shipment</v>
          </cell>
        </row>
        <row r="13135">
          <cell r="B13135" t="str">
            <v>Shipment</v>
          </cell>
        </row>
        <row r="13136">
          <cell r="B13136" t="str">
            <v>Shipment</v>
          </cell>
        </row>
        <row r="13137">
          <cell r="B13137" t="str">
            <v>Shipment</v>
          </cell>
        </row>
        <row r="13138">
          <cell r="B13138" t="str">
            <v>Shipment</v>
          </cell>
        </row>
        <row r="13139">
          <cell r="B13139" t="str">
            <v>Shipment</v>
          </cell>
        </row>
        <row r="13140">
          <cell r="B13140" t="str">
            <v>Shipment</v>
          </cell>
        </row>
        <row r="13141">
          <cell r="B13141" t="str">
            <v>Shipment</v>
          </cell>
        </row>
        <row r="13142">
          <cell r="B13142" t="str">
            <v>Shipment</v>
          </cell>
        </row>
        <row r="13143">
          <cell r="B13143" t="str">
            <v>Shipment</v>
          </cell>
        </row>
        <row r="13144">
          <cell r="B13144" t="str">
            <v>Shipment</v>
          </cell>
        </row>
        <row r="13145">
          <cell r="B13145" t="str">
            <v>Shipment</v>
          </cell>
        </row>
        <row r="13146">
          <cell r="B13146" t="str">
            <v>Shipment</v>
          </cell>
        </row>
        <row r="13147">
          <cell r="B13147" t="str">
            <v>Shipment</v>
          </cell>
        </row>
        <row r="13148">
          <cell r="B13148" t="str">
            <v>Shipment</v>
          </cell>
        </row>
        <row r="13149">
          <cell r="B13149" t="str">
            <v>Shipment</v>
          </cell>
        </row>
        <row r="13150">
          <cell r="B13150" t="str">
            <v>Shipment</v>
          </cell>
        </row>
        <row r="13151">
          <cell r="B13151" t="str">
            <v>Shipment</v>
          </cell>
        </row>
        <row r="13152">
          <cell r="B13152" t="str">
            <v>Shipment</v>
          </cell>
        </row>
        <row r="13153">
          <cell r="B13153" t="str">
            <v>Shipment</v>
          </cell>
        </row>
        <row r="13154">
          <cell r="B13154" t="str">
            <v>Shipment</v>
          </cell>
        </row>
        <row r="13155">
          <cell r="B13155" t="str">
            <v>Shipment</v>
          </cell>
        </row>
        <row r="13156">
          <cell r="B13156" t="str">
            <v>Shipment</v>
          </cell>
        </row>
        <row r="13157">
          <cell r="B13157" t="str">
            <v>Shipment</v>
          </cell>
        </row>
        <row r="13158">
          <cell r="B13158" t="str">
            <v>Shipment</v>
          </cell>
        </row>
        <row r="13159">
          <cell r="B13159" t="str">
            <v>Shipment</v>
          </cell>
        </row>
        <row r="13160">
          <cell r="B13160" t="str">
            <v>Shipment</v>
          </cell>
        </row>
        <row r="13161">
          <cell r="B13161" t="str">
            <v>Shipment</v>
          </cell>
        </row>
        <row r="13162">
          <cell r="B13162" t="str">
            <v>Shipment</v>
          </cell>
        </row>
        <row r="13163">
          <cell r="B13163" t="str">
            <v>Shipment</v>
          </cell>
        </row>
        <row r="13164">
          <cell r="B13164" t="str">
            <v>Shipment</v>
          </cell>
        </row>
        <row r="13165">
          <cell r="B13165" t="str">
            <v>Shipment</v>
          </cell>
        </row>
        <row r="13166">
          <cell r="B13166" t="str">
            <v>Shipment</v>
          </cell>
        </row>
        <row r="13167">
          <cell r="B13167" t="str">
            <v>Shipment</v>
          </cell>
        </row>
        <row r="13168">
          <cell r="B13168" t="str">
            <v>Shipment</v>
          </cell>
        </row>
        <row r="13169">
          <cell r="B13169" t="str">
            <v>Shipment</v>
          </cell>
        </row>
        <row r="13170">
          <cell r="B13170" t="str">
            <v>Shipment</v>
          </cell>
        </row>
        <row r="13171">
          <cell r="B13171" t="str">
            <v>Shipment</v>
          </cell>
        </row>
        <row r="13172">
          <cell r="B13172" t="str">
            <v>Shipment</v>
          </cell>
        </row>
        <row r="13173">
          <cell r="B13173" t="str">
            <v>Shipment</v>
          </cell>
        </row>
        <row r="13174">
          <cell r="B13174" t="str">
            <v>Shipment</v>
          </cell>
        </row>
        <row r="13175">
          <cell r="B13175" t="str">
            <v>Shipment</v>
          </cell>
        </row>
        <row r="13176">
          <cell r="B13176" t="str">
            <v>Shipment</v>
          </cell>
        </row>
        <row r="13177">
          <cell r="B13177" t="str">
            <v>Shipment</v>
          </cell>
        </row>
        <row r="13178">
          <cell r="B13178" t="str">
            <v>Shipment</v>
          </cell>
        </row>
        <row r="13179">
          <cell r="B13179" t="str">
            <v>Shipment</v>
          </cell>
        </row>
        <row r="13180">
          <cell r="B13180" t="str">
            <v>Shipment</v>
          </cell>
        </row>
        <row r="13181">
          <cell r="B13181" t="str">
            <v>Shipment</v>
          </cell>
        </row>
        <row r="13182">
          <cell r="B13182" t="str">
            <v>Shipment</v>
          </cell>
        </row>
        <row r="13183">
          <cell r="B13183" t="str">
            <v>Shipment</v>
          </cell>
        </row>
        <row r="13184">
          <cell r="B13184" t="str">
            <v>Shipment</v>
          </cell>
        </row>
        <row r="13185">
          <cell r="B13185" t="str">
            <v>Shipment</v>
          </cell>
        </row>
        <row r="13186">
          <cell r="B13186" t="str">
            <v>Shipment</v>
          </cell>
        </row>
        <row r="13187">
          <cell r="B13187" t="str">
            <v>Shipment</v>
          </cell>
        </row>
        <row r="13188">
          <cell r="B13188" t="str">
            <v>Shipment</v>
          </cell>
        </row>
        <row r="13189">
          <cell r="B13189" t="str">
            <v>Shipment</v>
          </cell>
        </row>
        <row r="13190">
          <cell r="B13190" t="str">
            <v>Shipment</v>
          </cell>
        </row>
        <row r="13191">
          <cell r="B13191" t="str">
            <v>Shipment</v>
          </cell>
        </row>
        <row r="13192">
          <cell r="B13192" t="str">
            <v>Shipment</v>
          </cell>
        </row>
        <row r="13193">
          <cell r="B13193" t="str">
            <v>Shipment</v>
          </cell>
        </row>
        <row r="13194">
          <cell r="B13194" t="str">
            <v>Shipment</v>
          </cell>
        </row>
        <row r="13195">
          <cell r="B13195" t="str">
            <v>Shipment</v>
          </cell>
        </row>
        <row r="13196">
          <cell r="B13196" t="str">
            <v>Shipment</v>
          </cell>
        </row>
        <row r="13197">
          <cell r="B13197" t="str">
            <v>Shipment</v>
          </cell>
        </row>
        <row r="13198">
          <cell r="B13198" t="str">
            <v>Shipment</v>
          </cell>
        </row>
        <row r="13199">
          <cell r="B13199" t="str">
            <v>Shipment</v>
          </cell>
        </row>
        <row r="13200">
          <cell r="B13200" t="str">
            <v>Shipment</v>
          </cell>
        </row>
        <row r="13201">
          <cell r="B13201" t="str">
            <v>Shipment</v>
          </cell>
        </row>
        <row r="13202">
          <cell r="B13202" t="str">
            <v>Shipment</v>
          </cell>
        </row>
        <row r="13203">
          <cell r="B13203" t="str">
            <v>Shipment</v>
          </cell>
        </row>
        <row r="13204">
          <cell r="B13204" t="str">
            <v>Shipment</v>
          </cell>
        </row>
        <row r="13205">
          <cell r="B13205" t="str">
            <v>Shipment</v>
          </cell>
        </row>
        <row r="13206">
          <cell r="B13206" t="str">
            <v>Shipment</v>
          </cell>
        </row>
        <row r="13207">
          <cell r="B13207" t="str">
            <v>Shipment</v>
          </cell>
        </row>
        <row r="13208">
          <cell r="B13208" t="str">
            <v>Shipment</v>
          </cell>
        </row>
        <row r="13209">
          <cell r="B13209" t="str">
            <v>Shipment</v>
          </cell>
        </row>
        <row r="13210">
          <cell r="B13210" t="str">
            <v>Shipment</v>
          </cell>
        </row>
        <row r="13211">
          <cell r="B13211" t="str">
            <v>Shipment</v>
          </cell>
        </row>
        <row r="13212">
          <cell r="B13212" t="str">
            <v>Shipment</v>
          </cell>
        </row>
        <row r="13213">
          <cell r="B13213" t="str">
            <v>Shipment</v>
          </cell>
        </row>
        <row r="13214">
          <cell r="B13214" t="str">
            <v>Shipment</v>
          </cell>
        </row>
        <row r="13215">
          <cell r="B13215" t="str">
            <v>Shipment</v>
          </cell>
        </row>
        <row r="13216">
          <cell r="B13216" t="str">
            <v>Shipment</v>
          </cell>
        </row>
        <row r="13217">
          <cell r="B13217" t="str">
            <v>Shipment</v>
          </cell>
        </row>
        <row r="13218">
          <cell r="B13218" t="str">
            <v>Shipment</v>
          </cell>
        </row>
        <row r="13219">
          <cell r="B13219" t="str">
            <v>Shipment</v>
          </cell>
        </row>
        <row r="13220">
          <cell r="B13220" t="str">
            <v>Shipment</v>
          </cell>
        </row>
        <row r="13221">
          <cell r="B13221" t="str">
            <v>Shipment</v>
          </cell>
        </row>
        <row r="13222">
          <cell r="B13222" t="str">
            <v>Shipment</v>
          </cell>
        </row>
        <row r="13223">
          <cell r="B13223" t="str">
            <v>Shipment</v>
          </cell>
        </row>
        <row r="13224">
          <cell r="B13224" t="str">
            <v>Shipment</v>
          </cell>
        </row>
        <row r="13225">
          <cell r="B13225" t="str">
            <v>Shipment</v>
          </cell>
        </row>
        <row r="13226">
          <cell r="B13226" t="str">
            <v>Shipment</v>
          </cell>
        </row>
        <row r="13227">
          <cell r="B13227" t="str">
            <v>Shipment</v>
          </cell>
        </row>
        <row r="13228">
          <cell r="B13228" t="str">
            <v>Shipment</v>
          </cell>
        </row>
        <row r="13229">
          <cell r="B13229" t="str">
            <v>Shipment</v>
          </cell>
        </row>
        <row r="13230">
          <cell r="B13230" t="str">
            <v>Shipment</v>
          </cell>
        </row>
        <row r="13231">
          <cell r="B13231" t="str">
            <v>Shipment</v>
          </cell>
        </row>
        <row r="13232">
          <cell r="B13232" t="str">
            <v>Shipment</v>
          </cell>
        </row>
        <row r="13233">
          <cell r="B13233" t="str">
            <v>Shipment</v>
          </cell>
        </row>
        <row r="13234">
          <cell r="B13234" t="str">
            <v>Shipment</v>
          </cell>
        </row>
        <row r="13235">
          <cell r="B13235" t="str">
            <v>Shipment</v>
          </cell>
        </row>
        <row r="13236">
          <cell r="B13236" t="str">
            <v>Shipment</v>
          </cell>
        </row>
        <row r="13237">
          <cell r="B13237" t="str">
            <v>Shipment</v>
          </cell>
        </row>
        <row r="13238">
          <cell r="B13238" t="str">
            <v>Shipment</v>
          </cell>
        </row>
        <row r="13239">
          <cell r="B13239" t="str">
            <v>Shipment</v>
          </cell>
        </row>
        <row r="13240">
          <cell r="B13240" t="str">
            <v>Shipment</v>
          </cell>
        </row>
        <row r="13241">
          <cell r="B13241" t="str">
            <v>Shipment</v>
          </cell>
        </row>
        <row r="13242">
          <cell r="B13242" t="str">
            <v>Shipment</v>
          </cell>
        </row>
        <row r="13243">
          <cell r="B13243" t="str">
            <v>Shipment</v>
          </cell>
        </row>
        <row r="13244">
          <cell r="B13244" t="str">
            <v>Shipment</v>
          </cell>
        </row>
        <row r="13245">
          <cell r="B13245" t="str">
            <v>Shipment</v>
          </cell>
        </row>
        <row r="13246">
          <cell r="B13246" t="str">
            <v>Shipment</v>
          </cell>
        </row>
        <row r="13247">
          <cell r="B13247" t="str">
            <v>Shipment</v>
          </cell>
        </row>
        <row r="13248">
          <cell r="B13248" t="str">
            <v>Shipment</v>
          </cell>
        </row>
        <row r="13249">
          <cell r="B13249" t="str">
            <v>Shipment</v>
          </cell>
        </row>
        <row r="13250">
          <cell r="B13250" t="str">
            <v>Shipment</v>
          </cell>
        </row>
        <row r="13251">
          <cell r="B13251" t="str">
            <v>Shipment</v>
          </cell>
        </row>
        <row r="13252">
          <cell r="B13252" t="str">
            <v>Shipment</v>
          </cell>
        </row>
        <row r="13253">
          <cell r="B13253" t="str">
            <v>Shipment</v>
          </cell>
        </row>
        <row r="13254">
          <cell r="B13254" t="str">
            <v>Shipment</v>
          </cell>
        </row>
        <row r="13255">
          <cell r="B13255" t="str">
            <v>Shipment</v>
          </cell>
        </row>
        <row r="13256">
          <cell r="B13256" t="str">
            <v>Shipment</v>
          </cell>
        </row>
        <row r="13257">
          <cell r="B13257" t="str">
            <v>Shipment</v>
          </cell>
        </row>
        <row r="13258">
          <cell r="B13258" t="str">
            <v>Shipment</v>
          </cell>
        </row>
        <row r="13259">
          <cell r="B13259" t="str">
            <v>Shipment</v>
          </cell>
        </row>
        <row r="13260">
          <cell r="B13260" t="str">
            <v>Shipment</v>
          </cell>
        </row>
        <row r="13261">
          <cell r="B13261" t="str">
            <v>Shipment</v>
          </cell>
        </row>
        <row r="13262">
          <cell r="B13262" t="str">
            <v>Shipment</v>
          </cell>
        </row>
        <row r="13263">
          <cell r="B13263" t="str">
            <v>Shipment</v>
          </cell>
        </row>
        <row r="13264">
          <cell r="B13264" t="str">
            <v>Shipment</v>
          </cell>
        </row>
        <row r="13265">
          <cell r="B13265" t="str">
            <v>Shipment</v>
          </cell>
        </row>
        <row r="13266">
          <cell r="B13266" t="str">
            <v>Shipment</v>
          </cell>
        </row>
        <row r="13267">
          <cell r="B13267" t="str">
            <v>Shipment</v>
          </cell>
        </row>
        <row r="13268">
          <cell r="B13268" t="str">
            <v>Shipment</v>
          </cell>
        </row>
        <row r="13269">
          <cell r="B13269" t="str">
            <v>Shipment</v>
          </cell>
        </row>
        <row r="13270">
          <cell r="B13270" t="str">
            <v>Shipment</v>
          </cell>
        </row>
        <row r="13271">
          <cell r="B13271" t="str">
            <v>Shipment</v>
          </cell>
        </row>
        <row r="13272">
          <cell r="B13272" t="str">
            <v>Shipment</v>
          </cell>
        </row>
        <row r="13273">
          <cell r="B13273" t="str">
            <v>Shipment</v>
          </cell>
        </row>
        <row r="13274">
          <cell r="B13274" t="str">
            <v>Shipment</v>
          </cell>
        </row>
        <row r="13275">
          <cell r="B13275" t="str">
            <v>Shipment</v>
          </cell>
        </row>
        <row r="13276">
          <cell r="B13276" t="str">
            <v>Shipment</v>
          </cell>
        </row>
        <row r="13277">
          <cell r="B13277" t="str">
            <v>Shipment</v>
          </cell>
        </row>
        <row r="13278">
          <cell r="B13278" t="str">
            <v>Shipment</v>
          </cell>
        </row>
        <row r="13279">
          <cell r="B13279" t="str">
            <v>Shipment</v>
          </cell>
        </row>
        <row r="13280">
          <cell r="B13280" t="str">
            <v>Shipment</v>
          </cell>
        </row>
        <row r="13281">
          <cell r="B13281" t="str">
            <v>Shipment</v>
          </cell>
        </row>
        <row r="13282">
          <cell r="B13282" t="str">
            <v>Shipment</v>
          </cell>
        </row>
        <row r="13283">
          <cell r="B13283" t="str">
            <v>Shipment</v>
          </cell>
        </row>
        <row r="13284">
          <cell r="B13284" t="str">
            <v>Shipment</v>
          </cell>
        </row>
        <row r="13285">
          <cell r="B13285" t="str">
            <v>Shipment</v>
          </cell>
        </row>
        <row r="13286">
          <cell r="B13286" t="str">
            <v>Shipment</v>
          </cell>
        </row>
        <row r="13287">
          <cell r="B13287" t="str">
            <v>Shipment</v>
          </cell>
        </row>
        <row r="13288">
          <cell r="B13288" t="str">
            <v>Shipment</v>
          </cell>
        </row>
        <row r="13289">
          <cell r="B13289" t="str">
            <v>Shipment</v>
          </cell>
        </row>
        <row r="13290">
          <cell r="B13290" t="str">
            <v>Shipment</v>
          </cell>
        </row>
        <row r="13291">
          <cell r="B13291" t="str">
            <v>Shipment</v>
          </cell>
        </row>
        <row r="13292">
          <cell r="B13292" t="str">
            <v>Shipment</v>
          </cell>
        </row>
        <row r="13293">
          <cell r="B13293" t="str">
            <v>Shipment</v>
          </cell>
        </row>
        <row r="13294">
          <cell r="B13294" t="str">
            <v>Shipment</v>
          </cell>
        </row>
        <row r="13295">
          <cell r="B13295" t="str">
            <v>Shipment</v>
          </cell>
        </row>
        <row r="13296">
          <cell r="B13296" t="str">
            <v>Shipment</v>
          </cell>
        </row>
        <row r="13297">
          <cell r="B13297" t="str">
            <v>Shipment</v>
          </cell>
        </row>
        <row r="13298">
          <cell r="B13298" t="str">
            <v>Shipment</v>
          </cell>
        </row>
        <row r="13299">
          <cell r="B13299" t="str">
            <v>Shipment</v>
          </cell>
        </row>
        <row r="13300">
          <cell r="B13300" t="str">
            <v>Shipment</v>
          </cell>
        </row>
        <row r="13301">
          <cell r="B13301" t="str">
            <v>Shipment</v>
          </cell>
        </row>
        <row r="13302">
          <cell r="B13302" t="str">
            <v>Shipment</v>
          </cell>
        </row>
        <row r="13303">
          <cell r="B13303" t="str">
            <v>Shipment</v>
          </cell>
        </row>
        <row r="13304">
          <cell r="B13304" t="str">
            <v>Shipment</v>
          </cell>
        </row>
        <row r="13305">
          <cell r="B13305" t="str">
            <v>Shipment</v>
          </cell>
        </row>
        <row r="13306">
          <cell r="B13306" t="str">
            <v>Shipment</v>
          </cell>
        </row>
        <row r="13307">
          <cell r="B13307" t="str">
            <v>Shipment</v>
          </cell>
        </row>
        <row r="13308">
          <cell r="B13308" t="str">
            <v>Shipment</v>
          </cell>
        </row>
        <row r="13309">
          <cell r="B13309" t="str">
            <v>Shipment</v>
          </cell>
        </row>
        <row r="13310">
          <cell r="B13310" t="str">
            <v>Shipment</v>
          </cell>
        </row>
        <row r="13311">
          <cell r="B13311" t="str">
            <v>Shipment</v>
          </cell>
        </row>
        <row r="13312">
          <cell r="B13312" t="str">
            <v>Shipment</v>
          </cell>
        </row>
        <row r="13313">
          <cell r="B13313" t="str">
            <v>Shipment</v>
          </cell>
        </row>
        <row r="13314">
          <cell r="B13314" t="str">
            <v>Shipment</v>
          </cell>
        </row>
        <row r="13315">
          <cell r="B13315" t="str">
            <v>Shipment</v>
          </cell>
        </row>
        <row r="13316">
          <cell r="B13316" t="str">
            <v>Shipment</v>
          </cell>
        </row>
        <row r="13317">
          <cell r="B13317" t="str">
            <v>Shipment</v>
          </cell>
        </row>
        <row r="13318">
          <cell r="B13318" t="str">
            <v>Shipment</v>
          </cell>
        </row>
        <row r="13319">
          <cell r="B13319" t="str">
            <v>Shipment</v>
          </cell>
        </row>
        <row r="13320">
          <cell r="B13320" t="str">
            <v>Shipment</v>
          </cell>
        </row>
        <row r="13321">
          <cell r="B13321" t="str">
            <v>Shipment</v>
          </cell>
        </row>
        <row r="13322">
          <cell r="B13322" t="str">
            <v>Shipment</v>
          </cell>
        </row>
        <row r="13323">
          <cell r="B13323" t="str">
            <v>Shipment</v>
          </cell>
        </row>
        <row r="13324">
          <cell r="B13324" t="str">
            <v>Shipment</v>
          </cell>
        </row>
        <row r="13325">
          <cell r="B13325" t="str">
            <v>Shipment</v>
          </cell>
        </row>
        <row r="13326">
          <cell r="B13326" t="str">
            <v>Shipment</v>
          </cell>
        </row>
        <row r="13327">
          <cell r="B13327" t="str">
            <v>Shipment</v>
          </cell>
        </row>
        <row r="13328">
          <cell r="B13328" t="str">
            <v>Shipment</v>
          </cell>
        </row>
        <row r="13329">
          <cell r="B13329" t="str">
            <v>Shipment</v>
          </cell>
        </row>
        <row r="13330">
          <cell r="B13330" t="str">
            <v>Shipment</v>
          </cell>
        </row>
        <row r="13331">
          <cell r="B13331" t="str">
            <v>Shipment</v>
          </cell>
        </row>
        <row r="13332">
          <cell r="B13332" t="str">
            <v>Shipment</v>
          </cell>
        </row>
        <row r="13333">
          <cell r="B13333" t="str">
            <v>Shipment</v>
          </cell>
        </row>
        <row r="13334">
          <cell r="B13334" t="str">
            <v>Shipment</v>
          </cell>
        </row>
        <row r="13335">
          <cell r="B13335" t="str">
            <v>Shipment</v>
          </cell>
        </row>
        <row r="13336">
          <cell r="B13336" t="str">
            <v>Shipment</v>
          </cell>
        </row>
        <row r="13337">
          <cell r="B13337" t="str">
            <v>Shipment</v>
          </cell>
        </row>
        <row r="13338">
          <cell r="B13338" t="str">
            <v>Shipment</v>
          </cell>
        </row>
        <row r="13339">
          <cell r="B13339" t="str">
            <v>Shipment</v>
          </cell>
        </row>
        <row r="13340">
          <cell r="B13340" t="str">
            <v>Shipment</v>
          </cell>
        </row>
        <row r="13341">
          <cell r="B13341" t="str">
            <v>Shipment</v>
          </cell>
        </row>
        <row r="13342">
          <cell r="B13342" t="str">
            <v>Shipment</v>
          </cell>
        </row>
        <row r="13343">
          <cell r="B13343" t="str">
            <v>Shipment</v>
          </cell>
        </row>
        <row r="13344">
          <cell r="B13344" t="str">
            <v>Shipment</v>
          </cell>
        </row>
        <row r="13345">
          <cell r="B13345" t="str">
            <v>Shipment</v>
          </cell>
        </row>
        <row r="13346">
          <cell r="B13346" t="str">
            <v>Shipment</v>
          </cell>
        </row>
        <row r="13347">
          <cell r="B13347" t="str">
            <v>Shipment</v>
          </cell>
        </row>
        <row r="13348">
          <cell r="B13348" t="str">
            <v>Shipment</v>
          </cell>
        </row>
        <row r="13349">
          <cell r="B13349" t="str">
            <v>Shipment</v>
          </cell>
        </row>
        <row r="13350">
          <cell r="B13350" t="str">
            <v>Shipment</v>
          </cell>
        </row>
        <row r="13351">
          <cell r="B13351" t="str">
            <v>Shipment</v>
          </cell>
        </row>
        <row r="13352">
          <cell r="B13352" t="str">
            <v>Shipment</v>
          </cell>
        </row>
        <row r="13353">
          <cell r="B13353" t="str">
            <v>Shipment</v>
          </cell>
        </row>
        <row r="13354">
          <cell r="B13354" t="str">
            <v>Shipment</v>
          </cell>
        </row>
        <row r="13355">
          <cell r="B13355" t="str">
            <v>Shipment</v>
          </cell>
        </row>
        <row r="13356">
          <cell r="B13356" t="str">
            <v>Shipment</v>
          </cell>
        </row>
        <row r="13357">
          <cell r="B13357" t="str">
            <v>Shipment</v>
          </cell>
        </row>
        <row r="13358">
          <cell r="B13358" t="str">
            <v>Shipment</v>
          </cell>
        </row>
        <row r="13359">
          <cell r="B13359" t="str">
            <v>Shipment</v>
          </cell>
        </row>
        <row r="13360">
          <cell r="B13360" t="str">
            <v>Shipment</v>
          </cell>
        </row>
        <row r="13361">
          <cell r="B13361" t="str">
            <v>Shipment</v>
          </cell>
        </row>
        <row r="13362">
          <cell r="B13362" t="str">
            <v>Shipment</v>
          </cell>
        </row>
        <row r="13363">
          <cell r="B13363" t="str">
            <v>Shipment</v>
          </cell>
        </row>
        <row r="13364">
          <cell r="B13364" t="str">
            <v>Shipment</v>
          </cell>
        </row>
        <row r="13365">
          <cell r="B13365" t="str">
            <v>Shipment</v>
          </cell>
        </row>
        <row r="13366">
          <cell r="B13366" t="str">
            <v>Shipment</v>
          </cell>
        </row>
        <row r="13367">
          <cell r="B13367" t="str">
            <v>Shipment</v>
          </cell>
        </row>
        <row r="13368">
          <cell r="B13368" t="str">
            <v>Shipment</v>
          </cell>
        </row>
        <row r="13369">
          <cell r="B13369" t="str">
            <v>Shipment</v>
          </cell>
        </row>
        <row r="13370">
          <cell r="B13370" t="str">
            <v>Shipment</v>
          </cell>
        </row>
        <row r="13371">
          <cell r="B13371" t="str">
            <v>Shipment</v>
          </cell>
        </row>
        <row r="13372">
          <cell r="B13372" t="str">
            <v>Shipment</v>
          </cell>
        </row>
        <row r="13373">
          <cell r="B13373" t="str">
            <v>Shipment</v>
          </cell>
        </row>
        <row r="13374">
          <cell r="B13374" t="str">
            <v>Shipment</v>
          </cell>
        </row>
        <row r="13375">
          <cell r="B13375" t="str">
            <v>Shipment</v>
          </cell>
        </row>
        <row r="13376">
          <cell r="B13376" t="str">
            <v>Shipment</v>
          </cell>
        </row>
        <row r="13377">
          <cell r="B13377" t="str">
            <v>Shipment</v>
          </cell>
        </row>
        <row r="13378">
          <cell r="B13378" t="str">
            <v>Shipment</v>
          </cell>
        </row>
        <row r="13379">
          <cell r="B13379" t="str">
            <v>Shipment</v>
          </cell>
        </row>
        <row r="13380">
          <cell r="B13380" t="str">
            <v>Shipment</v>
          </cell>
        </row>
        <row r="13381">
          <cell r="B13381" t="str">
            <v>Shipment</v>
          </cell>
        </row>
        <row r="13382">
          <cell r="B13382" t="str">
            <v>Shipment</v>
          </cell>
        </row>
        <row r="13383">
          <cell r="B13383" t="str">
            <v>Shipment</v>
          </cell>
        </row>
        <row r="13384">
          <cell r="B13384" t="str">
            <v>Shipment</v>
          </cell>
        </row>
        <row r="13385">
          <cell r="B13385" t="str">
            <v>Shipment</v>
          </cell>
        </row>
        <row r="13386">
          <cell r="B13386" t="str">
            <v>Shipment</v>
          </cell>
        </row>
        <row r="13387">
          <cell r="B13387" t="str">
            <v>Shipment</v>
          </cell>
        </row>
        <row r="13388">
          <cell r="B13388" t="str">
            <v>Shipment</v>
          </cell>
        </row>
        <row r="13389">
          <cell r="B13389" t="str">
            <v>Shipment</v>
          </cell>
        </row>
        <row r="13390">
          <cell r="B13390" t="str">
            <v>Shipment</v>
          </cell>
        </row>
        <row r="13391">
          <cell r="B13391" t="str">
            <v>Shipment</v>
          </cell>
        </row>
        <row r="13392">
          <cell r="B13392" t="str">
            <v>Shipment</v>
          </cell>
        </row>
        <row r="13393">
          <cell r="B13393" t="str">
            <v>Shipment</v>
          </cell>
        </row>
        <row r="13394">
          <cell r="B13394" t="str">
            <v>Shipment</v>
          </cell>
        </row>
        <row r="13395">
          <cell r="B13395" t="str">
            <v>Shipment</v>
          </cell>
        </row>
        <row r="13396">
          <cell r="B13396" t="str">
            <v>Shipment</v>
          </cell>
        </row>
        <row r="13397">
          <cell r="B13397" t="str">
            <v>Shipment</v>
          </cell>
        </row>
        <row r="13398">
          <cell r="B13398" t="str">
            <v>Shipment</v>
          </cell>
        </row>
        <row r="13399">
          <cell r="B13399" t="str">
            <v>Shipment</v>
          </cell>
        </row>
        <row r="13400">
          <cell r="B13400" t="str">
            <v>Shipment</v>
          </cell>
        </row>
        <row r="13401">
          <cell r="B13401" t="str">
            <v>Shipment</v>
          </cell>
        </row>
        <row r="13402">
          <cell r="B13402" t="str">
            <v>Shipment</v>
          </cell>
        </row>
        <row r="13403">
          <cell r="B13403" t="str">
            <v>Shipment</v>
          </cell>
        </row>
        <row r="13404">
          <cell r="B13404" t="str">
            <v>Shipment</v>
          </cell>
        </row>
        <row r="13405">
          <cell r="B13405" t="str">
            <v>Shipment</v>
          </cell>
        </row>
        <row r="13406">
          <cell r="B13406" t="str">
            <v>Shipment</v>
          </cell>
        </row>
        <row r="13407">
          <cell r="B13407" t="str">
            <v>Shipment</v>
          </cell>
        </row>
        <row r="13408">
          <cell r="B13408" t="str">
            <v>Shipment</v>
          </cell>
        </row>
        <row r="13409">
          <cell r="B13409" t="str">
            <v>Shipment</v>
          </cell>
        </row>
        <row r="13410">
          <cell r="B13410" t="str">
            <v>Shipment</v>
          </cell>
        </row>
        <row r="13411">
          <cell r="B13411" t="str">
            <v>Shipment</v>
          </cell>
        </row>
        <row r="13412">
          <cell r="B13412" t="str">
            <v>Shipment</v>
          </cell>
        </row>
        <row r="13413">
          <cell r="B13413" t="str">
            <v>Shipment</v>
          </cell>
        </row>
        <row r="13414">
          <cell r="B13414" t="str">
            <v>Shipment</v>
          </cell>
        </row>
        <row r="13415">
          <cell r="B13415" t="str">
            <v>Shipment</v>
          </cell>
        </row>
        <row r="13416">
          <cell r="B13416" t="str">
            <v>Shipment</v>
          </cell>
        </row>
        <row r="13417">
          <cell r="B13417" t="str">
            <v>Shipment</v>
          </cell>
        </row>
        <row r="13418">
          <cell r="B13418" t="str">
            <v>Shipment</v>
          </cell>
        </row>
        <row r="13419">
          <cell r="B13419" t="str">
            <v>Shipment</v>
          </cell>
        </row>
        <row r="13420">
          <cell r="B13420" t="str">
            <v>Shipment</v>
          </cell>
        </row>
        <row r="13421">
          <cell r="B13421" t="str">
            <v>Shipment</v>
          </cell>
        </row>
        <row r="13422">
          <cell r="B13422" t="str">
            <v>Shipment</v>
          </cell>
        </row>
        <row r="13423">
          <cell r="B13423" t="str">
            <v>Shipment</v>
          </cell>
        </row>
        <row r="13424">
          <cell r="B13424" t="str">
            <v>Shipment</v>
          </cell>
        </row>
        <row r="13425">
          <cell r="B13425" t="str">
            <v>Shipment</v>
          </cell>
        </row>
        <row r="13426">
          <cell r="B13426" t="str">
            <v>Shipment</v>
          </cell>
        </row>
        <row r="13427">
          <cell r="B13427" t="str">
            <v>Shipment</v>
          </cell>
        </row>
        <row r="13428">
          <cell r="B13428" t="str">
            <v>Shipment</v>
          </cell>
        </row>
        <row r="13429">
          <cell r="B13429" t="str">
            <v>Shipment</v>
          </cell>
        </row>
        <row r="13430">
          <cell r="B13430" t="str">
            <v>Shipment</v>
          </cell>
        </row>
        <row r="13431">
          <cell r="B13431" t="str">
            <v>Shipment</v>
          </cell>
        </row>
        <row r="13432">
          <cell r="B13432" t="str">
            <v>Shipment</v>
          </cell>
        </row>
        <row r="13433">
          <cell r="B13433" t="str">
            <v>Shipment</v>
          </cell>
        </row>
        <row r="13434">
          <cell r="B13434" t="str">
            <v>Shipment</v>
          </cell>
        </row>
        <row r="13435">
          <cell r="B13435" t="str">
            <v>Shipment</v>
          </cell>
        </row>
        <row r="13436">
          <cell r="B13436" t="str">
            <v>Shipment</v>
          </cell>
        </row>
        <row r="13437">
          <cell r="B13437" t="str">
            <v>Shipment</v>
          </cell>
        </row>
        <row r="13438">
          <cell r="B13438" t="str">
            <v>Shipment</v>
          </cell>
        </row>
        <row r="13439">
          <cell r="B13439" t="str">
            <v>Shipment</v>
          </cell>
        </row>
        <row r="13440">
          <cell r="B13440" t="str">
            <v>Shipment</v>
          </cell>
        </row>
        <row r="13441">
          <cell r="B13441" t="str">
            <v>Shipment</v>
          </cell>
        </row>
        <row r="13442">
          <cell r="B13442" t="str">
            <v>Shipment</v>
          </cell>
        </row>
        <row r="13443">
          <cell r="B13443" t="str">
            <v>Shipment</v>
          </cell>
        </row>
        <row r="13444">
          <cell r="B13444" t="str">
            <v>Shipment</v>
          </cell>
        </row>
        <row r="13445">
          <cell r="B13445" t="str">
            <v>Shipment</v>
          </cell>
        </row>
        <row r="13446">
          <cell r="B13446" t="str">
            <v>Shipment</v>
          </cell>
        </row>
        <row r="13447">
          <cell r="B13447" t="str">
            <v>Shipment</v>
          </cell>
        </row>
        <row r="13448">
          <cell r="B13448" t="str">
            <v>Shipment</v>
          </cell>
        </row>
        <row r="13449">
          <cell r="B13449" t="str">
            <v>Shipment</v>
          </cell>
        </row>
        <row r="13450">
          <cell r="B13450" t="str">
            <v>Shipment</v>
          </cell>
        </row>
        <row r="13451">
          <cell r="B13451" t="str">
            <v>Shipment</v>
          </cell>
        </row>
        <row r="13452">
          <cell r="B13452" t="str">
            <v>Shipment</v>
          </cell>
        </row>
        <row r="13453">
          <cell r="B13453" t="str">
            <v>Shipment</v>
          </cell>
        </row>
        <row r="13454">
          <cell r="B13454" t="str">
            <v>Shipment</v>
          </cell>
        </row>
        <row r="13455">
          <cell r="B13455" t="str">
            <v>Shipment</v>
          </cell>
        </row>
        <row r="13456">
          <cell r="B13456" t="str">
            <v>Shipment</v>
          </cell>
        </row>
        <row r="13457">
          <cell r="B13457" t="str">
            <v>Shipment</v>
          </cell>
        </row>
        <row r="13458">
          <cell r="B13458" t="str">
            <v>Shipment</v>
          </cell>
        </row>
        <row r="13459">
          <cell r="B13459" t="str">
            <v>Shipment</v>
          </cell>
        </row>
        <row r="13460">
          <cell r="B13460" t="str">
            <v>Shipment</v>
          </cell>
        </row>
        <row r="13461">
          <cell r="B13461" t="str">
            <v>Shipment</v>
          </cell>
        </row>
        <row r="13462">
          <cell r="B13462" t="str">
            <v>Shipment</v>
          </cell>
        </row>
        <row r="13463">
          <cell r="B13463" t="str">
            <v>Shipment</v>
          </cell>
        </row>
        <row r="13464">
          <cell r="B13464" t="str">
            <v>Shipment</v>
          </cell>
        </row>
        <row r="13465">
          <cell r="B13465" t="str">
            <v>Shipment</v>
          </cell>
        </row>
        <row r="13466">
          <cell r="B13466" t="str">
            <v>Shipment</v>
          </cell>
        </row>
        <row r="13467">
          <cell r="B13467" t="str">
            <v>Shipment</v>
          </cell>
        </row>
        <row r="13468">
          <cell r="B13468" t="str">
            <v>Shipment</v>
          </cell>
        </row>
        <row r="13469">
          <cell r="B13469" t="str">
            <v>Shipment</v>
          </cell>
        </row>
        <row r="13470">
          <cell r="B13470" t="str">
            <v>Shipment</v>
          </cell>
        </row>
        <row r="13471">
          <cell r="B13471" t="str">
            <v>Shipment</v>
          </cell>
        </row>
        <row r="13472">
          <cell r="B13472" t="str">
            <v>Shipment</v>
          </cell>
        </row>
        <row r="13473">
          <cell r="B13473" t="str">
            <v>Shipment</v>
          </cell>
        </row>
        <row r="13474">
          <cell r="B13474" t="str">
            <v>Shipment</v>
          </cell>
        </row>
        <row r="13475">
          <cell r="B13475" t="str">
            <v>Shipment</v>
          </cell>
        </row>
        <row r="13476">
          <cell r="B13476" t="str">
            <v>Shipment</v>
          </cell>
        </row>
        <row r="13477">
          <cell r="B13477" t="str">
            <v>Shipment</v>
          </cell>
        </row>
        <row r="13478">
          <cell r="B13478" t="str">
            <v>Shipment</v>
          </cell>
        </row>
        <row r="13479">
          <cell r="B13479" t="str">
            <v>Shipment</v>
          </cell>
        </row>
        <row r="13480">
          <cell r="B13480" t="str">
            <v>Shipment</v>
          </cell>
        </row>
        <row r="13481">
          <cell r="B13481" t="str">
            <v>Shipment</v>
          </cell>
        </row>
        <row r="13482">
          <cell r="B13482" t="str">
            <v>Shipment</v>
          </cell>
        </row>
        <row r="13483">
          <cell r="B13483" t="str">
            <v>Shipment</v>
          </cell>
        </row>
        <row r="13484">
          <cell r="B13484" t="str">
            <v>Shipment</v>
          </cell>
        </row>
        <row r="13485">
          <cell r="B13485" t="str">
            <v>Shipment</v>
          </cell>
        </row>
        <row r="13486">
          <cell r="B13486" t="str">
            <v>Shipment</v>
          </cell>
        </row>
        <row r="13487">
          <cell r="B13487" t="str">
            <v>Shipment</v>
          </cell>
        </row>
        <row r="13488">
          <cell r="B13488" t="str">
            <v>Shipment</v>
          </cell>
        </row>
        <row r="13489">
          <cell r="B13489" t="str">
            <v>Shipment</v>
          </cell>
        </row>
        <row r="13490">
          <cell r="B13490" t="str">
            <v>Shipment</v>
          </cell>
        </row>
        <row r="13491">
          <cell r="B13491" t="str">
            <v>Shipment</v>
          </cell>
        </row>
        <row r="13492">
          <cell r="B13492" t="str">
            <v>Shipment</v>
          </cell>
        </row>
        <row r="13493">
          <cell r="B13493" t="str">
            <v>Shipment</v>
          </cell>
        </row>
        <row r="13494">
          <cell r="B13494" t="str">
            <v>Shipment</v>
          </cell>
        </row>
        <row r="13495">
          <cell r="B13495" t="str">
            <v>Shipment</v>
          </cell>
        </row>
        <row r="13496">
          <cell r="B13496" t="str">
            <v>Shipment</v>
          </cell>
        </row>
        <row r="13497">
          <cell r="B13497" t="str">
            <v>Shipment</v>
          </cell>
        </row>
        <row r="13498">
          <cell r="B13498" t="str">
            <v>Shipment</v>
          </cell>
        </row>
        <row r="13499">
          <cell r="B13499" t="str">
            <v>Shipment</v>
          </cell>
        </row>
        <row r="13500">
          <cell r="B13500" t="str">
            <v>Shipment</v>
          </cell>
        </row>
        <row r="13501">
          <cell r="B13501" t="str">
            <v>Shipment</v>
          </cell>
        </row>
        <row r="13502">
          <cell r="B13502" t="str">
            <v>Shipment</v>
          </cell>
        </row>
        <row r="13503">
          <cell r="B13503" t="str">
            <v>Shipment</v>
          </cell>
        </row>
        <row r="13504">
          <cell r="B13504" t="str">
            <v>Shipment</v>
          </cell>
        </row>
        <row r="13505">
          <cell r="B13505" t="str">
            <v>Shipment</v>
          </cell>
        </row>
        <row r="13506">
          <cell r="B13506" t="str">
            <v>Shipment</v>
          </cell>
        </row>
        <row r="13507">
          <cell r="B13507" t="str">
            <v>Shipment</v>
          </cell>
        </row>
        <row r="13508">
          <cell r="B13508" t="str">
            <v>Shipment</v>
          </cell>
        </row>
        <row r="13509">
          <cell r="B13509" t="str">
            <v>Shipment</v>
          </cell>
        </row>
        <row r="13510">
          <cell r="B13510" t="str">
            <v>Shipment</v>
          </cell>
        </row>
        <row r="13511">
          <cell r="B13511" t="str">
            <v>Shipment</v>
          </cell>
        </row>
        <row r="13512">
          <cell r="B13512" t="str">
            <v>Shipment</v>
          </cell>
        </row>
        <row r="13513">
          <cell r="B13513" t="str">
            <v>Shipment</v>
          </cell>
        </row>
        <row r="13514">
          <cell r="B13514" t="str">
            <v>Shipment</v>
          </cell>
        </row>
        <row r="13515">
          <cell r="B13515" t="str">
            <v>Shipment</v>
          </cell>
        </row>
        <row r="13516">
          <cell r="B13516" t="str">
            <v>Shipment</v>
          </cell>
        </row>
        <row r="13517">
          <cell r="B13517" t="str">
            <v>Shipment</v>
          </cell>
        </row>
        <row r="13518">
          <cell r="B13518" t="str">
            <v>Shipment</v>
          </cell>
        </row>
        <row r="13519">
          <cell r="B13519" t="str">
            <v>Shipment</v>
          </cell>
        </row>
        <row r="13520">
          <cell r="B13520" t="str">
            <v>Shipment</v>
          </cell>
        </row>
        <row r="13521">
          <cell r="B13521" t="str">
            <v>Shipment</v>
          </cell>
        </row>
        <row r="13522">
          <cell r="B13522" t="str">
            <v>Shipment</v>
          </cell>
        </row>
        <row r="13523">
          <cell r="B13523" t="str">
            <v>Shipment</v>
          </cell>
        </row>
        <row r="13524">
          <cell r="B13524" t="str">
            <v>Shipment</v>
          </cell>
        </row>
        <row r="13525">
          <cell r="B13525" t="str">
            <v>Shipment</v>
          </cell>
        </row>
        <row r="13526">
          <cell r="B13526" t="str">
            <v>Shipment</v>
          </cell>
        </row>
        <row r="13527">
          <cell r="B13527" t="str">
            <v>Shipment</v>
          </cell>
        </row>
        <row r="13528">
          <cell r="B13528" t="str">
            <v>Shipment</v>
          </cell>
        </row>
        <row r="13529">
          <cell r="B13529" t="str">
            <v>Shipment</v>
          </cell>
        </row>
        <row r="13530">
          <cell r="B13530" t="str">
            <v>Shipment</v>
          </cell>
        </row>
        <row r="13531">
          <cell r="B13531" t="str">
            <v>Shipment</v>
          </cell>
        </row>
        <row r="13532">
          <cell r="B13532" t="str">
            <v>Shipment</v>
          </cell>
        </row>
        <row r="13533">
          <cell r="B13533" t="str">
            <v>Shipment</v>
          </cell>
        </row>
        <row r="13534">
          <cell r="B13534" t="str">
            <v>Shipment</v>
          </cell>
        </row>
        <row r="13535">
          <cell r="B13535" t="str">
            <v>Shipment</v>
          </cell>
        </row>
        <row r="13536">
          <cell r="B13536" t="str">
            <v>Shipment</v>
          </cell>
        </row>
        <row r="13537">
          <cell r="B13537" t="str">
            <v>Shipment</v>
          </cell>
        </row>
        <row r="13538">
          <cell r="B13538" t="str">
            <v>Shipment</v>
          </cell>
        </row>
        <row r="13539">
          <cell r="B13539" t="str">
            <v>Shipment</v>
          </cell>
        </row>
        <row r="13540">
          <cell r="B13540" t="str">
            <v>Shipment</v>
          </cell>
        </row>
        <row r="13541">
          <cell r="B13541" t="str">
            <v>Shipment</v>
          </cell>
        </row>
        <row r="13542">
          <cell r="B13542" t="str">
            <v>Shipment</v>
          </cell>
        </row>
        <row r="13543">
          <cell r="B13543" t="str">
            <v>Shipment</v>
          </cell>
        </row>
        <row r="13544">
          <cell r="B13544" t="str">
            <v>Shipment</v>
          </cell>
        </row>
        <row r="13545">
          <cell r="B13545" t="str">
            <v>Shipment</v>
          </cell>
        </row>
        <row r="13546">
          <cell r="B13546" t="str">
            <v>Shipment</v>
          </cell>
        </row>
        <row r="13547">
          <cell r="B13547" t="str">
            <v>Shipment</v>
          </cell>
        </row>
        <row r="13548">
          <cell r="B13548" t="str">
            <v>Shipment</v>
          </cell>
        </row>
        <row r="13549">
          <cell r="B13549" t="str">
            <v>Shipment</v>
          </cell>
        </row>
        <row r="13550">
          <cell r="B13550" t="str">
            <v>Shipment</v>
          </cell>
        </row>
        <row r="13551">
          <cell r="B13551" t="str">
            <v>Shipment</v>
          </cell>
        </row>
        <row r="13552">
          <cell r="B13552" t="str">
            <v>Shipment</v>
          </cell>
        </row>
        <row r="13553">
          <cell r="B13553" t="str">
            <v>Shipment</v>
          </cell>
        </row>
        <row r="13554">
          <cell r="B13554" t="str">
            <v>Shipment</v>
          </cell>
        </row>
        <row r="13555">
          <cell r="B13555" t="str">
            <v>Shipment</v>
          </cell>
        </row>
        <row r="13556">
          <cell r="B13556" t="str">
            <v>Shipment</v>
          </cell>
        </row>
        <row r="13557">
          <cell r="B13557" t="str">
            <v>Shipment</v>
          </cell>
        </row>
        <row r="13558">
          <cell r="B13558" t="str">
            <v>Shipment</v>
          </cell>
        </row>
        <row r="13559">
          <cell r="B13559" t="str">
            <v>Shipment</v>
          </cell>
        </row>
        <row r="13560">
          <cell r="B13560" t="str">
            <v>Shipment</v>
          </cell>
        </row>
        <row r="13561">
          <cell r="B13561" t="str">
            <v>Shipment</v>
          </cell>
        </row>
        <row r="13562">
          <cell r="B13562" t="str">
            <v>Shipment</v>
          </cell>
        </row>
        <row r="13563">
          <cell r="B13563" t="str">
            <v>Shipment</v>
          </cell>
        </row>
        <row r="13564">
          <cell r="B13564" t="str">
            <v>Shipment</v>
          </cell>
        </row>
        <row r="13565">
          <cell r="B13565" t="str">
            <v>Shipment</v>
          </cell>
        </row>
        <row r="13566">
          <cell r="B13566" t="str">
            <v>Shipment</v>
          </cell>
        </row>
        <row r="13567">
          <cell r="B13567" t="str">
            <v>Shipment</v>
          </cell>
        </row>
        <row r="13568">
          <cell r="B13568" t="str">
            <v>Shipment</v>
          </cell>
        </row>
        <row r="13569">
          <cell r="B13569" t="str">
            <v>Shipment</v>
          </cell>
        </row>
        <row r="13570">
          <cell r="B13570" t="str">
            <v>Shipment</v>
          </cell>
        </row>
        <row r="13571">
          <cell r="B13571" t="str">
            <v>Shipment</v>
          </cell>
        </row>
        <row r="13572">
          <cell r="B13572" t="str">
            <v>Shipment</v>
          </cell>
        </row>
        <row r="13573">
          <cell r="B13573" t="str">
            <v>Shipment</v>
          </cell>
        </row>
        <row r="13574">
          <cell r="B13574" t="str">
            <v>Shipment</v>
          </cell>
        </row>
        <row r="13575">
          <cell r="B13575" t="str">
            <v>Shipment</v>
          </cell>
        </row>
        <row r="13576">
          <cell r="B13576" t="str">
            <v>Shipment</v>
          </cell>
        </row>
        <row r="13577">
          <cell r="B13577" t="str">
            <v>Shipment</v>
          </cell>
        </row>
        <row r="13578">
          <cell r="B13578" t="str">
            <v>Shipment</v>
          </cell>
        </row>
        <row r="13579">
          <cell r="B13579" t="str">
            <v>Shipment</v>
          </cell>
        </row>
        <row r="13580">
          <cell r="B13580" t="str">
            <v>Shipment</v>
          </cell>
        </row>
        <row r="13581">
          <cell r="B13581" t="str">
            <v>Shipment</v>
          </cell>
        </row>
        <row r="13582">
          <cell r="B13582" t="str">
            <v>Shipment</v>
          </cell>
        </row>
        <row r="13583">
          <cell r="B13583" t="str">
            <v>Shipment</v>
          </cell>
        </row>
        <row r="13584">
          <cell r="B13584" t="str">
            <v>Shipment</v>
          </cell>
        </row>
        <row r="13585">
          <cell r="B13585" t="str">
            <v>Shipment</v>
          </cell>
        </row>
        <row r="13586">
          <cell r="B13586" t="str">
            <v>Shipment</v>
          </cell>
        </row>
        <row r="13587">
          <cell r="B13587" t="str">
            <v>Shipment</v>
          </cell>
        </row>
        <row r="13588">
          <cell r="B13588" t="str">
            <v>Shipment</v>
          </cell>
        </row>
        <row r="13589">
          <cell r="B13589" t="str">
            <v>Shipment</v>
          </cell>
        </row>
        <row r="13590">
          <cell r="B13590" t="str">
            <v>Shipment</v>
          </cell>
        </row>
        <row r="13591">
          <cell r="B13591" t="str">
            <v>Shipment</v>
          </cell>
        </row>
        <row r="13592">
          <cell r="B13592" t="str">
            <v>Shipment</v>
          </cell>
        </row>
        <row r="13593">
          <cell r="B13593" t="str">
            <v>Shipment</v>
          </cell>
        </row>
        <row r="13594">
          <cell r="B13594" t="str">
            <v>Shipment</v>
          </cell>
        </row>
        <row r="13595">
          <cell r="B13595" t="str">
            <v>Shipment</v>
          </cell>
        </row>
        <row r="13596">
          <cell r="B13596" t="str">
            <v>Shipment</v>
          </cell>
        </row>
        <row r="13597">
          <cell r="B13597" t="str">
            <v>Shipment</v>
          </cell>
        </row>
        <row r="13598">
          <cell r="B13598" t="str">
            <v>Shipment</v>
          </cell>
        </row>
        <row r="13599">
          <cell r="B13599" t="str">
            <v>Shipment</v>
          </cell>
        </row>
        <row r="13600">
          <cell r="B13600" t="str">
            <v>Shipment</v>
          </cell>
        </row>
        <row r="13601">
          <cell r="B13601" t="str">
            <v>Shipment</v>
          </cell>
        </row>
        <row r="13602">
          <cell r="B13602" t="str">
            <v>Shipment</v>
          </cell>
        </row>
        <row r="13603">
          <cell r="B13603" t="str">
            <v>Shipment</v>
          </cell>
        </row>
        <row r="13604">
          <cell r="B13604" t="str">
            <v>Shipment</v>
          </cell>
        </row>
        <row r="13605">
          <cell r="B13605" t="str">
            <v>Shipment</v>
          </cell>
        </row>
        <row r="13606">
          <cell r="B13606" t="str">
            <v>Shipment</v>
          </cell>
        </row>
        <row r="13607">
          <cell r="B13607" t="str">
            <v>Shipment</v>
          </cell>
        </row>
        <row r="13608">
          <cell r="B13608" t="str">
            <v>Shipment</v>
          </cell>
        </row>
        <row r="13609">
          <cell r="B13609" t="str">
            <v>Shipment</v>
          </cell>
        </row>
        <row r="13610">
          <cell r="B13610" t="str">
            <v>Shipment</v>
          </cell>
        </row>
        <row r="13611">
          <cell r="B13611" t="str">
            <v>Shipment</v>
          </cell>
        </row>
        <row r="13612">
          <cell r="B13612" t="str">
            <v>Shipment</v>
          </cell>
        </row>
        <row r="13613">
          <cell r="B13613" t="str">
            <v>Shipment</v>
          </cell>
        </row>
        <row r="13614">
          <cell r="B13614" t="str">
            <v>Shipment</v>
          </cell>
        </row>
        <row r="13615">
          <cell r="B13615" t="str">
            <v>Shipment</v>
          </cell>
        </row>
        <row r="13616">
          <cell r="B13616" t="str">
            <v>Shipment</v>
          </cell>
        </row>
        <row r="13617">
          <cell r="B13617" t="str">
            <v>Shipment</v>
          </cell>
        </row>
        <row r="13618">
          <cell r="B13618" t="str">
            <v>Shipment</v>
          </cell>
        </row>
        <row r="13619">
          <cell r="B13619" t="str">
            <v>Shipment</v>
          </cell>
        </row>
        <row r="13620">
          <cell r="B13620" t="str">
            <v>Shipment</v>
          </cell>
        </row>
        <row r="13621">
          <cell r="B13621" t="str">
            <v>Shipment</v>
          </cell>
        </row>
        <row r="13622">
          <cell r="B13622" t="str">
            <v>Shipment</v>
          </cell>
        </row>
        <row r="13623">
          <cell r="B13623" t="str">
            <v>Shipment</v>
          </cell>
        </row>
        <row r="13624">
          <cell r="B13624" t="str">
            <v>Shipment</v>
          </cell>
        </row>
        <row r="13625">
          <cell r="B13625" t="str">
            <v>Shipment</v>
          </cell>
        </row>
        <row r="13626">
          <cell r="B13626" t="str">
            <v>Shipment</v>
          </cell>
        </row>
        <row r="13627">
          <cell r="B13627" t="str">
            <v>Shipment</v>
          </cell>
        </row>
        <row r="13628">
          <cell r="B13628" t="str">
            <v>Shipment</v>
          </cell>
        </row>
        <row r="13629">
          <cell r="B13629" t="str">
            <v>Shipment</v>
          </cell>
        </row>
        <row r="13630">
          <cell r="B13630" t="str">
            <v>Shipment</v>
          </cell>
        </row>
        <row r="13631">
          <cell r="B13631" t="str">
            <v>Shipment</v>
          </cell>
        </row>
        <row r="13632">
          <cell r="B13632" t="str">
            <v>Shipment</v>
          </cell>
        </row>
        <row r="13633">
          <cell r="B13633" t="str">
            <v>Shipment</v>
          </cell>
        </row>
        <row r="13634">
          <cell r="B13634" t="str">
            <v>Shipment</v>
          </cell>
        </row>
        <row r="13635">
          <cell r="B13635" t="str">
            <v>Shipment</v>
          </cell>
        </row>
        <row r="13636">
          <cell r="B13636" t="str">
            <v>Shipment</v>
          </cell>
        </row>
        <row r="13637">
          <cell r="B13637" t="str">
            <v>Shipment</v>
          </cell>
        </row>
        <row r="13638">
          <cell r="B13638" t="str">
            <v>Shipment</v>
          </cell>
        </row>
        <row r="13639">
          <cell r="B13639" t="str">
            <v>Shipment</v>
          </cell>
        </row>
        <row r="13640">
          <cell r="B13640" t="str">
            <v>Shipment</v>
          </cell>
        </row>
        <row r="13641">
          <cell r="B13641" t="str">
            <v>Shipment</v>
          </cell>
        </row>
        <row r="13642">
          <cell r="B13642" t="str">
            <v>Shipment</v>
          </cell>
        </row>
        <row r="13643">
          <cell r="B13643" t="str">
            <v>Shipment</v>
          </cell>
        </row>
        <row r="13644">
          <cell r="B13644" t="str">
            <v>Shipment</v>
          </cell>
        </row>
        <row r="13645">
          <cell r="B13645" t="str">
            <v>Shipment</v>
          </cell>
        </row>
        <row r="13646">
          <cell r="B13646" t="str">
            <v>Shipment</v>
          </cell>
        </row>
        <row r="13647">
          <cell r="B13647" t="str">
            <v>Shipment</v>
          </cell>
        </row>
        <row r="13648">
          <cell r="B13648" t="str">
            <v>Shipment</v>
          </cell>
        </row>
        <row r="13649">
          <cell r="B13649" t="str">
            <v>Shipment</v>
          </cell>
        </row>
        <row r="13650">
          <cell r="B13650" t="str">
            <v>Shipment</v>
          </cell>
        </row>
        <row r="13651">
          <cell r="B13651" t="str">
            <v>Shipment</v>
          </cell>
        </row>
        <row r="13652">
          <cell r="B13652" t="str">
            <v>Shipment</v>
          </cell>
        </row>
        <row r="13653">
          <cell r="B13653" t="str">
            <v>Shipment</v>
          </cell>
        </row>
        <row r="13654">
          <cell r="B13654" t="str">
            <v>Shipment</v>
          </cell>
        </row>
        <row r="13655">
          <cell r="B13655" t="str">
            <v>Shipment</v>
          </cell>
        </row>
        <row r="13656">
          <cell r="B13656" t="str">
            <v>Shipment</v>
          </cell>
        </row>
        <row r="13657">
          <cell r="B13657" t="str">
            <v>Shipment</v>
          </cell>
        </row>
        <row r="13658">
          <cell r="B13658" t="str">
            <v>Shipment</v>
          </cell>
        </row>
        <row r="13659">
          <cell r="B13659" t="str">
            <v>Shipment</v>
          </cell>
        </row>
        <row r="13660">
          <cell r="B13660" t="str">
            <v>Shipment</v>
          </cell>
        </row>
        <row r="13661">
          <cell r="B13661" t="str">
            <v>Shipment</v>
          </cell>
        </row>
        <row r="13662">
          <cell r="B13662" t="str">
            <v>Shipment</v>
          </cell>
        </row>
        <row r="13663">
          <cell r="B13663" t="str">
            <v>Shipment</v>
          </cell>
        </row>
        <row r="13664">
          <cell r="B13664" t="str">
            <v>Shipment</v>
          </cell>
        </row>
        <row r="13665">
          <cell r="B13665" t="str">
            <v>Shipment</v>
          </cell>
        </row>
        <row r="13666">
          <cell r="B13666" t="str">
            <v>Shipment</v>
          </cell>
        </row>
        <row r="13667">
          <cell r="B13667" t="str">
            <v>Shipment</v>
          </cell>
        </row>
        <row r="13668">
          <cell r="B13668" t="str">
            <v>Shipment</v>
          </cell>
        </row>
        <row r="13669">
          <cell r="B13669" t="str">
            <v>Shipment</v>
          </cell>
        </row>
        <row r="13670">
          <cell r="B13670" t="str">
            <v>Shipment</v>
          </cell>
        </row>
        <row r="13671">
          <cell r="B13671" t="str">
            <v>Shipment</v>
          </cell>
        </row>
        <row r="13672">
          <cell r="B13672" t="str">
            <v>Shipment</v>
          </cell>
        </row>
        <row r="13673">
          <cell r="B13673" t="str">
            <v>Shipment</v>
          </cell>
        </row>
        <row r="13674">
          <cell r="B13674" t="str">
            <v>Shipment</v>
          </cell>
        </row>
        <row r="13675">
          <cell r="B13675" t="str">
            <v>Shipment</v>
          </cell>
        </row>
        <row r="13676">
          <cell r="B13676" t="str">
            <v>Shipment</v>
          </cell>
        </row>
        <row r="13677">
          <cell r="B13677" t="str">
            <v>Shipment</v>
          </cell>
        </row>
        <row r="13678">
          <cell r="B13678" t="str">
            <v>Shipment</v>
          </cell>
        </row>
        <row r="13679">
          <cell r="B13679" t="str">
            <v>Shipment</v>
          </cell>
        </row>
        <row r="13680">
          <cell r="B13680" t="str">
            <v>Shipment</v>
          </cell>
        </row>
        <row r="13681">
          <cell r="B13681" t="str">
            <v>Shipment</v>
          </cell>
        </row>
        <row r="13682">
          <cell r="B13682" t="str">
            <v>Shipment</v>
          </cell>
        </row>
        <row r="13683">
          <cell r="B13683" t="str">
            <v>Shipment</v>
          </cell>
        </row>
        <row r="13684">
          <cell r="B13684" t="str">
            <v>Shipment</v>
          </cell>
        </row>
        <row r="13685">
          <cell r="B13685" t="str">
            <v>Shipment</v>
          </cell>
        </row>
        <row r="13686">
          <cell r="B13686" t="str">
            <v>Shipment</v>
          </cell>
        </row>
        <row r="13687">
          <cell r="B13687" t="str">
            <v>Shipment</v>
          </cell>
        </row>
        <row r="13688">
          <cell r="B13688" t="str">
            <v>Shipment</v>
          </cell>
        </row>
        <row r="13689">
          <cell r="B13689" t="str">
            <v>Shipment</v>
          </cell>
        </row>
        <row r="13690">
          <cell r="B13690" t="str">
            <v>Shipment</v>
          </cell>
        </row>
        <row r="13691">
          <cell r="B13691" t="str">
            <v>Shipment</v>
          </cell>
        </row>
        <row r="13692">
          <cell r="B13692" t="str">
            <v>Shipment</v>
          </cell>
        </row>
        <row r="13693">
          <cell r="B13693" t="str">
            <v>Shipment</v>
          </cell>
        </row>
        <row r="13694">
          <cell r="B13694" t="str">
            <v>Shipment</v>
          </cell>
        </row>
        <row r="13695">
          <cell r="B13695" t="str">
            <v>Shipment</v>
          </cell>
        </row>
        <row r="13696">
          <cell r="B13696" t="str">
            <v>Shipment</v>
          </cell>
        </row>
        <row r="13697">
          <cell r="B13697" t="str">
            <v>Shipment</v>
          </cell>
        </row>
        <row r="13698">
          <cell r="B13698" t="str">
            <v>Shipment</v>
          </cell>
        </row>
        <row r="13699">
          <cell r="B13699" t="str">
            <v>Shipment</v>
          </cell>
        </row>
        <row r="13700">
          <cell r="B13700" t="str">
            <v>Shipment</v>
          </cell>
        </row>
        <row r="13701">
          <cell r="B13701" t="str">
            <v>Shipment</v>
          </cell>
        </row>
        <row r="13702">
          <cell r="B13702" t="str">
            <v>Shipment</v>
          </cell>
        </row>
        <row r="13703">
          <cell r="B13703" t="str">
            <v>Shipment</v>
          </cell>
        </row>
        <row r="13704">
          <cell r="B13704" t="str">
            <v>Shipment</v>
          </cell>
        </row>
        <row r="13705">
          <cell r="B13705" t="str">
            <v>Shipment</v>
          </cell>
        </row>
        <row r="13706">
          <cell r="B13706" t="str">
            <v>Shipment</v>
          </cell>
        </row>
        <row r="13707">
          <cell r="B13707" t="str">
            <v>Shipment</v>
          </cell>
        </row>
        <row r="13708">
          <cell r="B13708" t="str">
            <v>Shipment</v>
          </cell>
        </row>
        <row r="13709">
          <cell r="B13709" t="str">
            <v>Shipment</v>
          </cell>
        </row>
        <row r="13710">
          <cell r="B13710" t="str">
            <v>Shipment</v>
          </cell>
        </row>
        <row r="13711">
          <cell r="B13711" t="str">
            <v>Shipment</v>
          </cell>
        </row>
        <row r="13712">
          <cell r="B13712" t="str">
            <v>Shipment</v>
          </cell>
        </row>
        <row r="13713">
          <cell r="B13713" t="str">
            <v>Shipment</v>
          </cell>
        </row>
        <row r="13714">
          <cell r="B13714" t="str">
            <v>Shipment</v>
          </cell>
        </row>
        <row r="13715">
          <cell r="B13715" t="str">
            <v>Shipment</v>
          </cell>
        </row>
        <row r="13716">
          <cell r="B13716" t="str">
            <v>Shipment</v>
          </cell>
        </row>
        <row r="13717">
          <cell r="B13717" t="str">
            <v>Shipment</v>
          </cell>
        </row>
        <row r="13718">
          <cell r="B13718" t="str">
            <v>Shipment</v>
          </cell>
        </row>
        <row r="13719">
          <cell r="B13719" t="str">
            <v>Shipment</v>
          </cell>
        </row>
        <row r="13720">
          <cell r="B13720" t="str">
            <v>Shipment</v>
          </cell>
        </row>
        <row r="13721">
          <cell r="B13721" t="str">
            <v>Shipment</v>
          </cell>
        </row>
        <row r="13722">
          <cell r="B13722" t="str">
            <v>Shipment</v>
          </cell>
        </row>
        <row r="13723">
          <cell r="B13723" t="str">
            <v>Shipment</v>
          </cell>
        </row>
        <row r="13724">
          <cell r="B13724" t="str">
            <v>Shipment</v>
          </cell>
        </row>
        <row r="13725">
          <cell r="B13725" t="str">
            <v>Shipment</v>
          </cell>
        </row>
        <row r="13726">
          <cell r="B13726" t="str">
            <v>Shipment</v>
          </cell>
        </row>
        <row r="13727">
          <cell r="B13727" t="str">
            <v>Shipment</v>
          </cell>
        </row>
        <row r="13728">
          <cell r="B13728" t="str">
            <v>Shipment</v>
          </cell>
        </row>
        <row r="13729">
          <cell r="B13729" t="str">
            <v>Shipment</v>
          </cell>
        </row>
        <row r="13730">
          <cell r="B13730" t="str">
            <v>Shipment</v>
          </cell>
        </row>
        <row r="13731">
          <cell r="B13731" t="str">
            <v>Shipment</v>
          </cell>
        </row>
        <row r="13732">
          <cell r="B13732" t="str">
            <v>Shipment</v>
          </cell>
        </row>
        <row r="13733">
          <cell r="B13733" t="str">
            <v>Shipment</v>
          </cell>
        </row>
        <row r="13734">
          <cell r="B13734" t="str">
            <v>Shipment</v>
          </cell>
        </row>
        <row r="13735">
          <cell r="B13735" t="str">
            <v>Shipment</v>
          </cell>
        </row>
        <row r="13736">
          <cell r="B13736" t="str">
            <v>Shipment</v>
          </cell>
        </row>
        <row r="13737">
          <cell r="B13737" t="str">
            <v>Shipment</v>
          </cell>
        </row>
        <row r="13738">
          <cell r="B13738" t="str">
            <v>Shipment</v>
          </cell>
        </row>
        <row r="13739">
          <cell r="B13739" t="str">
            <v>Shipment</v>
          </cell>
        </row>
        <row r="13740">
          <cell r="B13740" t="str">
            <v>Shipment</v>
          </cell>
        </row>
        <row r="13741">
          <cell r="B13741" t="str">
            <v>Shipment</v>
          </cell>
        </row>
        <row r="13742">
          <cell r="B13742" t="str">
            <v>Shipment</v>
          </cell>
        </row>
        <row r="13743">
          <cell r="B13743" t="str">
            <v>Shipment</v>
          </cell>
        </row>
        <row r="13744">
          <cell r="B13744" t="str">
            <v>Shipment</v>
          </cell>
        </row>
        <row r="13745">
          <cell r="B13745" t="str">
            <v>Shipment</v>
          </cell>
        </row>
        <row r="13746">
          <cell r="B13746" t="str">
            <v>Shipment</v>
          </cell>
        </row>
        <row r="13747">
          <cell r="B13747" t="str">
            <v>Shipment</v>
          </cell>
        </row>
        <row r="13748">
          <cell r="B13748" t="str">
            <v>Shipment</v>
          </cell>
        </row>
        <row r="13749">
          <cell r="B13749" t="str">
            <v>Shipment</v>
          </cell>
        </row>
        <row r="13750">
          <cell r="B13750" t="str">
            <v>Shipment</v>
          </cell>
        </row>
        <row r="13751">
          <cell r="B13751" t="str">
            <v>Shipment</v>
          </cell>
        </row>
        <row r="13752">
          <cell r="B13752" t="str">
            <v>Shipment</v>
          </cell>
        </row>
        <row r="13753">
          <cell r="B13753" t="str">
            <v>Shipment</v>
          </cell>
        </row>
        <row r="13754">
          <cell r="B13754" t="str">
            <v>Shipment</v>
          </cell>
        </row>
        <row r="13755">
          <cell r="B13755" t="str">
            <v>Shipment</v>
          </cell>
        </row>
        <row r="13756">
          <cell r="B13756" t="str">
            <v>Shipment</v>
          </cell>
        </row>
        <row r="13757">
          <cell r="B13757" t="str">
            <v>Shipment</v>
          </cell>
        </row>
        <row r="13758">
          <cell r="B13758" t="str">
            <v>Shipment</v>
          </cell>
        </row>
        <row r="13759">
          <cell r="B13759" t="str">
            <v>Shipment</v>
          </cell>
        </row>
        <row r="13760">
          <cell r="B13760" t="str">
            <v>Shipment</v>
          </cell>
        </row>
        <row r="13761">
          <cell r="B13761" t="str">
            <v>Shipment</v>
          </cell>
        </row>
        <row r="13762">
          <cell r="B13762" t="str">
            <v>Shipment</v>
          </cell>
        </row>
        <row r="13763">
          <cell r="B13763" t="str">
            <v>Shipment</v>
          </cell>
        </row>
        <row r="13764">
          <cell r="B13764" t="str">
            <v>Shipment</v>
          </cell>
        </row>
        <row r="13765">
          <cell r="B13765" t="str">
            <v>Shipment</v>
          </cell>
        </row>
        <row r="13766">
          <cell r="B13766" t="str">
            <v>Shipment</v>
          </cell>
        </row>
        <row r="13767">
          <cell r="B13767" t="str">
            <v>Shipment</v>
          </cell>
        </row>
        <row r="13768">
          <cell r="B13768" t="str">
            <v>Shipment</v>
          </cell>
        </row>
        <row r="13769">
          <cell r="B13769" t="str">
            <v>Shipment</v>
          </cell>
        </row>
        <row r="13770">
          <cell r="B13770" t="str">
            <v>Shipment</v>
          </cell>
        </row>
        <row r="13771">
          <cell r="B13771" t="str">
            <v>Shipment</v>
          </cell>
        </row>
        <row r="13772">
          <cell r="B13772" t="str">
            <v>Shipment</v>
          </cell>
        </row>
        <row r="13773">
          <cell r="B13773" t="str">
            <v>Shipment</v>
          </cell>
        </row>
        <row r="13774">
          <cell r="B13774" t="str">
            <v>Shipment</v>
          </cell>
        </row>
        <row r="13775">
          <cell r="B13775" t="str">
            <v>Shipment</v>
          </cell>
        </row>
        <row r="13776">
          <cell r="B13776" t="str">
            <v>Shipment</v>
          </cell>
        </row>
        <row r="13777">
          <cell r="B13777" t="str">
            <v>Shipment</v>
          </cell>
        </row>
        <row r="13778">
          <cell r="B13778" t="str">
            <v>Shipment</v>
          </cell>
        </row>
        <row r="13779">
          <cell r="B13779" t="str">
            <v>Shipment</v>
          </cell>
        </row>
        <row r="13780">
          <cell r="B13780" t="str">
            <v>Shipment</v>
          </cell>
        </row>
        <row r="13781">
          <cell r="B13781" t="str">
            <v>Shipment</v>
          </cell>
        </row>
        <row r="13782">
          <cell r="B13782" t="str">
            <v>Shipment</v>
          </cell>
        </row>
        <row r="13783">
          <cell r="B13783" t="str">
            <v>Shipment</v>
          </cell>
        </row>
        <row r="13784">
          <cell r="B13784" t="str">
            <v>Shipment</v>
          </cell>
        </row>
        <row r="13785">
          <cell r="B13785" t="str">
            <v>Shipment</v>
          </cell>
        </row>
        <row r="13786">
          <cell r="B13786" t="str">
            <v>Shipment</v>
          </cell>
        </row>
        <row r="13787">
          <cell r="B13787" t="str">
            <v>Shipment</v>
          </cell>
        </row>
        <row r="13788">
          <cell r="B13788" t="str">
            <v>Shipment</v>
          </cell>
        </row>
        <row r="13789">
          <cell r="B13789" t="str">
            <v>Shipment</v>
          </cell>
        </row>
        <row r="13790">
          <cell r="B13790" t="str">
            <v>Shipment</v>
          </cell>
        </row>
        <row r="13791">
          <cell r="B13791" t="str">
            <v>Shipment</v>
          </cell>
        </row>
        <row r="13792">
          <cell r="B13792" t="str">
            <v>Shipment</v>
          </cell>
        </row>
        <row r="13793">
          <cell r="B13793" t="str">
            <v>Shipment</v>
          </cell>
        </row>
        <row r="13794">
          <cell r="B13794" t="str">
            <v>Shipment</v>
          </cell>
        </row>
        <row r="13795">
          <cell r="B13795" t="str">
            <v>Shipment</v>
          </cell>
        </row>
        <row r="13796">
          <cell r="B13796" t="str">
            <v>Shipment</v>
          </cell>
        </row>
        <row r="13797">
          <cell r="B13797" t="str">
            <v>Shipment</v>
          </cell>
        </row>
        <row r="13798">
          <cell r="B13798" t="str">
            <v>Shipment</v>
          </cell>
        </row>
        <row r="13799">
          <cell r="B13799" t="str">
            <v>Shipment</v>
          </cell>
        </row>
        <row r="13800">
          <cell r="B13800" t="str">
            <v>Shipment</v>
          </cell>
        </row>
        <row r="13801">
          <cell r="B13801" t="str">
            <v>Shipment</v>
          </cell>
        </row>
        <row r="13802">
          <cell r="B13802" t="str">
            <v>Shipment</v>
          </cell>
        </row>
        <row r="13803">
          <cell r="B13803" t="str">
            <v>Shipment</v>
          </cell>
        </row>
        <row r="13804">
          <cell r="B13804" t="str">
            <v>Shipment</v>
          </cell>
        </row>
        <row r="13805">
          <cell r="B13805" t="str">
            <v>Shipment</v>
          </cell>
        </row>
        <row r="13806">
          <cell r="B13806" t="str">
            <v>Shipment</v>
          </cell>
        </row>
        <row r="13807">
          <cell r="B13807" t="str">
            <v>Shipment</v>
          </cell>
        </row>
        <row r="13808">
          <cell r="B13808" t="str">
            <v>Shipment</v>
          </cell>
        </row>
        <row r="13809">
          <cell r="B13809" t="str">
            <v>Shipment</v>
          </cell>
        </row>
        <row r="13810">
          <cell r="B13810" t="str">
            <v>Shipment</v>
          </cell>
        </row>
        <row r="13811">
          <cell r="B13811" t="str">
            <v>Shipment</v>
          </cell>
        </row>
        <row r="13812">
          <cell r="B13812" t="str">
            <v>Shipment</v>
          </cell>
        </row>
        <row r="13813">
          <cell r="B13813" t="str">
            <v>Shipment</v>
          </cell>
        </row>
        <row r="13814">
          <cell r="B13814" t="str">
            <v>Shipment</v>
          </cell>
        </row>
        <row r="13815">
          <cell r="B13815" t="str">
            <v>Shipment</v>
          </cell>
        </row>
        <row r="13816">
          <cell r="B13816" t="str">
            <v>Shipment</v>
          </cell>
        </row>
        <row r="13817">
          <cell r="B13817" t="str">
            <v>Shipment</v>
          </cell>
        </row>
        <row r="13818">
          <cell r="B13818" t="str">
            <v>Shipment</v>
          </cell>
        </row>
        <row r="13819">
          <cell r="B13819" t="str">
            <v>Shipment</v>
          </cell>
        </row>
        <row r="13820">
          <cell r="B13820" t="str">
            <v>Shipment</v>
          </cell>
        </row>
        <row r="13821">
          <cell r="B13821" t="str">
            <v>Shipment</v>
          </cell>
        </row>
        <row r="13822">
          <cell r="B13822" t="str">
            <v>Shipment</v>
          </cell>
        </row>
        <row r="13823">
          <cell r="B13823" t="str">
            <v>Shipment</v>
          </cell>
        </row>
        <row r="13824">
          <cell r="B13824" t="str">
            <v>Shipment</v>
          </cell>
        </row>
        <row r="13825">
          <cell r="B13825" t="str">
            <v>Shipment</v>
          </cell>
        </row>
        <row r="13826">
          <cell r="B13826" t="str">
            <v>Shipment</v>
          </cell>
        </row>
        <row r="13827">
          <cell r="B13827" t="str">
            <v>Shipment</v>
          </cell>
        </row>
        <row r="13828">
          <cell r="B13828" t="str">
            <v>Shipment</v>
          </cell>
        </row>
        <row r="13829">
          <cell r="B13829" t="str">
            <v>Shipment</v>
          </cell>
        </row>
        <row r="13830">
          <cell r="B13830" t="str">
            <v>Shipment</v>
          </cell>
        </row>
        <row r="13831">
          <cell r="B13831" t="str">
            <v>Shipment</v>
          </cell>
        </row>
        <row r="13832">
          <cell r="B13832" t="str">
            <v>Shipment</v>
          </cell>
        </row>
        <row r="13833">
          <cell r="B13833" t="str">
            <v>Shipment</v>
          </cell>
        </row>
        <row r="13834">
          <cell r="B13834" t="str">
            <v>Shipment</v>
          </cell>
        </row>
        <row r="13835">
          <cell r="B13835" t="str">
            <v>Shipment</v>
          </cell>
        </row>
        <row r="13836">
          <cell r="B13836" t="str">
            <v>Shipment</v>
          </cell>
        </row>
        <row r="13837">
          <cell r="B13837" t="str">
            <v>Shipment</v>
          </cell>
        </row>
        <row r="13838">
          <cell r="B13838" t="str">
            <v>Shipment</v>
          </cell>
        </row>
        <row r="13839">
          <cell r="B13839" t="str">
            <v>Shipment</v>
          </cell>
        </row>
        <row r="13840">
          <cell r="B13840" t="str">
            <v>Shipment</v>
          </cell>
        </row>
        <row r="13841">
          <cell r="B13841" t="str">
            <v>Shipment</v>
          </cell>
        </row>
        <row r="13842">
          <cell r="B13842" t="str">
            <v>Shipment</v>
          </cell>
        </row>
        <row r="13843">
          <cell r="B13843" t="str">
            <v>Shipment</v>
          </cell>
        </row>
        <row r="13844">
          <cell r="B13844" t="str">
            <v>Shipment</v>
          </cell>
        </row>
        <row r="13845">
          <cell r="B13845" t="str">
            <v>Shipment</v>
          </cell>
        </row>
        <row r="13846">
          <cell r="B13846" t="str">
            <v>Shipment</v>
          </cell>
        </row>
        <row r="13847">
          <cell r="B13847" t="str">
            <v>Shipment</v>
          </cell>
        </row>
        <row r="13848">
          <cell r="B13848" t="str">
            <v>Shipment</v>
          </cell>
        </row>
        <row r="13849">
          <cell r="B13849" t="str">
            <v>Shipment</v>
          </cell>
        </row>
        <row r="13850">
          <cell r="B13850" t="str">
            <v>Shipment</v>
          </cell>
        </row>
        <row r="13851">
          <cell r="B13851" t="str">
            <v>Shipment</v>
          </cell>
        </row>
        <row r="13852">
          <cell r="B13852" t="str">
            <v>Shipment</v>
          </cell>
        </row>
        <row r="13853">
          <cell r="B13853" t="str">
            <v>Shipment</v>
          </cell>
        </row>
        <row r="13854">
          <cell r="B13854" t="str">
            <v>Shipment</v>
          </cell>
        </row>
        <row r="13855">
          <cell r="B13855" t="str">
            <v>Shipment</v>
          </cell>
        </row>
        <row r="13856">
          <cell r="B13856" t="str">
            <v>Shipment</v>
          </cell>
        </row>
        <row r="13857">
          <cell r="B13857" t="str">
            <v>Shipment</v>
          </cell>
        </row>
        <row r="13858">
          <cell r="B13858" t="str">
            <v>Shipment</v>
          </cell>
        </row>
        <row r="13859">
          <cell r="B13859" t="str">
            <v>Shipment</v>
          </cell>
        </row>
        <row r="13860">
          <cell r="B13860" t="str">
            <v>Shipment</v>
          </cell>
        </row>
        <row r="13861">
          <cell r="B13861" t="str">
            <v>Shipment</v>
          </cell>
        </row>
        <row r="13862">
          <cell r="B13862" t="str">
            <v>Shipment</v>
          </cell>
        </row>
        <row r="13863">
          <cell r="B13863" t="str">
            <v>Shipment</v>
          </cell>
        </row>
        <row r="13864">
          <cell r="B13864" t="str">
            <v>Shipment</v>
          </cell>
        </row>
        <row r="13865">
          <cell r="B13865" t="str">
            <v>Shipment</v>
          </cell>
        </row>
        <row r="13866">
          <cell r="B13866" t="str">
            <v>Shipment</v>
          </cell>
        </row>
        <row r="13867">
          <cell r="B13867" t="str">
            <v>Shipment</v>
          </cell>
        </row>
        <row r="13868">
          <cell r="B13868" t="str">
            <v>Shipment</v>
          </cell>
        </row>
        <row r="13869">
          <cell r="B13869" t="str">
            <v>Shipment</v>
          </cell>
        </row>
        <row r="13870">
          <cell r="B13870" t="str">
            <v>Shipment</v>
          </cell>
        </row>
        <row r="13871">
          <cell r="B13871" t="str">
            <v>Shipment</v>
          </cell>
        </row>
        <row r="13872">
          <cell r="B13872" t="str">
            <v>Shipment</v>
          </cell>
        </row>
        <row r="13873">
          <cell r="B13873" t="str">
            <v>Shipment</v>
          </cell>
        </row>
        <row r="13874">
          <cell r="B13874" t="str">
            <v>Shipment</v>
          </cell>
        </row>
        <row r="13875">
          <cell r="B13875" t="str">
            <v>Shipment</v>
          </cell>
        </row>
        <row r="13876">
          <cell r="B13876" t="str">
            <v>Shipment</v>
          </cell>
        </row>
        <row r="13877">
          <cell r="B13877" t="str">
            <v>Shipment</v>
          </cell>
        </row>
        <row r="13878">
          <cell r="B13878" t="str">
            <v>Shipment</v>
          </cell>
        </row>
        <row r="13879">
          <cell r="B13879" t="str">
            <v>Shipment</v>
          </cell>
        </row>
        <row r="13880">
          <cell r="B13880" t="str">
            <v>Shipment</v>
          </cell>
        </row>
        <row r="13881">
          <cell r="B13881" t="str">
            <v>Shipment</v>
          </cell>
        </row>
        <row r="13882">
          <cell r="B13882" t="str">
            <v>Shipment</v>
          </cell>
        </row>
        <row r="13883">
          <cell r="B13883" t="str">
            <v>Shipment</v>
          </cell>
        </row>
        <row r="13884">
          <cell r="B13884" t="str">
            <v>Shipment</v>
          </cell>
        </row>
        <row r="13885">
          <cell r="B13885" t="str">
            <v>Shipment</v>
          </cell>
        </row>
        <row r="13886">
          <cell r="B13886" t="str">
            <v>Shipment</v>
          </cell>
        </row>
        <row r="13887">
          <cell r="B13887" t="str">
            <v>Shipment</v>
          </cell>
        </row>
        <row r="13888">
          <cell r="B13888" t="str">
            <v>Shipment</v>
          </cell>
        </row>
        <row r="13889">
          <cell r="B13889" t="str">
            <v>Shipment</v>
          </cell>
        </row>
        <row r="13890">
          <cell r="B13890" t="str">
            <v>Shipment</v>
          </cell>
        </row>
        <row r="13891">
          <cell r="B13891" t="str">
            <v>Shipment</v>
          </cell>
        </row>
        <row r="13892">
          <cell r="B13892" t="str">
            <v>Shipment</v>
          </cell>
        </row>
        <row r="13893">
          <cell r="B13893" t="str">
            <v>Shipment</v>
          </cell>
        </row>
        <row r="13894">
          <cell r="B13894" t="str">
            <v>Shipment</v>
          </cell>
        </row>
        <row r="13895">
          <cell r="B13895" t="str">
            <v>Shipment</v>
          </cell>
        </row>
        <row r="13896">
          <cell r="B13896" t="str">
            <v>Shipment</v>
          </cell>
        </row>
        <row r="13897">
          <cell r="B13897" t="str">
            <v>Shipment</v>
          </cell>
        </row>
        <row r="13898">
          <cell r="B13898" t="str">
            <v>Shipment</v>
          </cell>
        </row>
        <row r="13899">
          <cell r="B13899" t="str">
            <v>Shipment</v>
          </cell>
        </row>
        <row r="13900">
          <cell r="B13900" t="str">
            <v>Shipment</v>
          </cell>
        </row>
        <row r="13901">
          <cell r="B13901" t="str">
            <v>Shipment</v>
          </cell>
        </row>
        <row r="13902">
          <cell r="B13902" t="str">
            <v>Shipment</v>
          </cell>
        </row>
        <row r="13903">
          <cell r="B13903" t="str">
            <v>Shipment</v>
          </cell>
        </row>
        <row r="13904">
          <cell r="B13904" t="str">
            <v>Shipment</v>
          </cell>
        </row>
        <row r="13905">
          <cell r="B13905" t="str">
            <v>Shipment</v>
          </cell>
        </row>
        <row r="13906">
          <cell r="B13906" t="str">
            <v>Shipment</v>
          </cell>
        </row>
        <row r="13907">
          <cell r="B13907" t="str">
            <v>Shipment</v>
          </cell>
        </row>
        <row r="13908">
          <cell r="B13908" t="str">
            <v>Shipment</v>
          </cell>
        </row>
        <row r="13909">
          <cell r="B13909" t="str">
            <v>Shipment</v>
          </cell>
        </row>
        <row r="13910">
          <cell r="B13910" t="str">
            <v>Shipment</v>
          </cell>
        </row>
        <row r="13911">
          <cell r="B13911" t="str">
            <v>Shipment</v>
          </cell>
        </row>
        <row r="13912">
          <cell r="B13912" t="str">
            <v>Shipment</v>
          </cell>
        </row>
        <row r="13913">
          <cell r="B13913" t="str">
            <v>Shipment</v>
          </cell>
        </row>
        <row r="13914">
          <cell r="B13914" t="str">
            <v>Shipment</v>
          </cell>
        </row>
        <row r="13915">
          <cell r="B13915" t="str">
            <v>Shipment</v>
          </cell>
        </row>
        <row r="13916">
          <cell r="B13916" t="str">
            <v>Shipment</v>
          </cell>
        </row>
        <row r="13917">
          <cell r="B13917" t="str">
            <v>Shipment</v>
          </cell>
        </row>
        <row r="13918">
          <cell r="B13918" t="str">
            <v>Shipment</v>
          </cell>
        </row>
        <row r="13919">
          <cell r="B13919" t="str">
            <v>Shipment</v>
          </cell>
        </row>
        <row r="13920">
          <cell r="B13920" t="str">
            <v>Shipment</v>
          </cell>
        </row>
        <row r="13921">
          <cell r="B13921" t="str">
            <v>Shipment</v>
          </cell>
        </row>
        <row r="13922">
          <cell r="B13922" t="str">
            <v>Shipment</v>
          </cell>
        </row>
        <row r="13923">
          <cell r="B13923" t="str">
            <v>Shipment</v>
          </cell>
        </row>
        <row r="13924">
          <cell r="B13924" t="str">
            <v>Shipment</v>
          </cell>
        </row>
        <row r="13925">
          <cell r="B13925" t="str">
            <v>Shipment</v>
          </cell>
        </row>
        <row r="13926">
          <cell r="B13926" t="str">
            <v>Shipment</v>
          </cell>
        </row>
        <row r="13927">
          <cell r="B13927" t="str">
            <v>Shipment</v>
          </cell>
        </row>
        <row r="13928">
          <cell r="B13928" t="str">
            <v>Shipment</v>
          </cell>
        </row>
        <row r="13929">
          <cell r="B13929" t="str">
            <v>Shipment</v>
          </cell>
        </row>
        <row r="13930">
          <cell r="B13930" t="str">
            <v>Shipment</v>
          </cell>
        </row>
        <row r="13931">
          <cell r="B13931" t="str">
            <v>Shipment</v>
          </cell>
        </row>
        <row r="13932">
          <cell r="B13932" t="str">
            <v>Shipment</v>
          </cell>
        </row>
        <row r="13933">
          <cell r="B13933" t="str">
            <v>Shipment</v>
          </cell>
        </row>
        <row r="13934">
          <cell r="B13934" t="str">
            <v>Shipment</v>
          </cell>
        </row>
        <row r="13935">
          <cell r="B13935" t="str">
            <v>Shipment</v>
          </cell>
        </row>
        <row r="13936">
          <cell r="B13936" t="str">
            <v>Shipment</v>
          </cell>
        </row>
        <row r="13937">
          <cell r="B13937" t="str">
            <v>Shipment</v>
          </cell>
        </row>
        <row r="13938">
          <cell r="B13938" t="str">
            <v>Shipment</v>
          </cell>
        </row>
        <row r="13939">
          <cell r="B13939" t="str">
            <v>Shipment</v>
          </cell>
        </row>
        <row r="13940">
          <cell r="B13940" t="str">
            <v>Shipment</v>
          </cell>
        </row>
        <row r="13941">
          <cell r="B13941" t="str">
            <v>Shipment</v>
          </cell>
        </row>
        <row r="13942">
          <cell r="B13942" t="str">
            <v>Shipment</v>
          </cell>
        </row>
        <row r="13943">
          <cell r="B13943" t="str">
            <v>Shipment</v>
          </cell>
        </row>
        <row r="13944">
          <cell r="B13944" t="str">
            <v>Shipment</v>
          </cell>
        </row>
        <row r="13945">
          <cell r="B13945" t="str">
            <v>Shipment</v>
          </cell>
        </row>
        <row r="13946">
          <cell r="B13946" t="str">
            <v>Shipment</v>
          </cell>
        </row>
        <row r="13947">
          <cell r="B13947" t="str">
            <v>Shipment</v>
          </cell>
        </row>
        <row r="13948">
          <cell r="B13948" t="str">
            <v>Shipment</v>
          </cell>
        </row>
        <row r="13949">
          <cell r="B13949" t="str">
            <v>Shipment</v>
          </cell>
        </row>
        <row r="13950">
          <cell r="B13950" t="str">
            <v>Shipment</v>
          </cell>
        </row>
        <row r="13951">
          <cell r="B13951" t="str">
            <v>Shipment</v>
          </cell>
        </row>
        <row r="13952">
          <cell r="B13952" t="str">
            <v>Shipment</v>
          </cell>
        </row>
        <row r="13953">
          <cell r="B13953" t="str">
            <v>Shipment</v>
          </cell>
        </row>
        <row r="13954">
          <cell r="B13954" t="str">
            <v>Shipment</v>
          </cell>
        </row>
        <row r="13955">
          <cell r="B13955" t="str">
            <v>Shipment</v>
          </cell>
        </row>
        <row r="13956">
          <cell r="B13956" t="str">
            <v>Shipment</v>
          </cell>
        </row>
        <row r="13957">
          <cell r="B13957" t="str">
            <v>Shipment</v>
          </cell>
        </row>
        <row r="13958">
          <cell r="B13958" t="str">
            <v>Shipment</v>
          </cell>
        </row>
        <row r="13959">
          <cell r="B13959" t="str">
            <v>Shipment</v>
          </cell>
        </row>
        <row r="13960">
          <cell r="B13960" t="str">
            <v>Shipment</v>
          </cell>
        </row>
        <row r="13961">
          <cell r="B13961" t="str">
            <v>Shipment</v>
          </cell>
        </row>
        <row r="13962">
          <cell r="B13962" t="str">
            <v>Shipment</v>
          </cell>
        </row>
        <row r="13963">
          <cell r="B13963" t="str">
            <v>Shipment</v>
          </cell>
        </row>
        <row r="13964">
          <cell r="B13964" t="str">
            <v>Shipment</v>
          </cell>
        </row>
        <row r="13965">
          <cell r="B13965" t="str">
            <v>Shipment</v>
          </cell>
        </row>
        <row r="13966">
          <cell r="B13966" t="str">
            <v>Shipment</v>
          </cell>
        </row>
        <row r="13967">
          <cell r="B13967" t="str">
            <v>Shipment</v>
          </cell>
        </row>
        <row r="13968">
          <cell r="B13968" t="str">
            <v>Shipment</v>
          </cell>
        </row>
        <row r="13969">
          <cell r="B13969" t="str">
            <v>Shipment</v>
          </cell>
        </row>
        <row r="13970">
          <cell r="B13970" t="str">
            <v>Shipment</v>
          </cell>
        </row>
        <row r="13971">
          <cell r="B13971" t="str">
            <v>Shipment</v>
          </cell>
        </row>
        <row r="13972">
          <cell r="B13972" t="str">
            <v>Shipment</v>
          </cell>
        </row>
        <row r="13973">
          <cell r="B13973" t="str">
            <v>Shipment</v>
          </cell>
        </row>
        <row r="13974">
          <cell r="B13974" t="str">
            <v>Shipment</v>
          </cell>
        </row>
        <row r="13975">
          <cell r="B13975" t="str">
            <v>Shipment</v>
          </cell>
        </row>
        <row r="13976">
          <cell r="B13976" t="str">
            <v>Shipment</v>
          </cell>
        </row>
        <row r="13977">
          <cell r="B13977" t="str">
            <v>Shipment</v>
          </cell>
        </row>
        <row r="13978">
          <cell r="B13978" t="str">
            <v>Shipment</v>
          </cell>
        </row>
        <row r="13979">
          <cell r="B13979" t="str">
            <v>Shipment</v>
          </cell>
        </row>
        <row r="13980">
          <cell r="B13980" t="str">
            <v>Shipment</v>
          </cell>
        </row>
        <row r="13981">
          <cell r="B13981" t="str">
            <v>Shipment</v>
          </cell>
        </row>
        <row r="13982">
          <cell r="B13982" t="str">
            <v>Shipment</v>
          </cell>
        </row>
        <row r="13983">
          <cell r="B13983" t="str">
            <v>Shipment</v>
          </cell>
        </row>
        <row r="13984">
          <cell r="B13984" t="str">
            <v>Shipment</v>
          </cell>
        </row>
        <row r="13985">
          <cell r="B13985" t="str">
            <v>Shipment</v>
          </cell>
        </row>
        <row r="13986">
          <cell r="B13986" t="str">
            <v>Shipment</v>
          </cell>
        </row>
        <row r="13987">
          <cell r="B13987" t="str">
            <v>Shipment</v>
          </cell>
        </row>
        <row r="13988">
          <cell r="B13988" t="str">
            <v>Shipment</v>
          </cell>
        </row>
        <row r="13989">
          <cell r="B13989" t="str">
            <v>Shipment</v>
          </cell>
        </row>
        <row r="13990">
          <cell r="B13990" t="str">
            <v>Shipment</v>
          </cell>
        </row>
        <row r="13991">
          <cell r="B13991" t="str">
            <v>Shipment</v>
          </cell>
        </row>
        <row r="13992">
          <cell r="B13992" t="str">
            <v>Shipment</v>
          </cell>
        </row>
        <row r="13993">
          <cell r="B13993" t="str">
            <v>Shipment</v>
          </cell>
        </row>
        <row r="13994">
          <cell r="B13994" t="str">
            <v>Shipment</v>
          </cell>
        </row>
        <row r="13995">
          <cell r="B13995" t="str">
            <v>Shipment</v>
          </cell>
        </row>
        <row r="13996">
          <cell r="B13996" t="str">
            <v>Shipment</v>
          </cell>
        </row>
        <row r="13997">
          <cell r="B13997" t="str">
            <v>Shipment</v>
          </cell>
        </row>
        <row r="13998">
          <cell r="B13998" t="str">
            <v>Shipment</v>
          </cell>
        </row>
        <row r="13999">
          <cell r="B13999" t="str">
            <v>Shipment</v>
          </cell>
        </row>
        <row r="14000">
          <cell r="B14000" t="str">
            <v>Shipment</v>
          </cell>
        </row>
        <row r="14001">
          <cell r="B14001" t="str">
            <v>Shipment</v>
          </cell>
        </row>
        <row r="14002">
          <cell r="B14002" t="str">
            <v>Shipment</v>
          </cell>
        </row>
        <row r="14003">
          <cell r="B14003" t="str">
            <v>Shipment</v>
          </cell>
        </row>
        <row r="14004">
          <cell r="B14004" t="str">
            <v>Shipment</v>
          </cell>
        </row>
        <row r="14005">
          <cell r="B14005" t="str">
            <v>Shipment</v>
          </cell>
        </row>
        <row r="14006">
          <cell r="B14006" t="str">
            <v>Shipment</v>
          </cell>
        </row>
        <row r="14007">
          <cell r="B14007" t="str">
            <v>Shipment</v>
          </cell>
        </row>
        <row r="14008">
          <cell r="B14008" t="str">
            <v>Shipment</v>
          </cell>
        </row>
        <row r="14009">
          <cell r="B14009" t="str">
            <v>Shipment</v>
          </cell>
        </row>
        <row r="14010">
          <cell r="B14010" t="str">
            <v>Shipment</v>
          </cell>
        </row>
        <row r="14011">
          <cell r="B14011" t="str">
            <v>Shipment</v>
          </cell>
        </row>
        <row r="14012">
          <cell r="B14012" t="str">
            <v>Shipment</v>
          </cell>
        </row>
        <row r="14013">
          <cell r="B14013" t="str">
            <v>Shipment</v>
          </cell>
        </row>
        <row r="14014">
          <cell r="B14014" t="str">
            <v>Shipment</v>
          </cell>
        </row>
        <row r="14015">
          <cell r="B14015" t="str">
            <v>Shipment</v>
          </cell>
        </row>
        <row r="14016">
          <cell r="B14016" t="str">
            <v>Shipment</v>
          </cell>
        </row>
        <row r="14017">
          <cell r="B14017" t="str">
            <v>Shipment</v>
          </cell>
        </row>
        <row r="14018">
          <cell r="B14018" t="str">
            <v>Shipment</v>
          </cell>
        </row>
        <row r="14019">
          <cell r="B14019" t="str">
            <v>Shipment</v>
          </cell>
        </row>
        <row r="14020">
          <cell r="B14020" t="str">
            <v>Shipment</v>
          </cell>
        </row>
        <row r="14021">
          <cell r="B14021" t="str">
            <v>Shipment</v>
          </cell>
        </row>
        <row r="14022">
          <cell r="B14022" t="str">
            <v>Shipment</v>
          </cell>
        </row>
        <row r="14023">
          <cell r="B14023" t="str">
            <v>Shipment</v>
          </cell>
        </row>
        <row r="14024">
          <cell r="B14024" t="str">
            <v>Shipment</v>
          </cell>
        </row>
        <row r="14025">
          <cell r="B14025" t="str">
            <v>Shipment</v>
          </cell>
        </row>
        <row r="14026">
          <cell r="B14026" t="str">
            <v>Shipment</v>
          </cell>
        </row>
        <row r="14027">
          <cell r="B14027" t="str">
            <v>Shipment</v>
          </cell>
        </row>
        <row r="14028">
          <cell r="B14028" t="str">
            <v>Shipment</v>
          </cell>
        </row>
        <row r="14029">
          <cell r="B14029" t="str">
            <v>Shipment</v>
          </cell>
        </row>
        <row r="14030">
          <cell r="B14030" t="str">
            <v>Shipment</v>
          </cell>
        </row>
        <row r="14031">
          <cell r="B14031" t="str">
            <v>Shipment</v>
          </cell>
        </row>
        <row r="14032">
          <cell r="B14032" t="str">
            <v>Shipment</v>
          </cell>
        </row>
        <row r="14033">
          <cell r="B14033" t="str">
            <v>Shipment</v>
          </cell>
        </row>
        <row r="14034">
          <cell r="B14034" t="str">
            <v>Shipment</v>
          </cell>
        </row>
        <row r="14035">
          <cell r="B14035" t="str">
            <v>Shipment</v>
          </cell>
        </row>
        <row r="14036">
          <cell r="B14036" t="str">
            <v>Shipment</v>
          </cell>
        </row>
        <row r="14037">
          <cell r="B14037" t="str">
            <v>Shipment</v>
          </cell>
        </row>
        <row r="14038">
          <cell r="B14038" t="str">
            <v>Shipment</v>
          </cell>
        </row>
        <row r="14039">
          <cell r="B14039" t="str">
            <v>Shipment</v>
          </cell>
        </row>
        <row r="14040">
          <cell r="B14040" t="str">
            <v>Shipment</v>
          </cell>
        </row>
        <row r="14041">
          <cell r="B14041" t="str">
            <v>Shipment</v>
          </cell>
        </row>
        <row r="14042">
          <cell r="B14042" t="str">
            <v>Shipment</v>
          </cell>
        </row>
        <row r="14043">
          <cell r="B14043" t="str">
            <v>Shipment</v>
          </cell>
        </row>
        <row r="14044">
          <cell r="B14044" t="str">
            <v>Shipment</v>
          </cell>
        </row>
        <row r="14045">
          <cell r="B14045" t="str">
            <v>Shipment</v>
          </cell>
        </row>
        <row r="14046">
          <cell r="B14046" t="str">
            <v>Shipment</v>
          </cell>
        </row>
        <row r="14047">
          <cell r="B14047" t="str">
            <v>Shipment</v>
          </cell>
        </row>
        <row r="14048">
          <cell r="B14048" t="str">
            <v>Shipment</v>
          </cell>
        </row>
        <row r="14049">
          <cell r="B14049" t="str">
            <v>Shipment</v>
          </cell>
        </row>
        <row r="14050">
          <cell r="B14050" t="str">
            <v>Shipment</v>
          </cell>
        </row>
        <row r="14051">
          <cell r="B14051" t="str">
            <v>Shipment</v>
          </cell>
        </row>
        <row r="14052">
          <cell r="B14052" t="str">
            <v>Shipment</v>
          </cell>
        </row>
        <row r="14053">
          <cell r="B14053" t="str">
            <v>Shipment</v>
          </cell>
        </row>
        <row r="14054">
          <cell r="B14054" t="str">
            <v>Shipment</v>
          </cell>
        </row>
        <row r="14055">
          <cell r="B14055" t="str">
            <v>Shipment</v>
          </cell>
        </row>
        <row r="14056">
          <cell r="B14056" t="str">
            <v>Shipment</v>
          </cell>
        </row>
        <row r="14057">
          <cell r="B14057" t="str">
            <v>Shipment</v>
          </cell>
        </row>
        <row r="14058">
          <cell r="B14058" t="str">
            <v>Shipment</v>
          </cell>
        </row>
        <row r="14059">
          <cell r="B14059" t="str">
            <v>Shipment</v>
          </cell>
        </row>
        <row r="14060">
          <cell r="B14060" t="str">
            <v>Shipment</v>
          </cell>
        </row>
        <row r="14061">
          <cell r="B14061" t="str">
            <v>Shipment</v>
          </cell>
        </row>
        <row r="14062">
          <cell r="B14062" t="str">
            <v>Shipment</v>
          </cell>
        </row>
        <row r="14063">
          <cell r="B14063" t="str">
            <v>Shipment</v>
          </cell>
        </row>
        <row r="14064">
          <cell r="B14064" t="str">
            <v>Shipment</v>
          </cell>
        </row>
        <row r="14065">
          <cell r="B14065" t="str">
            <v>Shipment</v>
          </cell>
        </row>
        <row r="14066">
          <cell r="B14066" t="str">
            <v>Shipment</v>
          </cell>
        </row>
        <row r="14067">
          <cell r="B14067" t="str">
            <v>Shipment</v>
          </cell>
        </row>
        <row r="14068">
          <cell r="B14068" t="str">
            <v>Shipment</v>
          </cell>
        </row>
        <row r="14069">
          <cell r="B14069" t="str">
            <v>Shipment</v>
          </cell>
        </row>
        <row r="14070">
          <cell r="B14070" t="str">
            <v>Shipment</v>
          </cell>
        </row>
        <row r="14071">
          <cell r="B14071" t="str">
            <v>Shipment</v>
          </cell>
        </row>
        <row r="14072">
          <cell r="B14072" t="str">
            <v>Shipment</v>
          </cell>
        </row>
        <row r="14073">
          <cell r="B14073" t="str">
            <v>Shipment</v>
          </cell>
        </row>
        <row r="14074">
          <cell r="B14074" t="str">
            <v>Shipment</v>
          </cell>
        </row>
        <row r="14075">
          <cell r="B14075" t="str">
            <v>Shipment</v>
          </cell>
        </row>
        <row r="14076">
          <cell r="B14076" t="str">
            <v>Shipment</v>
          </cell>
        </row>
        <row r="14077">
          <cell r="B14077" t="str">
            <v>Shipment</v>
          </cell>
        </row>
        <row r="14078">
          <cell r="B14078" t="str">
            <v>Shipment</v>
          </cell>
        </row>
        <row r="14079">
          <cell r="B14079" t="str">
            <v>Shipment</v>
          </cell>
        </row>
        <row r="14080">
          <cell r="B14080" t="str">
            <v>Shipment</v>
          </cell>
        </row>
        <row r="14081">
          <cell r="B14081" t="str">
            <v>Shipment</v>
          </cell>
        </row>
        <row r="14082">
          <cell r="B14082" t="str">
            <v>Shipment</v>
          </cell>
        </row>
        <row r="14083">
          <cell r="B14083" t="str">
            <v>Shipment</v>
          </cell>
        </row>
        <row r="14084">
          <cell r="B14084" t="str">
            <v>Shipment</v>
          </cell>
        </row>
        <row r="14085">
          <cell r="B14085" t="str">
            <v>Shipment</v>
          </cell>
        </row>
        <row r="14086">
          <cell r="B14086" t="str">
            <v>Shipment</v>
          </cell>
        </row>
        <row r="14087">
          <cell r="B14087" t="str">
            <v>Shipment</v>
          </cell>
        </row>
        <row r="14088">
          <cell r="B14088" t="str">
            <v>Shipment</v>
          </cell>
        </row>
        <row r="14089">
          <cell r="B14089" t="str">
            <v>Shipment</v>
          </cell>
        </row>
        <row r="14090">
          <cell r="B14090" t="str">
            <v>Shipment</v>
          </cell>
        </row>
        <row r="14091">
          <cell r="B14091" t="str">
            <v>Shipment</v>
          </cell>
        </row>
        <row r="14092">
          <cell r="B14092" t="str">
            <v>Shipment</v>
          </cell>
        </row>
        <row r="14093">
          <cell r="B14093" t="str">
            <v>Shipment</v>
          </cell>
        </row>
        <row r="14094">
          <cell r="B14094" t="str">
            <v>Shipment</v>
          </cell>
        </row>
        <row r="14095">
          <cell r="B14095" t="str">
            <v>Shipment</v>
          </cell>
        </row>
        <row r="14096">
          <cell r="B14096" t="str">
            <v>Shipment</v>
          </cell>
        </row>
        <row r="14097">
          <cell r="B14097" t="str">
            <v>Shipment</v>
          </cell>
        </row>
        <row r="14098">
          <cell r="B14098" t="str">
            <v>Shipment</v>
          </cell>
        </row>
        <row r="14099">
          <cell r="B14099" t="str">
            <v>Shipment</v>
          </cell>
        </row>
        <row r="14100">
          <cell r="B14100" t="str">
            <v>Shipment</v>
          </cell>
        </row>
        <row r="14101">
          <cell r="B14101" t="str">
            <v>Shipment</v>
          </cell>
        </row>
        <row r="14102">
          <cell r="B14102" t="str">
            <v>Shipment</v>
          </cell>
        </row>
        <row r="14103">
          <cell r="B14103" t="str">
            <v>Shipment</v>
          </cell>
        </row>
        <row r="14104">
          <cell r="B14104" t="str">
            <v>Shipment</v>
          </cell>
        </row>
        <row r="14105">
          <cell r="B14105" t="str">
            <v>Shipment</v>
          </cell>
        </row>
        <row r="14106">
          <cell r="B14106" t="str">
            <v>Shipment</v>
          </cell>
        </row>
        <row r="14107">
          <cell r="B14107" t="str">
            <v>Shipment</v>
          </cell>
        </row>
        <row r="14108">
          <cell r="B14108" t="str">
            <v>Shipment</v>
          </cell>
        </row>
        <row r="14109">
          <cell r="B14109" t="str">
            <v>Shipment</v>
          </cell>
        </row>
        <row r="14110">
          <cell r="B14110" t="str">
            <v>Shipment</v>
          </cell>
        </row>
        <row r="14111">
          <cell r="B14111" t="str">
            <v>Shipment</v>
          </cell>
        </row>
        <row r="14112">
          <cell r="B14112" t="str">
            <v>Shipment</v>
          </cell>
        </row>
        <row r="14113">
          <cell r="B14113" t="str">
            <v>Shipment</v>
          </cell>
        </row>
        <row r="14114">
          <cell r="B14114" t="str">
            <v>Shipment</v>
          </cell>
        </row>
        <row r="14115">
          <cell r="B14115" t="str">
            <v>Shipment</v>
          </cell>
        </row>
        <row r="14116">
          <cell r="B14116" t="str">
            <v>Shipment</v>
          </cell>
        </row>
        <row r="14117">
          <cell r="B14117" t="str">
            <v>Shipment</v>
          </cell>
        </row>
        <row r="14118">
          <cell r="B14118" t="str">
            <v>Shipment</v>
          </cell>
        </row>
        <row r="14119">
          <cell r="B14119" t="str">
            <v>Shipment</v>
          </cell>
        </row>
        <row r="14120">
          <cell r="B14120" t="str">
            <v>Shipment</v>
          </cell>
        </row>
        <row r="14121">
          <cell r="B14121" t="str">
            <v>Shipment</v>
          </cell>
        </row>
        <row r="14122">
          <cell r="B14122" t="str">
            <v>Shipment</v>
          </cell>
        </row>
        <row r="14123">
          <cell r="B14123" t="str">
            <v>Shipment</v>
          </cell>
        </row>
        <row r="14124">
          <cell r="B14124" t="str">
            <v>Shipment</v>
          </cell>
        </row>
        <row r="14125">
          <cell r="B14125" t="str">
            <v>Shipment</v>
          </cell>
        </row>
        <row r="14126">
          <cell r="B14126" t="str">
            <v>Shipment</v>
          </cell>
        </row>
        <row r="14127">
          <cell r="B14127" t="str">
            <v>Shipment</v>
          </cell>
        </row>
        <row r="14128">
          <cell r="B14128" t="str">
            <v>Shipment</v>
          </cell>
        </row>
        <row r="14129">
          <cell r="B14129" t="str">
            <v>Shipment</v>
          </cell>
        </row>
        <row r="14130">
          <cell r="B14130" t="str">
            <v>Shipment</v>
          </cell>
        </row>
        <row r="14131">
          <cell r="B14131" t="str">
            <v>Shipment</v>
          </cell>
        </row>
        <row r="14132">
          <cell r="B14132" t="str">
            <v>Shipment</v>
          </cell>
        </row>
        <row r="14133">
          <cell r="B14133" t="str">
            <v>Shipment</v>
          </cell>
        </row>
        <row r="14134">
          <cell r="B14134" t="str">
            <v>Shipment</v>
          </cell>
        </row>
        <row r="14135">
          <cell r="B14135" t="str">
            <v>Shipment</v>
          </cell>
        </row>
        <row r="14136">
          <cell r="B14136" t="str">
            <v>Shipment</v>
          </cell>
        </row>
        <row r="14137">
          <cell r="B14137" t="str">
            <v>Shipment</v>
          </cell>
        </row>
        <row r="14138">
          <cell r="B14138" t="str">
            <v>Shipment</v>
          </cell>
        </row>
        <row r="14139">
          <cell r="B14139" t="str">
            <v>Shipment</v>
          </cell>
        </row>
        <row r="14140">
          <cell r="B14140" t="str">
            <v>Shipment</v>
          </cell>
        </row>
        <row r="14141">
          <cell r="B14141" t="str">
            <v>Shipment</v>
          </cell>
        </row>
        <row r="14142">
          <cell r="B14142" t="str">
            <v>Shipment</v>
          </cell>
        </row>
        <row r="14143">
          <cell r="B14143" t="str">
            <v>Shipment</v>
          </cell>
        </row>
        <row r="14144">
          <cell r="B14144" t="str">
            <v>Shipment</v>
          </cell>
        </row>
        <row r="14145">
          <cell r="B14145" t="str">
            <v>Shipment</v>
          </cell>
        </row>
        <row r="14146">
          <cell r="B14146" t="str">
            <v>Shipment</v>
          </cell>
        </row>
        <row r="14147">
          <cell r="B14147" t="str">
            <v>Shipment</v>
          </cell>
        </row>
        <row r="14148">
          <cell r="B14148" t="str">
            <v>Shipment</v>
          </cell>
        </row>
        <row r="14149">
          <cell r="B14149" t="str">
            <v>Shipment</v>
          </cell>
        </row>
        <row r="14150">
          <cell r="B14150" t="str">
            <v>Shipment</v>
          </cell>
        </row>
        <row r="14151">
          <cell r="B14151" t="str">
            <v>Shipment</v>
          </cell>
        </row>
        <row r="14152">
          <cell r="B14152" t="str">
            <v>Shipment</v>
          </cell>
        </row>
        <row r="14153">
          <cell r="B14153" t="str">
            <v>Shipment</v>
          </cell>
        </row>
        <row r="14154">
          <cell r="B14154" t="str">
            <v>Shipment</v>
          </cell>
        </row>
        <row r="14155">
          <cell r="B14155" t="str">
            <v>Shipment</v>
          </cell>
        </row>
        <row r="14156">
          <cell r="B14156" t="str">
            <v>Shipment</v>
          </cell>
        </row>
        <row r="14157">
          <cell r="B14157" t="str">
            <v>Shipment</v>
          </cell>
        </row>
        <row r="14158">
          <cell r="B14158" t="str">
            <v>Shipment</v>
          </cell>
        </row>
        <row r="14159">
          <cell r="B14159" t="str">
            <v>Shipment</v>
          </cell>
        </row>
        <row r="14160">
          <cell r="B14160" t="str">
            <v>Shipment</v>
          </cell>
        </row>
        <row r="14161">
          <cell r="B14161" t="str">
            <v>Shipment</v>
          </cell>
        </row>
        <row r="14162">
          <cell r="B14162" t="str">
            <v>Shipment</v>
          </cell>
        </row>
        <row r="14163">
          <cell r="B14163" t="str">
            <v>Shipment</v>
          </cell>
        </row>
        <row r="14164">
          <cell r="B14164" t="str">
            <v>Shipment</v>
          </cell>
        </row>
        <row r="14165">
          <cell r="B14165" t="str">
            <v>Shipment</v>
          </cell>
        </row>
        <row r="14166">
          <cell r="B14166" t="str">
            <v>Shipment</v>
          </cell>
        </row>
        <row r="14167">
          <cell r="B14167" t="str">
            <v>Shipment</v>
          </cell>
        </row>
        <row r="14168">
          <cell r="B14168" t="str">
            <v>Shipment</v>
          </cell>
        </row>
        <row r="14169">
          <cell r="B14169" t="str">
            <v>Shipment</v>
          </cell>
        </row>
        <row r="14170">
          <cell r="B14170" t="str">
            <v>Shipment</v>
          </cell>
        </row>
        <row r="14171">
          <cell r="B14171" t="str">
            <v>Shipment</v>
          </cell>
        </row>
        <row r="14172">
          <cell r="B14172" t="str">
            <v>Shipment</v>
          </cell>
        </row>
        <row r="14173">
          <cell r="B14173" t="str">
            <v>Shipment</v>
          </cell>
        </row>
        <row r="14174">
          <cell r="B14174" t="str">
            <v>Shipment</v>
          </cell>
        </row>
        <row r="14175">
          <cell r="B14175" t="str">
            <v>Shipment</v>
          </cell>
        </row>
        <row r="14176">
          <cell r="B14176" t="str">
            <v>Shipment</v>
          </cell>
        </row>
        <row r="14177">
          <cell r="B14177" t="str">
            <v>Shipment</v>
          </cell>
        </row>
        <row r="14178">
          <cell r="B14178" t="str">
            <v>Shipment</v>
          </cell>
        </row>
        <row r="14179">
          <cell r="B14179" t="str">
            <v>Shipment</v>
          </cell>
        </row>
        <row r="14180">
          <cell r="B14180" t="str">
            <v>Shipment</v>
          </cell>
        </row>
        <row r="14181">
          <cell r="B14181" t="str">
            <v>Shipment</v>
          </cell>
        </row>
        <row r="14182">
          <cell r="B14182" t="str">
            <v>Shipment</v>
          </cell>
        </row>
        <row r="14183">
          <cell r="B14183" t="str">
            <v>Shipment</v>
          </cell>
        </row>
        <row r="14184">
          <cell r="B14184" t="str">
            <v>Shipment</v>
          </cell>
        </row>
        <row r="14185">
          <cell r="B14185" t="str">
            <v>Shipment</v>
          </cell>
        </row>
        <row r="14186">
          <cell r="B14186" t="str">
            <v>Shipment</v>
          </cell>
        </row>
        <row r="14187">
          <cell r="B14187" t="str">
            <v>Shipment</v>
          </cell>
        </row>
        <row r="14188">
          <cell r="B14188" t="str">
            <v>Shipment</v>
          </cell>
        </row>
        <row r="14189">
          <cell r="B14189" t="str">
            <v>Shipment</v>
          </cell>
        </row>
        <row r="14190">
          <cell r="B14190" t="str">
            <v>Shipment</v>
          </cell>
        </row>
        <row r="14191">
          <cell r="B14191" t="str">
            <v>Shipment</v>
          </cell>
        </row>
        <row r="14192">
          <cell r="B14192" t="str">
            <v>Shipment</v>
          </cell>
        </row>
        <row r="14193">
          <cell r="B14193" t="str">
            <v>Shipment</v>
          </cell>
        </row>
        <row r="14194">
          <cell r="B14194" t="str">
            <v>Shipment</v>
          </cell>
        </row>
        <row r="14195">
          <cell r="B14195" t="str">
            <v>Shipment</v>
          </cell>
        </row>
        <row r="14196">
          <cell r="B14196" t="str">
            <v>Shipment</v>
          </cell>
        </row>
        <row r="14197">
          <cell r="B14197" t="str">
            <v>Shipment</v>
          </cell>
        </row>
        <row r="14198">
          <cell r="B14198" t="str">
            <v>Shipment</v>
          </cell>
        </row>
        <row r="14199">
          <cell r="B14199" t="str">
            <v>Shipment</v>
          </cell>
        </row>
        <row r="14200">
          <cell r="B14200" t="str">
            <v>Shipment</v>
          </cell>
        </row>
        <row r="14201">
          <cell r="B14201" t="str">
            <v>Shipment</v>
          </cell>
        </row>
        <row r="14202">
          <cell r="B14202" t="str">
            <v>Shipment</v>
          </cell>
        </row>
        <row r="14203">
          <cell r="B14203" t="str">
            <v>Shipment</v>
          </cell>
        </row>
        <row r="14204">
          <cell r="B14204" t="str">
            <v>Shipment</v>
          </cell>
        </row>
        <row r="14205">
          <cell r="B14205" t="str">
            <v>Shipment</v>
          </cell>
        </row>
        <row r="14206">
          <cell r="B14206" t="str">
            <v>Shipment</v>
          </cell>
        </row>
        <row r="14207">
          <cell r="B14207" t="str">
            <v>Shipment</v>
          </cell>
        </row>
        <row r="14208">
          <cell r="B14208" t="str">
            <v>Shipment</v>
          </cell>
        </row>
        <row r="14209">
          <cell r="B14209" t="str">
            <v>Shipment</v>
          </cell>
        </row>
        <row r="14210">
          <cell r="B14210" t="str">
            <v>Shipment</v>
          </cell>
        </row>
        <row r="14211">
          <cell r="B14211" t="str">
            <v>Shipment</v>
          </cell>
        </row>
        <row r="14212">
          <cell r="B14212" t="str">
            <v>Shipment</v>
          </cell>
        </row>
        <row r="14213">
          <cell r="B14213" t="str">
            <v>Shipment</v>
          </cell>
        </row>
        <row r="14214">
          <cell r="B14214" t="str">
            <v>Shipment</v>
          </cell>
        </row>
        <row r="14215">
          <cell r="B14215" t="str">
            <v>Shipment</v>
          </cell>
        </row>
        <row r="14216">
          <cell r="B14216" t="str">
            <v>Shipment</v>
          </cell>
        </row>
        <row r="14217">
          <cell r="B14217" t="str">
            <v>Shipment</v>
          </cell>
        </row>
        <row r="14218">
          <cell r="B14218" t="str">
            <v>Shipment</v>
          </cell>
        </row>
        <row r="14219">
          <cell r="B14219" t="str">
            <v>Shipment</v>
          </cell>
        </row>
        <row r="14220">
          <cell r="B14220" t="str">
            <v>Shipment</v>
          </cell>
        </row>
        <row r="14221">
          <cell r="B14221" t="str">
            <v>Shipment</v>
          </cell>
        </row>
        <row r="14222">
          <cell r="B14222" t="str">
            <v>Shipment</v>
          </cell>
        </row>
        <row r="14223">
          <cell r="B14223" t="str">
            <v>Shipment</v>
          </cell>
        </row>
        <row r="14224">
          <cell r="B14224" t="str">
            <v>Shipment</v>
          </cell>
        </row>
        <row r="14225">
          <cell r="B14225" t="str">
            <v>Shipment</v>
          </cell>
        </row>
        <row r="14226">
          <cell r="B14226" t="str">
            <v>Shipment</v>
          </cell>
        </row>
        <row r="14227">
          <cell r="B14227" t="str">
            <v>Shipment</v>
          </cell>
        </row>
        <row r="14228">
          <cell r="B14228" t="str">
            <v>Shipment</v>
          </cell>
        </row>
        <row r="14229">
          <cell r="B14229" t="str">
            <v>Shipment</v>
          </cell>
        </row>
        <row r="14230">
          <cell r="B14230" t="str">
            <v>Shipment</v>
          </cell>
        </row>
        <row r="14231">
          <cell r="B14231" t="str">
            <v>Shipment</v>
          </cell>
        </row>
        <row r="14232">
          <cell r="B14232" t="str">
            <v>Shipment</v>
          </cell>
        </row>
        <row r="14233">
          <cell r="B14233" t="str">
            <v>Shipment</v>
          </cell>
        </row>
        <row r="14234">
          <cell r="B14234" t="str">
            <v>Shipment</v>
          </cell>
        </row>
        <row r="14235">
          <cell r="B14235" t="str">
            <v>Shipment</v>
          </cell>
        </row>
        <row r="14236">
          <cell r="B14236" t="str">
            <v>Shipment</v>
          </cell>
        </row>
        <row r="14237">
          <cell r="B14237" t="str">
            <v>Shipment</v>
          </cell>
        </row>
        <row r="14238">
          <cell r="B14238" t="str">
            <v>Shipment</v>
          </cell>
        </row>
        <row r="14239">
          <cell r="B14239" t="str">
            <v>Shipment</v>
          </cell>
        </row>
        <row r="14240">
          <cell r="B14240" t="str">
            <v>Shipment</v>
          </cell>
        </row>
        <row r="14241">
          <cell r="B14241" t="str">
            <v>Shipment</v>
          </cell>
        </row>
        <row r="14242">
          <cell r="B14242" t="str">
            <v>Shipment</v>
          </cell>
        </row>
        <row r="14243">
          <cell r="B14243" t="str">
            <v>Shipment</v>
          </cell>
        </row>
        <row r="14244">
          <cell r="B14244" t="str">
            <v>Shipment</v>
          </cell>
        </row>
        <row r="14245">
          <cell r="B14245" t="str">
            <v>Shipment</v>
          </cell>
        </row>
        <row r="14246">
          <cell r="B14246" t="str">
            <v>Shipment</v>
          </cell>
        </row>
        <row r="14247">
          <cell r="B14247" t="str">
            <v>Shipment</v>
          </cell>
        </row>
        <row r="14248">
          <cell r="B14248" t="str">
            <v>Shipment</v>
          </cell>
        </row>
        <row r="14249">
          <cell r="B14249" t="str">
            <v>Shipment</v>
          </cell>
        </row>
        <row r="14250">
          <cell r="B14250" t="str">
            <v>Shipment</v>
          </cell>
        </row>
        <row r="14251">
          <cell r="B14251" t="str">
            <v>Shipment</v>
          </cell>
        </row>
        <row r="14252">
          <cell r="B14252" t="str">
            <v>Shipment</v>
          </cell>
        </row>
        <row r="14253">
          <cell r="B14253" t="str">
            <v>Shipment</v>
          </cell>
        </row>
        <row r="14254">
          <cell r="B14254" t="str">
            <v>Shipment</v>
          </cell>
        </row>
        <row r="14255">
          <cell r="B14255" t="str">
            <v>Shipment</v>
          </cell>
        </row>
        <row r="14256">
          <cell r="B14256" t="str">
            <v>Shipment</v>
          </cell>
        </row>
        <row r="14257">
          <cell r="B14257" t="str">
            <v>Shipment</v>
          </cell>
        </row>
        <row r="14258">
          <cell r="B14258" t="str">
            <v>Shipment</v>
          </cell>
        </row>
        <row r="14259">
          <cell r="B14259" t="str">
            <v>Shipment</v>
          </cell>
        </row>
        <row r="14260">
          <cell r="B14260" t="str">
            <v>Shipment</v>
          </cell>
        </row>
        <row r="14261">
          <cell r="B14261" t="str">
            <v>Shipment</v>
          </cell>
        </row>
        <row r="14262">
          <cell r="B14262" t="str">
            <v>Shipment</v>
          </cell>
        </row>
        <row r="14263">
          <cell r="B14263" t="str">
            <v>Shipment</v>
          </cell>
        </row>
        <row r="14264">
          <cell r="B14264" t="str">
            <v>Shipment</v>
          </cell>
        </row>
        <row r="14265">
          <cell r="B14265" t="str">
            <v>Shipment</v>
          </cell>
        </row>
        <row r="14266">
          <cell r="B14266" t="str">
            <v>Shipment</v>
          </cell>
        </row>
        <row r="14267">
          <cell r="B14267" t="str">
            <v>Shipment</v>
          </cell>
        </row>
        <row r="14268">
          <cell r="B14268" t="str">
            <v>Shipment</v>
          </cell>
        </row>
        <row r="14269">
          <cell r="B14269" t="str">
            <v>Shipment</v>
          </cell>
        </row>
        <row r="14270">
          <cell r="B14270" t="str">
            <v>Shipment</v>
          </cell>
        </row>
        <row r="14271">
          <cell r="B14271" t="str">
            <v>Shipment</v>
          </cell>
        </row>
        <row r="14272">
          <cell r="B14272" t="str">
            <v>Shipment</v>
          </cell>
        </row>
        <row r="14273">
          <cell r="B14273" t="str">
            <v>Shipment</v>
          </cell>
        </row>
        <row r="14274">
          <cell r="B14274" t="str">
            <v>Shipment</v>
          </cell>
        </row>
        <row r="14275">
          <cell r="B14275" t="str">
            <v>Shipment</v>
          </cell>
        </row>
        <row r="14276">
          <cell r="B14276" t="str">
            <v>Shipment</v>
          </cell>
        </row>
        <row r="14277">
          <cell r="B14277" t="str">
            <v>Shipment</v>
          </cell>
        </row>
        <row r="14278">
          <cell r="B14278" t="str">
            <v>Shipment</v>
          </cell>
        </row>
        <row r="14279">
          <cell r="B14279" t="str">
            <v>Shipment</v>
          </cell>
        </row>
        <row r="14280">
          <cell r="B14280" t="str">
            <v>Shipment</v>
          </cell>
        </row>
        <row r="14281">
          <cell r="B14281" t="str">
            <v>Shipment</v>
          </cell>
        </row>
        <row r="14282">
          <cell r="B14282" t="str">
            <v>Shipment</v>
          </cell>
        </row>
        <row r="14283">
          <cell r="B14283" t="str">
            <v>Shipment</v>
          </cell>
        </row>
        <row r="14284">
          <cell r="B14284" t="str">
            <v>Shipment</v>
          </cell>
        </row>
        <row r="14285">
          <cell r="B14285" t="str">
            <v>Shipment</v>
          </cell>
        </row>
        <row r="14286">
          <cell r="B14286" t="str">
            <v>Shipment</v>
          </cell>
        </row>
        <row r="14287">
          <cell r="B14287" t="str">
            <v>Shipment</v>
          </cell>
        </row>
        <row r="14288">
          <cell r="B14288" t="str">
            <v>Shipment</v>
          </cell>
        </row>
        <row r="14289">
          <cell r="B14289" t="str">
            <v>Shipment</v>
          </cell>
        </row>
        <row r="14290">
          <cell r="B14290" t="str">
            <v>Shipment</v>
          </cell>
        </row>
        <row r="14291">
          <cell r="B14291" t="str">
            <v>Shipment</v>
          </cell>
        </row>
        <row r="14292">
          <cell r="B14292" t="str">
            <v>Shipment</v>
          </cell>
        </row>
        <row r="14293">
          <cell r="B14293" t="str">
            <v>Shipment</v>
          </cell>
        </row>
        <row r="14294">
          <cell r="B14294" t="str">
            <v>Shipment</v>
          </cell>
        </row>
        <row r="14295">
          <cell r="B14295" t="str">
            <v>Shipment</v>
          </cell>
        </row>
        <row r="14296">
          <cell r="B14296" t="str">
            <v>Shipment</v>
          </cell>
        </row>
        <row r="14297">
          <cell r="B14297" t="str">
            <v>Shipment</v>
          </cell>
        </row>
        <row r="14298">
          <cell r="B14298" t="str">
            <v>Shipment</v>
          </cell>
        </row>
        <row r="14299">
          <cell r="B14299" t="str">
            <v>Shipment</v>
          </cell>
        </row>
        <row r="14300">
          <cell r="B14300" t="str">
            <v>Shipment</v>
          </cell>
        </row>
        <row r="14301">
          <cell r="B14301" t="str">
            <v>Shipment</v>
          </cell>
        </row>
        <row r="14302">
          <cell r="B14302" t="str">
            <v>Shipment</v>
          </cell>
        </row>
        <row r="14303">
          <cell r="B14303" t="str">
            <v>Shipment</v>
          </cell>
        </row>
        <row r="14304">
          <cell r="B14304" t="str">
            <v>Shipment</v>
          </cell>
        </row>
        <row r="14305">
          <cell r="B14305" t="str">
            <v>Shipment</v>
          </cell>
        </row>
        <row r="14306">
          <cell r="B14306" t="str">
            <v>Shipment</v>
          </cell>
        </row>
        <row r="14307">
          <cell r="B14307" t="str">
            <v>Shipment</v>
          </cell>
        </row>
        <row r="14308">
          <cell r="B14308" t="str">
            <v>Shipment</v>
          </cell>
        </row>
        <row r="14309">
          <cell r="B14309" t="str">
            <v>Shipment</v>
          </cell>
        </row>
        <row r="14310">
          <cell r="B14310" t="str">
            <v>Shipment</v>
          </cell>
        </row>
        <row r="14311">
          <cell r="B14311" t="str">
            <v>Shipment</v>
          </cell>
        </row>
        <row r="14312">
          <cell r="B14312" t="str">
            <v>Shipment</v>
          </cell>
        </row>
        <row r="14313">
          <cell r="B14313" t="str">
            <v>Shipment</v>
          </cell>
        </row>
        <row r="14314">
          <cell r="B14314" t="str">
            <v>Shipment</v>
          </cell>
        </row>
        <row r="14315">
          <cell r="B14315" t="str">
            <v>Shipment</v>
          </cell>
        </row>
        <row r="14316">
          <cell r="B14316" t="str">
            <v>Shipment</v>
          </cell>
        </row>
        <row r="14317">
          <cell r="B14317" t="str">
            <v>Shipment</v>
          </cell>
        </row>
        <row r="14318">
          <cell r="B14318" t="str">
            <v>Shipment</v>
          </cell>
        </row>
        <row r="14319">
          <cell r="B14319" t="str">
            <v>Shipment</v>
          </cell>
        </row>
        <row r="14320">
          <cell r="B14320" t="str">
            <v>Shipment</v>
          </cell>
        </row>
        <row r="14321">
          <cell r="B14321" t="str">
            <v>Shipment</v>
          </cell>
        </row>
        <row r="14322">
          <cell r="B14322" t="str">
            <v>Shipment</v>
          </cell>
        </row>
        <row r="14323">
          <cell r="B14323" t="str">
            <v>Shipment</v>
          </cell>
        </row>
        <row r="14324">
          <cell r="B14324" t="str">
            <v>Shipment</v>
          </cell>
        </row>
        <row r="14325">
          <cell r="B14325" t="str">
            <v>Shipment</v>
          </cell>
        </row>
        <row r="14326">
          <cell r="B14326" t="str">
            <v>Shipment</v>
          </cell>
        </row>
        <row r="14327">
          <cell r="B14327" t="str">
            <v>Shipment</v>
          </cell>
        </row>
        <row r="14328">
          <cell r="B14328" t="str">
            <v>Shipment</v>
          </cell>
        </row>
        <row r="14329">
          <cell r="B14329" t="str">
            <v>Shipment</v>
          </cell>
        </row>
        <row r="14330">
          <cell r="B14330" t="str">
            <v>Shipment</v>
          </cell>
        </row>
        <row r="14331">
          <cell r="B14331" t="str">
            <v>Shipment</v>
          </cell>
        </row>
        <row r="14332">
          <cell r="B14332" t="str">
            <v>Shipment</v>
          </cell>
        </row>
        <row r="14333">
          <cell r="B14333" t="str">
            <v>Shipment</v>
          </cell>
        </row>
        <row r="14334">
          <cell r="B14334" t="str">
            <v>Shipment</v>
          </cell>
        </row>
        <row r="14335">
          <cell r="B14335" t="str">
            <v>Shipment</v>
          </cell>
        </row>
        <row r="14336">
          <cell r="B14336" t="str">
            <v>Shipment</v>
          </cell>
        </row>
        <row r="14337">
          <cell r="B14337" t="str">
            <v>Shipment</v>
          </cell>
        </row>
        <row r="14338">
          <cell r="B14338" t="str">
            <v>Shipment</v>
          </cell>
        </row>
        <row r="14339">
          <cell r="B14339" t="str">
            <v>Shipment</v>
          </cell>
        </row>
        <row r="14340">
          <cell r="B14340" t="str">
            <v>Shipment</v>
          </cell>
        </row>
        <row r="14341">
          <cell r="B14341" t="str">
            <v>Shipment</v>
          </cell>
        </row>
        <row r="14342">
          <cell r="B14342" t="str">
            <v>Shipment</v>
          </cell>
        </row>
        <row r="14343">
          <cell r="B14343" t="str">
            <v>Shipment</v>
          </cell>
        </row>
        <row r="14344">
          <cell r="B14344" t="str">
            <v>Shipment</v>
          </cell>
        </row>
        <row r="14345">
          <cell r="B14345" t="str">
            <v>Shipment</v>
          </cell>
        </row>
        <row r="14346">
          <cell r="B14346" t="str">
            <v>Shipment</v>
          </cell>
        </row>
        <row r="14347">
          <cell r="B14347" t="str">
            <v>Shipment</v>
          </cell>
        </row>
        <row r="14348">
          <cell r="B14348" t="str">
            <v>Shipment</v>
          </cell>
        </row>
        <row r="14349">
          <cell r="B14349" t="str">
            <v>Shipment</v>
          </cell>
        </row>
        <row r="14350">
          <cell r="B14350" t="str">
            <v>Shipment</v>
          </cell>
        </row>
        <row r="14351">
          <cell r="B14351" t="str">
            <v>Shipment</v>
          </cell>
        </row>
        <row r="14352">
          <cell r="B14352" t="str">
            <v>Shipment</v>
          </cell>
        </row>
        <row r="14353">
          <cell r="B14353" t="str">
            <v>Shipment</v>
          </cell>
        </row>
        <row r="14354">
          <cell r="B14354" t="str">
            <v>Shipment</v>
          </cell>
        </row>
        <row r="14355">
          <cell r="B14355" t="str">
            <v>Shipment</v>
          </cell>
        </row>
        <row r="14356">
          <cell r="B14356" t="str">
            <v>Shipment</v>
          </cell>
        </row>
        <row r="14357">
          <cell r="B14357" t="str">
            <v>Shipment</v>
          </cell>
        </row>
        <row r="14358">
          <cell r="B14358" t="str">
            <v>Shipment</v>
          </cell>
        </row>
        <row r="14359">
          <cell r="B14359" t="str">
            <v>Shipment</v>
          </cell>
        </row>
        <row r="14360">
          <cell r="B14360" t="str">
            <v>Shipment</v>
          </cell>
        </row>
        <row r="14361">
          <cell r="B14361" t="str">
            <v>Shipment</v>
          </cell>
        </row>
        <row r="14362">
          <cell r="B14362" t="str">
            <v>Shipment</v>
          </cell>
        </row>
        <row r="14363">
          <cell r="B14363" t="str">
            <v>Shipment</v>
          </cell>
        </row>
        <row r="14364">
          <cell r="B14364" t="str">
            <v>Shipment</v>
          </cell>
        </row>
        <row r="14365">
          <cell r="B14365" t="str">
            <v>Shipment</v>
          </cell>
        </row>
        <row r="14366">
          <cell r="B14366" t="str">
            <v>Shipment</v>
          </cell>
        </row>
        <row r="14367">
          <cell r="B14367" t="str">
            <v>Shipment</v>
          </cell>
        </row>
        <row r="14368">
          <cell r="B14368" t="str">
            <v>Shipment</v>
          </cell>
        </row>
        <row r="14369">
          <cell r="B14369" t="str">
            <v>Shipment</v>
          </cell>
        </row>
        <row r="14370">
          <cell r="B14370" t="str">
            <v>Shipment</v>
          </cell>
        </row>
        <row r="14371">
          <cell r="B14371" t="str">
            <v>Shipment</v>
          </cell>
        </row>
        <row r="14372">
          <cell r="B14372" t="str">
            <v>Shipment</v>
          </cell>
        </row>
        <row r="14373">
          <cell r="B14373" t="str">
            <v>Shipment</v>
          </cell>
        </row>
        <row r="14374">
          <cell r="B14374" t="str">
            <v>Shipment</v>
          </cell>
        </row>
        <row r="14375">
          <cell r="B14375" t="str">
            <v>Shipment</v>
          </cell>
        </row>
        <row r="14376">
          <cell r="B14376" t="str">
            <v>Shipment</v>
          </cell>
        </row>
        <row r="14377">
          <cell r="B14377" t="str">
            <v>Shipment</v>
          </cell>
        </row>
        <row r="14378">
          <cell r="B14378" t="str">
            <v>Shipment</v>
          </cell>
        </row>
        <row r="14379">
          <cell r="B14379" t="str">
            <v>Shipment</v>
          </cell>
        </row>
        <row r="14380">
          <cell r="B14380" t="str">
            <v>Shipment</v>
          </cell>
        </row>
        <row r="14381">
          <cell r="B14381" t="str">
            <v>Shipment</v>
          </cell>
        </row>
        <row r="14382">
          <cell r="B14382" t="str">
            <v>Shipment</v>
          </cell>
        </row>
        <row r="14383">
          <cell r="B14383" t="str">
            <v>Shipment</v>
          </cell>
        </row>
        <row r="14384">
          <cell r="B14384" t="str">
            <v>Shipment</v>
          </cell>
        </row>
        <row r="14385">
          <cell r="B14385" t="str">
            <v>Shipment</v>
          </cell>
        </row>
        <row r="14386">
          <cell r="B14386" t="str">
            <v>Shipment</v>
          </cell>
        </row>
        <row r="14387">
          <cell r="B14387" t="str">
            <v>Shipment</v>
          </cell>
        </row>
        <row r="14388">
          <cell r="B14388" t="str">
            <v>Shipment</v>
          </cell>
        </row>
        <row r="14389">
          <cell r="B14389" t="str">
            <v>Shipment</v>
          </cell>
        </row>
        <row r="14390">
          <cell r="B14390" t="str">
            <v>Shipment</v>
          </cell>
        </row>
        <row r="14391">
          <cell r="B14391" t="str">
            <v>Shipment</v>
          </cell>
        </row>
        <row r="14392">
          <cell r="B14392" t="str">
            <v>Shipment</v>
          </cell>
        </row>
        <row r="14393">
          <cell r="B14393" t="str">
            <v>Shipment</v>
          </cell>
        </row>
        <row r="14394">
          <cell r="B14394" t="str">
            <v>Shipment</v>
          </cell>
        </row>
        <row r="14395">
          <cell r="B14395" t="str">
            <v>Shipment</v>
          </cell>
        </row>
        <row r="14396">
          <cell r="B14396" t="str">
            <v>Shipment</v>
          </cell>
        </row>
        <row r="14397">
          <cell r="B14397" t="str">
            <v>Shipment</v>
          </cell>
        </row>
        <row r="14398">
          <cell r="B14398" t="str">
            <v>Shipment</v>
          </cell>
        </row>
        <row r="14399">
          <cell r="B14399" t="str">
            <v>Shipment</v>
          </cell>
        </row>
        <row r="14400">
          <cell r="B14400" t="str">
            <v>Shipment</v>
          </cell>
        </row>
        <row r="14401">
          <cell r="B14401" t="str">
            <v>Shipment</v>
          </cell>
        </row>
        <row r="14402">
          <cell r="B14402" t="str">
            <v>Shipment</v>
          </cell>
        </row>
        <row r="14403">
          <cell r="B14403" t="str">
            <v>Shipment</v>
          </cell>
        </row>
        <row r="14404">
          <cell r="B14404" t="str">
            <v>Shipment</v>
          </cell>
        </row>
        <row r="14405">
          <cell r="B14405" t="str">
            <v>Shipment</v>
          </cell>
        </row>
        <row r="14406">
          <cell r="B14406" t="str">
            <v>Shipment</v>
          </cell>
        </row>
        <row r="14407">
          <cell r="B14407" t="str">
            <v>Shipment</v>
          </cell>
        </row>
        <row r="14408">
          <cell r="B14408" t="str">
            <v>Shipment</v>
          </cell>
        </row>
        <row r="14409">
          <cell r="B14409" t="str">
            <v>Shipment</v>
          </cell>
        </row>
        <row r="14410">
          <cell r="B14410" t="str">
            <v>Shipment</v>
          </cell>
        </row>
        <row r="14411">
          <cell r="B14411" t="str">
            <v>Shipment</v>
          </cell>
        </row>
        <row r="14412">
          <cell r="B14412" t="str">
            <v>Shipment</v>
          </cell>
        </row>
        <row r="14413">
          <cell r="B14413" t="str">
            <v>Shipment</v>
          </cell>
        </row>
        <row r="14414">
          <cell r="B14414" t="str">
            <v>Shipment</v>
          </cell>
        </row>
        <row r="14415">
          <cell r="B14415" t="str">
            <v>Shipment</v>
          </cell>
        </row>
        <row r="14416">
          <cell r="B14416" t="str">
            <v>Shipment</v>
          </cell>
        </row>
        <row r="14417">
          <cell r="B14417" t="str">
            <v>Shipment</v>
          </cell>
        </row>
        <row r="14418">
          <cell r="B14418" t="str">
            <v>Shipment</v>
          </cell>
        </row>
        <row r="14419">
          <cell r="B14419" t="str">
            <v>Shipment</v>
          </cell>
        </row>
        <row r="14420">
          <cell r="B14420" t="str">
            <v>Shipment</v>
          </cell>
        </row>
        <row r="14421">
          <cell r="B14421" t="str">
            <v>Shipment</v>
          </cell>
        </row>
        <row r="14422">
          <cell r="B14422" t="str">
            <v>Shipment</v>
          </cell>
        </row>
        <row r="14423">
          <cell r="B14423" t="str">
            <v>Shipment</v>
          </cell>
        </row>
        <row r="14424">
          <cell r="B14424" t="str">
            <v>Shipment</v>
          </cell>
        </row>
        <row r="14425">
          <cell r="B14425" t="str">
            <v>Shipment</v>
          </cell>
        </row>
        <row r="14426">
          <cell r="B14426" t="str">
            <v>Shipment</v>
          </cell>
        </row>
        <row r="14427">
          <cell r="B14427" t="str">
            <v>Shipment</v>
          </cell>
        </row>
        <row r="14428">
          <cell r="B14428" t="str">
            <v>Shipment</v>
          </cell>
        </row>
        <row r="14429">
          <cell r="B14429" t="str">
            <v>Shipment</v>
          </cell>
        </row>
        <row r="14430">
          <cell r="B14430" t="str">
            <v>Shipment</v>
          </cell>
        </row>
        <row r="14431">
          <cell r="B14431" t="str">
            <v>Shipment</v>
          </cell>
        </row>
        <row r="14432">
          <cell r="B14432" t="str">
            <v>Shipment</v>
          </cell>
        </row>
        <row r="14433">
          <cell r="B14433" t="str">
            <v>Shipment</v>
          </cell>
        </row>
        <row r="14434">
          <cell r="B14434" t="str">
            <v>Shipment</v>
          </cell>
        </row>
        <row r="14435">
          <cell r="B14435" t="str">
            <v>Shipment</v>
          </cell>
        </row>
        <row r="14436">
          <cell r="B14436" t="str">
            <v>Shipment</v>
          </cell>
        </row>
        <row r="14437">
          <cell r="B14437" t="str">
            <v>Shipment</v>
          </cell>
        </row>
        <row r="14438">
          <cell r="B14438" t="str">
            <v>Shipment</v>
          </cell>
        </row>
        <row r="14439">
          <cell r="B14439" t="str">
            <v>Shipment</v>
          </cell>
        </row>
        <row r="14440">
          <cell r="B14440" t="str">
            <v>Shipment</v>
          </cell>
        </row>
        <row r="14441">
          <cell r="B14441" t="str">
            <v>Shipment</v>
          </cell>
        </row>
        <row r="14442">
          <cell r="B14442" t="str">
            <v>Shipment</v>
          </cell>
        </row>
        <row r="14443">
          <cell r="B14443" t="str">
            <v>Shipment</v>
          </cell>
        </row>
        <row r="14444">
          <cell r="B14444" t="str">
            <v>Shipment</v>
          </cell>
        </row>
        <row r="14445">
          <cell r="B14445" t="str">
            <v>Shipment</v>
          </cell>
        </row>
        <row r="14446">
          <cell r="B14446" t="str">
            <v>Shipment</v>
          </cell>
        </row>
        <row r="14447">
          <cell r="B14447" t="str">
            <v>Shipment</v>
          </cell>
        </row>
        <row r="14448">
          <cell r="B14448" t="str">
            <v>Shipment</v>
          </cell>
        </row>
        <row r="14449">
          <cell r="B14449" t="str">
            <v>Shipment</v>
          </cell>
        </row>
        <row r="14450">
          <cell r="B14450" t="str">
            <v>Shipment</v>
          </cell>
        </row>
        <row r="14451">
          <cell r="B14451" t="str">
            <v>Shipment</v>
          </cell>
        </row>
        <row r="14452">
          <cell r="B14452" t="str">
            <v>Shipment</v>
          </cell>
        </row>
        <row r="14453">
          <cell r="B14453" t="str">
            <v>Shipment</v>
          </cell>
        </row>
        <row r="14454">
          <cell r="B14454" t="str">
            <v>Shipment</v>
          </cell>
        </row>
        <row r="14455">
          <cell r="B14455" t="str">
            <v>Shipment</v>
          </cell>
        </row>
        <row r="14456">
          <cell r="B14456" t="str">
            <v>Shipment</v>
          </cell>
        </row>
        <row r="14457">
          <cell r="B14457" t="str">
            <v>Shipment</v>
          </cell>
        </row>
        <row r="14458">
          <cell r="B14458" t="str">
            <v>Shipment</v>
          </cell>
        </row>
        <row r="14459">
          <cell r="B14459" t="str">
            <v>Shipment</v>
          </cell>
        </row>
        <row r="14460">
          <cell r="B14460" t="str">
            <v>Shipment</v>
          </cell>
        </row>
        <row r="14461">
          <cell r="B14461" t="str">
            <v>Shipment</v>
          </cell>
        </row>
        <row r="14462">
          <cell r="B14462" t="str">
            <v>Shipment</v>
          </cell>
        </row>
        <row r="14463">
          <cell r="B14463" t="str">
            <v>Shipment</v>
          </cell>
        </row>
        <row r="14464">
          <cell r="B14464" t="str">
            <v>Shipment</v>
          </cell>
        </row>
        <row r="14465">
          <cell r="B14465" t="str">
            <v>Shipment</v>
          </cell>
        </row>
        <row r="14466">
          <cell r="B14466" t="str">
            <v>Shipment</v>
          </cell>
        </row>
        <row r="14467">
          <cell r="B14467" t="str">
            <v>Shipment</v>
          </cell>
        </row>
        <row r="14468">
          <cell r="B14468" t="str">
            <v>Shipment</v>
          </cell>
        </row>
        <row r="14469">
          <cell r="B14469" t="str">
            <v>Shipment</v>
          </cell>
        </row>
        <row r="14470">
          <cell r="B14470" t="str">
            <v>Shipment</v>
          </cell>
        </row>
        <row r="14471">
          <cell r="B14471" t="str">
            <v>Shipment</v>
          </cell>
        </row>
        <row r="14472">
          <cell r="B14472" t="str">
            <v>Shipment</v>
          </cell>
        </row>
        <row r="14473">
          <cell r="B14473" t="str">
            <v>Shipment</v>
          </cell>
        </row>
        <row r="14474">
          <cell r="B14474" t="str">
            <v>Shipment</v>
          </cell>
        </row>
        <row r="14475">
          <cell r="B14475" t="str">
            <v>Shipment</v>
          </cell>
        </row>
        <row r="14476">
          <cell r="B14476" t="str">
            <v>Shipment</v>
          </cell>
        </row>
        <row r="14477">
          <cell r="B14477" t="str">
            <v>Shipment</v>
          </cell>
        </row>
        <row r="14478">
          <cell r="B14478" t="str">
            <v>Shipment</v>
          </cell>
        </row>
        <row r="14479">
          <cell r="B14479" t="str">
            <v>Shipment</v>
          </cell>
        </row>
        <row r="14480">
          <cell r="B14480" t="str">
            <v>Shipment</v>
          </cell>
        </row>
        <row r="14481">
          <cell r="B14481" t="str">
            <v>Shipment</v>
          </cell>
        </row>
        <row r="14482">
          <cell r="B14482" t="str">
            <v>Shipment</v>
          </cell>
        </row>
        <row r="14483">
          <cell r="B14483" t="str">
            <v>Shipment</v>
          </cell>
        </row>
        <row r="14484">
          <cell r="B14484" t="str">
            <v>Shipment</v>
          </cell>
        </row>
        <row r="14485">
          <cell r="B14485" t="str">
            <v>Shipment</v>
          </cell>
        </row>
        <row r="14486">
          <cell r="B14486" t="str">
            <v>Shipment</v>
          </cell>
        </row>
        <row r="14487">
          <cell r="B14487" t="str">
            <v>Shipment</v>
          </cell>
        </row>
        <row r="14488">
          <cell r="B14488" t="str">
            <v>Shipment</v>
          </cell>
        </row>
        <row r="14489">
          <cell r="B14489" t="str">
            <v>Shipment</v>
          </cell>
        </row>
        <row r="14490">
          <cell r="B14490" t="str">
            <v>Shipment</v>
          </cell>
        </row>
        <row r="14491">
          <cell r="B14491" t="str">
            <v>Shipment</v>
          </cell>
        </row>
        <row r="14492">
          <cell r="B14492" t="str">
            <v>Shipment</v>
          </cell>
        </row>
        <row r="14493">
          <cell r="B14493" t="str">
            <v>Shipment</v>
          </cell>
        </row>
        <row r="14494">
          <cell r="B14494" t="str">
            <v>Shipment</v>
          </cell>
        </row>
        <row r="14495">
          <cell r="B14495" t="str">
            <v>Shipment</v>
          </cell>
        </row>
        <row r="14496">
          <cell r="B14496" t="str">
            <v>Shipment</v>
          </cell>
        </row>
        <row r="14497">
          <cell r="B14497" t="str">
            <v>Shipment</v>
          </cell>
        </row>
        <row r="14498">
          <cell r="B14498" t="str">
            <v>Shipment</v>
          </cell>
        </row>
        <row r="14499">
          <cell r="B14499" t="str">
            <v>Shipment</v>
          </cell>
        </row>
        <row r="14500">
          <cell r="B14500" t="str">
            <v>Shipment</v>
          </cell>
        </row>
        <row r="14501">
          <cell r="B14501" t="str">
            <v>Shipment</v>
          </cell>
        </row>
        <row r="14502">
          <cell r="B14502" t="str">
            <v>Shipment</v>
          </cell>
        </row>
        <row r="14503">
          <cell r="B14503" t="str">
            <v>Shipment</v>
          </cell>
        </row>
        <row r="14504">
          <cell r="B14504" t="str">
            <v>Shipment</v>
          </cell>
        </row>
        <row r="14505">
          <cell r="B14505" t="str">
            <v>Shipment</v>
          </cell>
        </row>
        <row r="14506">
          <cell r="B14506" t="str">
            <v>Shipment</v>
          </cell>
        </row>
        <row r="14507">
          <cell r="B14507" t="str">
            <v>Shipment</v>
          </cell>
        </row>
        <row r="14508">
          <cell r="B14508" t="str">
            <v>Shipment</v>
          </cell>
        </row>
        <row r="14509">
          <cell r="B14509" t="str">
            <v>Shipment</v>
          </cell>
        </row>
        <row r="14510">
          <cell r="B14510" t="str">
            <v>Shipment</v>
          </cell>
        </row>
        <row r="14511">
          <cell r="B14511" t="str">
            <v>Shipment</v>
          </cell>
        </row>
        <row r="14512">
          <cell r="B14512" t="str">
            <v>Shipment</v>
          </cell>
        </row>
        <row r="14513">
          <cell r="B14513" t="str">
            <v>Shipment</v>
          </cell>
        </row>
        <row r="14514">
          <cell r="B14514" t="str">
            <v>Shipment</v>
          </cell>
        </row>
        <row r="14515">
          <cell r="B14515" t="str">
            <v>Shipment</v>
          </cell>
        </row>
        <row r="14516">
          <cell r="B14516" t="str">
            <v>Shipment</v>
          </cell>
        </row>
        <row r="14517">
          <cell r="B14517" t="str">
            <v>Shipment</v>
          </cell>
        </row>
        <row r="14518">
          <cell r="B14518" t="str">
            <v>Shipment</v>
          </cell>
        </row>
        <row r="14519">
          <cell r="B14519" t="str">
            <v>Shipment</v>
          </cell>
        </row>
        <row r="14520">
          <cell r="B14520" t="str">
            <v>Shipment</v>
          </cell>
        </row>
        <row r="14521">
          <cell r="B14521" t="str">
            <v>Shipment</v>
          </cell>
        </row>
        <row r="14522">
          <cell r="B14522" t="str">
            <v>Shipment</v>
          </cell>
        </row>
        <row r="14523">
          <cell r="B14523" t="str">
            <v>Shipment</v>
          </cell>
        </row>
        <row r="14524">
          <cell r="B14524" t="str">
            <v>Shipment</v>
          </cell>
        </row>
        <row r="14525">
          <cell r="B14525" t="str">
            <v>Shipment</v>
          </cell>
        </row>
        <row r="14526">
          <cell r="B14526" t="str">
            <v>Shipment</v>
          </cell>
        </row>
        <row r="14527">
          <cell r="B14527" t="str">
            <v>Shipment</v>
          </cell>
        </row>
        <row r="14528">
          <cell r="B14528" t="str">
            <v>Shipment</v>
          </cell>
        </row>
        <row r="14529">
          <cell r="B14529" t="str">
            <v>Shipment</v>
          </cell>
        </row>
        <row r="14530">
          <cell r="B14530" t="str">
            <v>Shipment</v>
          </cell>
        </row>
        <row r="14531">
          <cell r="B14531" t="str">
            <v>Shipment</v>
          </cell>
        </row>
        <row r="14532">
          <cell r="B14532" t="str">
            <v>Shipment</v>
          </cell>
        </row>
        <row r="14533">
          <cell r="B14533" t="str">
            <v>Shipment</v>
          </cell>
        </row>
        <row r="14534">
          <cell r="B14534" t="str">
            <v>Shipment</v>
          </cell>
        </row>
        <row r="14535">
          <cell r="B14535" t="str">
            <v>Shipment</v>
          </cell>
        </row>
        <row r="14536">
          <cell r="B14536" t="str">
            <v>Shipment</v>
          </cell>
        </row>
        <row r="14537">
          <cell r="B14537" t="str">
            <v>Shipment</v>
          </cell>
        </row>
        <row r="14538">
          <cell r="B14538" t="str">
            <v>Shipment</v>
          </cell>
        </row>
        <row r="14539">
          <cell r="B14539" t="str">
            <v>Shipment</v>
          </cell>
        </row>
        <row r="14540">
          <cell r="B14540" t="str">
            <v>Shipment</v>
          </cell>
        </row>
        <row r="14541">
          <cell r="B14541" t="str">
            <v>Shipment</v>
          </cell>
        </row>
        <row r="14542">
          <cell r="B14542" t="str">
            <v>Shipment</v>
          </cell>
        </row>
        <row r="14543">
          <cell r="B14543" t="str">
            <v>Shipment</v>
          </cell>
        </row>
        <row r="14544">
          <cell r="B14544" t="str">
            <v>Shipment</v>
          </cell>
        </row>
        <row r="14545">
          <cell r="B14545" t="str">
            <v>Shipment</v>
          </cell>
        </row>
        <row r="14546">
          <cell r="B14546" t="str">
            <v>Shipment</v>
          </cell>
        </row>
        <row r="14547">
          <cell r="B14547" t="str">
            <v>Shipment</v>
          </cell>
        </row>
        <row r="14548">
          <cell r="B14548" t="str">
            <v>Shipment</v>
          </cell>
        </row>
        <row r="14549">
          <cell r="B14549" t="str">
            <v>Shipment</v>
          </cell>
        </row>
        <row r="14550">
          <cell r="B14550" t="str">
            <v>Shipment</v>
          </cell>
        </row>
        <row r="14551">
          <cell r="B14551" t="str">
            <v>Shipment</v>
          </cell>
        </row>
        <row r="14552">
          <cell r="B14552" t="str">
            <v>Shipment</v>
          </cell>
        </row>
        <row r="14553">
          <cell r="B14553" t="str">
            <v>Shipment</v>
          </cell>
        </row>
        <row r="14554">
          <cell r="B14554" t="str">
            <v>Shipment</v>
          </cell>
        </row>
        <row r="14555">
          <cell r="B14555" t="str">
            <v>Shipment</v>
          </cell>
        </row>
        <row r="14556">
          <cell r="B14556" t="str">
            <v>Shipment</v>
          </cell>
        </row>
        <row r="14557">
          <cell r="B14557" t="str">
            <v>Shipment</v>
          </cell>
        </row>
        <row r="14558">
          <cell r="B14558" t="str">
            <v>Shipment</v>
          </cell>
        </row>
        <row r="14559">
          <cell r="B14559" t="str">
            <v>Shipment</v>
          </cell>
        </row>
        <row r="14560">
          <cell r="B14560" t="str">
            <v>Shipment</v>
          </cell>
        </row>
        <row r="14561">
          <cell r="B14561" t="str">
            <v>Shipment</v>
          </cell>
        </row>
        <row r="14562">
          <cell r="B14562" t="str">
            <v>Shipment</v>
          </cell>
        </row>
        <row r="14563">
          <cell r="B14563" t="str">
            <v>Shipment</v>
          </cell>
        </row>
        <row r="14564">
          <cell r="B14564" t="str">
            <v>Shipment</v>
          </cell>
        </row>
        <row r="14565">
          <cell r="B14565" t="str">
            <v>Shipment</v>
          </cell>
        </row>
        <row r="14566">
          <cell r="B14566" t="str">
            <v>Shipment</v>
          </cell>
        </row>
        <row r="14567">
          <cell r="B14567" t="str">
            <v>Shipment</v>
          </cell>
        </row>
        <row r="14568">
          <cell r="B14568" t="str">
            <v>Shipment</v>
          </cell>
        </row>
        <row r="14569">
          <cell r="B14569" t="str">
            <v>Shipment</v>
          </cell>
        </row>
        <row r="14570">
          <cell r="B14570" t="str">
            <v>Shipment</v>
          </cell>
        </row>
        <row r="14571">
          <cell r="B14571" t="str">
            <v>Shipment</v>
          </cell>
        </row>
        <row r="14572">
          <cell r="B14572" t="str">
            <v>Shipment</v>
          </cell>
        </row>
        <row r="14573">
          <cell r="B14573" t="str">
            <v>Shipment</v>
          </cell>
        </row>
        <row r="14574">
          <cell r="B14574" t="str">
            <v>Shipment</v>
          </cell>
        </row>
        <row r="14575">
          <cell r="B14575" t="str">
            <v>Shipment</v>
          </cell>
        </row>
        <row r="14576">
          <cell r="B14576" t="str">
            <v>Shipment</v>
          </cell>
        </row>
        <row r="14577">
          <cell r="B14577" t="str">
            <v>Shipment</v>
          </cell>
        </row>
        <row r="14578">
          <cell r="B14578" t="str">
            <v>Shipment</v>
          </cell>
        </row>
        <row r="14579">
          <cell r="B14579" t="str">
            <v>Shipment</v>
          </cell>
        </row>
        <row r="14580">
          <cell r="B14580" t="str">
            <v>Shipment</v>
          </cell>
        </row>
        <row r="14581">
          <cell r="B14581" t="str">
            <v>Shipment</v>
          </cell>
        </row>
        <row r="14582">
          <cell r="B14582" t="str">
            <v>Shipment</v>
          </cell>
        </row>
        <row r="14583">
          <cell r="B14583" t="str">
            <v>Shipment</v>
          </cell>
        </row>
        <row r="14584">
          <cell r="B14584" t="str">
            <v>Shipment</v>
          </cell>
        </row>
        <row r="14585">
          <cell r="B14585" t="str">
            <v>Shipment</v>
          </cell>
        </row>
        <row r="14586">
          <cell r="B14586" t="str">
            <v>Shipment</v>
          </cell>
        </row>
        <row r="14587">
          <cell r="B14587" t="str">
            <v>Shipment</v>
          </cell>
        </row>
        <row r="14588">
          <cell r="B14588" t="str">
            <v>Shipment</v>
          </cell>
        </row>
        <row r="14589">
          <cell r="B14589" t="str">
            <v>Shipment</v>
          </cell>
        </row>
        <row r="14590">
          <cell r="B14590" t="str">
            <v>Shipment</v>
          </cell>
        </row>
        <row r="14591">
          <cell r="B14591" t="str">
            <v>Shipment</v>
          </cell>
        </row>
        <row r="14592">
          <cell r="B14592" t="str">
            <v>Shipment</v>
          </cell>
        </row>
        <row r="14593">
          <cell r="B14593" t="str">
            <v>Shipment</v>
          </cell>
        </row>
        <row r="14594">
          <cell r="B14594" t="str">
            <v>Shipment</v>
          </cell>
        </row>
        <row r="14595">
          <cell r="B14595" t="str">
            <v>Shipment</v>
          </cell>
        </row>
        <row r="14596">
          <cell r="B14596" t="str">
            <v>Shipment</v>
          </cell>
        </row>
        <row r="14597">
          <cell r="B14597" t="str">
            <v>Shipment</v>
          </cell>
        </row>
        <row r="14598">
          <cell r="B14598" t="str">
            <v>Shipment</v>
          </cell>
        </row>
        <row r="14599">
          <cell r="B14599" t="str">
            <v>Shipment</v>
          </cell>
        </row>
        <row r="14600">
          <cell r="B14600" t="str">
            <v>Shipment</v>
          </cell>
        </row>
        <row r="14601">
          <cell r="B14601" t="str">
            <v>Shipment</v>
          </cell>
        </row>
        <row r="14602">
          <cell r="B14602" t="str">
            <v>Shipment</v>
          </cell>
        </row>
        <row r="14603">
          <cell r="B14603" t="str">
            <v>Shipment</v>
          </cell>
        </row>
        <row r="14604">
          <cell r="B14604" t="str">
            <v>Shipment</v>
          </cell>
        </row>
        <row r="14605">
          <cell r="B14605" t="str">
            <v>Shipment</v>
          </cell>
        </row>
        <row r="14606">
          <cell r="B14606" t="str">
            <v>Shipment</v>
          </cell>
        </row>
        <row r="14607">
          <cell r="B14607" t="str">
            <v>Shipment</v>
          </cell>
        </row>
        <row r="14608">
          <cell r="B14608" t="str">
            <v>Shipment</v>
          </cell>
        </row>
        <row r="14609">
          <cell r="B14609" t="str">
            <v>Shipment</v>
          </cell>
        </row>
        <row r="14610">
          <cell r="B14610" t="str">
            <v>Shipment</v>
          </cell>
        </row>
        <row r="14611">
          <cell r="B14611" t="str">
            <v>Shipment</v>
          </cell>
        </row>
        <row r="14612">
          <cell r="B14612" t="str">
            <v>Shipment</v>
          </cell>
        </row>
        <row r="14613">
          <cell r="B14613" t="str">
            <v>Shipment</v>
          </cell>
        </row>
        <row r="14614">
          <cell r="B14614" t="str">
            <v>Shipment</v>
          </cell>
        </row>
        <row r="14615">
          <cell r="B14615" t="str">
            <v>Shipment</v>
          </cell>
        </row>
        <row r="14616">
          <cell r="B14616" t="str">
            <v>Shipment</v>
          </cell>
        </row>
        <row r="14617">
          <cell r="B14617" t="str">
            <v>Shipment</v>
          </cell>
        </row>
        <row r="14618">
          <cell r="B14618" t="str">
            <v>Shipment</v>
          </cell>
        </row>
        <row r="14619">
          <cell r="B14619" t="str">
            <v>Shipment</v>
          </cell>
        </row>
        <row r="14620">
          <cell r="B14620" t="str">
            <v>Shipment</v>
          </cell>
        </row>
        <row r="14621">
          <cell r="B14621" t="str">
            <v>Shipment</v>
          </cell>
        </row>
        <row r="14622">
          <cell r="B14622" t="str">
            <v>Shipment</v>
          </cell>
        </row>
        <row r="14623">
          <cell r="B14623" t="str">
            <v>Shipment</v>
          </cell>
        </row>
        <row r="14624">
          <cell r="B14624" t="str">
            <v>Shipment</v>
          </cell>
        </row>
        <row r="14625">
          <cell r="B14625" t="str">
            <v>Shipment</v>
          </cell>
        </row>
        <row r="14626">
          <cell r="B14626" t="str">
            <v>Shipment</v>
          </cell>
        </row>
        <row r="14627">
          <cell r="B14627" t="str">
            <v>Shipment</v>
          </cell>
        </row>
        <row r="14628">
          <cell r="B14628" t="str">
            <v>Shipment</v>
          </cell>
        </row>
        <row r="14629">
          <cell r="B14629" t="str">
            <v>Shipment</v>
          </cell>
        </row>
        <row r="14630">
          <cell r="B14630" t="str">
            <v>Shipment</v>
          </cell>
        </row>
        <row r="14631">
          <cell r="B14631" t="str">
            <v>Shipment</v>
          </cell>
        </row>
        <row r="14632">
          <cell r="B14632" t="str">
            <v>Shipment</v>
          </cell>
        </row>
        <row r="14633">
          <cell r="B14633" t="str">
            <v>Shipment</v>
          </cell>
        </row>
        <row r="14634">
          <cell r="B14634" t="str">
            <v>Shipment</v>
          </cell>
        </row>
        <row r="14635">
          <cell r="B14635" t="str">
            <v>Shipment</v>
          </cell>
        </row>
        <row r="14636">
          <cell r="B14636" t="str">
            <v>Shipment</v>
          </cell>
        </row>
        <row r="14637">
          <cell r="B14637" t="str">
            <v>Shipment</v>
          </cell>
        </row>
        <row r="14638">
          <cell r="B14638" t="str">
            <v>Shipment</v>
          </cell>
        </row>
        <row r="14639">
          <cell r="B14639" t="str">
            <v>Shipment</v>
          </cell>
        </row>
        <row r="14640">
          <cell r="B14640" t="str">
            <v>Shipment</v>
          </cell>
        </row>
        <row r="14641">
          <cell r="B14641" t="str">
            <v>Shipment</v>
          </cell>
        </row>
        <row r="14642">
          <cell r="B14642" t="str">
            <v>Shipment</v>
          </cell>
        </row>
        <row r="14643">
          <cell r="B14643" t="str">
            <v>Shipment</v>
          </cell>
        </row>
        <row r="14644">
          <cell r="B14644" t="str">
            <v>Shipment</v>
          </cell>
        </row>
        <row r="14645">
          <cell r="B14645" t="str">
            <v>Shipment</v>
          </cell>
        </row>
        <row r="14646">
          <cell r="B14646" t="str">
            <v>Shipment</v>
          </cell>
        </row>
        <row r="14647">
          <cell r="B14647" t="str">
            <v>Shipment</v>
          </cell>
        </row>
        <row r="14648">
          <cell r="B14648" t="str">
            <v>Shipment</v>
          </cell>
        </row>
        <row r="14649">
          <cell r="B14649" t="str">
            <v>Shipment</v>
          </cell>
        </row>
        <row r="14650">
          <cell r="B14650" t="str">
            <v>Shipment</v>
          </cell>
        </row>
        <row r="14651">
          <cell r="B14651" t="str">
            <v>Shipment</v>
          </cell>
        </row>
        <row r="14652">
          <cell r="B14652" t="str">
            <v>Shipment</v>
          </cell>
        </row>
        <row r="14653">
          <cell r="B14653" t="str">
            <v>Shipment</v>
          </cell>
        </row>
        <row r="14654">
          <cell r="B14654" t="str">
            <v>Shipment</v>
          </cell>
        </row>
        <row r="14655">
          <cell r="B14655" t="str">
            <v>Shipment</v>
          </cell>
        </row>
        <row r="14656">
          <cell r="B14656" t="str">
            <v>Shipment</v>
          </cell>
        </row>
        <row r="14657">
          <cell r="B14657" t="str">
            <v>Shipment</v>
          </cell>
        </row>
        <row r="14658">
          <cell r="B14658" t="str">
            <v>Shipment</v>
          </cell>
        </row>
        <row r="14659">
          <cell r="B14659" t="str">
            <v>Shipment</v>
          </cell>
        </row>
        <row r="14660">
          <cell r="B14660" t="str">
            <v>Shipment</v>
          </cell>
        </row>
        <row r="14661">
          <cell r="B14661" t="str">
            <v>Shipment</v>
          </cell>
        </row>
        <row r="14662">
          <cell r="B14662" t="str">
            <v>Shipment</v>
          </cell>
        </row>
        <row r="14663">
          <cell r="B14663" t="str">
            <v>Shipment</v>
          </cell>
        </row>
        <row r="14664">
          <cell r="B14664" t="str">
            <v>Shipment</v>
          </cell>
        </row>
        <row r="14665">
          <cell r="B14665" t="str">
            <v>Shipment</v>
          </cell>
        </row>
        <row r="14666">
          <cell r="B14666" t="str">
            <v>Shipment</v>
          </cell>
        </row>
        <row r="14667">
          <cell r="B14667" t="str">
            <v>Shipment</v>
          </cell>
        </row>
        <row r="14668">
          <cell r="B14668" t="str">
            <v>Shipment</v>
          </cell>
        </row>
        <row r="14669">
          <cell r="B14669" t="str">
            <v>Shipment</v>
          </cell>
        </row>
        <row r="14670">
          <cell r="B14670" t="str">
            <v>Shipment</v>
          </cell>
        </row>
        <row r="14671">
          <cell r="B14671" t="str">
            <v>Shipment</v>
          </cell>
        </row>
        <row r="14672">
          <cell r="B14672" t="str">
            <v>Shipment</v>
          </cell>
        </row>
        <row r="14673">
          <cell r="B14673" t="str">
            <v>Shipment</v>
          </cell>
        </row>
        <row r="14674">
          <cell r="B14674" t="str">
            <v>Shipment</v>
          </cell>
        </row>
        <row r="14675">
          <cell r="B14675" t="str">
            <v>Shipment</v>
          </cell>
        </row>
        <row r="14676">
          <cell r="B14676" t="str">
            <v>Shipment</v>
          </cell>
        </row>
        <row r="14677">
          <cell r="B14677" t="str">
            <v>Shipment</v>
          </cell>
        </row>
        <row r="14678">
          <cell r="B14678" t="str">
            <v>Shipment</v>
          </cell>
        </row>
        <row r="14679">
          <cell r="B14679" t="str">
            <v>Shipment</v>
          </cell>
        </row>
        <row r="14680">
          <cell r="B14680" t="str">
            <v>Shipment</v>
          </cell>
        </row>
        <row r="14681">
          <cell r="B14681" t="str">
            <v>Shipment</v>
          </cell>
        </row>
        <row r="14682">
          <cell r="B14682" t="str">
            <v>Shipment</v>
          </cell>
        </row>
        <row r="14683">
          <cell r="B14683" t="str">
            <v>Shipment</v>
          </cell>
        </row>
        <row r="14684">
          <cell r="B14684" t="str">
            <v>Shipment</v>
          </cell>
        </row>
        <row r="14685">
          <cell r="B14685" t="str">
            <v>Shipment</v>
          </cell>
        </row>
        <row r="14686">
          <cell r="B14686" t="str">
            <v>Shipment</v>
          </cell>
        </row>
        <row r="14687">
          <cell r="B14687" t="str">
            <v>Shipment</v>
          </cell>
        </row>
        <row r="14688">
          <cell r="B14688" t="str">
            <v>Shipment</v>
          </cell>
        </row>
        <row r="14689">
          <cell r="B14689" t="str">
            <v>Shipment</v>
          </cell>
        </row>
        <row r="14690">
          <cell r="B14690" t="str">
            <v>Shipment</v>
          </cell>
        </row>
        <row r="14691">
          <cell r="B14691" t="str">
            <v>Shipment</v>
          </cell>
        </row>
        <row r="14692">
          <cell r="B14692" t="str">
            <v>Shipment</v>
          </cell>
        </row>
        <row r="14693">
          <cell r="B14693" t="str">
            <v>Shipment</v>
          </cell>
        </row>
        <row r="14694">
          <cell r="B14694" t="str">
            <v>Shipment</v>
          </cell>
        </row>
        <row r="14695">
          <cell r="B14695" t="str">
            <v>Shipment</v>
          </cell>
        </row>
        <row r="14696">
          <cell r="B14696" t="str">
            <v>Shipment</v>
          </cell>
        </row>
        <row r="14697">
          <cell r="B14697" t="str">
            <v>Shipment</v>
          </cell>
        </row>
        <row r="14698">
          <cell r="B14698" t="str">
            <v>Shipment</v>
          </cell>
        </row>
        <row r="14699">
          <cell r="B14699" t="str">
            <v>Shipment</v>
          </cell>
        </row>
        <row r="14700">
          <cell r="B14700" t="str">
            <v>Shipment</v>
          </cell>
        </row>
        <row r="14701">
          <cell r="B14701" t="str">
            <v>Shipment</v>
          </cell>
        </row>
        <row r="14702">
          <cell r="B14702" t="str">
            <v>Shipment</v>
          </cell>
        </row>
        <row r="14703">
          <cell r="B14703" t="str">
            <v>Shipment</v>
          </cell>
        </row>
        <row r="14704">
          <cell r="B14704" t="str">
            <v>Shipment</v>
          </cell>
        </row>
        <row r="14705">
          <cell r="B14705" t="str">
            <v>Shipment</v>
          </cell>
        </row>
        <row r="14706">
          <cell r="B14706" t="str">
            <v>Shipment</v>
          </cell>
        </row>
        <row r="14707">
          <cell r="B14707" t="str">
            <v>Shipment</v>
          </cell>
        </row>
        <row r="14708">
          <cell r="B14708" t="str">
            <v>Shipment</v>
          </cell>
        </row>
        <row r="14709">
          <cell r="B14709" t="str">
            <v>Shipment</v>
          </cell>
        </row>
        <row r="14710">
          <cell r="B14710" t="str">
            <v>Shipment</v>
          </cell>
        </row>
        <row r="14711">
          <cell r="B14711" t="str">
            <v>Shipment</v>
          </cell>
        </row>
        <row r="14712">
          <cell r="B14712" t="str">
            <v>Shipment</v>
          </cell>
        </row>
        <row r="14713">
          <cell r="B14713" t="str">
            <v>Shipment</v>
          </cell>
        </row>
        <row r="14714">
          <cell r="B14714" t="str">
            <v>Shipment</v>
          </cell>
        </row>
        <row r="14715">
          <cell r="B14715" t="str">
            <v>Shipment</v>
          </cell>
        </row>
        <row r="14716">
          <cell r="B14716" t="str">
            <v>Shipment</v>
          </cell>
        </row>
        <row r="14717">
          <cell r="B14717" t="str">
            <v>Shipment</v>
          </cell>
        </row>
        <row r="14718">
          <cell r="B14718" t="str">
            <v>Shipment</v>
          </cell>
        </row>
        <row r="14719">
          <cell r="B14719" t="str">
            <v>Shipment</v>
          </cell>
        </row>
        <row r="14720">
          <cell r="B14720" t="str">
            <v>Shipment</v>
          </cell>
        </row>
        <row r="14721">
          <cell r="B14721" t="str">
            <v>Shipment</v>
          </cell>
        </row>
        <row r="14722">
          <cell r="B14722" t="str">
            <v>Shipment</v>
          </cell>
        </row>
        <row r="14723">
          <cell r="B14723" t="str">
            <v>Shipment</v>
          </cell>
        </row>
        <row r="14724">
          <cell r="B14724" t="str">
            <v>Shipment</v>
          </cell>
        </row>
        <row r="14725">
          <cell r="B14725" t="str">
            <v>Shipment</v>
          </cell>
        </row>
        <row r="14726">
          <cell r="B14726" t="str">
            <v>Shipment</v>
          </cell>
        </row>
        <row r="14727">
          <cell r="B14727" t="str">
            <v>Shipment</v>
          </cell>
        </row>
        <row r="14728">
          <cell r="B14728" t="str">
            <v>Shipment</v>
          </cell>
        </row>
        <row r="14729">
          <cell r="B14729" t="str">
            <v>Shipment</v>
          </cell>
        </row>
        <row r="14730">
          <cell r="B14730" t="str">
            <v>Shipment</v>
          </cell>
        </row>
        <row r="14731">
          <cell r="B14731" t="str">
            <v>Shipment</v>
          </cell>
        </row>
        <row r="14732">
          <cell r="B14732" t="str">
            <v>Shipment</v>
          </cell>
        </row>
        <row r="14733">
          <cell r="B14733" t="str">
            <v>Shipment</v>
          </cell>
        </row>
        <row r="14734">
          <cell r="B14734" t="str">
            <v>Shipment</v>
          </cell>
        </row>
        <row r="14735">
          <cell r="B14735" t="str">
            <v>Shipment</v>
          </cell>
        </row>
        <row r="14736">
          <cell r="B14736" t="str">
            <v>Shipment</v>
          </cell>
        </row>
        <row r="14737">
          <cell r="B14737" t="str">
            <v>Shipment</v>
          </cell>
        </row>
        <row r="14738">
          <cell r="B14738" t="str">
            <v>Shipment</v>
          </cell>
        </row>
        <row r="14739">
          <cell r="B14739" t="str">
            <v>Shipment</v>
          </cell>
        </row>
        <row r="14740">
          <cell r="B14740" t="str">
            <v>Shipment</v>
          </cell>
        </row>
        <row r="14741">
          <cell r="B14741" t="str">
            <v>Shipment</v>
          </cell>
        </row>
        <row r="14742">
          <cell r="B14742" t="str">
            <v>Shipment</v>
          </cell>
        </row>
        <row r="14743">
          <cell r="B14743" t="str">
            <v>Shipment</v>
          </cell>
        </row>
        <row r="14744">
          <cell r="B14744" t="str">
            <v>Shipment</v>
          </cell>
        </row>
        <row r="14745">
          <cell r="B14745" t="str">
            <v>Shipment</v>
          </cell>
        </row>
        <row r="14746">
          <cell r="B14746" t="str">
            <v>Shipment</v>
          </cell>
        </row>
        <row r="14747">
          <cell r="B14747" t="str">
            <v>Shipment</v>
          </cell>
        </row>
        <row r="14748">
          <cell r="B14748" t="str">
            <v>Shipment</v>
          </cell>
        </row>
        <row r="14749">
          <cell r="B14749" t="str">
            <v>Shipment</v>
          </cell>
        </row>
        <row r="14750">
          <cell r="B14750" t="str">
            <v>Shipment</v>
          </cell>
        </row>
        <row r="14751">
          <cell r="B14751" t="str">
            <v>Shipment</v>
          </cell>
        </row>
        <row r="14752">
          <cell r="B14752" t="str">
            <v>Shipment</v>
          </cell>
        </row>
        <row r="14753">
          <cell r="B14753" t="str">
            <v>Shipment</v>
          </cell>
        </row>
        <row r="14754">
          <cell r="B14754" t="str">
            <v>Shipment</v>
          </cell>
        </row>
        <row r="14755">
          <cell r="B14755" t="str">
            <v>Shipment</v>
          </cell>
        </row>
        <row r="14756">
          <cell r="B14756" t="str">
            <v>Shipment</v>
          </cell>
        </row>
        <row r="14757">
          <cell r="B14757" t="str">
            <v>Shipment</v>
          </cell>
        </row>
        <row r="14758">
          <cell r="B14758" t="str">
            <v>Shipment</v>
          </cell>
        </row>
        <row r="14759">
          <cell r="B14759" t="str">
            <v>Shipment</v>
          </cell>
        </row>
        <row r="14760">
          <cell r="B14760" t="str">
            <v>Shipment</v>
          </cell>
        </row>
        <row r="14761">
          <cell r="B14761" t="str">
            <v>Shipment</v>
          </cell>
        </row>
        <row r="14762">
          <cell r="B14762" t="str">
            <v>Shipment</v>
          </cell>
        </row>
        <row r="14763">
          <cell r="B14763" t="str">
            <v>Shipment</v>
          </cell>
        </row>
        <row r="14764">
          <cell r="B14764" t="str">
            <v>Shipment</v>
          </cell>
        </row>
        <row r="14765">
          <cell r="B14765" t="str">
            <v>Shipment</v>
          </cell>
        </row>
        <row r="14766">
          <cell r="B14766" t="str">
            <v>Shipment</v>
          </cell>
        </row>
        <row r="14767">
          <cell r="B14767" t="str">
            <v>Shipment</v>
          </cell>
        </row>
        <row r="14768">
          <cell r="B14768" t="str">
            <v>Shipment</v>
          </cell>
        </row>
        <row r="14769">
          <cell r="B14769" t="str">
            <v>Shipment</v>
          </cell>
        </row>
        <row r="14770">
          <cell r="B14770" t="str">
            <v>Shipment</v>
          </cell>
        </row>
        <row r="14771">
          <cell r="B14771" t="str">
            <v>Shipment</v>
          </cell>
        </row>
        <row r="14772">
          <cell r="B14772" t="str">
            <v>Shipment</v>
          </cell>
        </row>
        <row r="14773">
          <cell r="B14773" t="str">
            <v>Shipment</v>
          </cell>
        </row>
        <row r="14774">
          <cell r="B14774" t="str">
            <v>Shipment</v>
          </cell>
        </row>
        <row r="14775">
          <cell r="B14775" t="str">
            <v>Shipment</v>
          </cell>
        </row>
        <row r="14776">
          <cell r="B14776" t="str">
            <v>Shipment</v>
          </cell>
        </row>
        <row r="14777">
          <cell r="B14777" t="str">
            <v>Shipment</v>
          </cell>
        </row>
        <row r="14778">
          <cell r="B14778" t="str">
            <v>Shipment</v>
          </cell>
        </row>
        <row r="14779">
          <cell r="B14779" t="str">
            <v>Shipment</v>
          </cell>
        </row>
        <row r="14780">
          <cell r="B14780" t="str">
            <v>Shipment</v>
          </cell>
        </row>
        <row r="14781">
          <cell r="B14781" t="str">
            <v>Shipment</v>
          </cell>
        </row>
        <row r="14782">
          <cell r="B14782" t="str">
            <v>Shipment</v>
          </cell>
        </row>
        <row r="14783">
          <cell r="B14783" t="str">
            <v>Shipment</v>
          </cell>
        </row>
        <row r="14784">
          <cell r="B14784" t="str">
            <v>Shipment</v>
          </cell>
        </row>
        <row r="14785">
          <cell r="B14785" t="str">
            <v>Shipment</v>
          </cell>
        </row>
        <row r="14786">
          <cell r="B14786" t="str">
            <v>Shipment</v>
          </cell>
        </row>
        <row r="14787">
          <cell r="B14787" t="str">
            <v>Shipment</v>
          </cell>
        </row>
        <row r="14788">
          <cell r="B14788" t="str">
            <v>Shipment</v>
          </cell>
        </row>
        <row r="14789">
          <cell r="B14789" t="str">
            <v>Shipment</v>
          </cell>
        </row>
        <row r="14790">
          <cell r="B14790" t="str">
            <v>Shipment</v>
          </cell>
        </row>
        <row r="14791">
          <cell r="B14791" t="str">
            <v>Shipment</v>
          </cell>
        </row>
        <row r="14792">
          <cell r="B14792" t="str">
            <v>Shipment</v>
          </cell>
        </row>
        <row r="14793">
          <cell r="B14793" t="str">
            <v>Shipment</v>
          </cell>
        </row>
        <row r="14794">
          <cell r="B14794" t="str">
            <v>Shipment</v>
          </cell>
        </row>
        <row r="14795">
          <cell r="B14795" t="str">
            <v>Shipment</v>
          </cell>
        </row>
        <row r="14796">
          <cell r="B14796" t="str">
            <v>Shipment</v>
          </cell>
        </row>
        <row r="14797">
          <cell r="B14797" t="str">
            <v>Shipment</v>
          </cell>
        </row>
        <row r="14798">
          <cell r="B14798" t="str">
            <v>Shipment</v>
          </cell>
        </row>
        <row r="14799">
          <cell r="B14799" t="str">
            <v>Shipment</v>
          </cell>
        </row>
        <row r="14800">
          <cell r="B14800" t="str">
            <v>Shipment</v>
          </cell>
        </row>
        <row r="14801">
          <cell r="B14801" t="str">
            <v>Shipment</v>
          </cell>
        </row>
        <row r="14802">
          <cell r="B14802" t="str">
            <v>Shipment</v>
          </cell>
        </row>
        <row r="14803">
          <cell r="B14803" t="str">
            <v>Shipment</v>
          </cell>
        </row>
        <row r="14804">
          <cell r="B14804" t="str">
            <v>Shipment</v>
          </cell>
        </row>
        <row r="14805">
          <cell r="B14805" t="str">
            <v>Shipment</v>
          </cell>
        </row>
        <row r="14806">
          <cell r="B14806" t="str">
            <v>Shipment</v>
          </cell>
        </row>
        <row r="14807">
          <cell r="B14807" t="str">
            <v>Shipment</v>
          </cell>
        </row>
        <row r="14808">
          <cell r="B14808" t="str">
            <v>Shipment</v>
          </cell>
        </row>
        <row r="14809">
          <cell r="B14809" t="str">
            <v>Shipment</v>
          </cell>
        </row>
        <row r="14810">
          <cell r="B14810" t="str">
            <v>Shipment</v>
          </cell>
        </row>
        <row r="14811">
          <cell r="B14811" t="str">
            <v>Shipment</v>
          </cell>
        </row>
        <row r="14812">
          <cell r="B14812" t="str">
            <v>Shipment</v>
          </cell>
        </row>
        <row r="14813">
          <cell r="B14813" t="str">
            <v>Shipment</v>
          </cell>
        </row>
        <row r="14814">
          <cell r="B14814" t="str">
            <v>Shipment</v>
          </cell>
        </row>
        <row r="14815">
          <cell r="B14815" t="str">
            <v>Shipment</v>
          </cell>
        </row>
        <row r="14816">
          <cell r="B14816" t="str">
            <v>Shipment</v>
          </cell>
        </row>
        <row r="14817">
          <cell r="B14817" t="str">
            <v>Shipment</v>
          </cell>
        </row>
        <row r="14818">
          <cell r="B14818" t="str">
            <v>Shipment</v>
          </cell>
        </row>
        <row r="14819">
          <cell r="B14819" t="str">
            <v>Shipment</v>
          </cell>
        </row>
        <row r="14820">
          <cell r="B14820" t="str">
            <v>Shipment</v>
          </cell>
        </row>
        <row r="14821">
          <cell r="B14821" t="str">
            <v>Shipment</v>
          </cell>
        </row>
        <row r="14822">
          <cell r="B14822" t="str">
            <v>Shipment</v>
          </cell>
        </row>
        <row r="14823">
          <cell r="B14823" t="str">
            <v>Shipment</v>
          </cell>
        </row>
        <row r="14824">
          <cell r="B14824" t="str">
            <v>Shipment</v>
          </cell>
        </row>
        <row r="14825">
          <cell r="B14825" t="str">
            <v>Shipment</v>
          </cell>
        </row>
        <row r="14826">
          <cell r="B14826" t="str">
            <v>Shipment</v>
          </cell>
        </row>
        <row r="14827">
          <cell r="B14827" t="str">
            <v>Shipment</v>
          </cell>
        </row>
        <row r="14828">
          <cell r="B14828" t="str">
            <v>Shipment</v>
          </cell>
        </row>
        <row r="14829">
          <cell r="B14829" t="str">
            <v>Shipment</v>
          </cell>
        </row>
        <row r="14830">
          <cell r="B14830" t="str">
            <v>Shipment</v>
          </cell>
        </row>
        <row r="14831">
          <cell r="B14831" t="str">
            <v>Shipment</v>
          </cell>
        </row>
        <row r="14832">
          <cell r="B14832" t="str">
            <v>Shipment</v>
          </cell>
        </row>
        <row r="14833">
          <cell r="B14833" t="str">
            <v>Shipment</v>
          </cell>
        </row>
        <row r="14834">
          <cell r="B14834" t="str">
            <v>Shipment</v>
          </cell>
        </row>
        <row r="14835">
          <cell r="B14835" t="str">
            <v>Shipment</v>
          </cell>
        </row>
        <row r="14836">
          <cell r="B14836" t="str">
            <v>Shipment</v>
          </cell>
        </row>
        <row r="14837">
          <cell r="B14837" t="str">
            <v>Shipment</v>
          </cell>
        </row>
        <row r="14838">
          <cell r="B14838" t="str">
            <v>Shipment</v>
          </cell>
        </row>
        <row r="14839">
          <cell r="B14839" t="str">
            <v>Shipment</v>
          </cell>
        </row>
        <row r="14840">
          <cell r="B14840" t="str">
            <v>Shipment</v>
          </cell>
        </row>
        <row r="14841">
          <cell r="B14841" t="str">
            <v>Shipment</v>
          </cell>
        </row>
        <row r="14842">
          <cell r="B14842" t="str">
            <v>Shipment</v>
          </cell>
        </row>
        <row r="14843">
          <cell r="B14843" t="str">
            <v>Shipment</v>
          </cell>
        </row>
        <row r="14844">
          <cell r="B14844" t="str">
            <v>Shipment</v>
          </cell>
        </row>
        <row r="14845">
          <cell r="B14845" t="str">
            <v>Shipment</v>
          </cell>
        </row>
        <row r="14846">
          <cell r="B14846" t="str">
            <v>Shipment</v>
          </cell>
        </row>
        <row r="14847">
          <cell r="B14847" t="str">
            <v>Shipment</v>
          </cell>
        </row>
        <row r="14848">
          <cell r="B14848" t="str">
            <v>Shipment</v>
          </cell>
        </row>
        <row r="14849">
          <cell r="B14849" t="str">
            <v>Shipment</v>
          </cell>
        </row>
        <row r="14850">
          <cell r="B14850" t="str">
            <v>Shipment</v>
          </cell>
        </row>
        <row r="14851">
          <cell r="B14851" t="str">
            <v>Shipment</v>
          </cell>
        </row>
        <row r="14852">
          <cell r="B14852" t="str">
            <v>Shipment</v>
          </cell>
        </row>
        <row r="14853">
          <cell r="B14853" t="str">
            <v>Shipment</v>
          </cell>
        </row>
        <row r="14854">
          <cell r="B14854" t="str">
            <v>Shipment</v>
          </cell>
        </row>
        <row r="14855">
          <cell r="B14855" t="str">
            <v>Shipment</v>
          </cell>
        </row>
        <row r="14856">
          <cell r="B14856" t="str">
            <v>Shipment</v>
          </cell>
        </row>
        <row r="14857">
          <cell r="B14857" t="str">
            <v>Shipment</v>
          </cell>
        </row>
        <row r="14858">
          <cell r="B14858" t="str">
            <v>Shipment</v>
          </cell>
        </row>
        <row r="14859">
          <cell r="B14859" t="str">
            <v>Shipment</v>
          </cell>
        </row>
        <row r="14860">
          <cell r="B14860" t="str">
            <v>Shipment</v>
          </cell>
        </row>
        <row r="14861">
          <cell r="B14861" t="str">
            <v>Shipment</v>
          </cell>
        </row>
        <row r="14862">
          <cell r="B14862" t="str">
            <v>Shipment</v>
          </cell>
        </row>
        <row r="14863">
          <cell r="B14863" t="str">
            <v>Shipment</v>
          </cell>
        </row>
        <row r="14864">
          <cell r="B14864" t="str">
            <v>Shipment</v>
          </cell>
        </row>
        <row r="14865">
          <cell r="B14865" t="str">
            <v>Shipment</v>
          </cell>
        </row>
        <row r="14866">
          <cell r="B14866" t="str">
            <v>Shipment</v>
          </cell>
        </row>
        <row r="14867">
          <cell r="B14867" t="str">
            <v>Shipment</v>
          </cell>
        </row>
        <row r="14868">
          <cell r="B14868" t="str">
            <v>Shipment</v>
          </cell>
        </row>
        <row r="14869">
          <cell r="B14869" t="str">
            <v>Shipment</v>
          </cell>
        </row>
        <row r="14870">
          <cell r="B14870" t="str">
            <v>Shipment</v>
          </cell>
        </row>
        <row r="14871">
          <cell r="B14871" t="str">
            <v>Shipment</v>
          </cell>
        </row>
        <row r="14872">
          <cell r="B14872" t="str">
            <v>Shipment</v>
          </cell>
        </row>
        <row r="14873">
          <cell r="B14873" t="str">
            <v>Shipment</v>
          </cell>
        </row>
        <row r="14874">
          <cell r="B14874" t="str">
            <v>Shipment</v>
          </cell>
        </row>
        <row r="14875">
          <cell r="B14875" t="str">
            <v>Shipment</v>
          </cell>
        </row>
        <row r="14876">
          <cell r="B14876" t="str">
            <v>Shipment</v>
          </cell>
        </row>
        <row r="14877">
          <cell r="B14877" t="str">
            <v>Shipment</v>
          </cell>
        </row>
        <row r="14878">
          <cell r="B14878" t="str">
            <v>Shipment</v>
          </cell>
        </row>
        <row r="14879">
          <cell r="B14879" t="str">
            <v>Shipment</v>
          </cell>
        </row>
        <row r="14880">
          <cell r="B14880" t="str">
            <v>Shipment</v>
          </cell>
        </row>
        <row r="14881">
          <cell r="B14881" t="str">
            <v>Shipment</v>
          </cell>
        </row>
        <row r="14882">
          <cell r="B14882" t="str">
            <v>Shipment</v>
          </cell>
        </row>
        <row r="14883">
          <cell r="B14883" t="str">
            <v>Shipment</v>
          </cell>
        </row>
        <row r="14884">
          <cell r="B14884" t="str">
            <v>Shipment</v>
          </cell>
        </row>
        <row r="14885">
          <cell r="B14885" t="str">
            <v>Shipment</v>
          </cell>
        </row>
        <row r="14886">
          <cell r="B14886" t="str">
            <v>Shipment</v>
          </cell>
        </row>
        <row r="14887">
          <cell r="B14887" t="str">
            <v>Shipment</v>
          </cell>
        </row>
        <row r="14888">
          <cell r="B14888" t="str">
            <v>Shipment</v>
          </cell>
        </row>
        <row r="14889">
          <cell r="B14889" t="str">
            <v>Shipment</v>
          </cell>
        </row>
        <row r="14890">
          <cell r="B14890" t="str">
            <v>Shipment</v>
          </cell>
        </row>
        <row r="14891">
          <cell r="B14891" t="str">
            <v>Shipment</v>
          </cell>
        </row>
        <row r="14892">
          <cell r="B14892" t="str">
            <v>Shipment</v>
          </cell>
        </row>
        <row r="14893">
          <cell r="B14893" t="str">
            <v>Shipment</v>
          </cell>
        </row>
        <row r="14894">
          <cell r="B14894" t="str">
            <v>Shipment</v>
          </cell>
        </row>
        <row r="14895">
          <cell r="B14895" t="str">
            <v>Shipment</v>
          </cell>
        </row>
        <row r="14896">
          <cell r="B14896" t="str">
            <v>Shipment</v>
          </cell>
        </row>
        <row r="14897">
          <cell r="B14897" t="str">
            <v>Shipment</v>
          </cell>
        </row>
        <row r="14898">
          <cell r="B14898" t="str">
            <v>Shipment</v>
          </cell>
        </row>
        <row r="14899">
          <cell r="B14899" t="str">
            <v>Shipment</v>
          </cell>
        </row>
        <row r="14900">
          <cell r="B14900" t="str">
            <v>Shipment</v>
          </cell>
        </row>
        <row r="14901">
          <cell r="B14901" t="str">
            <v>Shipment</v>
          </cell>
        </row>
        <row r="14902">
          <cell r="B14902" t="str">
            <v>Shipment</v>
          </cell>
        </row>
        <row r="14903">
          <cell r="B14903" t="str">
            <v>Shipment</v>
          </cell>
        </row>
        <row r="14904">
          <cell r="B14904" t="str">
            <v>Shipment</v>
          </cell>
        </row>
        <row r="14905">
          <cell r="B14905" t="str">
            <v>Shipment</v>
          </cell>
        </row>
        <row r="14906">
          <cell r="B14906" t="str">
            <v>Shipment</v>
          </cell>
        </row>
        <row r="14907">
          <cell r="B14907" t="str">
            <v>Shipment</v>
          </cell>
        </row>
        <row r="14908">
          <cell r="B14908" t="str">
            <v>Shipment</v>
          </cell>
        </row>
        <row r="14909">
          <cell r="B14909" t="str">
            <v>Shipment</v>
          </cell>
        </row>
        <row r="14910">
          <cell r="B14910" t="str">
            <v>Shipment</v>
          </cell>
        </row>
        <row r="14911">
          <cell r="B14911" t="str">
            <v>Shipment</v>
          </cell>
        </row>
        <row r="14912">
          <cell r="B14912" t="str">
            <v>Shipment</v>
          </cell>
        </row>
        <row r="14913">
          <cell r="B14913" t="str">
            <v>Shipment</v>
          </cell>
        </row>
        <row r="14914">
          <cell r="B14914" t="str">
            <v>Shipment</v>
          </cell>
        </row>
        <row r="14915">
          <cell r="B14915" t="str">
            <v>Shipment</v>
          </cell>
        </row>
        <row r="14916">
          <cell r="B14916" t="str">
            <v>Shipment</v>
          </cell>
        </row>
        <row r="14917">
          <cell r="B14917" t="str">
            <v>Shipment</v>
          </cell>
        </row>
        <row r="14918">
          <cell r="B14918" t="str">
            <v>Shipment</v>
          </cell>
        </row>
        <row r="14919">
          <cell r="B14919" t="str">
            <v>Shipment</v>
          </cell>
        </row>
        <row r="14920">
          <cell r="B14920" t="str">
            <v>Shipment</v>
          </cell>
        </row>
        <row r="14921">
          <cell r="B14921" t="str">
            <v>Shipment</v>
          </cell>
        </row>
        <row r="14922">
          <cell r="B14922" t="str">
            <v>Shipment</v>
          </cell>
        </row>
        <row r="14923">
          <cell r="B14923" t="str">
            <v>Shipment</v>
          </cell>
        </row>
        <row r="14924">
          <cell r="B14924" t="str">
            <v>Shipment</v>
          </cell>
        </row>
        <row r="14925">
          <cell r="B14925" t="str">
            <v>Shipment</v>
          </cell>
        </row>
        <row r="14926">
          <cell r="B14926" t="str">
            <v>Shipment</v>
          </cell>
        </row>
        <row r="14927">
          <cell r="B14927" t="str">
            <v>Shipment</v>
          </cell>
        </row>
        <row r="14928">
          <cell r="B14928" t="str">
            <v>Shipment</v>
          </cell>
        </row>
        <row r="14929">
          <cell r="B14929" t="str">
            <v>Shipment</v>
          </cell>
        </row>
        <row r="14930">
          <cell r="B14930" t="str">
            <v>Shipment</v>
          </cell>
        </row>
        <row r="14931">
          <cell r="B14931" t="str">
            <v>Shipment</v>
          </cell>
        </row>
        <row r="14932">
          <cell r="B14932" t="str">
            <v>Shipment</v>
          </cell>
        </row>
        <row r="14933">
          <cell r="B14933" t="str">
            <v>Shipment</v>
          </cell>
        </row>
        <row r="14934">
          <cell r="B14934" t="str">
            <v>Shipment</v>
          </cell>
        </row>
        <row r="14935">
          <cell r="B14935" t="str">
            <v>Shipment</v>
          </cell>
        </row>
        <row r="14936">
          <cell r="B14936" t="str">
            <v>Shipment</v>
          </cell>
        </row>
        <row r="14937">
          <cell r="B14937" t="str">
            <v>Shipment</v>
          </cell>
        </row>
        <row r="14938">
          <cell r="B14938" t="str">
            <v>Shipment</v>
          </cell>
        </row>
        <row r="14939">
          <cell r="B14939" t="str">
            <v>Shipment</v>
          </cell>
        </row>
        <row r="14940">
          <cell r="B14940" t="str">
            <v>Shipment</v>
          </cell>
        </row>
        <row r="14941">
          <cell r="B14941" t="str">
            <v>Shipment</v>
          </cell>
        </row>
        <row r="14942">
          <cell r="B14942" t="str">
            <v>Shipment</v>
          </cell>
        </row>
        <row r="14943">
          <cell r="B14943" t="str">
            <v>Shipment</v>
          </cell>
        </row>
        <row r="14944">
          <cell r="B14944" t="str">
            <v>Shipment</v>
          </cell>
        </row>
        <row r="14945">
          <cell r="B14945" t="str">
            <v>Shipment</v>
          </cell>
        </row>
        <row r="14946">
          <cell r="B14946" t="str">
            <v>Shipment</v>
          </cell>
        </row>
        <row r="14947">
          <cell r="B14947" t="str">
            <v>Shipment</v>
          </cell>
        </row>
        <row r="14948">
          <cell r="B14948" t="str">
            <v>Shipment</v>
          </cell>
        </row>
        <row r="14949">
          <cell r="B14949" t="str">
            <v>Shipment</v>
          </cell>
        </row>
        <row r="14950">
          <cell r="B14950" t="str">
            <v>Shipment</v>
          </cell>
        </row>
        <row r="14951">
          <cell r="B14951" t="str">
            <v>Shipment</v>
          </cell>
        </row>
        <row r="14952">
          <cell r="B14952" t="str">
            <v>Shipment</v>
          </cell>
        </row>
        <row r="14953">
          <cell r="B14953" t="str">
            <v>Shipment</v>
          </cell>
        </row>
        <row r="14954">
          <cell r="B14954" t="str">
            <v>Shipment</v>
          </cell>
        </row>
        <row r="14955">
          <cell r="B14955" t="str">
            <v>Shipment</v>
          </cell>
        </row>
        <row r="14956">
          <cell r="B14956" t="str">
            <v>Shipment</v>
          </cell>
        </row>
        <row r="14957">
          <cell r="B14957" t="str">
            <v>Shipment</v>
          </cell>
        </row>
        <row r="14958">
          <cell r="B14958" t="str">
            <v>Shipment</v>
          </cell>
        </row>
        <row r="14959">
          <cell r="B14959" t="str">
            <v>Shipment</v>
          </cell>
        </row>
        <row r="14960">
          <cell r="B14960" t="str">
            <v>Shipment</v>
          </cell>
        </row>
        <row r="14961">
          <cell r="B14961" t="str">
            <v>Shipment</v>
          </cell>
        </row>
        <row r="14962">
          <cell r="B14962" t="str">
            <v>Shipment</v>
          </cell>
        </row>
        <row r="14963">
          <cell r="B14963" t="str">
            <v>Shipment</v>
          </cell>
        </row>
        <row r="14964">
          <cell r="B14964" t="str">
            <v>Shipment</v>
          </cell>
        </row>
        <row r="14965">
          <cell r="B14965" t="str">
            <v>Shipment</v>
          </cell>
        </row>
        <row r="14966">
          <cell r="B14966" t="str">
            <v>Shipment</v>
          </cell>
        </row>
        <row r="14967">
          <cell r="B14967" t="str">
            <v>Shipment</v>
          </cell>
        </row>
        <row r="14968">
          <cell r="B14968" t="str">
            <v>Shipment</v>
          </cell>
        </row>
        <row r="14969">
          <cell r="B14969" t="str">
            <v>Shipment</v>
          </cell>
        </row>
        <row r="14970">
          <cell r="B14970" t="str">
            <v>Shipment</v>
          </cell>
        </row>
        <row r="14971">
          <cell r="B14971" t="str">
            <v>Shipment</v>
          </cell>
        </row>
        <row r="14972">
          <cell r="B14972" t="str">
            <v>Shipment</v>
          </cell>
        </row>
        <row r="14973">
          <cell r="B14973" t="str">
            <v>Shipment</v>
          </cell>
        </row>
        <row r="14974">
          <cell r="B14974" t="str">
            <v>Shipment</v>
          </cell>
        </row>
        <row r="14975">
          <cell r="B14975" t="str">
            <v>Shipment</v>
          </cell>
        </row>
        <row r="14976">
          <cell r="B14976" t="str">
            <v>Shipment</v>
          </cell>
        </row>
        <row r="14977">
          <cell r="B14977" t="str">
            <v>Shipment</v>
          </cell>
        </row>
        <row r="14978">
          <cell r="B14978" t="str">
            <v>Shipment</v>
          </cell>
        </row>
        <row r="14979">
          <cell r="B14979" t="str">
            <v>Shipment</v>
          </cell>
        </row>
        <row r="14980">
          <cell r="B14980" t="str">
            <v>Shipment</v>
          </cell>
        </row>
        <row r="14981">
          <cell r="B14981" t="str">
            <v>Shipment</v>
          </cell>
        </row>
        <row r="14982">
          <cell r="B14982" t="str">
            <v>Shipment</v>
          </cell>
        </row>
        <row r="14983">
          <cell r="B14983" t="str">
            <v>Shipment</v>
          </cell>
        </row>
        <row r="14984">
          <cell r="B14984" t="str">
            <v>Shipment</v>
          </cell>
        </row>
        <row r="14985">
          <cell r="B14985" t="str">
            <v>Shipment</v>
          </cell>
        </row>
        <row r="14986">
          <cell r="B14986" t="str">
            <v>Shipment</v>
          </cell>
        </row>
        <row r="14987">
          <cell r="B14987" t="str">
            <v>Shipment</v>
          </cell>
        </row>
        <row r="14988">
          <cell r="B14988" t="str">
            <v>Shipment</v>
          </cell>
        </row>
        <row r="14989">
          <cell r="B14989" t="str">
            <v>Shipment</v>
          </cell>
        </row>
        <row r="14990">
          <cell r="B14990" t="str">
            <v>Shipment</v>
          </cell>
        </row>
        <row r="14991">
          <cell r="B14991" t="str">
            <v>Shipment</v>
          </cell>
        </row>
        <row r="14992">
          <cell r="B14992" t="str">
            <v>Shipment</v>
          </cell>
        </row>
        <row r="14993">
          <cell r="B14993" t="str">
            <v>Shipment</v>
          </cell>
        </row>
        <row r="14994">
          <cell r="B14994" t="str">
            <v>Shipment</v>
          </cell>
        </row>
        <row r="14995">
          <cell r="B14995" t="str">
            <v>Shipment</v>
          </cell>
        </row>
        <row r="14996">
          <cell r="B14996" t="str">
            <v>Shipment</v>
          </cell>
        </row>
        <row r="14997">
          <cell r="B14997" t="str">
            <v>Shipment</v>
          </cell>
        </row>
        <row r="14998">
          <cell r="B14998" t="str">
            <v>Shipment</v>
          </cell>
        </row>
        <row r="14999">
          <cell r="B14999" t="str">
            <v>Shipment</v>
          </cell>
        </row>
        <row r="15000">
          <cell r="B15000" t="str">
            <v>Shipment</v>
          </cell>
        </row>
        <row r="15001">
          <cell r="B15001" t="str">
            <v>Shipment</v>
          </cell>
        </row>
        <row r="15002">
          <cell r="B15002" t="str">
            <v>Shipment</v>
          </cell>
        </row>
        <row r="15003">
          <cell r="B15003" t="str">
            <v>Shipment</v>
          </cell>
        </row>
        <row r="15004">
          <cell r="B15004" t="str">
            <v>Shipment</v>
          </cell>
        </row>
        <row r="15005">
          <cell r="B15005" t="str">
            <v>Shipment</v>
          </cell>
        </row>
        <row r="15006">
          <cell r="B15006" t="str">
            <v>Shipment</v>
          </cell>
        </row>
        <row r="15007">
          <cell r="B15007" t="str">
            <v>Shipment</v>
          </cell>
        </row>
        <row r="15008">
          <cell r="B15008" t="str">
            <v>Shipment</v>
          </cell>
        </row>
        <row r="15009">
          <cell r="B15009" t="str">
            <v>Shipment</v>
          </cell>
        </row>
        <row r="15010">
          <cell r="B15010" t="str">
            <v>Shipment</v>
          </cell>
        </row>
        <row r="15011">
          <cell r="B15011" t="str">
            <v>Shipment</v>
          </cell>
        </row>
        <row r="15012">
          <cell r="B15012" t="str">
            <v>Shipment</v>
          </cell>
        </row>
        <row r="15013">
          <cell r="B15013" t="str">
            <v>Shipment</v>
          </cell>
        </row>
        <row r="15014">
          <cell r="B15014" t="str">
            <v>Shipment</v>
          </cell>
        </row>
        <row r="15015">
          <cell r="B15015" t="str">
            <v>Shipment</v>
          </cell>
        </row>
        <row r="15016">
          <cell r="B15016" t="str">
            <v>Shipment</v>
          </cell>
        </row>
        <row r="15017">
          <cell r="B15017" t="str">
            <v>Shipment</v>
          </cell>
        </row>
        <row r="15018">
          <cell r="B15018" t="str">
            <v>Shipment</v>
          </cell>
        </row>
        <row r="15019">
          <cell r="B15019" t="str">
            <v>Shipment</v>
          </cell>
        </row>
        <row r="15020">
          <cell r="B15020" t="str">
            <v>Shipment</v>
          </cell>
        </row>
        <row r="15021">
          <cell r="B15021" t="str">
            <v>Shipment</v>
          </cell>
        </row>
        <row r="15022">
          <cell r="B15022" t="str">
            <v>Shipment</v>
          </cell>
        </row>
        <row r="15023">
          <cell r="B15023" t="str">
            <v>Shipment</v>
          </cell>
        </row>
        <row r="15024">
          <cell r="B15024" t="str">
            <v>Shipment</v>
          </cell>
        </row>
        <row r="15025">
          <cell r="B15025" t="str">
            <v>Shipment</v>
          </cell>
        </row>
        <row r="15026">
          <cell r="B15026" t="str">
            <v>Shipment</v>
          </cell>
        </row>
        <row r="15027">
          <cell r="B15027" t="str">
            <v>Shipment</v>
          </cell>
        </row>
        <row r="15028">
          <cell r="B15028" t="str">
            <v>Shipment</v>
          </cell>
        </row>
        <row r="15029">
          <cell r="B15029" t="str">
            <v>Shipment</v>
          </cell>
        </row>
        <row r="15030">
          <cell r="B15030" t="str">
            <v>Shipment</v>
          </cell>
        </row>
        <row r="15031">
          <cell r="B15031" t="str">
            <v>Shipment</v>
          </cell>
        </row>
        <row r="15032">
          <cell r="B15032" t="str">
            <v>Shipment</v>
          </cell>
        </row>
        <row r="15033">
          <cell r="B15033" t="str">
            <v>Shipment</v>
          </cell>
        </row>
        <row r="15034">
          <cell r="B15034" t="str">
            <v>Shipment</v>
          </cell>
        </row>
        <row r="15035">
          <cell r="B15035" t="str">
            <v>Shipment</v>
          </cell>
        </row>
        <row r="15036">
          <cell r="B15036" t="str">
            <v>Shipment</v>
          </cell>
        </row>
        <row r="15037">
          <cell r="B15037" t="str">
            <v>Shipment</v>
          </cell>
        </row>
        <row r="15038">
          <cell r="B15038" t="str">
            <v>Shipment</v>
          </cell>
        </row>
        <row r="15039">
          <cell r="B15039" t="str">
            <v>Shipment</v>
          </cell>
        </row>
        <row r="15040">
          <cell r="B15040" t="str">
            <v>Shipment</v>
          </cell>
        </row>
        <row r="15041">
          <cell r="B15041" t="str">
            <v>Shipment</v>
          </cell>
        </row>
        <row r="15042">
          <cell r="B15042" t="str">
            <v>Shipment</v>
          </cell>
        </row>
        <row r="15043">
          <cell r="B15043" t="str">
            <v>Shipment</v>
          </cell>
        </row>
        <row r="15044">
          <cell r="B15044" t="str">
            <v>Shipment</v>
          </cell>
        </row>
        <row r="15045">
          <cell r="B15045" t="str">
            <v>Shipment</v>
          </cell>
        </row>
        <row r="15046">
          <cell r="B15046" t="str">
            <v>Shipment</v>
          </cell>
        </row>
        <row r="15047">
          <cell r="B15047" t="str">
            <v>Shipment</v>
          </cell>
        </row>
        <row r="15048">
          <cell r="B15048" t="str">
            <v>Shipment</v>
          </cell>
        </row>
        <row r="15049">
          <cell r="B15049" t="str">
            <v>Shipment</v>
          </cell>
        </row>
        <row r="15050">
          <cell r="B15050" t="str">
            <v>Shipment</v>
          </cell>
        </row>
        <row r="15051">
          <cell r="B15051" t="str">
            <v>Shipment</v>
          </cell>
        </row>
        <row r="15052">
          <cell r="B15052" t="str">
            <v>Shipment</v>
          </cell>
        </row>
        <row r="15053">
          <cell r="B15053" t="str">
            <v>Shipment</v>
          </cell>
        </row>
        <row r="15054">
          <cell r="B15054" t="str">
            <v>Shipment</v>
          </cell>
        </row>
        <row r="15055">
          <cell r="B15055" t="str">
            <v>Shipment</v>
          </cell>
        </row>
        <row r="15056">
          <cell r="B15056" t="str">
            <v>Shipment</v>
          </cell>
        </row>
        <row r="15057">
          <cell r="B15057" t="str">
            <v>Shipment</v>
          </cell>
        </row>
        <row r="15058">
          <cell r="B15058" t="str">
            <v>Shipment</v>
          </cell>
        </row>
        <row r="15059">
          <cell r="B15059" t="str">
            <v>Shipment</v>
          </cell>
        </row>
        <row r="15060">
          <cell r="B15060" t="str">
            <v>Shipment</v>
          </cell>
        </row>
        <row r="15061">
          <cell r="B15061" t="str">
            <v>Shipment</v>
          </cell>
        </row>
        <row r="15062">
          <cell r="B15062" t="str">
            <v>Shipment</v>
          </cell>
        </row>
        <row r="15063">
          <cell r="B15063" t="str">
            <v>Shipment</v>
          </cell>
        </row>
        <row r="15064">
          <cell r="B15064" t="str">
            <v>Shipment</v>
          </cell>
        </row>
        <row r="15065">
          <cell r="B15065" t="str">
            <v>Shipment</v>
          </cell>
        </row>
        <row r="15066">
          <cell r="B15066" t="str">
            <v>Shipment</v>
          </cell>
        </row>
        <row r="15067">
          <cell r="B15067" t="str">
            <v>Shipment</v>
          </cell>
        </row>
        <row r="15068">
          <cell r="B15068" t="str">
            <v>Shipment</v>
          </cell>
        </row>
        <row r="15069">
          <cell r="B15069" t="str">
            <v>Shipment</v>
          </cell>
        </row>
        <row r="15070">
          <cell r="B15070" t="str">
            <v>Shipment</v>
          </cell>
        </row>
        <row r="15071">
          <cell r="B15071" t="str">
            <v>Shipment</v>
          </cell>
        </row>
        <row r="15072">
          <cell r="B15072" t="str">
            <v>Shipment</v>
          </cell>
        </row>
        <row r="15073">
          <cell r="B15073" t="str">
            <v>Shipment</v>
          </cell>
        </row>
        <row r="15074">
          <cell r="B15074" t="str">
            <v>Shipment</v>
          </cell>
        </row>
        <row r="15075">
          <cell r="B15075" t="str">
            <v>Shipment</v>
          </cell>
        </row>
        <row r="15076">
          <cell r="B15076" t="str">
            <v>Shipment</v>
          </cell>
        </row>
        <row r="15077">
          <cell r="B15077" t="str">
            <v>Shipment</v>
          </cell>
        </row>
        <row r="15078">
          <cell r="B15078" t="str">
            <v>Shipment</v>
          </cell>
        </row>
        <row r="15079">
          <cell r="B15079" t="str">
            <v>Shipment</v>
          </cell>
        </row>
        <row r="15080">
          <cell r="B15080" t="str">
            <v>Shipment</v>
          </cell>
        </row>
        <row r="15081">
          <cell r="B15081" t="str">
            <v>Shipment</v>
          </cell>
        </row>
        <row r="15082">
          <cell r="B15082" t="str">
            <v>Shipment</v>
          </cell>
        </row>
        <row r="15083">
          <cell r="B15083" t="str">
            <v>Shipment</v>
          </cell>
        </row>
        <row r="15084">
          <cell r="B15084" t="str">
            <v>Shipment</v>
          </cell>
        </row>
        <row r="15085">
          <cell r="B15085" t="str">
            <v>Shipment</v>
          </cell>
        </row>
        <row r="15086">
          <cell r="B15086" t="str">
            <v>Shipment</v>
          </cell>
        </row>
        <row r="15087">
          <cell r="B15087" t="str">
            <v>Shipment</v>
          </cell>
        </row>
        <row r="15088">
          <cell r="B15088" t="str">
            <v>Shipment</v>
          </cell>
        </row>
        <row r="15089">
          <cell r="B15089" t="str">
            <v>Shipment</v>
          </cell>
        </row>
        <row r="15090">
          <cell r="B15090" t="str">
            <v>Shipment</v>
          </cell>
        </row>
        <row r="15091">
          <cell r="B15091" t="str">
            <v>Shipment</v>
          </cell>
        </row>
        <row r="15092">
          <cell r="B15092" t="str">
            <v>Shipment</v>
          </cell>
        </row>
        <row r="15093">
          <cell r="B15093" t="str">
            <v>Shipment</v>
          </cell>
        </row>
        <row r="15094">
          <cell r="B15094" t="str">
            <v>Shipment</v>
          </cell>
        </row>
        <row r="15095">
          <cell r="B15095" t="str">
            <v>Shipment</v>
          </cell>
        </row>
        <row r="15096">
          <cell r="B15096" t="str">
            <v>Shipment</v>
          </cell>
        </row>
        <row r="15097">
          <cell r="B15097" t="str">
            <v>Shipment</v>
          </cell>
        </row>
        <row r="15098">
          <cell r="B15098" t="str">
            <v>Shipment</v>
          </cell>
        </row>
        <row r="15099">
          <cell r="B15099" t="str">
            <v>Shipment</v>
          </cell>
        </row>
        <row r="15100">
          <cell r="B15100" t="str">
            <v>Shipment</v>
          </cell>
        </row>
        <row r="15101">
          <cell r="B15101" t="str">
            <v>Shipment</v>
          </cell>
        </row>
        <row r="15102">
          <cell r="B15102" t="str">
            <v>Shipment</v>
          </cell>
        </row>
        <row r="15103">
          <cell r="B15103" t="str">
            <v>Shipment</v>
          </cell>
        </row>
        <row r="15104">
          <cell r="B15104" t="str">
            <v>Shipment</v>
          </cell>
        </row>
        <row r="15105">
          <cell r="B15105" t="str">
            <v>Shipment</v>
          </cell>
        </row>
        <row r="15106">
          <cell r="B15106" t="str">
            <v>Shipment</v>
          </cell>
        </row>
        <row r="15107">
          <cell r="B15107" t="str">
            <v>Shipment</v>
          </cell>
        </row>
        <row r="15108">
          <cell r="B15108" t="str">
            <v>Shipment</v>
          </cell>
        </row>
        <row r="15109">
          <cell r="B15109" t="str">
            <v>Shipment</v>
          </cell>
        </row>
        <row r="15110">
          <cell r="B15110" t="str">
            <v>Shipment</v>
          </cell>
        </row>
        <row r="15111">
          <cell r="B15111" t="str">
            <v>Shipment</v>
          </cell>
        </row>
        <row r="15112">
          <cell r="B15112" t="str">
            <v>Shipment</v>
          </cell>
        </row>
        <row r="15113">
          <cell r="B15113" t="str">
            <v>Shipment</v>
          </cell>
        </row>
        <row r="15114">
          <cell r="B15114" t="str">
            <v>Shipment</v>
          </cell>
        </row>
        <row r="15115">
          <cell r="B15115" t="str">
            <v>Shipment</v>
          </cell>
        </row>
        <row r="15116">
          <cell r="B15116" t="str">
            <v>Shipment</v>
          </cell>
        </row>
        <row r="15117">
          <cell r="B15117" t="str">
            <v>Shipment</v>
          </cell>
        </row>
        <row r="15118">
          <cell r="B15118" t="str">
            <v>Shipment</v>
          </cell>
        </row>
        <row r="15119">
          <cell r="B15119" t="str">
            <v>Shipment</v>
          </cell>
        </row>
        <row r="15120">
          <cell r="B15120" t="str">
            <v>Shipment</v>
          </cell>
        </row>
        <row r="15121">
          <cell r="B15121" t="str">
            <v>Shipment</v>
          </cell>
        </row>
        <row r="15122">
          <cell r="B15122" t="str">
            <v>Shipment</v>
          </cell>
        </row>
        <row r="15123">
          <cell r="B15123" t="str">
            <v>Shipment</v>
          </cell>
        </row>
        <row r="15124">
          <cell r="B15124" t="str">
            <v>Shipment</v>
          </cell>
        </row>
        <row r="15125">
          <cell r="B15125" t="str">
            <v>Shipment</v>
          </cell>
        </row>
        <row r="15126">
          <cell r="B15126" t="str">
            <v>Shipment</v>
          </cell>
        </row>
        <row r="15127">
          <cell r="B15127" t="str">
            <v>Shipment</v>
          </cell>
        </row>
        <row r="15128">
          <cell r="B15128" t="str">
            <v>Shipment</v>
          </cell>
        </row>
        <row r="15129">
          <cell r="B15129" t="str">
            <v>Shipment</v>
          </cell>
        </row>
        <row r="15130">
          <cell r="B15130" t="str">
            <v>Shipment</v>
          </cell>
        </row>
        <row r="15131">
          <cell r="B15131" t="str">
            <v>Shipment</v>
          </cell>
        </row>
        <row r="15132">
          <cell r="B15132" t="str">
            <v>Shipment</v>
          </cell>
        </row>
        <row r="15133">
          <cell r="B15133" t="str">
            <v>Shipment</v>
          </cell>
        </row>
        <row r="15134">
          <cell r="B15134" t="str">
            <v>Shipment</v>
          </cell>
        </row>
        <row r="15135">
          <cell r="B15135" t="str">
            <v>Shipment</v>
          </cell>
        </row>
        <row r="15136">
          <cell r="B15136" t="str">
            <v>Shipment</v>
          </cell>
        </row>
        <row r="15137">
          <cell r="B15137" t="str">
            <v>Shipment</v>
          </cell>
        </row>
        <row r="15138">
          <cell r="B15138" t="str">
            <v>Shipment</v>
          </cell>
        </row>
        <row r="15139">
          <cell r="B15139" t="str">
            <v>Shipment</v>
          </cell>
        </row>
        <row r="15140">
          <cell r="B15140" t="str">
            <v>Shipment</v>
          </cell>
        </row>
        <row r="15141">
          <cell r="B15141" t="str">
            <v>Shipment</v>
          </cell>
        </row>
        <row r="15142">
          <cell r="B15142" t="str">
            <v>Shipment</v>
          </cell>
        </row>
        <row r="15143">
          <cell r="B15143" t="str">
            <v>Shipment</v>
          </cell>
        </row>
        <row r="15144">
          <cell r="B15144" t="str">
            <v>Shipment</v>
          </cell>
        </row>
        <row r="15145">
          <cell r="B15145" t="str">
            <v>Shipment</v>
          </cell>
        </row>
        <row r="15146">
          <cell r="B15146" t="str">
            <v>Shipment</v>
          </cell>
        </row>
        <row r="15147">
          <cell r="B15147" t="str">
            <v>Shipment</v>
          </cell>
        </row>
        <row r="15148">
          <cell r="B15148" t="str">
            <v>Shipment</v>
          </cell>
        </row>
        <row r="15149">
          <cell r="B15149" t="str">
            <v>Shipment</v>
          </cell>
        </row>
        <row r="15150">
          <cell r="B15150" t="str">
            <v>Shipment</v>
          </cell>
        </row>
        <row r="15151">
          <cell r="B15151" t="str">
            <v>Shipment</v>
          </cell>
        </row>
        <row r="15152">
          <cell r="B15152" t="str">
            <v>Shipment</v>
          </cell>
        </row>
        <row r="15153">
          <cell r="B15153" t="str">
            <v>Shipment</v>
          </cell>
        </row>
        <row r="15154">
          <cell r="B15154" t="str">
            <v>Shipment</v>
          </cell>
        </row>
        <row r="15155">
          <cell r="B15155" t="str">
            <v>Shipment</v>
          </cell>
        </row>
        <row r="15156">
          <cell r="B15156" t="str">
            <v>Shipment</v>
          </cell>
        </row>
        <row r="15157">
          <cell r="B15157" t="str">
            <v>Shipment</v>
          </cell>
        </row>
        <row r="15158">
          <cell r="B15158" t="str">
            <v>Shipment</v>
          </cell>
        </row>
        <row r="15159">
          <cell r="B15159" t="str">
            <v>Shipment</v>
          </cell>
        </row>
        <row r="15160">
          <cell r="B15160" t="str">
            <v>Shipment</v>
          </cell>
        </row>
        <row r="15161">
          <cell r="B15161" t="str">
            <v>Shipment</v>
          </cell>
        </row>
        <row r="15162">
          <cell r="B15162" t="str">
            <v>Shipment</v>
          </cell>
        </row>
        <row r="15163">
          <cell r="B15163" t="str">
            <v>Shipment</v>
          </cell>
        </row>
        <row r="15164">
          <cell r="B15164" t="str">
            <v>Shipment</v>
          </cell>
        </row>
        <row r="15165">
          <cell r="B15165" t="str">
            <v>Shipment</v>
          </cell>
        </row>
        <row r="15166">
          <cell r="B15166" t="str">
            <v>Shipment</v>
          </cell>
        </row>
        <row r="15167">
          <cell r="B15167" t="str">
            <v>Shipment</v>
          </cell>
        </row>
        <row r="15168">
          <cell r="B15168" t="str">
            <v>Shipment</v>
          </cell>
        </row>
        <row r="15169">
          <cell r="B15169" t="str">
            <v>Shipment</v>
          </cell>
        </row>
        <row r="15170">
          <cell r="B15170" t="str">
            <v>Shipment</v>
          </cell>
        </row>
        <row r="15171">
          <cell r="B15171" t="str">
            <v>Shipment</v>
          </cell>
        </row>
        <row r="15172">
          <cell r="B15172" t="str">
            <v>Shipment</v>
          </cell>
        </row>
        <row r="15173">
          <cell r="B15173" t="str">
            <v>Shipment</v>
          </cell>
        </row>
        <row r="15174">
          <cell r="B15174" t="str">
            <v>Shipment</v>
          </cell>
        </row>
        <row r="15175">
          <cell r="B15175" t="str">
            <v>Shipment</v>
          </cell>
        </row>
        <row r="15176">
          <cell r="B15176" t="str">
            <v>Shipment</v>
          </cell>
        </row>
        <row r="15177">
          <cell r="B15177" t="str">
            <v>Shipment</v>
          </cell>
        </row>
        <row r="15178">
          <cell r="B15178" t="str">
            <v>Shipment</v>
          </cell>
        </row>
        <row r="15179">
          <cell r="B15179" t="str">
            <v>Shipment</v>
          </cell>
        </row>
        <row r="15180">
          <cell r="B15180" t="str">
            <v>Shipment</v>
          </cell>
        </row>
        <row r="15181">
          <cell r="B15181" t="str">
            <v>Shipment</v>
          </cell>
        </row>
        <row r="15182">
          <cell r="B15182" t="str">
            <v>Shipment</v>
          </cell>
        </row>
        <row r="15183">
          <cell r="B15183" t="str">
            <v>Shipment</v>
          </cell>
        </row>
        <row r="15184">
          <cell r="B15184" t="str">
            <v>Shipment</v>
          </cell>
        </row>
        <row r="15185">
          <cell r="B15185" t="str">
            <v>Shipment</v>
          </cell>
        </row>
        <row r="15186">
          <cell r="B15186" t="str">
            <v>Shipment</v>
          </cell>
        </row>
        <row r="15187">
          <cell r="B15187" t="str">
            <v>Shipment</v>
          </cell>
        </row>
        <row r="15188">
          <cell r="B15188" t="str">
            <v>Shipment</v>
          </cell>
        </row>
        <row r="15189">
          <cell r="B15189" t="str">
            <v>Shipment</v>
          </cell>
        </row>
        <row r="15190">
          <cell r="B15190" t="str">
            <v>Shipment</v>
          </cell>
        </row>
        <row r="15191">
          <cell r="B15191" t="str">
            <v>Shipment</v>
          </cell>
        </row>
        <row r="15192">
          <cell r="B15192" t="str">
            <v>Shipment</v>
          </cell>
        </row>
        <row r="15193">
          <cell r="B15193" t="str">
            <v>Shipment</v>
          </cell>
        </row>
        <row r="15194">
          <cell r="B15194" t="str">
            <v>Shipment</v>
          </cell>
        </row>
        <row r="15195">
          <cell r="B15195" t="str">
            <v>Shipment</v>
          </cell>
        </row>
        <row r="15196">
          <cell r="B15196" t="str">
            <v>Shipment</v>
          </cell>
        </row>
        <row r="15197">
          <cell r="B15197" t="str">
            <v>Shipment</v>
          </cell>
        </row>
        <row r="15198">
          <cell r="B15198" t="str">
            <v>Shipment</v>
          </cell>
        </row>
        <row r="15199">
          <cell r="B15199" t="str">
            <v>Shipment</v>
          </cell>
        </row>
        <row r="15200">
          <cell r="B15200" t="str">
            <v>Shipment</v>
          </cell>
        </row>
        <row r="15201">
          <cell r="B15201" t="str">
            <v>Shipment</v>
          </cell>
        </row>
        <row r="15202">
          <cell r="B15202" t="str">
            <v>Shipment</v>
          </cell>
        </row>
        <row r="15203">
          <cell r="B15203" t="str">
            <v>Shipment</v>
          </cell>
        </row>
        <row r="15204">
          <cell r="B15204" t="str">
            <v>Shipment</v>
          </cell>
        </row>
        <row r="15205">
          <cell r="B15205" t="str">
            <v>Shipment</v>
          </cell>
        </row>
        <row r="15206">
          <cell r="B15206" t="str">
            <v>Shipment</v>
          </cell>
        </row>
        <row r="15207">
          <cell r="B15207" t="str">
            <v>Shipment</v>
          </cell>
        </row>
        <row r="15208">
          <cell r="B15208" t="str">
            <v>Shipment</v>
          </cell>
        </row>
        <row r="15209">
          <cell r="B15209" t="str">
            <v>Shipment</v>
          </cell>
        </row>
        <row r="15210">
          <cell r="B15210" t="str">
            <v>Shipment</v>
          </cell>
        </row>
        <row r="15211">
          <cell r="B15211" t="str">
            <v>Shipment</v>
          </cell>
        </row>
        <row r="15212">
          <cell r="B15212" t="str">
            <v>Shipment</v>
          </cell>
        </row>
        <row r="15213">
          <cell r="B15213" t="str">
            <v>Shipment</v>
          </cell>
        </row>
        <row r="15214">
          <cell r="B15214" t="str">
            <v>Shipment</v>
          </cell>
        </row>
        <row r="15215">
          <cell r="B15215" t="str">
            <v>Shipment</v>
          </cell>
        </row>
        <row r="15216">
          <cell r="B15216" t="str">
            <v>Shipment</v>
          </cell>
        </row>
        <row r="15217">
          <cell r="B15217" t="str">
            <v>Shipment</v>
          </cell>
        </row>
        <row r="15218">
          <cell r="B15218" t="str">
            <v>Shipment</v>
          </cell>
        </row>
        <row r="15219">
          <cell r="B15219" t="str">
            <v>Shipment</v>
          </cell>
        </row>
        <row r="15220">
          <cell r="B15220" t="str">
            <v>Shipment</v>
          </cell>
        </row>
        <row r="15221">
          <cell r="B15221" t="str">
            <v>Shipment</v>
          </cell>
        </row>
        <row r="15222">
          <cell r="B15222" t="str">
            <v>Shipment</v>
          </cell>
        </row>
        <row r="15223">
          <cell r="B15223" t="str">
            <v>Shipment</v>
          </cell>
        </row>
        <row r="15224">
          <cell r="B15224" t="str">
            <v>Shipment</v>
          </cell>
        </row>
        <row r="15225">
          <cell r="B15225" t="str">
            <v>Shipment</v>
          </cell>
        </row>
        <row r="15226">
          <cell r="B15226" t="str">
            <v>Shipment</v>
          </cell>
        </row>
        <row r="15227">
          <cell r="B15227" t="str">
            <v>Shipment</v>
          </cell>
        </row>
        <row r="15228">
          <cell r="B15228" t="str">
            <v>Shipment</v>
          </cell>
        </row>
        <row r="15229">
          <cell r="B15229" t="str">
            <v>Shipment</v>
          </cell>
        </row>
        <row r="15230">
          <cell r="B15230" t="str">
            <v>Shipment</v>
          </cell>
        </row>
        <row r="15231">
          <cell r="B15231" t="str">
            <v>Shipment</v>
          </cell>
        </row>
        <row r="15232">
          <cell r="B15232" t="str">
            <v>Shipment</v>
          </cell>
        </row>
        <row r="15233">
          <cell r="B15233" t="str">
            <v>Shipment</v>
          </cell>
        </row>
        <row r="15234">
          <cell r="B15234" t="str">
            <v>Shipment</v>
          </cell>
        </row>
        <row r="15235">
          <cell r="B15235" t="str">
            <v>Shipment</v>
          </cell>
        </row>
        <row r="15236">
          <cell r="B15236" t="str">
            <v>Shipment</v>
          </cell>
        </row>
        <row r="15237">
          <cell r="B15237" t="str">
            <v>Shipment</v>
          </cell>
        </row>
        <row r="15238">
          <cell r="B15238" t="str">
            <v>Shipment</v>
          </cell>
        </row>
        <row r="15239">
          <cell r="B15239" t="str">
            <v>Shipment</v>
          </cell>
        </row>
        <row r="15240">
          <cell r="B15240" t="str">
            <v>Shipment</v>
          </cell>
        </row>
        <row r="15241">
          <cell r="B15241" t="str">
            <v>Shipment</v>
          </cell>
        </row>
        <row r="15242">
          <cell r="B15242" t="str">
            <v>Shipment</v>
          </cell>
        </row>
        <row r="15243">
          <cell r="B15243" t="str">
            <v>Shipment</v>
          </cell>
        </row>
        <row r="15244">
          <cell r="B15244" t="str">
            <v>Shipment</v>
          </cell>
        </row>
        <row r="15245">
          <cell r="B15245" t="str">
            <v>Shipment</v>
          </cell>
        </row>
        <row r="15246">
          <cell r="B15246" t="str">
            <v>Shipment</v>
          </cell>
        </row>
        <row r="15247">
          <cell r="B15247" t="str">
            <v>Shipment</v>
          </cell>
        </row>
        <row r="15248">
          <cell r="B15248" t="str">
            <v>Shipment</v>
          </cell>
        </row>
        <row r="15249">
          <cell r="B15249" t="str">
            <v>Shipment</v>
          </cell>
        </row>
        <row r="15250">
          <cell r="B15250" t="str">
            <v>Shipment</v>
          </cell>
        </row>
        <row r="15251">
          <cell r="B15251" t="str">
            <v>Shipment</v>
          </cell>
        </row>
        <row r="15252">
          <cell r="B15252" t="str">
            <v>Shipment</v>
          </cell>
        </row>
        <row r="15253">
          <cell r="B15253" t="str">
            <v>Shipment</v>
          </cell>
        </row>
        <row r="15254">
          <cell r="B15254" t="str">
            <v>Shipment</v>
          </cell>
        </row>
        <row r="15255">
          <cell r="B15255" t="str">
            <v>Shipment</v>
          </cell>
        </row>
        <row r="15256">
          <cell r="B15256" t="str">
            <v>Shipment</v>
          </cell>
        </row>
        <row r="15257">
          <cell r="B15257" t="str">
            <v>Shipment</v>
          </cell>
        </row>
        <row r="15258">
          <cell r="B15258" t="str">
            <v>Shipment</v>
          </cell>
        </row>
        <row r="15259">
          <cell r="B15259" t="str">
            <v>Shipment</v>
          </cell>
        </row>
        <row r="15260">
          <cell r="B15260" t="str">
            <v>Shipment</v>
          </cell>
        </row>
        <row r="15261">
          <cell r="B15261" t="str">
            <v>Shipment</v>
          </cell>
        </row>
        <row r="15262">
          <cell r="B15262" t="str">
            <v>Shipment</v>
          </cell>
        </row>
        <row r="15263">
          <cell r="B15263" t="str">
            <v>Shipment</v>
          </cell>
        </row>
        <row r="15264">
          <cell r="B15264" t="str">
            <v>Shipment</v>
          </cell>
        </row>
        <row r="15265">
          <cell r="B15265" t="str">
            <v>Shipment</v>
          </cell>
        </row>
        <row r="15266">
          <cell r="B15266" t="str">
            <v>Shipment</v>
          </cell>
        </row>
        <row r="15267">
          <cell r="B15267" t="str">
            <v>Shipment</v>
          </cell>
        </row>
        <row r="15268">
          <cell r="B15268" t="str">
            <v>Shipment</v>
          </cell>
        </row>
        <row r="15269">
          <cell r="B15269" t="str">
            <v>Shipment</v>
          </cell>
        </row>
        <row r="15270">
          <cell r="B15270" t="str">
            <v>Shipment</v>
          </cell>
        </row>
        <row r="15271">
          <cell r="B15271" t="str">
            <v>Shipment</v>
          </cell>
        </row>
        <row r="15272">
          <cell r="B15272" t="str">
            <v>Shipment</v>
          </cell>
        </row>
        <row r="15273">
          <cell r="B15273" t="str">
            <v>Shipment</v>
          </cell>
        </row>
        <row r="15274">
          <cell r="B15274" t="str">
            <v>Shipment</v>
          </cell>
        </row>
        <row r="15275">
          <cell r="B15275" t="str">
            <v>Shipment</v>
          </cell>
        </row>
        <row r="15276">
          <cell r="B15276" t="str">
            <v>Shipment</v>
          </cell>
        </row>
        <row r="15277">
          <cell r="B15277" t="str">
            <v>Shipment</v>
          </cell>
        </row>
        <row r="15278">
          <cell r="B15278" t="str">
            <v>Shipment</v>
          </cell>
        </row>
        <row r="15279">
          <cell r="B15279" t="str">
            <v>Shipment</v>
          </cell>
        </row>
        <row r="15280">
          <cell r="B15280" t="str">
            <v>Shipment</v>
          </cell>
        </row>
        <row r="15281">
          <cell r="B15281" t="str">
            <v>Shipment</v>
          </cell>
        </row>
        <row r="15282">
          <cell r="B15282" t="str">
            <v>Shipment</v>
          </cell>
        </row>
        <row r="15283">
          <cell r="B15283" t="str">
            <v>Shipment</v>
          </cell>
        </row>
        <row r="15284">
          <cell r="B15284" t="str">
            <v>Shipment</v>
          </cell>
        </row>
        <row r="15285">
          <cell r="B15285" t="str">
            <v>Shipment</v>
          </cell>
        </row>
        <row r="15286">
          <cell r="B15286" t="str">
            <v>Shipment</v>
          </cell>
        </row>
        <row r="15287">
          <cell r="B15287" t="str">
            <v>Shipment</v>
          </cell>
        </row>
        <row r="15288">
          <cell r="B15288" t="str">
            <v>Shipment</v>
          </cell>
        </row>
        <row r="15289">
          <cell r="B15289" t="str">
            <v>Shipment</v>
          </cell>
        </row>
        <row r="15290">
          <cell r="B15290" t="str">
            <v>Shipment</v>
          </cell>
        </row>
        <row r="15291">
          <cell r="B15291" t="str">
            <v>Shipment</v>
          </cell>
        </row>
        <row r="15292">
          <cell r="B15292" t="str">
            <v>Shipment</v>
          </cell>
        </row>
        <row r="15293">
          <cell r="B15293" t="str">
            <v>Shipment</v>
          </cell>
        </row>
        <row r="15294">
          <cell r="B15294" t="str">
            <v>Shipment</v>
          </cell>
        </row>
        <row r="15295">
          <cell r="B15295" t="str">
            <v>Shipment</v>
          </cell>
        </row>
        <row r="15296">
          <cell r="B15296" t="str">
            <v>Shipment</v>
          </cell>
        </row>
        <row r="15297">
          <cell r="B15297" t="str">
            <v>Shipment</v>
          </cell>
        </row>
        <row r="15298">
          <cell r="B15298" t="str">
            <v>Shipment</v>
          </cell>
        </row>
        <row r="15299">
          <cell r="B15299" t="str">
            <v>Shipment</v>
          </cell>
        </row>
        <row r="15300">
          <cell r="B15300" t="str">
            <v>Shipment</v>
          </cell>
        </row>
        <row r="15301">
          <cell r="B15301" t="str">
            <v>Shipment</v>
          </cell>
        </row>
        <row r="15302">
          <cell r="B15302" t="str">
            <v>Shipment</v>
          </cell>
        </row>
        <row r="15303">
          <cell r="B15303" t="str">
            <v>Shipment</v>
          </cell>
        </row>
        <row r="15304">
          <cell r="B15304" t="str">
            <v>Shipment</v>
          </cell>
        </row>
        <row r="15305">
          <cell r="B15305" t="str">
            <v>Shipment</v>
          </cell>
        </row>
        <row r="15306">
          <cell r="B15306" t="str">
            <v>Shipment</v>
          </cell>
        </row>
        <row r="15307">
          <cell r="B15307" t="str">
            <v>Shipment</v>
          </cell>
        </row>
        <row r="15308">
          <cell r="B15308" t="str">
            <v>Shipment</v>
          </cell>
        </row>
        <row r="15309">
          <cell r="B15309" t="str">
            <v>Shipment</v>
          </cell>
        </row>
        <row r="15310">
          <cell r="B15310" t="str">
            <v>Shipment</v>
          </cell>
        </row>
        <row r="15311">
          <cell r="B15311" t="str">
            <v>Shipment</v>
          </cell>
        </row>
        <row r="15312">
          <cell r="B15312" t="str">
            <v>Shipment</v>
          </cell>
        </row>
        <row r="15313">
          <cell r="B15313" t="str">
            <v>Shipment</v>
          </cell>
        </row>
        <row r="15314">
          <cell r="B15314" t="str">
            <v>Shipment</v>
          </cell>
        </row>
        <row r="15315">
          <cell r="B15315" t="str">
            <v>Shipment</v>
          </cell>
        </row>
        <row r="15316">
          <cell r="B15316" t="str">
            <v>Shipment</v>
          </cell>
        </row>
        <row r="15317">
          <cell r="B15317" t="str">
            <v>Shipment</v>
          </cell>
        </row>
        <row r="15318">
          <cell r="B15318" t="str">
            <v>Shipment</v>
          </cell>
        </row>
        <row r="15319">
          <cell r="B15319" t="str">
            <v>Shipment</v>
          </cell>
        </row>
        <row r="15320">
          <cell r="B15320" t="str">
            <v>Shipment</v>
          </cell>
        </row>
        <row r="15321">
          <cell r="B15321" t="str">
            <v>Shipment</v>
          </cell>
        </row>
        <row r="15322">
          <cell r="B15322" t="str">
            <v>Shipment</v>
          </cell>
        </row>
        <row r="15323">
          <cell r="B15323" t="str">
            <v>Shipment</v>
          </cell>
        </row>
        <row r="15324">
          <cell r="B15324" t="str">
            <v>Shipment</v>
          </cell>
        </row>
        <row r="15325">
          <cell r="B15325" t="str">
            <v>Shipment</v>
          </cell>
        </row>
        <row r="15326">
          <cell r="B15326" t="str">
            <v>Shipment</v>
          </cell>
        </row>
        <row r="15327">
          <cell r="B15327" t="str">
            <v>Shipment</v>
          </cell>
        </row>
        <row r="15328">
          <cell r="B15328" t="str">
            <v>Shipment</v>
          </cell>
        </row>
        <row r="15329">
          <cell r="B15329" t="str">
            <v>Shipment</v>
          </cell>
        </row>
        <row r="15330">
          <cell r="B15330" t="str">
            <v>Shipment</v>
          </cell>
        </row>
        <row r="15331">
          <cell r="B15331" t="str">
            <v>Shipment</v>
          </cell>
        </row>
        <row r="15332">
          <cell r="B15332" t="str">
            <v>Shipment</v>
          </cell>
        </row>
        <row r="15333">
          <cell r="B15333" t="str">
            <v>Shipment</v>
          </cell>
        </row>
        <row r="15334">
          <cell r="B15334" t="str">
            <v>Shipment</v>
          </cell>
        </row>
        <row r="15335">
          <cell r="B15335" t="str">
            <v>Shipment</v>
          </cell>
        </row>
        <row r="15336">
          <cell r="B15336" t="str">
            <v>Shipment</v>
          </cell>
        </row>
        <row r="15337">
          <cell r="B15337" t="str">
            <v>Shipment</v>
          </cell>
        </row>
        <row r="15338">
          <cell r="B15338" t="str">
            <v>Shipment</v>
          </cell>
        </row>
        <row r="15339">
          <cell r="B15339" t="str">
            <v>Shipment</v>
          </cell>
        </row>
        <row r="15340">
          <cell r="B15340" t="str">
            <v>Shipment</v>
          </cell>
        </row>
        <row r="15341">
          <cell r="B15341" t="str">
            <v>Shipment</v>
          </cell>
        </row>
        <row r="15342">
          <cell r="B15342" t="str">
            <v>Shipment</v>
          </cell>
        </row>
        <row r="15343">
          <cell r="B15343" t="str">
            <v>Shipment</v>
          </cell>
        </row>
        <row r="15344">
          <cell r="B15344" t="str">
            <v>Shipment</v>
          </cell>
        </row>
        <row r="15345">
          <cell r="B15345" t="str">
            <v>Shipment</v>
          </cell>
        </row>
        <row r="15346">
          <cell r="B15346" t="str">
            <v>Shipment</v>
          </cell>
        </row>
        <row r="15347">
          <cell r="B15347" t="str">
            <v>Shipment</v>
          </cell>
        </row>
        <row r="15348">
          <cell r="B15348" t="str">
            <v>Shipment</v>
          </cell>
        </row>
        <row r="15349">
          <cell r="B15349" t="str">
            <v>Shipment</v>
          </cell>
        </row>
        <row r="15350">
          <cell r="B15350" t="str">
            <v>Shipment</v>
          </cell>
        </row>
        <row r="15351">
          <cell r="B15351" t="str">
            <v>Shipment</v>
          </cell>
        </row>
        <row r="15352">
          <cell r="B15352" t="str">
            <v>Shipment</v>
          </cell>
        </row>
        <row r="15353">
          <cell r="B15353" t="str">
            <v>Shipment</v>
          </cell>
        </row>
        <row r="15354">
          <cell r="B15354" t="str">
            <v>Shipment</v>
          </cell>
        </row>
        <row r="15355">
          <cell r="B15355" t="str">
            <v>Shipment</v>
          </cell>
        </row>
        <row r="15356">
          <cell r="B15356" t="str">
            <v>Shipment</v>
          </cell>
        </row>
        <row r="15357">
          <cell r="B15357" t="str">
            <v>Shipment</v>
          </cell>
        </row>
        <row r="15358">
          <cell r="B15358" t="str">
            <v>Shipment</v>
          </cell>
        </row>
        <row r="15359">
          <cell r="B15359" t="str">
            <v>Shipment</v>
          </cell>
        </row>
        <row r="15360">
          <cell r="B15360" t="str">
            <v>Shipment</v>
          </cell>
        </row>
        <row r="15361">
          <cell r="B15361" t="str">
            <v>Shipment</v>
          </cell>
        </row>
        <row r="15362">
          <cell r="B15362" t="str">
            <v>Shipment</v>
          </cell>
        </row>
        <row r="15363">
          <cell r="B15363" t="str">
            <v>Shipment</v>
          </cell>
        </row>
        <row r="15364">
          <cell r="B15364" t="str">
            <v>Shipment</v>
          </cell>
        </row>
        <row r="15365">
          <cell r="B15365" t="str">
            <v>Shipment</v>
          </cell>
        </row>
        <row r="15366">
          <cell r="B15366" t="str">
            <v>Shipment</v>
          </cell>
        </row>
        <row r="15367">
          <cell r="B15367" t="str">
            <v>Shipment</v>
          </cell>
        </row>
        <row r="15368">
          <cell r="B15368" t="str">
            <v>Shipment</v>
          </cell>
        </row>
        <row r="15369">
          <cell r="B15369" t="str">
            <v>Shipment</v>
          </cell>
        </row>
        <row r="15370">
          <cell r="B15370" t="str">
            <v>Shipment</v>
          </cell>
        </row>
        <row r="15371">
          <cell r="B15371" t="str">
            <v>Shipment</v>
          </cell>
        </row>
        <row r="15372">
          <cell r="B15372" t="str">
            <v>Shipment</v>
          </cell>
        </row>
        <row r="15373">
          <cell r="B15373" t="str">
            <v>Shipment</v>
          </cell>
        </row>
        <row r="15374">
          <cell r="B15374" t="str">
            <v>Shipment</v>
          </cell>
        </row>
        <row r="15375">
          <cell r="B15375" t="str">
            <v>Shipment</v>
          </cell>
        </row>
        <row r="15376">
          <cell r="B15376" t="str">
            <v>Shipment</v>
          </cell>
        </row>
        <row r="15377">
          <cell r="B15377" t="str">
            <v>Shipment</v>
          </cell>
        </row>
        <row r="15378">
          <cell r="B15378" t="str">
            <v>Shipment</v>
          </cell>
        </row>
        <row r="15379">
          <cell r="B15379" t="str">
            <v>Shipment</v>
          </cell>
        </row>
        <row r="15380">
          <cell r="B15380" t="str">
            <v>Shipment</v>
          </cell>
        </row>
        <row r="15381">
          <cell r="B15381" t="str">
            <v>Shipment</v>
          </cell>
        </row>
        <row r="15382">
          <cell r="B15382" t="str">
            <v>Shipment</v>
          </cell>
        </row>
        <row r="15383">
          <cell r="B15383" t="str">
            <v>Shipment</v>
          </cell>
        </row>
        <row r="15384">
          <cell r="B15384" t="str">
            <v>Shipment</v>
          </cell>
        </row>
        <row r="15385">
          <cell r="B15385" t="str">
            <v>Shipment</v>
          </cell>
        </row>
        <row r="15386">
          <cell r="B15386" t="str">
            <v>Shipment</v>
          </cell>
        </row>
        <row r="15387">
          <cell r="B15387" t="str">
            <v>Shipment</v>
          </cell>
        </row>
        <row r="15388">
          <cell r="B15388" t="str">
            <v>Shipment</v>
          </cell>
        </row>
        <row r="15389">
          <cell r="B15389" t="str">
            <v>Shipment</v>
          </cell>
        </row>
        <row r="15390">
          <cell r="B15390" t="str">
            <v>Shipment</v>
          </cell>
        </row>
        <row r="15391">
          <cell r="B15391" t="str">
            <v>Shipment</v>
          </cell>
        </row>
        <row r="15392">
          <cell r="B15392" t="str">
            <v>Shipment</v>
          </cell>
        </row>
        <row r="15393">
          <cell r="B15393" t="str">
            <v>Shipment</v>
          </cell>
        </row>
        <row r="15394">
          <cell r="B15394" t="str">
            <v>Shipment</v>
          </cell>
        </row>
        <row r="15395">
          <cell r="B15395" t="str">
            <v>Shipment</v>
          </cell>
        </row>
        <row r="15396">
          <cell r="B15396" t="str">
            <v>Shipment</v>
          </cell>
        </row>
        <row r="15397">
          <cell r="B15397" t="str">
            <v>Shipment</v>
          </cell>
        </row>
        <row r="15398">
          <cell r="B15398" t="str">
            <v>Shipment</v>
          </cell>
        </row>
        <row r="15399">
          <cell r="B15399" t="str">
            <v>Shipment</v>
          </cell>
        </row>
        <row r="15400">
          <cell r="B15400" t="str">
            <v>Shipment</v>
          </cell>
        </row>
        <row r="15401">
          <cell r="B15401" t="str">
            <v>Shipment</v>
          </cell>
        </row>
        <row r="15402">
          <cell r="B15402" t="str">
            <v>Shipment</v>
          </cell>
        </row>
        <row r="15403">
          <cell r="B15403" t="str">
            <v>Shipment</v>
          </cell>
        </row>
        <row r="15404">
          <cell r="B15404" t="str">
            <v>Shipment</v>
          </cell>
        </row>
        <row r="15405">
          <cell r="B15405" t="str">
            <v>Shipment</v>
          </cell>
        </row>
        <row r="15406">
          <cell r="B15406" t="str">
            <v>Shipment</v>
          </cell>
        </row>
        <row r="15407">
          <cell r="B15407" t="str">
            <v>Shipment</v>
          </cell>
        </row>
        <row r="15408">
          <cell r="B15408" t="str">
            <v>Shipment</v>
          </cell>
        </row>
        <row r="15409">
          <cell r="B15409" t="str">
            <v>Shipment</v>
          </cell>
        </row>
        <row r="15410">
          <cell r="B15410" t="str">
            <v>Shipment</v>
          </cell>
        </row>
        <row r="15411">
          <cell r="B15411" t="str">
            <v>Shipment</v>
          </cell>
        </row>
        <row r="15412">
          <cell r="B15412" t="str">
            <v>Shipment</v>
          </cell>
        </row>
        <row r="15413">
          <cell r="B15413" t="str">
            <v>Shipment</v>
          </cell>
        </row>
        <row r="15414">
          <cell r="B15414" t="str">
            <v>Shipment</v>
          </cell>
        </row>
        <row r="15415">
          <cell r="B15415" t="str">
            <v>Shipment</v>
          </cell>
        </row>
        <row r="15416">
          <cell r="B15416" t="str">
            <v>Shipment</v>
          </cell>
        </row>
        <row r="15417">
          <cell r="B15417" t="str">
            <v>Shipment</v>
          </cell>
        </row>
        <row r="15418">
          <cell r="B15418" t="str">
            <v>Shipment</v>
          </cell>
        </row>
        <row r="15419">
          <cell r="B15419" t="str">
            <v>Shipment</v>
          </cell>
        </row>
        <row r="15420">
          <cell r="B15420" t="str">
            <v>Shipment</v>
          </cell>
        </row>
        <row r="15421">
          <cell r="B15421" t="str">
            <v>Shipment</v>
          </cell>
        </row>
        <row r="15422">
          <cell r="B15422" t="str">
            <v>Shipment</v>
          </cell>
        </row>
        <row r="15423">
          <cell r="B15423" t="str">
            <v>Shipment</v>
          </cell>
        </row>
        <row r="15424">
          <cell r="B15424" t="str">
            <v>Shipment</v>
          </cell>
        </row>
        <row r="15425">
          <cell r="B15425" t="str">
            <v>Shipment</v>
          </cell>
        </row>
        <row r="15426">
          <cell r="B15426" t="str">
            <v>Shipment</v>
          </cell>
        </row>
        <row r="15427">
          <cell r="B15427" t="str">
            <v>Shipment</v>
          </cell>
        </row>
        <row r="15428">
          <cell r="B15428" t="str">
            <v>Shipment</v>
          </cell>
        </row>
        <row r="15429">
          <cell r="B15429" t="str">
            <v>Shipment</v>
          </cell>
        </row>
        <row r="15430">
          <cell r="B15430" t="str">
            <v>Shipment</v>
          </cell>
        </row>
        <row r="15431">
          <cell r="B15431" t="str">
            <v>Shipment</v>
          </cell>
        </row>
        <row r="15432">
          <cell r="B15432" t="str">
            <v>Shipment</v>
          </cell>
        </row>
        <row r="15433">
          <cell r="B15433" t="str">
            <v>Shipment</v>
          </cell>
        </row>
        <row r="15434">
          <cell r="B15434" t="str">
            <v>Shipment</v>
          </cell>
        </row>
        <row r="15435">
          <cell r="B15435" t="str">
            <v>Shipment</v>
          </cell>
        </row>
        <row r="15436">
          <cell r="B15436" t="str">
            <v>Shipment</v>
          </cell>
        </row>
        <row r="15437">
          <cell r="B15437" t="str">
            <v>Shipment</v>
          </cell>
        </row>
        <row r="15438">
          <cell r="B15438" t="str">
            <v>Shipment</v>
          </cell>
        </row>
        <row r="15439">
          <cell r="B15439" t="str">
            <v>Shipment</v>
          </cell>
        </row>
        <row r="15440">
          <cell r="B15440" t="str">
            <v>Shipment</v>
          </cell>
        </row>
        <row r="15441">
          <cell r="B15441" t="str">
            <v>Shipment</v>
          </cell>
        </row>
        <row r="15442">
          <cell r="B15442" t="str">
            <v>Shipment</v>
          </cell>
        </row>
        <row r="15443">
          <cell r="B15443" t="str">
            <v>Shipment</v>
          </cell>
        </row>
        <row r="15444">
          <cell r="B15444" t="str">
            <v>Shipment</v>
          </cell>
        </row>
        <row r="15445">
          <cell r="B15445" t="str">
            <v>Shipment</v>
          </cell>
        </row>
        <row r="15446">
          <cell r="B15446" t="str">
            <v>Shipment</v>
          </cell>
        </row>
        <row r="15447">
          <cell r="B15447" t="str">
            <v>Shipment</v>
          </cell>
        </row>
        <row r="15448">
          <cell r="B15448" t="str">
            <v>Shipment</v>
          </cell>
        </row>
        <row r="15449">
          <cell r="B15449" t="str">
            <v>Shipment</v>
          </cell>
        </row>
        <row r="15450">
          <cell r="B15450" t="str">
            <v>Shipment</v>
          </cell>
        </row>
        <row r="15451">
          <cell r="B15451" t="str">
            <v>Shipment</v>
          </cell>
        </row>
        <row r="15452">
          <cell r="B15452" t="str">
            <v>Shipment</v>
          </cell>
        </row>
        <row r="15453">
          <cell r="B15453" t="str">
            <v>Shipment</v>
          </cell>
        </row>
        <row r="15454">
          <cell r="B15454" t="str">
            <v>Shipment</v>
          </cell>
        </row>
        <row r="15455">
          <cell r="B15455" t="str">
            <v>Shipment</v>
          </cell>
        </row>
        <row r="15456">
          <cell r="B15456" t="str">
            <v>Shipment</v>
          </cell>
        </row>
        <row r="15457">
          <cell r="B15457" t="str">
            <v>Shipment</v>
          </cell>
        </row>
        <row r="15458">
          <cell r="B15458" t="str">
            <v>Shipment</v>
          </cell>
        </row>
        <row r="15459">
          <cell r="B15459" t="str">
            <v>Shipment</v>
          </cell>
        </row>
        <row r="15460">
          <cell r="B15460" t="str">
            <v>Shipment</v>
          </cell>
        </row>
        <row r="15461">
          <cell r="B15461" t="str">
            <v>Shipment</v>
          </cell>
        </row>
        <row r="15462">
          <cell r="B15462" t="str">
            <v>Shipment</v>
          </cell>
        </row>
        <row r="15463">
          <cell r="B15463" t="str">
            <v>Shipment</v>
          </cell>
        </row>
        <row r="15464">
          <cell r="B15464" t="str">
            <v>Shipment</v>
          </cell>
        </row>
        <row r="15465">
          <cell r="B15465" t="str">
            <v>Shipment</v>
          </cell>
        </row>
        <row r="15466">
          <cell r="B15466" t="str">
            <v>Shipment</v>
          </cell>
        </row>
        <row r="15467">
          <cell r="B15467" t="str">
            <v>Shipment</v>
          </cell>
        </row>
        <row r="15468">
          <cell r="B15468" t="str">
            <v>Shipment</v>
          </cell>
        </row>
        <row r="15469">
          <cell r="B15469" t="str">
            <v>Shipment</v>
          </cell>
        </row>
        <row r="15470">
          <cell r="B15470" t="str">
            <v>Shipment</v>
          </cell>
        </row>
        <row r="15471">
          <cell r="B15471" t="str">
            <v>Shipment</v>
          </cell>
        </row>
        <row r="15472">
          <cell r="B15472" t="str">
            <v>Shipment</v>
          </cell>
        </row>
        <row r="15473">
          <cell r="B15473" t="str">
            <v>Shipment</v>
          </cell>
        </row>
        <row r="15474">
          <cell r="B15474" t="str">
            <v>Shipment</v>
          </cell>
        </row>
        <row r="15475">
          <cell r="B15475" t="str">
            <v>Shipment</v>
          </cell>
        </row>
        <row r="15476">
          <cell r="B15476" t="str">
            <v>Shipment</v>
          </cell>
        </row>
        <row r="15477">
          <cell r="B15477" t="str">
            <v>Shipment</v>
          </cell>
        </row>
        <row r="15478">
          <cell r="B15478" t="str">
            <v>Shipment</v>
          </cell>
        </row>
        <row r="15479">
          <cell r="B15479" t="str">
            <v>Shipment</v>
          </cell>
        </row>
        <row r="15480">
          <cell r="B15480" t="str">
            <v>Shipment</v>
          </cell>
        </row>
        <row r="15481">
          <cell r="B15481" t="str">
            <v>Shipment</v>
          </cell>
        </row>
        <row r="15482">
          <cell r="B15482" t="str">
            <v>Shipment</v>
          </cell>
        </row>
        <row r="15483">
          <cell r="B15483" t="str">
            <v>Shipment</v>
          </cell>
        </row>
        <row r="15484">
          <cell r="B15484" t="str">
            <v>Shipment</v>
          </cell>
        </row>
        <row r="15485">
          <cell r="B15485" t="str">
            <v>Shipment</v>
          </cell>
        </row>
        <row r="15486">
          <cell r="B15486" t="str">
            <v>Shipment</v>
          </cell>
        </row>
        <row r="15487">
          <cell r="B15487" t="str">
            <v>Shipment</v>
          </cell>
        </row>
        <row r="15488">
          <cell r="B15488" t="str">
            <v>Shipment</v>
          </cell>
        </row>
        <row r="15489">
          <cell r="B15489" t="str">
            <v>Shipment</v>
          </cell>
        </row>
        <row r="15490">
          <cell r="B15490" t="str">
            <v>Shipment</v>
          </cell>
        </row>
        <row r="15491">
          <cell r="B15491" t="str">
            <v>Shipment</v>
          </cell>
        </row>
        <row r="15492">
          <cell r="B15492" t="str">
            <v>Shipment</v>
          </cell>
        </row>
        <row r="15493">
          <cell r="B15493" t="str">
            <v>Shipment</v>
          </cell>
        </row>
        <row r="15494">
          <cell r="B15494" t="str">
            <v>Shipment</v>
          </cell>
        </row>
        <row r="15495">
          <cell r="B15495" t="str">
            <v>Shipment</v>
          </cell>
        </row>
        <row r="15496">
          <cell r="B15496" t="str">
            <v>Shipment</v>
          </cell>
        </row>
        <row r="15497">
          <cell r="B15497" t="str">
            <v>Shipment</v>
          </cell>
        </row>
        <row r="15498">
          <cell r="B15498" t="str">
            <v>Shipment</v>
          </cell>
        </row>
        <row r="15499">
          <cell r="B15499" t="str">
            <v>Shipment</v>
          </cell>
        </row>
        <row r="15500">
          <cell r="B15500" t="str">
            <v>Shipment</v>
          </cell>
        </row>
        <row r="15501">
          <cell r="B15501" t="str">
            <v>Shipment</v>
          </cell>
        </row>
        <row r="15502">
          <cell r="B15502" t="str">
            <v>Shipment</v>
          </cell>
        </row>
        <row r="15503">
          <cell r="B15503" t="str">
            <v>Shipment</v>
          </cell>
        </row>
        <row r="15504">
          <cell r="B15504" t="str">
            <v>Shipment</v>
          </cell>
        </row>
        <row r="15505">
          <cell r="B15505" t="str">
            <v>Shipment</v>
          </cell>
        </row>
        <row r="15506">
          <cell r="B15506" t="str">
            <v>Shipment</v>
          </cell>
        </row>
        <row r="15507">
          <cell r="B15507" t="str">
            <v>Shipment</v>
          </cell>
        </row>
        <row r="15508">
          <cell r="B15508" t="str">
            <v>Shipment</v>
          </cell>
        </row>
        <row r="15509">
          <cell r="B15509" t="str">
            <v>Shipment</v>
          </cell>
        </row>
        <row r="15510">
          <cell r="B15510" t="str">
            <v>Shipment</v>
          </cell>
        </row>
        <row r="15511">
          <cell r="B15511" t="str">
            <v>Shipment</v>
          </cell>
        </row>
        <row r="15512">
          <cell r="B15512" t="str">
            <v>Shipment</v>
          </cell>
        </row>
        <row r="15513">
          <cell r="B15513" t="str">
            <v>Shipment</v>
          </cell>
        </row>
        <row r="15514">
          <cell r="B15514" t="str">
            <v>Shipment</v>
          </cell>
        </row>
        <row r="15515">
          <cell r="B15515" t="str">
            <v>Shipment</v>
          </cell>
        </row>
        <row r="15516">
          <cell r="B15516" t="str">
            <v>Shipment</v>
          </cell>
        </row>
        <row r="15517">
          <cell r="B15517" t="str">
            <v>Shipment</v>
          </cell>
        </row>
        <row r="15518">
          <cell r="B15518" t="str">
            <v>Shipment</v>
          </cell>
        </row>
        <row r="15519">
          <cell r="B15519" t="str">
            <v>Shipment</v>
          </cell>
        </row>
        <row r="15520">
          <cell r="B15520" t="str">
            <v>Shipment</v>
          </cell>
        </row>
        <row r="15521">
          <cell r="B15521" t="str">
            <v>Shipment</v>
          </cell>
        </row>
        <row r="15522">
          <cell r="B15522" t="str">
            <v>Shipment</v>
          </cell>
        </row>
        <row r="15523">
          <cell r="B15523" t="str">
            <v>Shipment</v>
          </cell>
        </row>
        <row r="15524">
          <cell r="B15524" t="str">
            <v>Shipment</v>
          </cell>
        </row>
        <row r="15525">
          <cell r="B15525" t="str">
            <v>Shipment</v>
          </cell>
        </row>
        <row r="15526">
          <cell r="B15526" t="str">
            <v>Shipment</v>
          </cell>
        </row>
        <row r="15527">
          <cell r="B15527" t="str">
            <v>Shipment</v>
          </cell>
        </row>
        <row r="15528">
          <cell r="B15528" t="str">
            <v>Shipment</v>
          </cell>
        </row>
        <row r="15529">
          <cell r="B15529" t="str">
            <v>Shipment</v>
          </cell>
        </row>
        <row r="15530">
          <cell r="B15530" t="str">
            <v>Shipment</v>
          </cell>
        </row>
        <row r="15531">
          <cell r="B15531" t="str">
            <v>Shipment</v>
          </cell>
        </row>
        <row r="15532">
          <cell r="B15532" t="str">
            <v>Shipment</v>
          </cell>
        </row>
        <row r="15533">
          <cell r="B15533" t="str">
            <v>Shipment</v>
          </cell>
        </row>
        <row r="15534">
          <cell r="B15534" t="str">
            <v>Shipment</v>
          </cell>
        </row>
        <row r="15535">
          <cell r="B15535" t="str">
            <v>Shipment</v>
          </cell>
        </row>
        <row r="15536">
          <cell r="B15536" t="str">
            <v>Shipment</v>
          </cell>
        </row>
        <row r="15537">
          <cell r="B15537" t="str">
            <v>Shipment</v>
          </cell>
        </row>
        <row r="15538">
          <cell r="B15538" t="str">
            <v>Shipment</v>
          </cell>
        </row>
        <row r="15539">
          <cell r="B15539" t="str">
            <v>Shipment</v>
          </cell>
        </row>
        <row r="15540">
          <cell r="B15540" t="str">
            <v>Shipment</v>
          </cell>
        </row>
        <row r="15541">
          <cell r="B15541" t="str">
            <v>Shipment</v>
          </cell>
        </row>
        <row r="15542">
          <cell r="B15542" t="str">
            <v>Shipment</v>
          </cell>
        </row>
        <row r="15543">
          <cell r="B15543" t="str">
            <v>Shipment</v>
          </cell>
        </row>
        <row r="15544">
          <cell r="B15544" t="str">
            <v>Shipment</v>
          </cell>
        </row>
        <row r="15545">
          <cell r="B15545" t="str">
            <v>Shipment</v>
          </cell>
        </row>
        <row r="15546">
          <cell r="B15546" t="str">
            <v>Shipment</v>
          </cell>
        </row>
        <row r="15547">
          <cell r="B15547" t="str">
            <v>Shipment</v>
          </cell>
        </row>
        <row r="15548">
          <cell r="B15548" t="str">
            <v>Shipment</v>
          </cell>
        </row>
        <row r="15549">
          <cell r="B15549" t="str">
            <v>Shipment</v>
          </cell>
        </row>
        <row r="15550">
          <cell r="B15550" t="str">
            <v>Shipment</v>
          </cell>
        </row>
        <row r="15551">
          <cell r="B15551" t="str">
            <v>Shipment</v>
          </cell>
        </row>
        <row r="15552">
          <cell r="B15552" t="str">
            <v>Shipment</v>
          </cell>
        </row>
        <row r="15553">
          <cell r="B15553" t="str">
            <v>Shipment</v>
          </cell>
        </row>
        <row r="15554">
          <cell r="B15554" t="str">
            <v>Shipment</v>
          </cell>
        </row>
        <row r="15555">
          <cell r="B15555" t="str">
            <v>Shipment</v>
          </cell>
        </row>
        <row r="15556">
          <cell r="B15556" t="str">
            <v>Shipment</v>
          </cell>
        </row>
        <row r="15557">
          <cell r="B15557" t="str">
            <v>Shipment</v>
          </cell>
        </row>
        <row r="15558">
          <cell r="B15558" t="str">
            <v>Shipment</v>
          </cell>
        </row>
        <row r="15559">
          <cell r="B15559" t="str">
            <v>Shipment</v>
          </cell>
        </row>
        <row r="15560">
          <cell r="B15560" t="str">
            <v>Shipment</v>
          </cell>
        </row>
        <row r="15561">
          <cell r="B15561" t="str">
            <v>Shipment</v>
          </cell>
        </row>
        <row r="15562">
          <cell r="B15562" t="str">
            <v>Shipment</v>
          </cell>
        </row>
        <row r="15563">
          <cell r="B15563" t="str">
            <v>Shipment</v>
          </cell>
        </row>
        <row r="15564">
          <cell r="B15564" t="str">
            <v>Shipment</v>
          </cell>
        </row>
        <row r="15565">
          <cell r="B15565" t="str">
            <v>Shipment</v>
          </cell>
        </row>
        <row r="15566">
          <cell r="B15566" t="str">
            <v>Shipment</v>
          </cell>
        </row>
        <row r="15567">
          <cell r="B15567" t="str">
            <v>Shipment</v>
          </cell>
        </row>
        <row r="15568">
          <cell r="B15568" t="str">
            <v>Shipment</v>
          </cell>
        </row>
        <row r="15569">
          <cell r="B15569" t="str">
            <v>Shipment</v>
          </cell>
        </row>
        <row r="15570">
          <cell r="B15570" t="str">
            <v>Shipment</v>
          </cell>
        </row>
        <row r="15571">
          <cell r="B15571" t="str">
            <v>Shipment</v>
          </cell>
        </row>
        <row r="15572">
          <cell r="B15572" t="str">
            <v>Shipment</v>
          </cell>
        </row>
        <row r="15573">
          <cell r="B15573" t="str">
            <v>Shipment</v>
          </cell>
        </row>
        <row r="15574">
          <cell r="B15574" t="str">
            <v>Shipment</v>
          </cell>
        </row>
        <row r="15575">
          <cell r="B15575" t="str">
            <v>Shipment</v>
          </cell>
        </row>
        <row r="15576">
          <cell r="B15576" t="str">
            <v>Shipment</v>
          </cell>
        </row>
        <row r="15577">
          <cell r="B15577" t="str">
            <v>Shipment</v>
          </cell>
        </row>
        <row r="15578">
          <cell r="B15578" t="str">
            <v>Shipment</v>
          </cell>
        </row>
        <row r="15579">
          <cell r="B15579" t="str">
            <v>Shipment</v>
          </cell>
        </row>
        <row r="15580">
          <cell r="B15580" t="str">
            <v>Shipment</v>
          </cell>
        </row>
        <row r="15581">
          <cell r="B15581" t="str">
            <v>Shipment</v>
          </cell>
        </row>
        <row r="15582">
          <cell r="B15582" t="str">
            <v>Shipment</v>
          </cell>
        </row>
        <row r="15583">
          <cell r="B15583" t="str">
            <v>Shipment</v>
          </cell>
        </row>
        <row r="15584">
          <cell r="B15584" t="str">
            <v>Shipment</v>
          </cell>
        </row>
        <row r="15585">
          <cell r="B15585" t="str">
            <v>Shipment</v>
          </cell>
        </row>
        <row r="15586">
          <cell r="B15586" t="str">
            <v>Shipment</v>
          </cell>
        </row>
        <row r="15587">
          <cell r="B15587" t="str">
            <v>Shipment</v>
          </cell>
        </row>
        <row r="15588">
          <cell r="B15588" t="str">
            <v>Shipment</v>
          </cell>
        </row>
        <row r="15589">
          <cell r="B15589" t="str">
            <v>Shipment</v>
          </cell>
        </row>
        <row r="15590">
          <cell r="B15590" t="str">
            <v>Shipment</v>
          </cell>
        </row>
        <row r="15591">
          <cell r="B15591" t="str">
            <v>Shipment</v>
          </cell>
        </row>
        <row r="15592">
          <cell r="B15592" t="str">
            <v>Shipment</v>
          </cell>
        </row>
        <row r="15593">
          <cell r="B15593" t="str">
            <v>Shipment</v>
          </cell>
        </row>
        <row r="15594">
          <cell r="B15594" t="str">
            <v>Shipment</v>
          </cell>
        </row>
        <row r="15595">
          <cell r="B15595" t="str">
            <v>Shipment</v>
          </cell>
        </row>
        <row r="15596">
          <cell r="B15596" t="str">
            <v>Shipment</v>
          </cell>
        </row>
        <row r="15597">
          <cell r="B15597" t="str">
            <v>Shipment</v>
          </cell>
        </row>
        <row r="15598">
          <cell r="B15598" t="str">
            <v>Shipment</v>
          </cell>
        </row>
        <row r="15599">
          <cell r="B15599" t="str">
            <v>Shipment</v>
          </cell>
        </row>
        <row r="15600">
          <cell r="B15600" t="str">
            <v>Shipment</v>
          </cell>
        </row>
        <row r="15601">
          <cell r="B15601" t="str">
            <v>Shipment</v>
          </cell>
        </row>
        <row r="15602">
          <cell r="B15602" t="str">
            <v>Shipment</v>
          </cell>
        </row>
        <row r="15603">
          <cell r="B15603" t="str">
            <v>Shipment</v>
          </cell>
        </row>
        <row r="15604">
          <cell r="B15604" t="str">
            <v>Shipment</v>
          </cell>
        </row>
        <row r="15605">
          <cell r="B15605" t="str">
            <v>Shipment</v>
          </cell>
        </row>
        <row r="15606">
          <cell r="B15606" t="str">
            <v>Shipment</v>
          </cell>
        </row>
        <row r="15607">
          <cell r="B15607" t="str">
            <v>Shipment</v>
          </cell>
        </row>
        <row r="15608">
          <cell r="B15608" t="str">
            <v>Shipment</v>
          </cell>
        </row>
        <row r="15609">
          <cell r="B15609" t="str">
            <v>Shipment</v>
          </cell>
        </row>
        <row r="15610">
          <cell r="B15610" t="str">
            <v>Shipment</v>
          </cell>
        </row>
        <row r="15611">
          <cell r="B15611" t="str">
            <v>Shipment</v>
          </cell>
        </row>
        <row r="15612">
          <cell r="B15612" t="str">
            <v>Shipment</v>
          </cell>
        </row>
        <row r="15613">
          <cell r="B15613" t="str">
            <v>Shipment</v>
          </cell>
        </row>
        <row r="15614">
          <cell r="B15614" t="str">
            <v>Shipment</v>
          </cell>
        </row>
        <row r="15615">
          <cell r="B15615" t="str">
            <v>Shipment</v>
          </cell>
        </row>
        <row r="15616">
          <cell r="B15616" t="str">
            <v>Shipment</v>
          </cell>
        </row>
        <row r="15617">
          <cell r="B15617" t="str">
            <v>Shipment</v>
          </cell>
        </row>
        <row r="15618">
          <cell r="B15618" t="str">
            <v>Shipment</v>
          </cell>
        </row>
        <row r="15619">
          <cell r="B15619" t="str">
            <v>Shipment</v>
          </cell>
        </row>
        <row r="15620">
          <cell r="B15620" t="str">
            <v>Shipment</v>
          </cell>
        </row>
        <row r="15621">
          <cell r="B15621" t="str">
            <v>Shipment</v>
          </cell>
        </row>
        <row r="15622">
          <cell r="B15622" t="str">
            <v>Shipment</v>
          </cell>
        </row>
        <row r="15623">
          <cell r="B15623" t="str">
            <v>Shipment</v>
          </cell>
        </row>
        <row r="15624">
          <cell r="B15624" t="str">
            <v>Shipment</v>
          </cell>
        </row>
        <row r="15625">
          <cell r="B15625" t="str">
            <v>Shipment</v>
          </cell>
        </row>
        <row r="15626">
          <cell r="B15626" t="str">
            <v>Shipment</v>
          </cell>
        </row>
        <row r="15627">
          <cell r="B15627" t="str">
            <v>Shipment</v>
          </cell>
        </row>
        <row r="15628">
          <cell r="B15628" t="str">
            <v>Shipment</v>
          </cell>
        </row>
        <row r="15629">
          <cell r="B15629" t="str">
            <v>Shipment</v>
          </cell>
        </row>
        <row r="15630">
          <cell r="B15630" t="str">
            <v>Shipment</v>
          </cell>
        </row>
        <row r="15631">
          <cell r="B15631" t="str">
            <v>Shipment</v>
          </cell>
        </row>
        <row r="15632">
          <cell r="B15632" t="str">
            <v>Shipment</v>
          </cell>
        </row>
        <row r="15633">
          <cell r="B15633" t="str">
            <v>Shipment</v>
          </cell>
        </row>
        <row r="15634">
          <cell r="B15634" t="str">
            <v>Shipment</v>
          </cell>
        </row>
        <row r="15635">
          <cell r="B15635" t="str">
            <v>Shipment</v>
          </cell>
        </row>
        <row r="15636">
          <cell r="B15636" t="str">
            <v>Shipment</v>
          </cell>
        </row>
        <row r="15637">
          <cell r="B15637" t="str">
            <v>Shipment</v>
          </cell>
        </row>
        <row r="15638">
          <cell r="B15638" t="str">
            <v>Shipment</v>
          </cell>
        </row>
        <row r="15639">
          <cell r="B15639" t="str">
            <v>Shipment</v>
          </cell>
        </row>
        <row r="15640">
          <cell r="B15640" t="str">
            <v>Shipment</v>
          </cell>
        </row>
        <row r="15641">
          <cell r="B15641" t="str">
            <v>Shipment</v>
          </cell>
        </row>
        <row r="15642">
          <cell r="B15642" t="str">
            <v>Shipment</v>
          </cell>
        </row>
        <row r="15643">
          <cell r="B15643" t="str">
            <v>Shipment</v>
          </cell>
        </row>
        <row r="15644">
          <cell r="B15644" t="str">
            <v>Shipment</v>
          </cell>
        </row>
        <row r="15645">
          <cell r="B15645" t="str">
            <v>Shipment</v>
          </cell>
        </row>
        <row r="15646">
          <cell r="B15646" t="str">
            <v>Shipment</v>
          </cell>
        </row>
        <row r="15647">
          <cell r="B15647" t="str">
            <v>Shipment</v>
          </cell>
        </row>
        <row r="15648">
          <cell r="B15648" t="str">
            <v>Shipment</v>
          </cell>
        </row>
        <row r="15649">
          <cell r="B15649" t="str">
            <v>Shipment</v>
          </cell>
        </row>
        <row r="15650">
          <cell r="B15650" t="str">
            <v>Shipment</v>
          </cell>
        </row>
        <row r="15651">
          <cell r="B15651" t="str">
            <v>Shipment</v>
          </cell>
        </row>
        <row r="15652">
          <cell r="B15652" t="str">
            <v>Shipment</v>
          </cell>
        </row>
        <row r="15653">
          <cell r="B15653" t="str">
            <v>Shipment</v>
          </cell>
        </row>
        <row r="15654">
          <cell r="B15654" t="str">
            <v>Shipment</v>
          </cell>
        </row>
        <row r="15655">
          <cell r="B15655" t="str">
            <v>Shipment</v>
          </cell>
        </row>
        <row r="15656">
          <cell r="B15656" t="str">
            <v>Shipment</v>
          </cell>
        </row>
        <row r="15657">
          <cell r="B15657" t="str">
            <v>Shipment</v>
          </cell>
        </row>
        <row r="15658">
          <cell r="B15658" t="str">
            <v>Shipment</v>
          </cell>
        </row>
        <row r="15659">
          <cell r="B15659" t="str">
            <v>Shipment</v>
          </cell>
        </row>
        <row r="15660">
          <cell r="B15660" t="str">
            <v>Shipment</v>
          </cell>
        </row>
        <row r="15661">
          <cell r="B15661" t="str">
            <v>Shipment</v>
          </cell>
        </row>
        <row r="15662">
          <cell r="B15662" t="str">
            <v>Shipment</v>
          </cell>
        </row>
        <row r="15663">
          <cell r="B15663" t="str">
            <v>Shipment</v>
          </cell>
        </row>
        <row r="15664">
          <cell r="B15664" t="str">
            <v>Shipment</v>
          </cell>
        </row>
        <row r="15665">
          <cell r="B15665" t="str">
            <v>Shipment</v>
          </cell>
        </row>
        <row r="15666">
          <cell r="B15666" t="str">
            <v>Shipment</v>
          </cell>
        </row>
        <row r="15667">
          <cell r="B15667" t="str">
            <v>Shipment</v>
          </cell>
        </row>
        <row r="15668">
          <cell r="B15668" t="str">
            <v>Shipment</v>
          </cell>
        </row>
        <row r="15669">
          <cell r="B15669" t="str">
            <v>Shipment</v>
          </cell>
        </row>
        <row r="15670">
          <cell r="B15670" t="str">
            <v>Shipment</v>
          </cell>
        </row>
        <row r="15671">
          <cell r="B15671" t="str">
            <v>Shipment</v>
          </cell>
        </row>
        <row r="15672">
          <cell r="B15672" t="str">
            <v>Shipment</v>
          </cell>
        </row>
        <row r="15673">
          <cell r="B15673" t="str">
            <v>Shipment</v>
          </cell>
        </row>
        <row r="15674">
          <cell r="B15674" t="str">
            <v>Shipment</v>
          </cell>
        </row>
        <row r="15675">
          <cell r="B15675" t="str">
            <v>Shipment</v>
          </cell>
        </row>
        <row r="15676">
          <cell r="B15676" t="str">
            <v>Shipment</v>
          </cell>
        </row>
        <row r="15677">
          <cell r="B15677" t="str">
            <v>Shipment</v>
          </cell>
        </row>
        <row r="15678">
          <cell r="B15678" t="str">
            <v>Shipment</v>
          </cell>
        </row>
        <row r="15679">
          <cell r="B15679" t="str">
            <v>Shipment</v>
          </cell>
        </row>
        <row r="15680">
          <cell r="B15680" t="str">
            <v>Shipment</v>
          </cell>
        </row>
        <row r="15681">
          <cell r="B15681" t="str">
            <v>Shipment</v>
          </cell>
        </row>
        <row r="15682">
          <cell r="B15682" t="str">
            <v>Shipment</v>
          </cell>
        </row>
        <row r="15683">
          <cell r="B15683" t="str">
            <v>Shipment</v>
          </cell>
        </row>
        <row r="15684">
          <cell r="B15684" t="str">
            <v>Shipment</v>
          </cell>
        </row>
        <row r="15685">
          <cell r="B15685" t="str">
            <v>Shipment</v>
          </cell>
        </row>
        <row r="15686">
          <cell r="B15686" t="str">
            <v>Shipment</v>
          </cell>
        </row>
        <row r="15687">
          <cell r="B15687" t="str">
            <v>Shipment</v>
          </cell>
        </row>
        <row r="15688">
          <cell r="B15688" t="str">
            <v>Shipment</v>
          </cell>
        </row>
        <row r="15689">
          <cell r="B15689" t="str">
            <v>Shipment</v>
          </cell>
        </row>
        <row r="15690">
          <cell r="B15690" t="str">
            <v>Shipment</v>
          </cell>
        </row>
        <row r="15691">
          <cell r="B15691" t="str">
            <v>Shipment</v>
          </cell>
        </row>
        <row r="15692">
          <cell r="B15692" t="str">
            <v>Shipment</v>
          </cell>
        </row>
        <row r="15693">
          <cell r="B15693" t="str">
            <v>Shipment</v>
          </cell>
        </row>
        <row r="15694">
          <cell r="B15694" t="str">
            <v>Shipment</v>
          </cell>
        </row>
        <row r="15695">
          <cell r="B15695" t="str">
            <v>Shipment</v>
          </cell>
        </row>
        <row r="15696">
          <cell r="B15696" t="str">
            <v>Shipment</v>
          </cell>
        </row>
        <row r="15697">
          <cell r="B15697" t="str">
            <v>Shipment</v>
          </cell>
        </row>
        <row r="15698">
          <cell r="B15698" t="str">
            <v>Shipment</v>
          </cell>
        </row>
        <row r="15699">
          <cell r="B15699" t="str">
            <v>Shipment</v>
          </cell>
        </row>
        <row r="15700">
          <cell r="B15700" t="str">
            <v>Shipment</v>
          </cell>
        </row>
        <row r="15701">
          <cell r="B15701" t="str">
            <v>Shipment</v>
          </cell>
        </row>
        <row r="15702">
          <cell r="B15702" t="str">
            <v>Shipment</v>
          </cell>
        </row>
        <row r="15703">
          <cell r="B15703" t="str">
            <v>Shipment</v>
          </cell>
        </row>
        <row r="15704">
          <cell r="B15704" t="str">
            <v>Shipment</v>
          </cell>
        </row>
        <row r="15705">
          <cell r="B15705" t="str">
            <v>Shipment</v>
          </cell>
        </row>
        <row r="15706">
          <cell r="B15706" t="str">
            <v>Shipment</v>
          </cell>
        </row>
        <row r="15707">
          <cell r="B15707" t="str">
            <v>Shipment</v>
          </cell>
        </row>
        <row r="15708">
          <cell r="B15708" t="str">
            <v>Shipment</v>
          </cell>
        </row>
        <row r="15709">
          <cell r="B15709" t="str">
            <v>Shipment</v>
          </cell>
        </row>
        <row r="15710">
          <cell r="B15710" t="str">
            <v>Shipment</v>
          </cell>
        </row>
        <row r="15711">
          <cell r="B15711" t="str">
            <v>Shipment</v>
          </cell>
        </row>
        <row r="15712">
          <cell r="B15712" t="str">
            <v>Shipment</v>
          </cell>
        </row>
        <row r="15713">
          <cell r="B15713" t="str">
            <v>Shipment</v>
          </cell>
        </row>
        <row r="15714">
          <cell r="B15714" t="str">
            <v>Shipment</v>
          </cell>
        </row>
        <row r="15715">
          <cell r="B15715" t="str">
            <v>Shipment</v>
          </cell>
        </row>
        <row r="15716">
          <cell r="B15716" t="str">
            <v>Shipment</v>
          </cell>
        </row>
        <row r="15717">
          <cell r="B15717" t="str">
            <v>Shipment</v>
          </cell>
        </row>
        <row r="15718">
          <cell r="B15718" t="str">
            <v>Shipment</v>
          </cell>
        </row>
        <row r="15719">
          <cell r="B15719" t="str">
            <v>Shipment</v>
          </cell>
        </row>
        <row r="15720">
          <cell r="B15720" t="str">
            <v>Shipment</v>
          </cell>
        </row>
        <row r="15721">
          <cell r="B15721" t="str">
            <v>Shipment</v>
          </cell>
        </row>
        <row r="15722">
          <cell r="B15722" t="str">
            <v>Shipment</v>
          </cell>
        </row>
        <row r="15723">
          <cell r="B15723" t="str">
            <v>Shipment</v>
          </cell>
        </row>
        <row r="15724">
          <cell r="B15724" t="str">
            <v>Shipment</v>
          </cell>
        </row>
        <row r="15725">
          <cell r="B15725" t="str">
            <v>Shipment</v>
          </cell>
        </row>
        <row r="15726">
          <cell r="B15726" t="str">
            <v>Shipment</v>
          </cell>
        </row>
        <row r="15727">
          <cell r="B15727" t="str">
            <v>Shipment</v>
          </cell>
        </row>
        <row r="15728">
          <cell r="B15728" t="str">
            <v>Shipment</v>
          </cell>
        </row>
        <row r="15729">
          <cell r="B15729" t="str">
            <v>Shipment</v>
          </cell>
        </row>
        <row r="15730">
          <cell r="B15730" t="str">
            <v>Shipment</v>
          </cell>
        </row>
        <row r="15731">
          <cell r="B15731" t="str">
            <v>Shipment</v>
          </cell>
        </row>
        <row r="15732">
          <cell r="B15732" t="str">
            <v>Shipment</v>
          </cell>
        </row>
        <row r="15733">
          <cell r="B15733" t="str">
            <v>Shipment</v>
          </cell>
        </row>
        <row r="15734">
          <cell r="B15734" t="str">
            <v>Shipment</v>
          </cell>
        </row>
        <row r="15735">
          <cell r="B15735" t="str">
            <v>Shipment</v>
          </cell>
        </row>
        <row r="15736">
          <cell r="B15736" t="str">
            <v>Shipment</v>
          </cell>
        </row>
        <row r="15737">
          <cell r="B15737" t="str">
            <v>Shipment</v>
          </cell>
        </row>
        <row r="15738">
          <cell r="B15738" t="str">
            <v>Shipment</v>
          </cell>
        </row>
        <row r="15739">
          <cell r="B15739" t="str">
            <v>Shipment</v>
          </cell>
        </row>
        <row r="15740">
          <cell r="B15740" t="str">
            <v>Shipment</v>
          </cell>
        </row>
        <row r="15741">
          <cell r="B15741" t="str">
            <v>Shipment</v>
          </cell>
        </row>
        <row r="15742">
          <cell r="B15742" t="str">
            <v>Shipment</v>
          </cell>
        </row>
        <row r="15743">
          <cell r="B15743" t="str">
            <v>Shipment</v>
          </cell>
        </row>
        <row r="15744">
          <cell r="B15744" t="str">
            <v>Shipment</v>
          </cell>
        </row>
        <row r="15745">
          <cell r="B15745" t="str">
            <v>Shipment</v>
          </cell>
        </row>
        <row r="15746">
          <cell r="B15746" t="str">
            <v>Shipment</v>
          </cell>
        </row>
        <row r="15747">
          <cell r="B15747" t="str">
            <v>Shipment</v>
          </cell>
        </row>
        <row r="15748">
          <cell r="B15748" t="str">
            <v>Shipment</v>
          </cell>
        </row>
        <row r="15749">
          <cell r="B15749" t="str">
            <v>Shipment</v>
          </cell>
        </row>
        <row r="15750">
          <cell r="B15750" t="str">
            <v>Shipment</v>
          </cell>
        </row>
        <row r="15751">
          <cell r="B15751" t="str">
            <v>Shipment</v>
          </cell>
        </row>
        <row r="15752">
          <cell r="B15752" t="str">
            <v>Shipment</v>
          </cell>
        </row>
        <row r="15753">
          <cell r="B15753" t="str">
            <v>Shipment</v>
          </cell>
        </row>
        <row r="15754">
          <cell r="B15754" t="str">
            <v>Shipment</v>
          </cell>
        </row>
        <row r="15755">
          <cell r="B15755" t="str">
            <v>Shipment</v>
          </cell>
        </row>
        <row r="15756">
          <cell r="B15756" t="str">
            <v>Shipment</v>
          </cell>
        </row>
        <row r="15757">
          <cell r="B15757" t="str">
            <v>Shipment</v>
          </cell>
        </row>
        <row r="15758">
          <cell r="B15758" t="str">
            <v>Shipment</v>
          </cell>
        </row>
        <row r="15759">
          <cell r="B15759" t="str">
            <v>Shipment</v>
          </cell>
        </row>
        <row r="15760">
          <cell r="B15760" t="str">
            <v>Shipment</v>
          </cell>
        </row>
        <row r="15761">
          <cell r="B15761" t="str">
            <v>Shipment</v>
          </cell>
        </row>
        <row r="15762">
          <cell r="B15762" t="str">
            <v>Shipment</v>
          </cell>
        </row>
        <row r="15763">
          <cell r="B15763" t="str">
            <v>Shipment</v>
          </cell>
        </row>
        <row r="15764">
          <cell r="B15764" t="str">
            <v>Shipment</v>
          </cell>
        </row>
        <row r="15765">
          <cell r="B15765" t="str">
            <v>Shipment</v>
          </cell>
        </row>
        <row r="15766">
          <cell r="B15766" t="str">
            <v>Shipment</v>
          </cell>
        </row>
        <row r="15767">
          <cell r="B15767" t="str">
            <v>Shipment</v>
          </cell>
        </row>
        <row r="15768">
          <cell r="B15768" t="str">
            <v>Shipment</v>
          </cell>
        </row>
        <row r="15769">
          <cell r="B15769" t="str">
            <v>Shipment</v>
          </cell>
        </row>
        <row r="15770">
          <cell r="B15770" t="str">
            <v>Shipment</v>
          </cell>
        </row>
        <row r="15771">
          <cell r="B15771" t="str">
            <v>Shipment</v>
          </cell>
        </row>
        <row r="15772">
          <cell r="B15772" t="str">
            <v>Shipment</v>
          </cell>
        </row>
        <row r="15773">
          <cell r="B15773" t="str">
            <v>Shipment</v>
          </cell>
        </row>
        <row r="15774">
          <cell r="B15774" t="str">
            <v>Shipment</v>
          </cell>
        </row>
        <row r="15775">
          <cell r="B15775" t="str">
            <v>Shipment</v>
          </cell>
        </row>
        <row r="15776">
          <cell r="B15776" t="str">
            <v>Shipment</v>
          </cell>
        </row>
        <row r="15777">
          <cell r="B15777" t="str">
            <v>Shipment</v>
          </cell>
        </row>
        <row r="15778">
          <cell r="B15778" t="str">
            <v>Shipment</v>
          </cell>
        </row>
        <row r="15779">
          <cell r="B15779" t="str">
            <v>Shipment</v>
          </cell>
        </row>
        <row r="15780">
          <cell r="B15780" t="str">
            <v>Shipment</v>
          </cell>
        </row>
        <row r="15781">
          <cell r="B15781" t="str">
            <v>Shipment</v>
          </cell>
        </row>
        <row r="15782">
          <cell r="B15782" t="str">
            <v>Shipment</v>
          </cell>
        </row>
        <row r="15783">
          <cell r="B15783" t="str">
            <v>Shipment</v>
          </cell>
        </row>
        <row r="15784">
          <cell r="B15784" t="str">
            <v>Shipment</v>
          </cell>
        </row>
        <row r="15785">
          <cell r="B15785" t="str">
            <v>Shipment</v>
          </cell>
        </row>
        <row r="15786">
          <cell r="B15786" t="str">
            <v>Shipment</v>
          </cell>
        </row>
        <row r="15787">
          <cell r="B15787" t="str">
            <v>Shipment</v>
          </cell>
        </row>
        <row r="15788">
          <cell r="B15788" t="str">
            <v>Shipment</v>
          </cell>
        </row>
        <row r="15789">
          <cell r="B15789" t="str">
            <v>Shipment</v>
          </cell>
        </row>
        <row r="15790">
          <cell r="B15790" t="str">
            <v>Shipment</v>
          </cell>
        </row>
        <row r="15791">
          <cell r="B15791" t="str">
            <v>Shipment</v>
          </cell>
        </row>
        <row r="15792">
          <cell r="B15792" t="str">
            <v>Shipment</v>
          </cell>
        </row>
        <row r="15793">
          <cell r="B15793" t="str">
            <v>Shipment</v>
          </cell>
        </row>
        <row r="15794">
          <cell r="B15794" t="str">
            <v>Shipment</v>
          </cell>
        </row>
        <row r="15795">
          <cell r="B15795" t="str">
            <v>Shipment</v>
          </cell>
        </row>
        <row r="15796">
          <cell r="B15796" t="str">
            <v>Shipment</v>
          </cell>
        </row>
        <row r="15797">
          <cell r="B15797" t="str">
            <v>Shipment</v>
          </cell>
        </row>
        <row r="15798">
          <cell r="B15798" t="str">
            <v>Shipment</v>
          </cell>
        </row>
        <row r="15799">
          <cell r="B15799" t="str">
            <v>Shipment</v>
          </cell>
        </row>
        <row r="15800">
          <cell r="B15800" t="str">
            <v>Shipment</v>
          </cell>
        </row>
        <row r="15801">
          <cell r="B15801" t="str">
            <v>Shipment</v>
          </cell>
        </row>
        <row r="15802">
          <cell r="B15802" t="str">
            <v>Shipment</v>
          </cell>
        </row>
        <row r="15803">
          <cell r="B15803" t="str">
            <v>Shipment</v>
          </cell>
        </row>
        <row r="15804">
          <cell r="B15804" t="str">
            <v>Shipment</v>
          </cell>
        </row>
        <row r="15805">
          <cell r="B15805" t="str">
            <v>Shipment</v>
          </cell>
        </row>
        <row r="15806">
          <cell r="B15806" t="str">
            <v>Shipment</v>
          </cell>
        </row>
        <row r="15807">
          <cell r="B15807" t="str">
            <v>Shipment</v>
          </cell>
        </row>
        <row r="15808">
          <cell r="B15808" t="str">
            <v>Shipment</v>
          </cell>
        </row>
        <row r="15809">
          <cell r="B15809" t="str">
            <v>Shipment</v>
          </cell>
        </row>
        <row r="15810">
          <cell r="B15810" t="str">
            <v>Shipment</v>
          </cell>
        </row>
        <row r="15811">
          <cell r="B15811" t="str">
            <v>Shipment</v>
          </cell>
        </row>
        <row r="15812">
          <cell r="B15812" t="str">
            <v>Shipment</v>
          </cell>
        </row>
        <row r="15813">
          <cell r="B15813" t="str">
            <v>Shipment</v>
          </cell>
        </row>
        <row r="15814">
          <cell r="B15814" t="str">
            <v>Shipment</v>
          </cell>
        </row>
        <row r="15815">
          <cell r="B15815" t="str">
            <v>Shipment</v>
          </cell>
        </row>
        <row r="15816">
          <cell r="B15816" t="str">
            <v>Shipment</v>
          </cell>
        </row>
        <row r="15817">
          <cell r="B15817" t="str">
            <v>Shipment</v>
          </cell>
        </row>
        <row r="15818">
          <cell r="B15818" t="str">
            <v>Shipment</v>
          </cell>
        </row>
        <row r="15819">
          <cell r="B15819" t="str">
            <v>Shipment</v>
          </cell>
        </row>
        <row r="15820">
          <cell r="B15820" t="str">
            <v>Shipment</v>
          </cell>
        </row>
        <row r="15821">
          <cell r="B15821" t="str">
            <v>Shipment</v>
          </cell>
        </row>
        <row r="15822">
          <cell r="B15822" t="str">
            <v>Shipment</v>
          </cell>
        </row>
        <row r="15823">
          <cell r="B15823" t="str">
            <v>Shipment</v>
          </cell>
        </row>
        <row r="15824">
          <cell r="B15824" t="str">
            <v>Shipment</v>
          </cell>
        </row>
        <row r="15825">
          <cell r="B15825" t="str">
            <v>Shipment</v>
          </cell>
        </row>
        <row r="15826">
          <cell r="B15826" t="str">
            <v>Shipment</v>
          </cell>
        </row>
        <row r="15827">
          <cell r="B15827" t="str">
            <v>Shipment</v>
          </cell>
        </row>
        <row r="15828">
          <cell r="B15828" t="str">
            <v>Shipment</v>
          </cell>
        </row>
        <row r="15829">
          <cell r="B15829" t="str">
            <v>Shipment</v>
          </cell>
        </row>
        <row r="15830">
          <cell r="B15830" t="str">
            <v>Shipment</v>
          </cell>
        </row>
        <row r="15831">
          <cell r="B15831" t="str">
            <v>Shipment</v>
          </cell>
        </row>
        <row r="15832">
          <cell r="B15832" t="str">
            <v>Shipment</v>
          </cell>
        </row>
        <row r="15833">
          <cell r="B15833" t="str">
            <v>Shipment</v>
          </cell>
        </row>
        <row r="15834">
          <cell r="B15834" t="str">
            <v>Shipment</v>
          </cell>
        </row>
        <row r="15835">
          <cell r="B15835" t="str">
            <v>Shipment</v>
          </cell>
        </row>
        <row r="15836">
          <cell r="B15836" t="str">
            <v>Shipment</v>
          </cell>
        </row>
        <row r="15837">
          <cell r="B15837" t="str">
            <v>Shipment</v>
          </cell>
        </row>
        <row r="15838">
          <cell r="B15838" t="str">
            <v>Shipment</v>
          </cell>
        </row>
        <row r="15839">
          <cell r="B15839" t="str">
            <v>Shipment</v>
          </cell>
        </row>
        <row r="15840">
          <cell r="B15840" t="str">
            <v>Shipment</v>
          </cell>
        </row>
        <row r="15841">
          <cell r="B15841" t="str">
            <v>Shipment</v>
          </cell>
        </row>
        <row r="15842">
          <cell r="B15842" t="str">
            <v>Shipment</v>
          </cell>
        </row>
        <row r="15843">
          <cell r="B15843" t="str">
            <v>Shipment</v>
          </cell>
        </row>
        <row r="15844">
          <cell r="B15844" t="str">
            <v>Shipment</v>
          </cell>
        </row>
        <row r="15845">
          <cell r="B15845" t="str">
            <v>Shipment</v>
          </cell>
        </row>
        <row r="15846">
          <cell r="B15846" t="str">
            <v>Shipment</v>
          </cell>
        </row>
        <row r="15847">
          <cell r="B15847" t="str">
            <v>Shipment</v>
          </cell>
        </row>
        <row r="15848">
          <cell r="B15848" t="str">
            <v>Shipment</v>
          </cell>
        </row>
        <row r="15849">
          <cell r="B15849" t="str">
            <v>Shipment</v>
          </cell>
        </row>
        <row r="15850">
          <cell r="B15850" t="str">
            <v>Shipment</v>
          </cell>
        </row>
        <row r="15851">
          <cell r="B15851" t="str">
            <v>Shipment</v>
          </cell>
        </row>
        <row r="15852">
          <cell r="B15852" t="str">
            <v>Shipment</v>
          </cell>
        </row>
        <row r="15853">
          <cell r="B15853" t="str">
            <v>Shipment</v>
          </cell>
        </row>
        <row r="15854">
          <cell r="B15854" t="str">
            <v>Shipment</v>
          </cell>
        </row>
        <row r="15855">
          <cell r="B15855" t="str">
            <v>Shipment</v>
          </cell>
        </row>
        <row r="15856">
          <cell r="B15856" t="str">
            <v>Shipment</v>
          </cell>
        </row>
        <row r="15857">
          <cell r="B15857" t="str">
            <v>Shipment</v>
          </cell>
        </row>
        <row r="15858">
          <cell r="B15858" t="str">
            <v>Shipment</v>
          </cell>
        </row>
        <row r="15859">
          <cell r="B15859" t="str">
            <v>Shipment</v>
          </cell>
        </row>
        <row r="15860">
          <cell r="B15860" t="str">
            <v>Shipment</v>
          </cell>
        </row>
        <row r="15861">
          <cell r="B15861" t="str">
            <v>Shipment</v>
          </cell>
        </row>
        <row r="15862">
          <cell r="B15862" t="str">
            <v>Shipment</v>
          </cell>
        </row>
        <row r="15863">
          <cell r="B15863" t="str">
            <v>Shipment</v>
          </cell>
        </row>
        <row r="15864">
          <cell r="B15864" t="str">
            <v>Shipment</v>
          </cell>
        </row>
        <row r="15865">
          <cell r="B15865" t="str">
            <v>Shipment</v>
          </cell>
        </row>
        <row r="15866">
          <cell r="B15866" t="str">
            <v>Shipment</v>
          </cell>
        </row>
        <row r="15867">
          <cell r="B15867" t="str">
            <v>Shipment</v>
          </cell>
        </row>
        <row r="15868">
          <cell r="B15868" t="str">
            <v>Shipment</v>
          </cell>
        </row>
        <row r="15869">
          <cell r="B15869" t="str">
            <v>Shipment</v>
          </cell>
        </row>
        <row r="15870">
          <cell r="B15870" t="str">
            <v>Shipment</v>
          </cell>
        </row>
        <row r="15871">
          <cell r="B15871" t="str">
            <v>Shipment</v>
          </cell>
        </row>
        <row r="15872">
          <cell r="B15872" t="str">
            <v>Shipment</v>
          </cell>
        </row>
        <row r="15873">
          <cell r="B15873" t="str">
            <v>Shipment</v>
          </cell>
        </row>
        <row r="15874">
          <cell r="B15874" t="str">
            <v>Shipment</v>
          </cell>
        </row>
        <row r="15875">
          <cell r="B15875" t="str">
            <v>Shipment</v>
          </cell>
        </row>
        <row r="15876">
          <cell r="B15876" t="str">
            <v>Shipment</v>
          </cell>
        </row>
        <row r="15877">
          <cell r="B15877" t="str">
            <v>Shipment</v>
          </cell>
        </row>
        <row r="15878">
          <cell r="B15878" t="str">
            <v>Shipment</v>
          </cell>
        </row>
        <row r="15879">
          <cell r="B15879" t="str">
            <v>Shipment</v>
          </cell>
        </row>
        <row r="15880">
          <cell r="B15880" t="str">
            <v>Shipment</v>
          </cell>
        </row>
        <row r="15881">
          <cell r="B15881" t="str">
            <v>Shipment</v>
          </cell>
        </row>
        <row r="15882">
          <cell r="B15882" t="str">
            <v>Shipment</v>
          </cell>
        </row>
        <row r="15883">
          <cell r="B15883" t="str">
            <v>Shipment</v>
          </cell>
        </row>
        <row r="15884">
          <cell r="B15884" t="str">
            <v>Shipment</v>
          </cell>
        </row>
        <row r="15885">
          <cell r="B15885" t="str">
            <v>Shipment</v>
          </cell>
        </row>
        <row r="15886">
          <cell r="B15886" t="str">
            <v>Shipment</v>
          </cell>
        </row>
        <row r="15887">
          <cell r="B15887" t="str">
            <v>Shipment</v>
          </cell>
        </row>
        <row r="15888">
          <cell r="B15888" t="str">
            <v>Shipment</v>
          </cell>
        </row>
        <row r="15889">
          <cell r="B15889" t="str">
            <v>Shipment</v>
          </cell>
        </row>
        <row r="15890">
          <cell r="B15890" t="str">
            <v>Shipment</v>
          </cell>
        </row>
        <row r="15891">
          <cell r="B15891" t="str">
            <v>Shipment</v>
          </cell>
        </row>
        <row r="15892">
          <cell r="B15892" t="str">
            <v>Shipment</v>
          </cell>
        </row>
        <row r="15893">
          <cell r="B15893" t="str">
            <v>Shipment</v>
          </cell>
        </row>
        <row r="15894">
          <cell r="B15894" t="str">
            <v>Shipment</v>
          </cell>
        </row>
        <row r="15895">
          <cell r="B15895" t="str">
            <v>Shipment</v>
          </cell>
        </row>
        <row r="15896">
          <cell r="B15896" t="str">
            <v>Shipment</v>
          </cell>
        </row>
        <row r="15897">
          <cell r="B15897" t="str">
            <v>Shipment</v>
          </cell>
        </row>
        <row r="15898">
          <cell r="B15898" t="str">
            <v>Shipment</v>
          </cell>
        </row>
        <row r="15899">
          <cell r="B15899" t="str">
            <v>Shipment</v>
          </cell>
        </row>
        <row r="15900">
          <cell r="B15900" t="str">
            <v>Shipment</v>
          </cell>
        </row>
        <row r="15901">
          <cell r="B15901" t="str">
            <v>Shipment</v>
          </cell>
        </row>
        <row r="15902">
          <cell r="B15902" t="str">
            <v>Shipment</v>
          </cell>
        </row>
        <row r="15903">
          <cell r="B15903" t="str">
            <v>Shipment</v>
          </cell>
        </row>
        <row r="15904">
          <cell r="B15904" t="str">
            <v>Shipment</v>
          </cell>
        </row>
        <row r="15905">
          <cell r="B15905" t="str">
            <v>Shipment</v>
          </cell>
        </row>
        <row r="15906">
          <cell r="B15906" t="str">
            <v>Shipment</v>
          </cell>
        </row>
        <row r="15907">
          <cell r="B15907" t="str">
            <v>Shipment</v>
          </cell>
        </row>
        <row r="15908">
          <cell r="B15908" t="str">
            <v>Shipment</v>
          </cell>
        </row>
        <row r="15909">
          <cell r="B15909" t="str">
            <v>Shipment</v>
          </cell>
        </row>
        <row r="15910">
          <cell r="B15910" t="str">
            <v>Shipment</v>
          </cell>
        </row>
        <row r="15911">
          <cell r="B15911" t="str">
            <v>Shipment</v>
          </cell>
        </row>
        <row r="15912">
          <cell r="B15912" t="str">
            <v>Shipment</v>
          </cell>
        </row>
        <row r="15913">
          <cell r="B15913" t="str">
            <v>Shipment</v>
          </cell>
        </row>
        <row r="15914">
          <cell r="B15914" t="str">
            <v>Shipment</v>
          </cell>
        </row>
        <row r="15915">
          <cell r="B15915" t="str">
            <v>Shipment</v>
          </cell>
        </row>
        <row r="15916">
          <cell r="B15916" t="str">
            <v>Shipment</v>
          </cell>
        </row>
        <row r="15917">
          <cell r="B15917" t="str">
            <v>Shipment</v>
          </cell>
        </row>
        <row r="15918">
          <cell r="B15918" t="str">
            <v>Shipment</v>
          </cell>
        </row>
        <row r="15919">
          <cell r="B15919" t="str">
            <v>Shipment</v>
          </cell>
        </row>
        <row r="15920">
          <cell r="B15920" t="str">
            <v>Shipment</v>
          </cell>
        </row>
        <row r="15921">
          <cell r="B15921" t="str">
            <v>Shipment</v>
          </cell>
        </row>
        <row r="15922">
          <cell r="B15922" t="str">
            <v>Shipment</v>
          </cell>
        </row>
        <row r="15923">
          <cell r="B15923" t="str">
            <v>Shipment</v>
          </cell>
        </row>
        <row r="15924">
          <cell r="B15924" t="str">
            <v>Shipment</v>
          </cell>
        </row>
        <row r="15925">
          <cell r="B15925" t="str">
            <v>Shipment</v>
          </cell>
        </row>
        <row r="15926">
          <cell r="B15926" t="str">
            <v>Shipment</v>
          </cell>
        </row>
        <row r="15927">
          <cell r="B15927" t="str">
            <v>Shipment</v>
          </cell>
        </row>
        <row r="15928">
          <cell r="B15928" t="str">
            <v>Shipment</v>
          </cell>
        </row>
        <row r="15929">
          <cell r="B15929" t="str">
            <v>Shipment</v>
          </cell>
        </row>
        <row r="15930">
          <cell r="B15930" t="str">
            <v>Shipment</v>
          </cell>
        </row>
        <row r="15931">
          <cell r="B15931" t="str">
            <v>Shipment</v>
          </cell>
        </row>
        <row r="15932">
          <cell r="B15932" t="str">
            <v>Shipment</v>
          </cell>
        </row>
        <row r="15933">
          <cell r="B15933" t="str">
            <v>Shipment</v>
          </cell>
        </row>
        <row r="15934">
          <cell r="B15934" t="str">
            <v>Shipment</v>
          </cell>
        </row>
        <row r="15935">
          <cell r="B15935" t="str">
            <v>Shipment</v>
          </cell>
        </row>
        <row r="15936">
          <cell r="B15936" t="str">
            <v>Shipment</v>
          </cell>
        </row>
        <row r="15937">
          <cell r="B15937" t="str">
            <v>Shipment</v>
          </cell>
        </row>
        <row r="15938">
          <cell r="B15938" t="str">
            <v>Shipment</v>
          </cell>
        </row>
        <row r="15939">
          <cell r="B15939" t="str">
            <v>Shipment</v>
          </cell>
        </row>
        <row r="15940">
          <cell r="B15940" t="str">
            <v>Shipment</v>
          </cell>
        </row>
        <row r="15941">
          <cell r="B15941" t="str">
            <v>Shipment</v>
          </cell>
        </row>
        <row r="15942">
          <cell r="B15942" t="str">
            <v>Shipment</v>
          </cell>
        </row>
        <row r="15943">
          <cell r="B15943" t="str">
            <v>Shipment</v>
          </cell>
        </row>
        <row r="15944">
          <cell r="B15944" t="str">
            <v>Shipment</v>
          </cell>
        </row>
        <row r="15945">
          <cell r="B15945" t="str">
            <v>Shipment</v>
          </cell>
        </row>
        <row r="15946">
          <cell r="B15946" t="str">
            <v>Shipment</v>
          </cell>
        </row>
        <row r="15947">
          <cell r="B15947" t="str">
            <v>Shipment</v>
          </cell>
        </row>
        <row r="15948">
          <cell r="B15948" t="str">
            <v>Shipment</v>
          </cell>
        </row>
        <row r="15949">
          <cell r="B15949" t="str">
            <v>Shipment</v>
          </cell>
        </row>
        <row r="15950">
          <cell r="B15950" t="str">
            <v>Shipment</v>
          </cell>
        </row>
        <row r="15951">
          <cell r="B15951" t="str">
            <v>Shipment</v>
          </cell>
        </row>
        <row r="15952">
          <cell r="B15952" t="str">
            <v>Shipment</v>
          </cell>
        </row>
        <row r="15953">
          <cell r="B15953" t="str">
            <v>Shipment</v>
          </cell>
        </row>
        <row r="15954">
          <cell r="B15954" t="str">
            <v>Shipment</v>
          </cell>
        </row>
        <row r="15955">
          <cell r="B15955" t="str">
            <v>Shipment</v>
          </cell>
        </row>
        <row r="15956">
          <cell r="B15956" t="str">
            <v>Shipment</v>
          </cell>
        </row>
        <row r="15957">
          <cell r="B15957" t="str">
            <v>Shipment</v>
          </cell>
        </row>
        <row r="15958">
          <cell r="B15958" t="str">
            <v>Shipment</v>
          </cell>
        </row>
        <row r="15959">
          <cell r="B15959" t="str">
            <v>Shipment</v>
          </cell>
        </row>
        <row r="15960">
          <cell r="B15960" t="str">
            <v>Shipment</v>
          </cell>
        </row>
        <row r="15961">
          <cell r="B15961" t="str">
            <v>Shipment</v>
          </cell>
        </row>
        <row r="15962">
          <cell r="B15962" t="str">
            <v>Shipment</v>
          </cell>
        </row>
        <row r="15963">
          <cell r="B15963" t="str">
            <v>Shipment</v>
          </cell>
        </row>
        <row r="15964">
          <cell r="B15964" t="str">
            <v>Shipment</v>
          </cell>
        </row>
        <row r="15965">
          <cell r="B15965" t="str">
            <v>Shipment</v>
          </cell>
        </row>
        <row r="15966">
          <cell r="B15966" t="str">
            <v>Shipment</v>
          </cell>
        </row>
        <row r="15967">
          <cell r="B15967" t="str">
            <v>Shipment</v>
          </cell>
        </row>
        <row r="15968">
          <cell r="B15968" t="str">
            <v>Shipment</v>
          </cell>
        </row>
        <row r="15969">
          <cell r="B15969" t="str">
            <v>Shipment</v>
          </cell>
        </row>
        <row r="15970">
          <cell r="B15970" t="str">
            <v>Shipment</v>
          </cell>
        </row>
        <row r="15971">
          <cell r="B15971" t="str">
            <v>Shipment</v>
          </cell>
        </row>
        <row r="15972">
          <cell r="B15972" t="str">
            <v>Shipment</v>
          </cell>
        </row>
        <row r="15973">
          <cell r="B15973" t="str">
            <v>Shipment</v>
          </cell>
        </row>
        <row r="15974">
          <cell r="B15974" t="str">
            <v>Shipment</v>
          </cell>
        </row>
        <row r="15975">
          <cell r="B15975" t="str">
            <v>Shipment</v>
          </cell>
        </row>
        <row r="15976">
          <cell r="B15976" t="str">
            <v>Shipment</v>
          </cell>
        </row>
        <row r="15977">
          <cell r="B15977" t="str">
            <v>Shipment</v>
          </cell>
        </row>
        <row r="15978">
          <cell r="B15978" t="str">
            <v>Shipment</v>
          </cell>
        </row>
        <row r="15979">
          <cell r="B15979" t="str">
            <v>Shipment</v>
          </cell>
        </row>
        <row r="15980">
          <cell r="B15980" t="str">
            <v>Shipment</v>
          </cell>
        </row>
        <row r="15981">
          <cell r="B15981" t="str">
            <v>Shipment</v>
          </cell>
        </row>
        <row r="15982">
          <cell r="B15982" t="str">
            <v>Shipment</v>
          </cell>
        </row>
        <row r="15983">
          <cell r="B15983" t="str">
            <v>Shipment</v>
          </cell>
        </row>
        <row r="15984">
          <cell r="B15984" t="str">
            <v>Shipment</v>
          </cell>
        </row>
        <row r="15985">
          <cell r="B15985" t="str">
            <v>Shipment</v>
          </cell>
        </row>
        <row r="15986">
          <cell r="B15986" t="str">
            <v>Shipment</v>
          </cell>
        </row>
        <row r="15987">
          <cell r="B15987" t="str">
            <v>Shipment</v>
          </cell>
        </row>
        <row r="15988">
          <cell r="B15988" t="str">
            <v>Shipment</v>
          </cell>
        </row>
        <row r="15989">
          <cell r="B15989" t="str">
            <v>Shipment</v>
          </cell>
        </row>
        <row r="15990">
          <cell r="B15990" t="str">
            <v>Shipment</v>
          </cell>
        </row>
        <row r="15991">
          <cell r="B15991" t="str">
            <v>Shipment</v>
          </cell>
        </row>
        <row r="15992">
          <cell r="B15992" t="str">
            <v>Shipment</v>
          </cell>
        </row>
        <row r="15993">
          <cell r="B15993" t="str">
            <v>Shipment</v>
          </cell>
        </row>
        <row r="15994">
          <cell r="B15994" t="str">
            <v>Shipment</v>
          </cell>
        </row>
        <row r="15995">
          <cell r="B15995" t="str">
            <v>Shipment</v>
          </cell>
        </row>
        <row r="15996">
          <cell r="B15996" t="str">
            <v>Shipment</v>
          </cell>
        </row>
        <row r="15997">
          <cell r="B15997" t="str">
            <v>Shipment</v>
          </cell>
        </row>
        <row r="15998">
          <cell r="B15998" t="str">
            <v>Shipment</v>
          </cell>
        </row>
        <row r="15999">
          <cell r="B15999" t="str">
            <v>Shipment</v>
          </cell>
        </row>
        <row r="16000">
          <cell r="B16000" t="str">
            <v>Shipment</v>
          </cell>
        </row>
        <row r="16001">
          <cell r="B16001" t="str">
            <v>Shipment</v>
          </cell>
        </row>
        <row r="16002">
          <cell r="B16002" t="str">
            <v>Shipment</v>
          </cell>
        </row>
        <row r="16003">
          <cell r="B16003" t="str">
            <v>Shipment</v>
          </cell>
        </row>
        <row r="16004">
          <cell r="B16004" t="str">
            <v>Shipment</v>
          </cell>
        </row>
        <row r="16005">
          <cell r="B16005" t="str">
            <v>Shipment</v>
          </cell>
        </row>
        <row r="16006">
          <cell r="B16006" t="str">
            <v>Shipment</v>
          </cell>
        </row>
        <row r="16007">
          <cell r="B16007" t="str">
            <v>Shipment</v>
          </cell>
        </row>
        <row r="16008">
          <cell r="B16008" t="str">
            <v>Shipment</v>
          </cell>
        </row>
        <row r="16009">
          <cell r="B16009" t="str">
            <v>Shipment</v>
          </cell>
        </row>
        <row r="16010">
          <cell r="B16010" t="str">
            <v>Shipment</v>
          </cell>
        </row>
        <row r="16011">
          <cell r="B16011" t="str">
            <v>Shipment</v>
          </cell>
        </row>
        <row r="16012">
          <cell r="B16012" t="str">
            <v>Shipment</v>
          </cell>
        </row>
        <row r="16013">
          <cell r="B16013" t="str">
            <v>Shipment</v>
          </cell>
        </row>
        <row r="16014">
          <cell r="B16014" t="str">
            <v>Shipment</v>
          </cell>
        </row>
        <row r="16015">
          <cell r="B16015" t="str">
            <v>Shipment</v>
          </cell>
        </row>
        <row r="16016">
          <cell r="B16016" t="str">
            <v>Shipment</v>
          </cell>
        </row>
        <row r="16017">
          <cell r="B16017" t="str">
            <v>Shipment</v>
          </cell>
        </row>
        <row r="16018">
          <cell r="B16018" t="str">
            <v>Shipment</v>
          </cell>
        </row>
        <row r="16019">
          <cell r="B16019" t="str">
            <v>Shipment</v>
          </cell>
        </row>
        <row r="16020">
          <cell r="B16020" t="str">
            <v>Shipment</v>
          </cell>
        </row>
        <row r="16021">
          <cell r="B16021" t="str">
            <v>Shipment</v>
          </cell>
        </row>
        <row r="16022">
          <cell r="B16022" t="str">
            <v>Shipment</v>
          </cell>
        </row>
        <row r="16023">
          <cell r="B16023" t="str">
            <v>Shipment</v>
          </cell>
        </row>
        <row r="16024">
          <cell r="B16024" t="str">
            <v>Shipment</v>
          </cell>
        </row>
        <row r="16025">
          <cell r="B16025" t="str">
            <v>Shipment</v>
          </cell>
        </row>
        <row r="16026">
          <cell r="B16026" t="str">
            <v>Shipment</v>
          </cell>
        </row>
        <row r="16027">
          <cell r="B16027" t="str">
            <v>Shipment</v>
          </cell>
        </row>
        <row r="16028">
          <cell r="B16028" t="str">
            <v>Shipment</v>
          </cell>
        </row>
        <row r="16029">
          <cell r="B16029" t="str">
            <v>Shipment</v>
          </cell>
        </row>
        <row r="16030">
          <cell r="B16030" t="str">
            <v>Shipment</v>
          </cell>
        </row>
        <row r="16031">
          <cell r="B16031" t="str">
            <v>Shipment</v>
          </cell>
        </row>
        <row r="16032">
          <cell r="B16032" t="str">
            <v>Shipment</v>
          </cell>
        </row>
        <row r="16033">
          <cell r="B16033" t="str">
            <v>Shipment</v>
          </cell>
        </row>
        <row r="16034">
          <cell r="B16034" t="str">
            <v>Shipment</v>
          </cell>
        </row>
        <row r="16035">
          <cell r="B16035" t="str">
            <v>Shipment</v>
          </cell>
        </row>
        <row r="16036">
          <cell r="B16036" t="str">
            <v>Shipment</v>
          </cell>
        </row>
        <row r="16037">
          <cell r="B16037" t="str">
            <v>Shipment</v>
          </cell>
        </row>
        <row r="16038">
          <cell r="B16038" t="str">
            <v>Shipment</v>
          </cell>
        </row>
        <row r="16039">
          <cell r="B16039" t="str">
            <v>Shipment</v>
          </cell>
        </row>
        <row r="16040">
          <cell r="B16040" t="str">
            <v>Shipment</v>
          </cell>
        </row>
        <row r="16041">
          <cell r="B16041" t="str">
            <v>Shipment</v>
          </cell>
        </row>
        <row r="16042">
          <cell r="B16042" t="str">
            <v>Shipment</v>
          </cell>
        </row>
        <row r="16043">
          <cell r="B16043" t="str">
            <v>Shipment</v>
          </cell>
        </row>
        <row r="16044">
          <cell r="B16044" t="str">
            <v>Shipment</v>
          </cell>
        </row>
        <row r="16045">
          <cell r="B16045" t="str">
            <v>Shipment</v>
          </cell>
        </row>
        <row r="16046">
          <cell r="B16046" t="str">
            <v>Shipment</v>
          </cell>
        </row>
        <row r="16047">
          <cell r="B16047" t="str">
            <v>Shipment</v>
          </cell>
        </row>
        <row r="16048">
          <cell r="B16048" t="str">
            <v>Shipment</v>
          </cell>
        </row>
        <row r="16049">
          <cell r="B16049" t="str">
            <v>Shipment</v>
          </cell>
        </row>
        <row r="16050">
          <cell r="B16050" t="str">
            <v>Shipment</v>
          </cell>
        </row>
        <row r="16051">
          <cell r="B16051" t="str">
            <v>Shipment</v>
          </cell>
        </row>
        <row r="16052">
          <cell r="B16052" t="str">
            <v>Shipment</v>
          </cell>
        </row>
        <row r="16053">
          <cell r="B16053" t="str">
            <v>Shipment</v>
          </cell>
        </row>
        <row r="16054">
          <cell r="B16054" t="str">
            <v>Shipment</v>
          </cell>
        </row>
        <row r="16055">
          <cell r="B16055" t="str">
            <v>Shipment</v>
          </cell>
        </row>
        <row r="16056">
          <cell r="B16056" t="str">
            <v>Shipment</v>
          </cell>
        </row>
        <row r="16057">
          <cell r="B16057" t="str">
            <v>Shipment</v>
          </cell>
        </row>
        <row r="16058">
          <cell r="B16058" t="str">
            <v>Shipment</v>
          </cell>
        </row>
        <row r="16059">
          <cell r="B16059" t="str">
            <v>Shipment</v>
          </cell>
        </row>
        <row r="16060">
          <cell r="B16060" t="str">
            <v>Shipment</v>
          </cell>
        </row>
        <row r="16061">
          <cell r="B16061" t="str">
            <v>Shipment</v>
          </cell>
        </row>
        <row r="16062">
          <cell r="B16062" t="str">
            <v>Shipment</v>
          </cell>
        </row>
        <row r="16063">
          <cell r="B16063" t="str">
            <v>Shipment</v>
          </cell>
        </row>
        <row r="16064">
          <cell r="B16064" t="str">
            <v>Shipment</v>
          </cell>
        </row>
        <row r="16065">
          <cell r="B16065" t="str">
            <v>Shipment</v>
          </cell>
        </row>
        <row r="16066">
          <cell r="B16066" t="str">
            <v>Shipment</v>
          </cell>
        </row>
        <row r="16067">
          <cell r="B16067" t="str">
            <v>Shipment</v>
          </cell>
        </row>
        <row r="16068">
          <cell r="B16068" t="str">
            <v>Shipment</v>
          </cell>
        </row>
        <row r="16069">
          <cell r="B16069" t="str">
            <v>Shipment</v>
          </cell>
        </row>
        <row r="16070">
          <cell r="B16070" t="str">
            <v>Shipment</v>
          </cell>
        </row>
        <row r="16071">
          <cell r="B16071" t="str">
            <v>Shipment</v>
          </cell>
        </row>
        <row r="16072">
          <cell r="B16072" t="str">
            <v>Shipment</v>
          </cell>
        </row>
        <row r="16073">
          <cell r="B16073" t="str">
            <v>Shipment</v>
          </cell>
        </row>
        <row r="16074">
          <cell r="B16074" t="str">
            <v>Shipment</v>
          </cell>
        </row>
        <row r="16075">
          <cell r="B16075" t="str">
            <v>Shipment</v>
          </cell>
        </row>
        <row r="16076">
          <cell r="B16076" t="str">
            <v>Shipment</v>
          </cell>
        </row>
        <row r="16077">
          <cell r="B16077" t="str">
            <v>Shipment</v>
          </cell>
        </row>
        <row r="16078">
          <cell r="B16078" t="str">
            <v>Shipment</v>
          </cell>
        </row>
        <row r="16079">
          <cell r="B16079" t="str">
            <v>Shipment</v>
          </cell>
        </row>
        <row r="16080">
          <cell r="B16080" t="str">
            <v>Shipment</v>
          </cell>
        </row>
        <row r="16081">
          <cell r="B16081" t="str">
            <v>Shipment</v>
          </cell>
        </row>
        <row r="16082">
          <cell r="B16082" t="str">
            <v>Shipment</v>
          </cell>
        </row>
        <row r="16083">
          <cell r="B16083" t="str">
            <v>Shipment</v>
          </cell>
        </row>
        <row r="16084">
          <cell r="B16084" t="str">
            <v>Shipment</v>
          </cell>
        </row>
        <row r="16085">
          <cell r="B16085" t="str">
            <v>Shipment</v>
          </cell>
        </row>
        <row r="16086">
          <cell r="B16086" t="str">
            <v>Shipment</v>
          </cell>
        </row>
        <row r="16087">
          <cell r="B16087" t="str">
            <v>Shipment</v>
          </cell>
        </row>
        <row r="16088">
          <cell r="B16088" t="str">
            <v>Shipment</v>
          </cell>
        </row>
        <row r="16089">
          <cell r="B16089" t="str">
            <v>Shipment</v>
          </cell>
        </row>
        <row r="16090">
          <cell r="B16090" t="str">
            <v>Shipment</v>
          </cell>
        </row>
        <row r="16091">
          <cell r="B16091" t="str">
            <v>Shipment</v>
          </cell>
        </row>
        <row r="16092">
          <cell r="B16092" t="str">
            <v>Shipment</v>
          </cell>
        </row>
        <row r="16093">
          <cell r="B16093" t="str">
            <v>Shipment</v>
          </cell>
        </row>
        <row r="16094">
          <cell r="B16094" t="str">
            <v>Shipment</v>
          </cell>
        </row>
        <row r="16095">
          <cell r="B16095" t="str">
            <v>Shipment</v>
          </cell>
        </row>
        <row r="16096">
          <cell r="B16096" t="str">
            <v>Shipment</v>
          </cell>
        </row>
        <row r="16097">
          <cell r="B16097" t="str">
            <v>Shipment</v>
          </cell>
        </row>
        <row r="16098">
          <cell r="B16098" t="str">
            <v>Shipment</v>
          </cell>
        </row>
        <row r="16099">
          <cell r="B16099" t="str">
            <v>Shipment</v>
          </cell>
        </row>
        <row r="16100">
          <cell r="B16100" t="str">
            <v>Shipment</v>
          </cell>
        </row>
        <row r="16101">
          <cell r="B16101" t="str">
            <v>Shipment</v>
          </cell>
        </row>
        <row r="16102">
          <cell r="B16102" t="str">
            <v>Shipment</v>
          </cell>
        </row>
        <row r="16103">
          <cell r="B16103" t="str">
            <v>Shipment</v>
          </cell>
        </row>
        <row r="16104">
          <cell r="B16104" t="str">
            <v>Shipment</v>
          </cell>
        </row>
        <row r="16105">
          <cell r="B16105" t="str">
            <v>Shipment</v>
          </cell>
        </row>
        <row r="16106">
          <cell r="B16106" t="str">
            <v>Shipment</v>
          </cell>
        </row>
        <row r="16107">
          <cell r="B16107" t="str">
            <v>Shipment</v>
          </cell>
        </row>
        <row r="16108">
          <cell r="B16108" t="str">
            <v>Shipment</v>
          </cell>
        </row>
        <row r="16109">
          <cell r="B16109" t="str">
            <v>Shipment</v>
          </cell>
        </row>
        <row r="16110">
          <cell r="B16110" t="str">
            <v>Shipment</v>
          </cell>
        </row>
        <row r="16111">
          <cell r="B16111" t="str">
            <v>Shipment</v>
          </cell>
        </row>
        <row r="16112">
          <cell r="B16112" t="str">
            <v>Shipment</v>
          </cell>
        </row>
        <row r="16113">
          <cell r="B16113" t="str">
            <v>Shipment</v>
          </cell>
        </row>
        <row r="16114">
          <cell r="B16114" t="str">
            <v>Shipment</v>
          </cell>
        </row>
        <row r="16115">
          <cell r="B16115" t="str">
            <v>Shipment</v>
          </cell>
        </row>
        <row r="16116">
          <cell r="B16116" t="str">
            <v>Shipment</v>
          </cell>
        </row>
        <row r="16117">
          <cell r="B16117" t="str">
            <v>Shipment</v>
          </cell>
        </row>
        <row r="16118">
          <cell r="B16118" t="str">
            <v>Shipment</v>
          </cell>
        </row>
        <row r="16119">
          <cell r="B16119" t="str">
            <v>Shipment</v>
          </cell>
        </row>
        <row r="16120">
          <cell r="B16120" t="str">
            <v>Shipment</v>
          </cell>
        </row>
        <row r="16121">
          <cell r="B16121" t="str">
            <v>Shipment</v>
          </cell>
        </row>
        <row r="16122">
          <cell r="B16122" t="str">
            <v>Shipment</v>
          </cell>
        </row>
        <row r="16123">
          <cell r="B16123" t="str">
            <v>Shipment</v>
          </cell>
        </row>
        <row r="16124">
          <cell r="B16124" t="str">
            <v>Shipment</v>
          </cell>
        </row>
        <row r="16125">
          <cell r="B16125" t="str">
            <v>Shipment</v>
          </cell>
        </row>
        <row r="16126">
          <cell r="B16126" t="str">
            <v>Shipment</v>
          </cell>
        </row>
        <row r="16127">
          <cell r="B16127" t="str">
            <v>Shipment</v>
          </cell>
        </row>
        <row r="16128">
          <cell r="B16128" t="str">
            <v>Shipment</v>
          </cell>
        </row>
        <row r="16129">
          <cell r="B16129" t="str">
            <v>Shipment</v>
          </cell>
        </row>
        <row r="16130">
          <cell r="B16130" t="str">
            <v>Shipment</v>
          </cell>
        </row>
        <row r="16131">
          <cell r="B16131" t="str">
            <v>Shipment</v>
          </cell>
        </row>
        <row r="16132">
          <cell r="B16132" t="str">
            <v>Shipment</v>
          </cell>
        </row>
        <row r="16133">
          <cell r="B16133" t="str">
            <v>Shipment</v>
          </cell>
        </row>
        <row r="16134">
          <cell r="B16134" t="str">
            <v>Shipment</v>
          </cell>
        </row>
        <row r="16135">
          <cell r="B16135" t="str">
            <v>Shipment</v>
          </cell>
        </row>
        <row r="16136">
          <cell r="B16136" t="str">
            <v>Shipment</v>
          </cell>
        </row>
        <row r="16137">
          <cell r="B16137" t="str">
            <v>Shipment</v>
          </cell>
        </row>
        <row r="16138">
          <cell r="B16138" t="str">
            <v>Shipment</v>
          </cell>
        </row>
        <row r="16139">
          <cell r="B16139" t="str">
            <v>Shipment</v>
          </cell>
        </row>
        <row r="16140">
          <cell r="B16140" t="str">
            <v>Shipment</v>
          </cell>
        </row>
        <row r="16141">
          <cell r="B16141" t="str">
            <v>Shipment</v>
          </cell>
        </row>
        <row r="16142">
          <cell r="B16142" t="str">
            <v>Shipment</v>
          </cell>
        </row>
        <row r="16143">
          <cell r="B16143" t="str">
            <v>Shipment</v>
          </cell>
        </row>
        <row r="16144">
          <cell r="B16144" t="str">
            <v>Shipment</v>
          </cell>
        </row>
        <row r="16145">
          <cell r="B16145" t="str">
            <v>Shipment</v>
          </cell>
        </row>
        <row r="16146">
          <cell r="B16146" t="str">
            <v>Shipment</v>
          </cell>
        </row>
        <row r="16147">
          <cell r="B16147" t="str">
            <v>Shipment</v>
          </cell>
        </row>
        <row r="16148">
          <cell r="B16148" t="str">
            <v>Shipment</v>
          </cell>
        </row>
        <row r="16149">
          <cell r="B16149" t="str">
            <v>Shipment</v>
          </cell>
        </row>
        <row r="16150">
          <cell r="B16150" t="str">
            <v>Shipment</v>
          </cell>
        </row>
        <row r="16151">
          <cell r="B16151" t="str">
            <v>Shipment</v>
          </cell>
        </row>
        <row r="16152">
          <cell r="B16152" t="str">
            <v>Shipment</v>
          </cell>
        </row>
        <row r="16153">
          <cell r="B16153" t="str">
            <v>Shipment</v>
          </cell>
        </row>
        <row r="16154">
          <cell r="B16154" t="str">
            <v>Shipment</v>
          </cell>
        </row>
        <row r="16155">
          <cell r="B16155" t="str">
            <v>Shipment</v>
          </cell>
        </row>
        <row r="16156">
          <cell r="B16156" t="str">
            <v>Shipment</v>
          </cell>
        </row>
        <row r="16157">
          <cell r="B16157" t="str">
            <v>Shipment</v>
          </cell>
        </row>
        <row r="16158">
          <cell r="B16158" t="str">
            <v>Shipment</v>
          </cell>
        </row>
        <row r="16159">
          <cell r="B16159" t="str">
            <v>Shipment</v>
          </cell>
        </row>
        <row r="16160">
          <cell r="B16160" t="str">
            <v>Shipment</v>
          </cell>
        </row>
        <row r="16161">
          <cell r="B16161" t="str">
            <v>Shipment</v>
          </cell>
        </row>
        <row r="16162">
          <cell r="B16162" t="str">
            <v>Shipment</v>
          </cell>
        </row>
        <row r="16163">
          <cell r="B16163" t="str">
            <v>Shipment</v>
          </cell>
        </row>
        <row r="16164">
          <cell r="B16164" t="str">
            <v>Shipment</v>
          </cell>
        </row>
        <row r="16165">
          <cell r="B16165" t="str">
            <v>Shipment</v>
          </cell>
        </row>
        <row r="16166">
          <cell r="B16166" t="str">
            <v>Shipment</v>
          </cell>
        </row>
        <row r="16167">
          <cell r="B16167" t="str">
            <v>Shipment</v>
          </cell>
        </row>
        <row r="16168">
          <cell r="B16168" t="str">
            <v>Shipment</v>
          </cell>
        </row>
        <row r="16169">
          <cell r="B16169" t="str">
            <v>Shipment</v>
          </cell>
        </row>
        <row r="16170">
          <cell r="B16170" t="str">
            <v>Shipment</v>
          </cell>
        </row>
        <row r="16171">
          <cell r="B16171" t="str">
            <v>Shipment</v>
          </cell>
        </row>
        <row r="16172">
          <cell r="B16172" t="str">
            <v>Shipment</v>
          </cell>
        </row>
        <row r="16173">
          <cell r="B16173" t="str">
            <v>Shipment</v>
          </cell>
        </row>
        <row r="16174">
          <cell r="B16174" t="str">
            <v>Shipment</v>
          </cell>
        </row>
        <row r="16175">
          <cell r="B16175" t="str">
            <v>Shipment</v>
          </cell>
        </row>
        <row r="16176">
          <cell r="B16176" t="str">
            <v>Shipment</v>
          </cell>
        </row>
        <row r="16177">
          <cell r="B16177" t="str">
            <v>Shipment</v>
          </cell>
        </row>
        <row r="16178">
          <cell r="B16178" t="str">
            <v>Shipment</v>
          </cell>
        </row>
        <row r="16179">
          <cell r="B16179" t="str">
            <v>Shipment</v>
          </cell>
        </row>
        <row r="16180">
          <cell r="B16180" t="str">
            <v>Shipment</v>
          </cell>
        </row>
        <row r="16181">
          <cell r="B16181" t="str">
            <v>Shipment</v>
          </cell>
        </row>
        <row r="16182">
          <cell r="B16182" t="str">
            <v>Shipment</v>
          </cell>
        </row>
        <row r="16183">
          <cell r="B16183" t="str">
            <v>Shipment</v>
          </cell>
        </row>
        <row r="16184">
          <cell r="B16184" t="str">
            <v>Shipment</v>
          </cell>
        </row>
        <row r="16185">
          <cell r="B16185" t="str">
            <v>Shipment</v>
          </cell>
        </row>
        <row r="16186">
          <cell r="B16186" t="str">
            <v>Shipment</v>
          </cell>
        </row>
        <row r="16187">
          <cell r="B16187" t="str">
            <v>Shipment</v>
          </cell>
        </row>
        <row r="16188">
          <cell r="B16188" t="str">
            <v>Shipment</v>
          </cell>
        </row>
        <row r="16189">
          <cell r="B16189" t="str">
            <v>Shipment</v>
          </cell>
        </row>
        <row r="16190">
          <cell r="B16190" t="str">
            <v>Shipment</v>
          </cell>
        </row>
        <row r="16191">
          <cell r="B16191" t="str">
            <v>Shipment</v>
          </cell>
        </row>
        <row r="16192">
          <cell r="B16192" t="str">
            <v>Shipment</v>
          </cell>
        </row>
        <row r="16193">
          <cell r="B16193" t="str">
            <v>Shipment</v>
          </cell>
        </row>
        <row r="16194">
          <cell r="B16194" t="str">
            <v>Shipment</v>
          </cell>
        </row>
        <row r="16195">
          <cell r="B16195" t="str">
            <v>Shipment</v>
          </cell>
        </row>
        <row r="16196">
          <cell r="B16196" t="str">
            <v>Shipment</v>
          </cell>
        </row>
        <row r="16197">
          <cell r="B16197" t="str">
            <v>Shipment</v>
          </cell>
        </row>
        <row r="16198">
          <cell r="B16198" t="str">
            <v>Shipment</v>
          </cell>
        </row>
        <row r="16199">
          <cell r="B16199" t="str">
            <v>Shipment</v>
          </cell>
        </row>
        <row r="16200">
          <cell r="B16200" t="str">
            <v>Shipment</v>
          </cell>
        </row>
        <row r="16201">
          <cell r="B16201" t="str">
            <v>Shipment</v>
          </cell>
        </row>
        <row r="16202">
          <cell r="B16202" t="str">
            <v>Shipment</v>
          </cell>
        </row>
        <row r="16203">
          <cell r="B16203" t="str">
            <v>Shipment</v>
          </cell>
        </row>
        <row r="16204">
          <cell r="B16204" t="str">
            <v>Shipment</v>
          </cell>
        </row>
        <row r="16205">
          <cell r="B16205" t="str">
            <v>Shipment</v>
          </cell>
        </row>
        <row r="16206">
          <cell r="B16206" t="str">
            <v>Shipment</v>
          </cell>
        </row>
        <row r="16207">
          <cell r="B16207" t="str">
            <v>Shipment</v>
          </cell>
        </row>
        <row r="16208">
          <cell r="B16208" t="str">
            <v>Shipment</v>
          </cell>
        </row>
        <row r="16209">
          <cell r="B16209" t="str">
            <v>Shipment</v>
          </cell>
        </row>
        <row r="16210">
          <cell r="B16210" t="str">
            <v>Shipment</v>
          </cell>
        </row>
        <row r="16211">
          <cell r="B16211" t="str">
            <v>Shipment</v>
          </cell>
        </row>
        <row r="16212">
          <cell r="B16212" t="str">
            <v>Shipment</v>
          </cell>
        </row>
        <row r="16213">
          <cell r="B16213" t="str">
            <v>Shipment</v>
          </cell>
        </row>
        <row r="16214">
          <cell r="B16214" t="str">
            <v>Shipment</v>
          </cell>
        </row>
        <row r="16215">
          <cell r="B16215" t="str">
            <v>Shipment</v>
          </cell>
        </row>
        <row r="16216">
          <cell r="B16216" t="str">
            <v>Shipment</v>
          </cell>
        </row>
        <row r="16217">
          <cell r="B16217" t="str">
            <v>Shipment</v>
          </cell>
        </row>
        <row r="16218">
          <cell r="B16218" t="str">
            <v>Shipment</v>
          </cell>
        </row>
        <row r="16219">
          <cell r="B16219" t="str">
            <v>Shipment</v>
          </cell>
        </row>
        <row r="16220">
          <cell r="B16220" t="str">
            <v>Shipment</v>
          </cell>
        </row>
        <row r="16221">
          <cell r="B16221" t="str">
            <v>Shipment</v>
          </cell>
        </row>
        <row r="16222">
          <cell r="B16222" t="str">
            <v>Shipment</v>
          </cell>
        </row>
        <row r="16223">
          <cell r="B16223" t="str">
            <v>Shipment</v>
          </cell>
        </row>
        <row r="16224">
          <cell r="B16224" t="str">
            <v>Shipment</v>
          </cell>
        </row>
        <row r="16225">
          <cell r="B16225" t="str">
            <v>Shipment</v>
          </cell>
        </row>
        <row r="16226">
          <cell r="B16226" t="str">
            <v>Shipment</v>
          </cell>
        </row>
        <row r="16227">
          <cell r="B16227" t="str">
            <v>Shipment</v>
          </cell>
        </row>
        <row r="16228">
          <cell r="B16228" t="str">
            <v>Shipment</v>
          </cell>
        </row>
        <row r="16229">
          <cell r="B16229" t="str">
            <v>Shipment</v>
          </cell>
        </row>
        <row r="16230">
          <cell r="B16230" t="str">
            <v>Shipment</v>
          </cell>
        </row>
        <row r="16231">
          <cell r="B16231" t="str">
            <v>Shipment</v>
          </cell>
        </row>
        <row r="16232">
          <cell r="B16232" t="str">
            <v>Shipment</v>
          </cell>
        </row>
        <row r="16233">
          <cell r="B16233" t="str">
            <v>Shipment</v>
          </cell>
        </row>
        <row r="16234">
          <cell r="B16234" t="str">
            <v>Shipment</v>
          </cell>
        </row>
        <row r="16235">
          <cell r="B16235" t="str">
            <v>Shipment</v>
          </cell>
        </row>
        <row r="16236">
          <cell r="B16236" t="str">
            <v>Shipment</v>
          </cell>
        </row>
        <row r="16237">
          <cell r="B16237" t="str">
            <v>Shipment</v>
          </cell>
        </row>
        <row r="16238">
          <cell r="B16238" t="str">
            <v>Shipment</v>
          </cell>
        </row>
        <row r="16239">
          <cell r="B16239" t="str">
            <v>Shipment</v>
          </cell>
        </row>
        <row r="16240">
          <cell r="B16240" t="str">
            <v>Shipment</v>
          </cell>
        </row>
        <row r="16241">
          <cell r="B16241" t="str">
            <v>Shipment</v>
          </cell>
        </row>
        <row r="16242">
          <cell r="B16242" t="str">
            <v>Shipment</v>
          </cell>
        </row>
        <row r="16243">
          <cell r="B16243" t="str">
            <v>Shipment</v>
          </cell>
        </row>
        <row r="16244">
          <cell r="B16244" t="str">
            <v>Shipment</v>
          </cell>
        </row>
        <row r="16245">
          <cell r="B16245" t="str">
            <v>Shipment</v>
          </cell>
        </row>
        <row r="16246">
          <cell r="B16246" t="str">
            <v>Shipment</v>
          </cell>
        </row>
        <row r="16247">
          <cell r="B16247" t="str">
            <v>Shipment</v>
          </cell>
        </row>
        <row r="16248">
          <cell r="B16248" t="str">
            <v>Shipment</v>
          </cell>
        </row>
        <row r="16249">
          <cell r="B16249" t="str">
            <v>Shipment</v>
          </cell>
        </row>
        <row r="16250">
          <cell r="B16250" t="str">
            <v>Shipment</v>
          </cell>
        </row>
        <row r="16251">
          <cell r="B16251" t="str">
            <v>Shipment</v>
          </cell>
        </row>
        <row r="16252">
          <cell r="B16252" t="str">
            <v>Shipment</v>
          </cell>
        </row>
        <row r="16253">
          <cell r="B16253" t="str">
            <v>Shipment</v>
          </cell>
        </row>
        <row r="16254">
          <cell r="B16254" t="str">
            <v>Shipment</v>
          </cell>
        </row>
        <row r="16255">
          <cell r="B16255" t="str">
            <v>Shipment</v>
          </cell>
        </row>
        <row r="16256">
          <cell r="B16256" t="str">
            <v>Shipment</v>
          </cell>
        </row>
        <row r="16257">
          <cell r="B16257" t="str">
            <v>Shipment</v>
          </cell>
        </row>
        <row r="16258">
          <cell r="B16258" t="str">
            <v>Shipment</v>
          </cell>
        </row>
        <row r="16259">
          <cell r="B16259" t="str">
            <v>Shipment</v>
          </cell>
        </row>
        <row r="16260">
          <cell r="B16260" t="str">
            <v>Shipment</v>
          </cell>
        </row>
        <row r="16261">
          <cell r="B16261" t="str">
            <v>Shipment</v>
          </cell>
        </row>
        <row r="16262">
          <cell r="B16262" t="str">
            <v>Shipment</v>
          </cell>
        </row>
        <row r="16263">
          <cell r="B16263" t="str">
            <v>Shipment</v>
          </cell>
        </row>
        <row r="16264">
          <cell r="B16264" t="str">
            <v>Shipment</v>
          </cell>
        </row>
        <row r="16265">
          <cell r="B16265" t="str">
            <v>Shipment</v>
          </cell>
        </row>
        <row r="16266">
          <cell r="B16266" t="str">
            <v>Shipment</v>
          </cell>
        </row>
        <row r="16267">
          <cell r="B16267" t="str">
            <v>Shipment</v>
          </cell>
        </row>
        <row r="16268">
          <cell r="B16268" t="str">
            <v>Shipment</v>
          </cell>
        </row>
        <row r="16269">
          <cell r="B16269" t="str">
            <v>Shipment</v>
          </cell>
        </row>
        <row r="16270">
          <cell r="B16270" t="str">
            <v>Shipment</v>
          </cell>
        </row>
        <row r="16271">
          <cell r="B16271" t="str">
            <v>Shipment</v>
          </cell>
        </row>
        <row r="16272">
          <cell r="B16272" t="str">
            <v>Shipment</v>
          </cell>
        </row>
        <row r="16273">
          <cell r="B16273" t="str">
            <v>Shipment</v>
          </cell>
        </row>
        <row r="16274">
          <cell r="B16274" t="str">
            <v>Shipment</v>
          </cell>
        </row>
        <row r="16275">
          <cell r="B16275" t="str">
            <v>Shipment</v>
          </cell>
        </row>
        <row r="16276">
          <cell r="B16276" t="str">
            <v>Shipment</v>
          </cell>
        </row>
        <row r="16277">
          <cell r="B16277" t="str">
            <v>Shipment</v>
          </cell>
        </row>
        <row r="16278">
          <cell r="B16278" t="str">
            <v>Shipment</v>
          </cell>
        </row>
        <row r="16279">
          <cell r="B16279" t="str">
            <v>Shipment</v>
          </cell>
        </row>
        <row r="16280">
          <cell r="B16280" t="str">
            <v>Shipment</v>
          </cell>
        </row>
        <row r="16281">
          <cell r="B16281" t="str">
            <v>Shipment</v>
          </cell>
        </row>
        <row r="16282">
          <cell r="B16282" t="str">
            <v>Shipment</v>
          </cell>
        </row>
        <row r="16283">
          <cell r="B16283" t="str">
            <v>Shipment</v>
          </cell>
        </row>
        <row r="16284">
          <cell r="B16284" t="str">
            <v>Shipment</v>
          </cell>
        </row>
        <row r="16285">
          <cell r="B16285" t="str">
            <v>Shipment</v>
          </cell>
        </row>
        <row r="16286">
          <cell r="B16286" t="str">
            <v>Shipment</v>
          </cell>
        </row>
        <row r="16287">
          <cell r="B16287" t="str">
            <v>Shipment</v>
          </cell>
        </row>
        <row r="16288">
          <cell r="B16288" t="str">
            <v>Shipment</v>
          </cell>
        </row>
        <row r="16289">
          <cell r="B16289" t="str">
            <v>Shipment</v>
          </cell>
        </row>
        <row r="16290">
          <cell r="B16290" t="str">
            <v>Shipment</v>
          </cell>
        </row>
        <row r="16291">
          <cell r="B16291" t="str">
            <v>Shipment</v>
          </cell>
        </row>
        <row r="16292">
          <cell r="B16292" t="str">
            <v>Shipment</v>
          </cell>
        </row>
        <row r="16293">
          <cell r="B16293" t="str">
            <v>Shipment</v>
          </cell>
        </row>
        <row r="16294">
          <cell r="B16294" t="str">
            <v>Shipment</v>
          </cell>
        </row>
        <row r="16295">
          <cell r="B16295" t="str">
            <v>Shipment</v>
          </cell>
        </row>
        <row r="16296">
          <cell r="B16296" t="str">
            <v>Shipment</v>
          </cell>
        </row>
        <row r="16297">
          <cell r="B16297" t="str">
            <v>Shipment</v>
          </cell>
        </row>
        <row r="16298">
          <cell r="B16298" t="str">
            <v>Shipment</v>
          </cell>
        </row>
        <row r="16299">
          <cell r="B16299" t="str">
            <v>Shipment</v>
          </cell>
        </row>
        <row r="16300">
          <cell r="B16300" t="str">
            <v>Shipment</v>
          </cell>
        </row>
        <row r="16301">
          <cell r="B16301" t="str">
            <v>Shipment</v>
          </cell>
        </row>
        <row r="16302">
          <cell r="B16302" t="str">
            <v>Shipment</v>
          </cell>
        </row>
        <row r="16303">
          <cell r="B16303" t="str">
            <v>Shipment</v>
          </cell>
        </row>
        <row r="16304">
          <cell r="B16304" t="str">
            <v>Shipment</v>
          </cell>
        </row>
        <row r="16305">
          <cell r="B16305" t="str">
            <v>Shipment</v>
          </cell>
        </row>
        <row r="16306">
          <cell r="B16306" t="str">
            <v>Shipment</v>
          </cell>
        </row>
        <row r="16307">
          <cell r="B16307" t="str">
            <v>Shipment</v>
          </cell>
        </row>
        <row r="16308">
          <cell r="B16308" t="str">
            <v>Shipment</v>
          </cell>
        </row>
        <row r="16309">
          <cell r="B16309" t="str">
            <v>Shipment</v>
          </cell>
        </row>
        <row r="16310">
          <cell r="B16310" t="str">
            <v>Shipment</v>
          </cell>
        </row>
        <row r="16311">
          <cell r="B16311" t="str">
            <v>Shipment</v>
          </cell>
        </row>
        <row r="16312">
          <cell r="B16312" t="str">
            <v>Shipment</v>
          </cell>
        </row>
        <row r="16313">
          <cell r="B16313" t="str">
            <v>Shipment</v>
          </cell>
        </row>
        <row r="16314">
          <cell r="B16314" t="str">
            <v>Shipment</v>
          </cell>
        </row>
        <row r="16315">
          <cell r="B16315" t="str">
            <v>Shipment</v>
          </cell>
        </row>
        <row r="16316">
          <cell r="B16316" t="str">
            <v>Shipment</v>
          </cell>
        </row>
        <row r="16317">
          <cell r="B16317" t="str">
            <v>Shipment</v>
          </cell>
        </row>
        <row r="16318">
          <cell r="B16318" t="str">
            <v>Shipment</v>
          </cell>
        </row>
        <row r="16319">
          <cell r="B16319" t="str">
            <v>Shipment</v>
          </cell>
        </row>
        <row r="16320">
          <cell r="B16320" t="str">
            <v>Shipment</v>
          </cell>
        </row>
        <row r="16321">
          <cell r="B16321" t="str">
            <v>Shipment</v>
          </cell>
        </row>
        <row r="16322">
          <cell r="B16322" t="str">
            <v>Shipment</v>
          </cell>
        </row>
        <row r="16323">
          <cell r="B16323" t="str">
            <v>Shipment</v>
          </cell>
        </row>
        <row r="16324">
          <cell r="B16324" t="str">
            <v>Shipment</v>
          </cell>
        </row>
        <row r="16325">
          <cell r="B16325" t="str">
            <v>Shipment</v>
          </cell>
        </row>
        <row r="16326">
          <cell r="B16326" t="str">
            <v>Shipment</v>
          </cell>
        </row>
        <row r="16327">
          <cell r="B16327" t="str">
            <v>Shipment</v>
          </cell>
        </row>
        <row r="16328">
          <cell r="B16328" t="str">
            <v>Shipment</v>
          </cell>
        </row>
        <row r="16329">
          <cell r="B16329" t="str">
            <v>Shipment</v>
          </cell>
        </row>
        <row r="16330">
          <cell r="B16330" t="str">
            <v>Shipment</v>
          </cell>
        </row>
        <row r="16331">
          <cell r="B16331" t="str">
            <v>Shipment</v>
          </cell>
        </row>
        <row r="16332">
          <cell r="B16332" t="str">
            <v>Shipment</v>
          </cell>
        </row>
        <row r="16333">
          <cell r="B16333" t="str">
            <v>Shipment</v>
          </cell>
        </row>
        <row r="16334">
          <cell r="B16334" t="str">
            <v>Shipment</v>
          </cell>
        </row>
        <row r="16335">
          <cell r="B16335" t="str">
            <v>Shipment</v>
          </cell>
        </row>
        <row r="16336">
          <cell r="B16336" t="str">
            <v>Shipment</v>
          </cell>
        </row>
        <row r="16337">
          <cell r="B16337" t="str">
            <v>Shipment</v>
          </cell>
        </row>
        <row r="16338">
          <cell r="B16338" t="str">
            <v>Shipment</v>
          </cell>
        </row>
        <row r="16339">
          <cell r="B16339" t="str">
            <v>Shipment</v>
          </cell>
        </row>
        <row r="16340">
          <cell r="B16340" t="str">
            <v>Shipment</v>
          </cell>
        </row>
        <row r="16341">
          <cell r="B16341" t="str">
            <v>Shipment</v>
          </cell>
        </row>
        <row r="16342">
          <cell r="B16342" t="str">
            <v>Shipment</v>
          </cell>
        </row>
        <row r="16343">
          <cell r="B16343" t="str">
            <v>Shipment</v>
          </cell>
        </row>
        <row r="16344">
          <cell r="B16344" t="str">
            <v>Shipment</v>
          </cell>
        </row>
        <row r="16345">
          <cell r="B16345" t="str">
            <v>Shipment</v>
          </cell>
        </row>
        <row r="16346">
          <cell r="B16346" t="str">
            <v>Shipment</v>
          </cell>
        </row>
        <row r="16347">
          <cell r="B16347" t="str">
            <v>Shipment</v>
          </cell>
        </row>
        <row r="16348">
          <cell r="B16348" t="str">
            <v>Shipment</v>
          </cell>
        </row>
        <row r="16349">
          <cell r="B16349" t="str">
            <v>Shipment</v>
          </cell>
        </row>
        <row r="16350">
          <cell r="B16350" t="str">
            <v>Shipment</v>
          </cell>
        </row>
        <row r="16351">
          <cell r="B16351" t="str">
            <v>Shipment</v>
          </cell>
        </row>
        <row r="16352">
          <cell r="B16352" t="str">
            <v>Shipment</v>
          </cell>
        </row>
        <row r="16353">
          <cell r="B16353" t="str">
            <v>Shipment</v>
          </cell>
        </row>
        <row r="16354">
          <cell r="B16354" t="str">
            <v>Shipment</v>
          </cell>
        </row>
        <row r="16355">
          <cell r="B16355" t="str">
            <v>Shipment</v>
          </cell>
        </row>
        <row r="16356">
          <cell r="B16356" t="str">
            <v>Shipment</v>
          </cell>
        </row>
        <row r="16357">
          <cell r="B16357" t="str">
            <v>Shipment</v>
          </cell>
        </row>
        <row r="16358">
          <cell r="B16358" t="str">
            <v>Shipment</v>
          </cell>
        </row>
        <row r="16359">
          <cell r="B16359" t="str">
            <v>Shipment</v>
          </cell>
        </row>
        <row r="16360">
          <cell r="B16360" t="str">
            <v>Shipment</v>
          </cell>
        </row>
        <row r="16361">
          <cell r="B16361" t="str">
            <v>Shipment</v>
          </cell>
        </row>
        <row r="16362">
          <cell r="B16362" t="str">
            <v>Shipment</v>
          </cell>
        </row>
        <row r="16363">
          <cell r="B16363" t="str">
            <v>Shipment</v>
          </cell>
        </row>
        <row r="16364">
          <cell r="B16364" t="str">
            <v>Shipment</v>
          </cell>
        </row>
        <row r="16365">
          <cell r="B16365" t="str">
            <v>Shipment</v>
          </cell>
        </row>
        <row r="16366">
          <cell r="B16366" t="str">
            <v>Shipment</v>
          </cell>
        </row>
        <row r="16367">
          <cell r="B16367" t="str">
            <v>Shipment</v>
          </cell>
        </row>
        <row r="16368">
          <cell r="B16368" t="str">
            <v>Shipment</v>
          </cell>
        </row>
        <row r="16369">
          <cell r="B16369" t="str">
            <v>Shipment</v>
          </cell>
        </row>
        <row r="16370">
          <cell r="B16370" t="str">
            <v>Shipment</v>
          </cell>
        </row>
        <row r="16371">
          <cell r="B16371" t="str">
            <v>Shipment</v>
          </cell>
        </row>
        <row r="16372">
          <cell r="B16372" t="str">
            <v>Shipment</v>
          </cell>
        </row>
        <row r="16373">
          <cell r="B16373" t="str">
            <v>Shipment</v>
          </cell>
        </row>
        <row r="16374">
          <cell r="B16374" t="str">
            <v>Shipment</v>
          </cell>
        </row>
        <row r="16375">
          <cell r="B16375" t="str">
            <v>Shipment</v>
          </cell>
        </row>
        <row r="16376">
          <cell r="B16376" t="str">
            <v>Shipment</v>
          </cell>
        </row>
        <row r="16377">
          <cell r="B16377" t="str">
            <v>Shipment</v>
          </cell>
        </row>
        <row r="16378">
          <cell r="B16378" t="str">
            <v>Shipment</v>
          </cell>
        </row>
        <row r="16379">
          <cell r="B16379" t="str">
            <v>Shipment</v>
          </cell>
        </row>
        <row r="16380">
          <cell r="B16380" t="str">
            <v>Shipment</v>
          </cell>
        </row>
        <row r="16381">
          <cell r="B16381" t="str">
            <v>Shipment</v>
          </cell>
        </row>
        <row r="16382">
          <cell r="B16382" t="str">
            <v>Shipment</v>
          </cell>
        </row>
        <row r="16383">
          <cell r="B16383" t="str">
            <v>Shipment</v>
          </cell>
        </row>
        <row r="16384">
          <cell r="B16384" t="str">
            <v>Shipment</v>
          </cell>
        </row>
        <row r="16385">
          <cell r="B16385" t="str">
            <v>Shipment</v>
          </cell>
        </row>
        <row r="16386">
          <cell r="B16386" t="str">
            <v>Shipment</v>
          </cell>
        </row>
        <row r="16387">
          <cell r="B16387" t="str">
            <v>Shipment</v>
          </cell>
        </row>
        <row r="16388">
          <cell r="B16388" t="str">
            <v>Shipment</v>
          </cell>
        </row>
        <row r="16389">
          <cell r="B16389" t="str">
            <v>Shipment</v>
          </cell>
        </row>
        <row r="16390">
          <cell r="B16390" t="str">
            <v>Shipment</v>
          </cell>
        </row>
        <row r="16391">
          <cell r="B16391" t="str">
            <v>Shipment</v>
          </cell>
        </row>
        <row r="16392">
          <cell r="B16392" t="str">
            <v>Shipment</v>
          </cell>
        </row>
        <row r="16393">
          <cell r="B16393" t="str">
            <v>Shipment</v>
          </cell>
        </row>
        <row r="16394">
          <cell r="B16394" t="str">
            <v>Shipment</v>
          </cell>
        </row>
        <row r="16395">
          <cell r="B16395" t="str">
            <v>Shipment</v>
          </cell>
        </row>
        <row r="16396">
          <cell r="B16396" t="str">
            <v>Shipment</v>
          </cell>
        </row>
        <row r="16397">
          <cell r="B16397" t="str">
            <v>Shipment</v>
          </cell>
        </row>
        <row r="16398">
          <cell r="B16398" t="str">
            <v>Shipment</v>
          </cell>
        </row>
        <row r="16399">
          <cell r="B16399" t="str">
            <v>Shipment</v>
          </cell>
        </row>
        <row r="16400">
          <cell r="B16400" t="str">
            <v>Shipment</v>
          </cell>
        </row>
        <row r="16401">
          <cell r="B16401" t="str">
            <v>Shipment</v>
          </cell>
        </row>
        <row r="16402">
          <cell r="B16402" t="str">
            <v>Shipment</v>
          </cell>
        </row>
        <row r="16403">
          <cell r="B16403" t="str">
            <v>Shipment</v>
          </cell>
        </row>
        <row r="16404">
          <cell r="B16404" t="str">
            <v>Shipment</v>
          </cell>
        </row>
        <row r="16405">
          <cell r="B16405" t="str">
            <v>Shipment</v>
          </cell>
        </row>
        <row r="16406">
          <cell r="B16406" t="str">
            <v>Shipment</v>
          </cell>
        </row>
        <row r="16407">
          <cell r="B16407" t="str">
            <v>Shipment</v>
          </cell>
        </row>
        <row r="16408">
          <cell r="B16408" t="str">
            <v>Shipment</v>
          </cell>
        </row>
        <row r="16409">
          <cell r="B16409" t="str">
            <v>Shipment</v>
          </cell>
        </row>
        <row r="16410">
          <cell r="B16410" t="str">
            <v>Shipment</v>
          </cell>
        </row>
        <row r="16411">
          <cell r="B16411" t="str">
            <v>Shipment</v>
          </cell>
        </row>
        <row r="16412">
          <cell r="B16412" t="str">
            <v>Shipment</v>
          </cell>
        </row>
        <row r="16413">
          <cell r="B16413" t="str">
            <v>Shipment</v>
          </cell>
        </row>
        <row r="16414">
          <cell r="B16414" t="str">
            <v>Shipment</v>
          </cell>
        </row>
        <row r="16415">
          <cell r="B16415" t="str">
            <v>Shipment</v>
          </cell>
        </row>
        <row r="16416">
          <cell r="B16416" t="str">
            <v>Shipment</v>
          </cell>
        </row>
        <row r="16417">
          <cell r="B16417" t="str">
            <v>Shipment</v>
          </cell>
        </row>
        <row r="16418">
          <cell r="B16418" t="str">
            <v>Shipment</v>
          </cell>
        </row>
        <row r="16419">
          <cell r="B16419" t="str">
            <v>Shipment</v>
          </cell>
        </row>
        <row r="16420">
          <cell r="B16420" t="str">
            <v>Shipment</v>
          </cell>
        </row>
        <row r="16421">
          <cell r="B16421" t="str">
            <v>Shipment</v>
          </cell>
        </row>
        <row r="16422">
          <cell r="B16422" t="str">
            <v>Shipment</v>
          </cell>
        </row>
        <row r="16423">
          <cell r="B16423" t="str">
            <v>Shipment</v>
          </cell>
        </row>
        <row r="16424">
          <cell r="B16424" t="str">
            <v>Shipment</v>
          </cell>
        </row>
        <row r="16425">
          <cell r="B16425" t="str">
            <v>Shipment</v>
          </cell>
        </row>
        <row r="16426">
          <cell r="B16426" t="str">
            <v>Shipment</v>
          </cell>
        </row>
        <row r="16427">
          <cell r="B16427" t="str">
            <v>Shipment</v>
          </cell>
        </row>
        <row r="16428">
          <cell r="B16428" t="str">
            <v>Shipment</v>
          </cell>
        </row>
        <row r="16429">
          <cell r="B16429" t="str">
            <v>Shipment</v>
          </cell>
        </row>
        <row r="16430">
          <cell r="B16430" t="str">
            <v>Shipment</v>
          </cell>
        </row>
        <row r="16431">
          <cell r="B16431" t="str">
            <v>Shipment</v>
          </cell>
        </row>
        <row r="16432">
          <cell r="B16432" t="str">
            <v>Shipment</v>
          </cell>
        </row>
        <row r="16433">
          <cell r="B16433" t="str">
            <v>Shipment</v>
          </cell>
        </row>
        <row r="16434">
          <cell r="B16434" t="str">
            <v>Shipment</v>
          </cell>
        </row>
        <row r="16435">
          <cell r="B16435" t="str">
            <v>Shipment</v>
          </cell>
        </row>
        <row r="16436">
          <cell r="B16436" t="str">
            <v>Shipment</v>
          </cell>
        </row>
        <row r="16437">
          <cell r="B16437" t="str">
            <v>Shipment</v>
          </cell>
        </row>
        <row r="16438">
          <cell r="B16438" t="str">
            <v>Shipment</v>
          </cell>
        </row>
        <row r="16439">
          <cell r="B16439" t="str">
            <v>Shipment</v>
          </cell>
        </row>
        <row r="16440">
          <cell r="B16440" t="str">
            <v>Shipment</v>
          </cell>
        </row>
        <row r="16441">
          <cell r="B16441" t="str">
            <v>Shipment</v>
          </cell>
        </row>
        <row r="16442">
          <cell r="B16442" t="str">
            <v>Shipment</v>
          </cell>
        </row>
        <row r="16443">
          <cell r="B16443" t="str">
            <v>Shipment</v>
          </cell>
        </row>
        <row r="16444">
          <cell r="B16444" t="str">
            <v>Shipment</v>
          </cell>
        </row>
        <row r="16445">
          <cell r="B16445" t="str">
            <v>Shipment</v>
          </cell>
        </row>
        <row r="16446">
          <cell r="B16446" t="str">
            <v>Shipment</v>
          </cell>
        </row>
        <row r="16447">
          <cell r="B16447" t="str">
            <v>Shipment</v>
          </cell>
        </row>
        <row r="16448">
          <cell r="B16448" t="str">
            <v>Shipment</v>
          </cell>
        </row>
        <row r="16449">
          <cell r="B16449" t="str">
            <v>Shipment</v>
          </cell>
        </row>
        <row r="16450">
          <cell r="B16450" t="str">
            <v>Shipment</v>
          </cell>
        </row>
        <row r="16451">
          <cell r="B16451" t="str">
            <v>Shipment</v>
          </cell>
        </row>
        <row r="16452">
          <cell r="B16452" t="str">
            <v>Shipment</v>
          </cell>
        </row>
        <row r="16453">
          <cell r="B16453" t="str">
            <v>Shipment</v>
          </cell>
        </row>
        <row r="16454">
          <cell r="B16454" t="str">
            <v>Shipment</v>
          </cell>
        </row>
        <row r="16455">
          <cell r="B16455" t="str">
            <v>Shipment</v>
          </cell>
        </row>
        <row r="16456">
          <cell r="B16456" t="str">
            <v>Shipment</v>
          </cell>
        </row>
        <row r="16457">
          <cell r="B16457" t="str">
            <v>Shipment</v>
          </cell>
        </row>
        <row r="16458">
          <cell r="B16458" t="str">
            <v>Shipment</v>
          </cell>
        </row>
        <row r="16459">
          <cell r="B16459" t="str">
            <v>Shipment</v>
          </cell>
        </row>
        <row r="16460">
          <cell r="B16460" t="str">
            <v>Shipment</v>
          </cell>
        </row>
        <row r="16461">
          <cell r="B16461" t="str">
            <v>Shipment</v>
          </cell>
        </row>
        <row r="16462">
          <cell r="B16462" t="str">
            <v>Shipment</v>
          </cell>
        </row>
        <row r="16463">
          <cell r="B16463" t="str">
            <v>Shipment</v>
          </cell>
        </row>
        <row r="16464">
          <cell r="B16464" t="str">
            <v>Shipment</v>
          </cell>
        </row>
        <row r="16465">
          <cell r="B16465" t="str">
            <v>Shipment</v>
          </cell>
        </row>
        <row r="16466">
          <cell r="B16466" t="str">
            <v>Shipment</v>
          </cell>
        </row>
        <row r="16467">
          <cell r="B16467" t="str">
            <v>Shipment</v>
          </cell>
        </row>
        <row r="16468">
          <cell r="B16468" t="str">
            <v>Shipment</v>
          </cell>
        </row>
        <row r="16469">
          <cell r="B16469" t="str">
            <v>Shipment</v>
          </cell>
        </row>
        <row r="16470">
          <cell r="B16470" t="str">
            <v>Shipment</v>
          </cell>
        </row>
        <row r="16471">
          <cell r="B16471" t="str">
            <v>Shipment</v>
          </cell>
        </row>
        <row r="16472">
          <cell r="B16472" t="str">
            <v>Shipment</v>
          </cell>
        </row>
        <row r="16473">
          <cell r="B16473" t="str">
            <v>Shipment</v>
          </cell>
        </row>
        <row r="16474">
          <cell r="B16474" t="str">
            <v>Shipment</v>
          </cell>
        </row>
        <row r="16475">
          <cell r="B16475" t="str">
            <v>Shipment</v>
          </cell>
        </row>
        <row r="16476">
          <cell r="B16476" t="str">
            <v>Shipment</v>
          </cell>
        </row>
        <row r="16477">
          <cell r="B16477" t="str">
            <v>Shipment</v>
          </cell>
        </row>
        <row r="16478">
          <cell r="B16478" t="str">
            <v>Shipment</v>
          </cell>
        </row>
        <row r="16479">
          <cell r="B16479" t="str">
            <v>Shipment</v>
          </cell>
        </row>
        <row r="16480">
          <cell r="B16480" t="str">
            <v>Shipment</v>
          </cell>
        </row>
        <row r="16481">
          <cell r="B16481" t="str">
            <v>Shipment</v>
          </cell>
        </row>
        <row r="16482">
          <cell r="B16482" t="str">
            <v>Shipment</v>
          </cell>
        </row>
        <row r="16483">
          <cell r="B16483" t="str">
            <v>Shipment</v>
          </cell>
        </row>
        <row r="16484">
          <cell r="B16484" t="str">
            <v>Shipment</v>
          </cell>
        </row>
        <row r="16485">
          <cell r="B16485" t="str">
            <v>Shipment</v>
          </cell>
        </row>
        <row r="16486">
          <cell r="B16486" t="str">
            <v>Shipment</v>
          </cell>
        </row>
        <row r="16487">
          <cell r="B16487" t="str">
            <v>Shipment</v>
          </cell>
        </row>
        <row r="16488">
          <cell r="B16488" t="str">
            <v>Shipment</v>
          </cell>
        </row>
        <row r="16489">
          <cell r="B16489" t="str">
            <v>Shipment</v>
          </cell>
        </row>
        <row r="16490">
          <cell r="B16490" t="str">
            <v>Shipment</v>
          </cell>
        </row>
        <row r="16491">
          <cell r="B16491" t="str">
            <v>Shipment</v>
          </cell>
        </row>
        <row r="16492">
          <cell r="B16492" t="str">
            <v>Shipment</v>
          </cell>
        </row>
        <row r="16493">
          <cell r="B16493" t="str">
            <v>Shipment</v>
          </cell>
        </row>
        <row r="16494">
          <cell r="B16494" t="str">
            <v>Shipment</v>
          </cell>
        </row>
        <row r="16495">
          <cell r="B16495" t="str">
            <v>Shipment</v>
          </cell>
        </row>
        <row r="16496">
          <cell r="B16496" t="str">
            <v>Shipment</v>
          </cell>
        </row>
        <row r="16497">
          <cell r="B16497" t="str">
            <v>Shipment</v>
          </cell>
        </row>
        <row r="16498">
          <cell r="B16498" t="str">
            <v>Shipment</v>
          </cell>
        </row>
        <row r="16499">
          <cell r="B16499" t="str">
            <v>Shipment</v>
          </cell>
        </row>
        <row r="16500">
          <cell r="B16500" t="str">
            <v>Shipment</v>
          </cell>
        </row>
        <row r="16501">
          <cell r="B16501" t="str">
            <v>Shipment</v>
          </cell>
        </row>
        <row r="16502">
          <cell r="B16502" t="str">
            <v>Shipment</v>
          </cell>
        </row>
        <row r="16503">
          <cell r="B16503" t="str">
            <v>Shipment</v>
          </cell>
        </row>
        <row r="16504">
          <cell r="B16504" t="str">
            <v>Shipment</v>
          </cell>
        </row>
        <row r="16505">
          <cell r="B16505" t="str">
            <v>Shipment</v>
          </cell>
        </row>
        <row r="16506">
          <cell r="B16506" t="str">
            <v>Shipment</v>
          </cell>
        </row>
        <row r="16507">
          <cell r="B16507" t="str">
            <v>Shipment</v>
          </cell>
        </row>
        <row r="16508">
          <cell r="B16508" t="str">
            <v>Shipment</v>
          </cell>
        </row>
        <row r="16509">
          <cell r="B16509" t="str">
            <v>Shipment</v>
          </cell>
        </row>
        <row r="16510">
          <cell r="B16510" t="str">
            <v>Shipment</v>
          </cell>
        </row>
        <row r="16511">
          <cell r="B16511" t="str">
            <v>Shipment</v>
          </cell>
        </row>
        <row r="16512">
          <cell r="B16512" t="str">
            <v>Shipment</v>
          </cell>
        </row>
        <row r="16513">
          <cell r="B16513" t="str">
            <v>Shipment</v>
          </cell>
        </row>
        <row r="16514">
          <cell r="B16514" t="str">
            <v>Shipment</v>
          </cell>
        </row>
        <row r="16515">
          <cell r="B16515" t="str">
            <v>Shipment</v>
          </cell>
        </row>
        <row r="16516">
          <cell r="B16516" t="str">
            <v>Shipment</v>
          </cell>
        </row>
        <row r="16517">
          <cell r="B16517" t="str">
            <v>Shipment</v>
          </cell>
        </row>
        <row r="16518">
          <cell r="B16518" t="str">
            <v>Shipment</v>
          </cell>
        </row>
        <row r="16519">
          <cell r="B16519" t="str">
            <v>Shipment</v>
          </cell>
        </row>
        <row r="16520">
          <cell r="B16520" t="str">
            <v>Shipment</v>
          </cell>
        </row>
        <row r="16521">
          <cell r="B16521" t="str">
            <v>Shipment</v>
          </cell>
        </row>
        <row r="16522">
          <cell r="B16522" t="str">
            <v>Shipment</v>
          </cell>
        </row>
        <row r="16523">
          <cell r="B16523" t="str">
            <v>Shipment</v>
          </cell>
        </row>
        <row r="16524">
          <cell r="B16524" t="str">
            <v>Shipment</v>
          </cell>
        </row>
        <row r="16525">
          <cell r="B16525" t="str">
            <v>Shipment</v>
          </cell>
        </row>
        <row r="16526">
          <cell r="B16526" t="str">
            <v>Shipment</v>
          </cell>
        </row>
        <row r="16527">
          <cell r="B16527" t="str">
            <v>Shipment</v>
          </cell>
        </row>
        <row r="16528">
          <cell r="B16528" t="str">
            <v>Shipment</v>
          </cell>
        </row>
        <row r="16529">
          <cell r="B16529" t="str">
            <v>Shipment</v>
          </cell>
        </row>
        <row r="16530">
          <cell r="B16530" t="str">
            <v>Shipment</v>
          </cell>
        </row>
        <row r="16531">
          <cell r="B16531" t="str">
            <v>Shipment</v>
          </cell>
        </row>
        <row r="16532">
          <cell r="B16532" t="str">
            <v>Shipment</v>
          </cell>
        </row>
        <row r="16533">
          <cell r="B16533" t="str">
            <v>Shipment</v>
          </cell>
        </row>
        <row r="16534">
          <cell r="B16534" t="str">
            <v>Shipment</v>
          </cell>
        </row>
        <row r="16535">
          <cell r="B16535" t="str">
            <v>Shipment</v>
          </cell>
        </row>
        <row r="16536">
          <cell r="B16536" t="str">
            <v>Shipment</v>
          </cell>
        </row>
        <row r="16537">
          <cell r="B16537" t="str">
            <v>Shipment</v>
          </cell>
        </row>
        <row r="16538">
          <cell r="B16538" t="str">
            <v>Shipment</v>
          </cell>
        </row>
        <row r="16539">
          <cell r="B16539" t="str">
            <v>Shipment</v>
          </cell>
        </row>
        <row r="16540">
          <cell r="B16540" t="str">
            <v>Shipment</v>
          </cell>
        </row>
        <row r="16541">
          <cell r="B16541" t="str">
            <v>Shipment</v>
          </cell>
        </row>
        <row r="16542">
          <cell r="B16542" t="str">
            <v>Shipment</v>
          </cell>
        </row>
        <row r="16543">
          <cell r="B16543" t="str">
            <v>Shipment</v>
          </cell>
        </row>
        <row r="16544">
          <cell r="B16544" t="str">
            <v>Shipment</v>
          </cell>
        </row>
        <row r="16545">
          <cell r="B16545" t="str">
            <v>Shipment</v>
          </cell>
        </row>
        <row r="16546">
          <cell r="B16546" t="str">
            <v>Shipment</v>
          </cell>
        </row>
        <row r="16547">
          <cell r="B16547" t="str">
            <v>Shipment</v>
          </cell>
        </row>
        <row r="16548">
          <cell r="B16548" t="str">
            <v>Shipment</v>
          </cell>
        </row>
        <row r="16549">
          <cell r="B16549" t="str">
            <v>Shipment</v>
          </cell>
        </row>
        <row r="16550">
          <cell r="B16550" t="str">
            <v>Shipment</v>
          </cell>
        </row>
        <row r="16551">
          <cell r="B16551" t="str">
            <v>Shipment</v>
          </cell>
        </row>
        <row r="16552">
          <cell r="B16552" t="str">
            <v>Shipment</v>
          </cell>
        </row>
        <row r="16553">
          <cell r="B16553" t="str">
            <v>Shipment</v>
          </cell>
        </row>
        <row r="16554">
          <cell r="B16554" t="str">
            <v>Shipment</v>
          </cell>
        </row>
        <row r="16555">
          <cell r="B16555" t="str">
            <v>Shipment</v>
          </cell>
        </row>
        <row r="16556">
          <cell r="B16556" t="str">
            <v>Shipment</v>
          </cell>
        </row>
        <row r="16557">
          <cell r="B16557" t="str">
            <v>Shipment</v>
          </cell>
        </row>
        <row r="16558">
          <cell r="B16558" t="str">
            <v>Shipment</v>
          </cell>
        </row>
        <row r="16559">
          <cell r="B16559" t="str">
            <v>Shipment</v>
          </cell>
        </row>
        <row r="16560">
          <cell r="B16560" t="str">
            <v>Shipment</v>
          </cell>
        </row>
        <row r="16561">
          <cell r="B16561" t="str">
            <v>Shipment</v>
          </cell>
        </row>
        <row r="16562">
          <cell r="B16562" t="str">
            <v>Shipment</v>
          </cell>
        </row>
        <row r="16563">
          <cell r="B16563" t="str">
            <v>Shipment</v>
          </cell>
        </row>
        <row r="16564">
          <cell r="B16564" t="str">
            <v>Shipment</v>
          </cell>
        </row>
        <row r="16565">
          <cell r="B16565" t="str">
            <v>Shipment</v>
          </cell>
        </row>
        <row r="16566">
          <cell r="B16566" t="str">
            <v>Shipment</v>
          </cell>
        </row>
        <row r="16567">
          <cell r="B16567" t="str">
            <v>Shipment</v>
          </cell>
        </row>
        <row r="16568">
          <cell r="B16568" t="str">
            <v>Shipment</v>
          </cell>
        </row>
        <row r="16569">
          <cell r="B16569" t="str">
            <v>Shipment</v>
          </cell>
        </row>
        <row r="16570">
          <cell r="B16570" t="str">
            <v>Shipment</v>
          </cell>
        </row>
        <row r="16571">
          <cell r="B16571" t="str">
            <v>Shipment</v>
          </cell>
        </row>
        <row r="16572">
          <cell r="B16572" t="str">
            <v>Shipment</v>
          </cell>
        </row>
        <row r="16573">
          <cell r="B16573" t="str">
            <v>Shipment</v>
          </cell>
        </row>
        <row r="16574">
          <cell r="B16574" t="str">
            <v>Shipment</v>
          </cell>
        </row>
        <row r="16575">
          <cell r="B16575" t="str">
            <v>Shipment</v>
          </cell>
        </row>
        <row r="16576">
          <cell r="B16576" t="str">
            <v>Shipment</v>
          </cell>
        </row>
        <row r="16577">
          <cell r="B16577" t="str">
            <v>Shipment</v>
          </cell>
        </row>
        <row r="16578">
          <cell r="B16578" t="str">
            <v>Shipment</v>
          </cell>
        </row>
        <row r="16579">
          <cell r="B16579" t="str">
            <v>Shipment</v>
          </cell>
        </row>
        <row r="16580">
          <cell r="B16580" t="str">
            <v>Shipment</v>
          </cell>
        </row>
        <row r="16581">
          <cell r="B16581" t="str">
            <v>Shipment</v>
          </cell>
        </row>
        <row r="16582">
          <cell r="B16582" t="str">
            <v>Shipment</v>
          </cell>
        </row>
        <row r="16583">
          <cell r="B16583" t="str">
            <v>Shipment</v>
          </cell>
        </row>
        <row r="16584">
          <cell r="B16584" t="str">
            <v>Shipment</v>
          </cell>
        </row>
        <row r="16585">
          <cell r="B16585" t="str">
            <v>Shipment</v>
          </cell>
        </row>
        <row r="16586">
          <cell r="B16586" t="str">
            <v>Shipment</v>
          </cell>
        </row>
        <row r="16587">
          <cell r="B16587" t="str">
            <v>Shipment</v>
          </cell>
        </row>
        <row r="16588">
          <cell r="B16588" t="str">
            <v>Shipment</v>
          </cell>
        </row>
        <row r="16589">
          <cell r="B16589" t="str">
            <v>Shipment</v>
          </cell>
        </row>
        <row r="16590">
          <cell r="B16590" t="str">
            <v>Shipment</v>
          </cell>
        </row>
        <row r="16591">
          <cell r="B16591" t="str">
            <v>Shipment</v>
          </cell>
        </row>
        <row r="16592">
          <cell r="B16592" t="str">
            <v>Shipment</v>
          </cell>
        </row>
        <row r="16593">
          <cell r="B16593" t="str">
            <v>Shipment</v>
          </cell>
        </row>
        <row r="16594">
          <cell r="B16594" t="str">
            <v>Shipment</v>
          </cell>
        </row>
        <row r="16595">
          <cell r="B16595" t="str">
            <v>Shipment</v>
          </cell>
        </row>
        <row r="16596">
          <cell r="B16596" t="str">
            <v>Shipment</v>
          </cell>
        </row>
        <row r="16597">
          <cell r="B16597" t="str">
            <v>Shipment</v>
          </cell>
        </row>
        <row r="16598">
          <cell r="B16598" t="str">
            <v>Shipment</v>
          </cell>
        </row>
        <row r="16599">
          <cell r="B16599" t="str">
            <v>Shipment</v>
          </cell>
        </row>
        <row r="16600">
          <cell r="B16600" t="str">
            <v>Shipment</v>
          </cell>
        </row>
        <row r="16601">
          <cell r="B16601" t="str">
            <v>Shipment</v>
          </cell>
        </row>
        <row r="16602">
          <cell r="B16602" t="str">
            <v>Shipment</v>
          </cell>
        </row>
        <row r="16603">
          <cell r="B16603" t="str">
            <v>Shipment</v>
          </cell>
        </row>
        <row r="16604">
          <cell r="B16604" t="str">
            <v>Shipment</v>
          </cell>
        </row>
        <row r="16605">
          <cell r="B16605" t="str">
            <v>Shipment</v>
          </cell>
        </row>
        <row r="16606">
          <cell r="B16606" t="str">
            <v>Shipment</v>
          </cell>
        </row>
        <row r="16607">
          <cell r="B16607" t="str">
            <v>Shipment</v>
          </cell>
        </row>
        <row r="16608">
          <cell r="B16608" t="str">
            <v>Shipment</v>
          </cell>
        </row>
        <row r="16609">
          <cell r="B16609" t="str">
            <v>Shipment</v>
          </cell>
        </row>
        <row r="16610">
          <cell r="B16610" t="str">
            <v>Shipment</v>
          </cell>
        </row>
        <row r="16611">
          <cell r="B16611" t="str">
            <v>Shipment</v>
          </cell>
        </row>
        <row r="16612">
          <cell r="B16612" t="str">
            <v>Shipment</v>
          </cell>
        </row>
        <row r="16613">
          <cell r="B16613" t="str">
            <v>Shipment</v>
          </cell>
        </row>
        <row r="16614">
          <cell r="B16614" t="str">
            <v>Shipment</v>
          </cell>
        </row>
        <row r="16615">
          <cell r="B16615" t="str">
            <v>Shipment</v>
          </cell>
        </row>
        <row r="16616">
          <cell r="B16616" t="str">
            <v>Shipment</v>
          </cell>
        </row>
        <row r="16617">
          <cell r="B16617" t="str">
            <v>Shipment</v>
          </cell>
        </row>
        <row r="16618">
          <cell r="B16618" t="str">
            <v>Shipment</v>
          </cell>
        </row>
        <row r="16619">
          <cell r="B16619" t="str">
            <v>Shipment</v>
          </cell>
        </row>
        <row r="16620">
          <cell r="B16620" t="str">
            <v>Shipment</v>
          </cell>
        </row>
        <row r="16621">
          <cell r="B16621" t="str">
            <v>Shipment</v>
          </cell>
        </row>
        <row r="16622">
          <cell r="B16622" t="str">
            <v>Shipment</v>
          </cell>
        </row>
        <row r="16623">
          <cell r="B16623" t="str">
            <v>Shipment</v>
          </cell>
        </row>
        <row r="16624">
          <cell r="B16624" t="str">
            <v>Shipment</v>
          </cell>
        </row>
        <row r="16625">
          <cell r="B16625" t="str">
            <v>Shipment</v>
          </cell>
        </row>
        <row r="16626">
          <cell r="B16626" t="str">
            <v>Shipment</v>
          </cell>
        </row>
        <row r="16627">
          <cell r="B16627" t="str">
            <v>Shipment</v>
          </cell>
        </row>
        <row r="16628">
          <cell r="B16628" t="str">
            <v>Shipment</v>
          </cell>
        </row>
        <row r="16629">
          <cell r="B16629" t="str">
            <v>Shipment</v>
          </cell>
        </row>
        <row r="16630">
          <cell r="B16630" t="str">
            <v>Shipment</v>
          </cell>
        </row>
        <row r="16631">
          <cell r="B16631" t="str">
            <v>Shipment</v>
          </cell>
        </row>
        <row r="16632">
          <cell r="B16632" t="str">
            <v>Shipment</v>
          </cell>
        </row>
        <row r="16633">
          <cell r="B16633" t="str">
            <v>Shipment</v>
          </cell>
        </row>
        <row r="16634">
          <cell r="B16634" t="str">
            <v>Shipment</v>
          </cell>
        </row>
        <row r="16635">
          <cell r="B16635" t="str">
            <v>Shipment</v>
          </cell>
        </row>
        <row r="16636">
          <cell r="B16636" t="str">
            <v>Shipment</v>
          </cell>
        </row>
        <row r="16637">
          <cell r="B16637" t="str">
            <v>Shipment</v>
          </cell>
        </row>
        <row r="16638">
          <cell r="B16638" t="str">
            <v>Shipment</v>
          </cell>
        </row>
        <row r="16639">
          <cell r="B16639" t="str">
            <v>Shipment</v>
          </cell>
        </row>
        <row r="16640">
          <cell r="B16640" t="str">
            <v>Shipment</v>
          </cell>
        </row>
        <row r="16641">
          <cell r="B16641" t="str">
            <v>Shipment</v>
          </cell>
        </row>
        <row r="16642">
          <cell r="B16642" t="str">
            <v>Shipment</v>
          </cell>
        </row>
        <row r="16643">
          <cell r="B16643" t="str">
            <v>Shipment</v>
          </cell>
        </row>
        <row r="16644">
          <cell r="B16644" t="str">
            <v>Shipment</v>
          </cell>
        </row>
        <row r="16645">
          <cell r="B16645" t="str">
            <v>Shipment</v>
          </cell>
        </row>
        <row r="16646">
          <cell r="B16646" t="str">
            <v>Shipment</v>
          </cell>
        </row>
        <row r="16647">
          <cell r="B16647" t="str">
            <v>Shipment</v>
          </cell>
        </row>
        <row r="16648">
          <cell r="B16648" t="str">
            <v>Shipment</v>
          </cell>
        </row>
        <row r="16649">
          <cell r="B16649" t="str">
            <v>Shipment</v>
          </cell>
        </row>
        <row r="16650">
          <cell r="B16650" t="str">
            <v>Shipment</v>
          </cell>
        </row>
        <row r="16651">
          <cell r="B16651" t="str">
            <v>Shipment</v>
          </cell>
        </row>
        <row r="16652">
          <cell r="B16652" t="str">
            <v>Shipment</v>
          </cell>
        </row>
        <row r="16653">
          <cell r="B16653" t="str">
            <v>Shipment</v>
          </cell>
        </row>
        <row r="16654">
          <cell r="B16654" t="str">
            <v>Shipment</v>
          </cell>
        </row>
        <row r="16655">
          <cell r="B16655" t="str">
            <v>Shipment</v>
          </cell>
        </row>
        <row r="16656">
          <cell r="B16656" t="str">
            <v>Shipment</v>
          </cell>
        </row>
        <row r="16657">
          <cell r="B16657" t="str">
            <v>Shipment</v>
          </cell>
        </row>
        <row r="16658">
          <cell r="B16658" t="str">
            <v>Shipment</v>
          </cell>
        </row>
        <row r="16659">
          <cell r="B16659" t="str">
            <v>Shipment</v>
          </cell>
        </row>
        <row r="16660">
          <cell r="B16660" t="str">
            <v>Shipment</v>
          </cell>
        </row>
        <row r="16661">
          <cell r="B16661" t="str">
            <v>Shipment</v>
          </cell>
        </row>
        <row r="16662">
          <cell r="B16662" t="str">
            <v>Shipment</v>
          </cell>
        </row>
        <row r="16663">
          <cell r="B16663" t="str">
            <v>Shipment</v>
          </cell>
        </row>
        <row r="16664">
          <cell r="B16664" t="str">
            <v>Shipment</v>
          </cell>
        </row>
        <row r="16665">
          <cell r="B16665" t="str">
            <v>Shipment</v>
          </cell>
        </row>
        <row r="16666">
          <cell r="B16666" t="str">
            <v>Shipment</v>
          </cell>
        </row>
        <row r="16667">
          <cell r="B16667" t="str">
            <v>Shipment</v>
          </cell>
        </row>
        <row r="16668">
          <cell r="B16668" t="str">
            <v>Shipment</v>
          </cell>
        </row>
        <row r="16669">
          <cell r="B16669" t="str">
            <v>Shipment</v>
          </cell>
        </row>
        <row r="16670">
          <cell r="B16670" t="str">
            <v>Shipment</v>
          </cell>
        </row>
        <row r="16671">
          <cell r="B16671" t="str">
            <v>Shipment</v>
          </cell>
        </row>
        <row r="16672">
          <cell r="B16672" t="str">
            <v>Shipment</v>
          </cell>
        </row>
        <row r="16673">
          <cell r="B16673" t="str">
            <v>Shipment</v>
          </cell>
        </row>
        <row r="16674">
          <cell r="B16674" t="str">
            <v>Shipment</v>
          </cell>
        </row>
        <row r="16675">
          <cell r="B16675" t="str">
            <v>Shipment</v>
          </cell>
        </row>
        <row r="16676">
          <cell r="B16676" t="str">
            <v>Shipment</v>
          </cell>
        </row>
        <row r="16677">
          <cell r="B16677" t="str">
            <v>Shipment</v>
          </cell>
        </row>
        <row r="16678">
          <cell r="B16678" t="str">
            <v>Shipment</v>
          </cell>
        </row>
        <row r="16679">
          <cell r="B16679" t="str">
            <v>Shipment</v>
          </cell>
        </row>
        <row r="16680">
          <cell r="B16680" t="str">
            <v>Shipment</v>
          </cell>
        </row>
        <row r="16681">
          <cell r="B16681" t="str">
            <v>Shipment</v>
          </cell>
        </row>
        <row r="16682">
          <cell r="B16682" t="str">
            <v>Shipment</v>
          </cell>
        </row>
        <row r="16683">
          <cell r="B16683" t="str">
            <v>Shipment</v>
          </cell>
        </row>
        <row r="16684">
          <cell r="B16684" t="str">
            <v>Shipment</v>
          </cell>
        </row>
        <row r="16685">
          <cell r="B16685" t="str">
            <v>Shipment</v>
          </cell>
        </row>
        <row r="16686">
          <cell r="B16686" t="str">
            <v>Shipment</v>
          </cell>
        </row>
        <row r="16687">
          <cell r="B16687" t="str">
            <v>Shipment</v>
          </cell>
        </row>
        <row r="16688">
          <cell r="B16688" t="str">
            <v>Shipment</v>
          </cell>
        </row>
        <row r="16689">
          <cell r="B16689" t="str">
            <v>Shipment</v>
          </cell>
        </row>
        <row r="16690">
          <cell r="B16690" t="str">
            <v>Shipment</v>
          </cell>
        </row>
        <row r="16691">
          <cell r="B16691" t="str">
            <v>Shipment</v>
          </cell>
        </row>
        <row r="16692">
          <cell r="B16692" t="str">
            <v>Shipment</v>
          </cell>
        </row>
        <row r="16693">
          <cell r="B16693" t="str">
            <v>Shipment</v>
          </cell>
        </row>
        <row r="16694">
          <cell r="B16694" t="str">
            <v>Shipment</v>
          </cell>
        </row>
        <row r="16695">
          <cell r="B16695" t="str">
            <v>Shipment</v>
          </cell>
        </row>
        <row r="16696">
          <cell r="B16696" t="str">
            <v>Shipment</v>
          </cell>
        </row>
        <row r="16697">
          <cell r="B16697" t="str">
            <v>Shipment</v>
          </cell>
        </row>
        <row r="16698">
          <cell r="B16698" t="str">
            <v>Shipment</v>
          </cell>
        </row>
        <row r="16699">
          <cell r="B16699" t="str">
            <v>Shipment</v>
          </cell>
        </row>
        <row r="16700">
          <cell r="B16700" t="str">
            <v>Shipment</v>
          </cell>
        </row>
        <row r="16701">
          <cell r="B16701" t="str">
            <v>Shipment</v>
          </cell>
        </row>
        <row r="16702">
          <cell r="B16702" t="str">
            <v>Shipment</v>
          </cell>
        </row>
        <row r="16703">
          <cell r="B16703" t="str">
            <v>Shipment</v>
          </cell>
        </row>
        <row r="16704">
          <cell r="B16704" t="str">
            <v>Shipment</v>
          </cell>
        </row>
        <row r="16705">
          <cell r="B16705" t="str">
            <v>Shipment</v>
          </cell>
        </row>
        <row r="16706">
          <cell r="B16706" t="str">
            <v>Shipment</v>
          </cell>
        </row>
        <row r="16707">
          <cell r="B16707" t="str">
            <v>Shipment</v>
          </cell>
        </row>
        <row r="16708">
          <cell r="B16708" t="str">
            <v>Shipment</v>
          </cell>
        </row>
        <row r="16709">
          <cell r="B16709" t="str">
            <v>Shipment</v>
          </cell>
        </row>
        <row r="16710">
          <cell r="B16710" t="str">
            <v>Shipment</v>
          </cell>
        </row>
        <row r="16711">
          <cell r="B16711" t="str">
            <v>Shipment</v>
          </cell>
        </row>
        <row r="16712">
          <cell r="B16712" t="str">
            <v>Shipment</v>
          </cell>
        </row>
        <row r="16713">
          <cell r="B16713" t="str">
            <v>Shipment</v>
          </cell>
        </row>
        <row r="16714">
          <cell r="B16714" t="str">
            <v>Shipment</v>
          </cell>
        </row>
        <row r="16715">
          <cell r="B16715" t="str">
            <v>Shipment</v>
          </cell>
        </row>
        <row r="16716">
          <cell r="B16716" t="str">
            <v>Shipment</v>
          </cell>
        </row>
        <row r="16717">
          <cell r="B16717" t="str">
            <v>Shipment</v>
          </cell>
        </row>
        <row r="16718">
          <cell r="B16718" t="str">
            <v>Shipment</v>
          </cell>
        </row>
        <row r="16719">
          <cell r="B16719" t="str">
            <v>Shipment</v>
          </cell>
        </row>
        <row r="16720">
          <cell r="B16720" t="str">
            <v>Shipment</v>
          </cell>
        </row>
        <row r="16721">
          <cell r="B16721" t="str">
            <v>Shipment</v>
          </cell>
        </row>
        <row r="16722">
          <cell r="B16722" t="str">
            <v>Shipment</v>
          </cell>
        </row>
        <row r="16723">
          <cell r="B16723" t="str">
            <v>Shipment</v>
          </cell>
        </row>
        <row r="16724">
          <cell r="B16724" t="str">
            <v>Shipment</v>
          </cell>
        </row>
        <row r="16725">
          <cell r="B16725" t="str">
            <v>Shipment</v>
          </cell>
        </row>
        <row r="16726">
          <cell r="B16726" t="str">
            <v>Shipment</v>
          </cell>
        </row>
        <row r="16727">
          <cell r="B16727" t="str">
            <v>Shipment</v>
          </cell>
        </row>
        <row r="16728">
          <cell r="B16728" t="str">
            <v>Shipment</v>
          </cell>
        </row>
        <row r="16729">
          <cell r="B16729" t="str">
            <v>Shipment</v>
          </cell>
        </row>
        <row r="16730">
          <cell r="B16730" t="str">
            <v>Shipment</v>
          </cell>
        </row>
        <row r="16731">
          <cell r="B16731" t="str">
            <v>Shipment</v>
          </cell>
        </row>
        <row r="16732">
          <cell r="B16732" t="str">
            <v>Shipment</v>
          </cell>
        </row>
        <row r="16733">
          <cell r="B16733" t="str">
            <v>Shipment</v>
          </cell>
        </row>
        <row r="16734">
          <cell r="B16734" t="str">
            <v>Shipment</v>
          </cell>
        </row>
        <row r="16735">
          <cell r="B16735" t="str">
            <v>Shipment</v>
          </cell>
        </row>
        <row r="16736">
          <cell r="B16736" t="str">
            <v>Shipment</v>
          </cell>
        </row>
        <row r="16737">
          <cell r="B16737" t="str">
            <v>Shipment</v>
          </cell>
        </row>
        <row r="16738">
          <cell r="B16738" t="str">
            <v>Shipment</v>
          </cell>
        </row>
        <row r="16739">
          <cell r="B16739" t="str">
            <v>Shipment</v>
          </cell>
        </row>
        <row r="16740">
          <cell r="B16740" t="str">
            <v>Shipment</v>
          </cell>
        </row>
        <row r="16741">
          <cell r="B16741" t="str">
            <v>Shipment</v>
          </cell>
        </row>
        <row r="16742">
          <cell r="B16742" t="str">
            <v>Shipment</v>
          </cell>
        </row>
        <row r="16743">
          <cell r="B16743" t="str">
            <v>Shipment</v>
          </cell>
        </row>
        <row r="16744">
          <cell r="B16744" t="str">
            <v>Shipment</v>
          </cell>
        </row>
        <row r="16745">
          <cell r="B16745" t="str">
            <v>Shipment</v>
          </cell>
        </row>
        <row r="16746">
          <cell r="B16746" t="str">
            <v>Shipment</v>
          </cell>
        </row>
        <row r="16747">
          <cell r="B16747" t="str">
            <v>Shipment</v>
          </cell>
        </row>
        <row r="16748">
          <cell r="B16748" t="str">
            <v>Shipment</v>
          </cell>
        </row>
        <row r="16749">
          <cell r="B16749" t="str">
            <v>Shipment</v>
          </cell>
        </row>
        <row r="16750">
          <cell r="B16750" t="str">
            <v>Shipment</v>
          </cell>
        </row>
        <row r="16751">
          <cell r="B16751" t="str">
            <v>Shipment</v>
          </cell>
        </row>
        <row r="16752">
          <cell r="B16752" t="str">
            <v>Shipment</v>
          </cell>
        </row>
        <row r="16753">
          <cell r="B16753" t="str">
            <v>Shipment</v>
          </cell>
        </row>
        <row r="16754">
          <cell r="B16754" t="str">
            <v>Shipment</v>
          </cell>
        </row>
        <row r="16755">
          <cell r="B16755" t="str">
            <v>Shipment</v>
          </cell>
        </row>
        <row r="16756">
          <cell r="B16756" t="str">
            <v>Shipment</v>
          </cell>
        </row>
        <row r="16757">
          <cell r="B16757" t="str">
            <v>Shipment</v>
          </cell>
        </row>
        <row r="16758">
          <cell r="B16758" t="str">
            <v>Shipment</v>
          </cell>
        </row>
        <row r="16759">
          <cell r="B16759" t="str">
            <v>Shipment</v>
          </cell>
        </row>
        <row r="16760">
          <cell r="B16760" t="str">
            <v>Shipment</v>
          </cell>
        </row>
        <row r="16761">
          <cell r="B16761" t="str">
            <v>Shipment</v>
          </cell>
        </row>
        <row r="16762">
          <cell r="B16762" t="str">
            <v>Shipment</v>
          </cell>
        </row>
        <row r="16763">
          <cell r="B16763" t="str">
            <v>Shipment</v>
          </cell>
        </row>
        <row r="16764">
          <cell r="B16764" t="str">
            <v>Shipment</v>
          </cell>
        </row>
        <row r="16765">
          <cell r="B16765" t="str">
            <v>Shipment</v>
          </cell>
        </row>
        <row r="16766">
          <cell r="B16766" t="str">
            <v>Shipment</v>
          </cell>
        </row>
        <row r="16767">
          <cell r="B16767" t="str">
            <v>Shipment</v>
          </cell>
        </row>
        <row r="16768">
          <cell r="B16768" t="str">
            <v>Shipment</v>
          </cell>
        </row>
        <row r="16769">
          <cell r="B16769" t="str">
            <v>Shipment</v>
          </cell>
        </row>
        <row r="16770">
          <cell r="B16770" t="str">
            <v>Shipment</v>
          </cell>
        </row>
        <row r="16771">
          <cell r="B16771" t="str">
            <v>Shipment</v>
          </cell>
        </row>
        <row r="16772">
          <cell r="B16772" t="str">
            <v>Shipment</v>
          </cell>
        </row>
        <row r="16773">
          <cell r="B16773" t="str">
            <v>Shipment</v>
          </cell>
        </row>
        <row r="16774">
          <cell r="B16774" t="str">
            <v>Shipment</v>
          </cell>
        </row>
        <row r="16775">
          <cell r="B16775" t="str">
            <v>Shipment</v>
          </cell>
        </row>
        <row r="16776">
          <cell r="B16776" t="str">
            <v>Shipment</v>
          </cell>
        </row>
        <row r="16777">
          <cell r="B16777" t="str">
            <v>Shipment</v>
          </cell>
        </row>
        <row r="16778">
          <cell r="B16778" t="str">
            <v>Shipment</v>
          </cell>
        </row>
        <row r="16779">
          <cell r="B16779" t="str">
            <v>Shipment</v>
          </cell>
        </row>
        <row r="16780">
          <cell r="B16780" t="str">
            <v>Shipment</v>
          </cell>
        </row>
        <row r="16781">
          <cell r="B16781" t="str">
            <v>Shipment</v>
          </cell>
        </row>
        <row r="16782">
          <cell r="B16782" t="str">
            <v>Shipment</v>
          </cell>
        </row>
        <row r="16783">
          <cell r="B16783" t="str">
            <v>Shipment</v>
          </cell>
        </row>
        <row r="16784">
          <cell r="B16784" t="str">
            <v>Shipment</v>
          </cell>
        </row>
        <row r="16785">
          <cell r="B16785" t="str">
            <v>Shipment</v>
          </cell>
        </row>
        <row r="16786">
          <cell r="B16786" t="str">
            <v>Shipment</v>
          </cell>
        </row>
        <row r="16787">
          <cell r="B16787" t="str">
            <v>Shipment</v>
          </cell>
        </row>
        <row r="16788">
          <cell r="B16788" t="str">
            <v>Shipment</v>
          </cell>
        </row>
        <row r="16789">
          <cell r="B16789" t="str">
            <v>Shipment</v>
          </cell>
        </row>
        <row r="16790">
          <cell r="B16790" t="str">
            <v>Shipment</v>
          </cell>
        </row>
        <row r="16791">
          <cell r="B16791" t="str">
            <v>Shipment</v>
          </cell>
        </row>
        <row r="16792">
          <cell r="B16792" t="str">
            <v>Shipment</v>
          </cell>
        </row>
        <row r="16793">
          <cell r="B16793" t="str">
            <v>Shipment</v>
          </cell>
        </row>
        <row r="16794">
          <cell r="B16794" t="str">
            <v>Shipment</v>
          </cell>
        </row>
        <row r="16795">
          <cell r="B16795" t="str">
            <v>Shipment</v>
          </cell>
        </row>
        <row r="16796">
          <cell r="B16796" t="str">
            <v>Shipment</v>
          </cell>
        </row>
        <row r="16797">
          <cell r="B16797" t="str">
            <v>Shipment</v>
          </cell>
        </row>
        <row r="16798">
          <cell r="B16798" t="str">
            <v>Shipment</v>
          </cell>
        </row>
        <row r="16799">
          <cell r="B16799" t="str">
            <v>Shipment</v>
          </cell>
        </row>
        <row r="16800">
          <cell r="B16800" t="str">
            <v>Shipment</v>
          </cell>
        </row>
        <row r="16801">
          <cell r="B16801" t="str">
            <v>Shipment</v>
          </cell>
        </row>
        <row r="16802">
          <cell r="B16802" t="str">
            <v>Shipment</v>
          </cell>
        </row>
        <row r="16803">
          <cell r="B16803" t="str">
            <v>Shipment</v>
          </cell>
        </row>
        <row r="16804">
          <cell r="B16804" t="str">
            <v>Shipment</v>
          </cell>
        </row>
        <row r="16805">
          <cell r="B16805" t="str">
            <v>Shipment</v>
          </cell>
        </row>
        <row r="16806">
          <cell r="B16806" t="str">
            <v>Shipment</v>
          </cell>
        </row>
        <row r="16807">
          <cell r="B16807" t="str">
            <v>Shipment</v>
          </cell>
        </row>
        <row r="16808">
          <cell r="B16808" t="str">
            <v>Shipment</v>
          </cell>
        </row>
        <row r="16809">
          <cell r="B16809" t="str">
            <v>Shipment</v>
          </cell>
        </row>
        <row r="16810">
          <cell r="B16810" t="str">
            <v>Shipment</v>
          </cell>
        </row>
        <row r="16811">
          <cell r="B16811" t="str">
            <v>Shipment</v>
          </cell>
        </row>
        <row r="16812">
          <cell r="B16812" t="str">
            <v>Shipment</v>
          </cell>
        </row>
        <row r="16813">
          <cell r="B16813" t="str">
            <v>Shipment</v>
          </cell>
        </row>
        <row r="16814">
          <cell r="B16814" t="str">
            <v>Shipment</v>
          </cell>
        </row>
        <row r="16815">
          <cell r="B16815" t="str">
            <v>Shipment</v>
          </cell>
        </row>
        <row r="16816">
          <cell r="B16816" t="str">
            <v>Shipment</v>
          </cell>
        </row>
        <row r="16817">
          <cell r="B16817" t="str">
            <v>Shipment</v>
          </cell>
        </row>
        <row r="16818">
          <cell r="B16818" t="str">
            <v>Shipment</v>
          </cell>
        </row>
        <row r="16819">
          <cell r="B16819" t="str">
            <v>Shipment</v>
          </cell>
        </row>
        <row r="16820">
          <cell r="B16820" t="str">
            <v>Shipment</v>
          </cell>
        </row>
        <row r="16821">
          <cell r="B16821" t="str">
            <v>Shipment</v>
          </cell>
        </row>
        <row r="16822">
          <cell r="B16822" t="str">
            <v>Shipment</v>
          </cell>
        </row>
        <row r="16823">
          <cell r="B16823" t="str">
            <v>Shipment</v>
          </cell>
        </row>
        <row r="16824">
          <cell r="B16824" t="str">
            <v>Shipment</v>
          </cell>
        </row>
        <row r="16825">
          <cell r="B16825" t="str">
            <v>Shipment</v>
          </cell>
        </row>
        <row r="16826">
          <cell r="B16826" t="str">
            <v>Shipment</v>
          </cell>
        </row>
        <row r="16827">
          <cell r="B16827" t="str">
            <v>Shipment</v>
          </cell>
        </row>
        <row r="16828">
          <cell r="B16828" t="str">
            <v>Shipment</v>
          </cell>
        </row>
        <row r="16829">
          <cell r="B16829" t="str">
            <v>Shipment</v>
          </cell>
        </row>
        <row r="16830">
          <cell r="B16830" t="str">
            <v>Shipment</v>
          </cell>
        </row>
        <row r="16831">
          <cell r="B16831" t="str">
            <v>Shipment</v>
          </cell>
        </row>
        <row r="16832">
          <cell r="B16832" t="str">
            <v>Shipment</v>
          </cell>
        </row>
        <row r="16833">
          <cell r="B16833" t="str">
            <v>Shipment</v>
          </cell>
        </row>
        <row r="16834">
          <cell r="B16834" t="str">
            <v>Shipment</v>
          </cell>
        </row>
        <row r="16835">
          <cell r="B16835" t="str">
            <v>Shipment</v>
          </cell>
        </row>
        <row r="16836">
          <cell r="B16836" t="str">
            <v>Shipment</v>
          </cell>
        </row>
        <row r="16837">
          <cell r="B16837" t="str">
            <v>Shipment</v>
          </cell>
        </row>
        <row r="16838">
          <cell r="B16838" t="str">
            <v>Shipment</v>
          </cell>
        </row>
        <row r="16839">
          <cell r="B16839" t="str">
            <v>Shipment</v>
          </cell>
        </row>
        <row r="16840">
          <cell r="B16840" t="str">
            <v>Shipment</v>
          </cell>
        </row>
        <row r="16841">
          <cell r="B16841" t="str">
            <v>Shipment</v>
          </cell>
        </row>
        <row r="16842">
          <cell r="B16842" t="str">
            <v>Shipment</v>
          </cell>
        </row>
        <row r="16843">
          <cell r="B16843" t="str">
            <v>Shipment</v>
          </cell>
        </row>
        <row r="16844">
          <cell r="B16844" t="str">
            <v>Shipment</v>
          </cell>
        </row>
        <row r="16845">
          <cell r="B16845" t="str">
            <v>Shipment</v>
          </cell>
        </row>
        <row r="16846">
          <cell r="B16846" t="str">
            <v>Shipment</v>
          </cell>
        </row>
        <row r="16847">
          <cell r="B16847" t="str">
            <v>Shipment</v>
          </cell>
        </row>
        <row r="16848">
          <cell r="B16848" t="str">
            <v>Shipment</v>
          </cell>
        </row>
        <row r="16849">
          <cell r="B16849" t="str">
            <v>Shipment</v>
          </cell>
        </row>
        <row r="16850">
          <cell r="B16850" t="str">
            <v>Shipment</v>
          </cell>
        </row>
        <row r="16851">
          <cell r="B16851" t="str">
            <v>Shipment</v>
          </cell>
        </row>
        <row r="16852">
          <cell r="B16852" t="str">
            <v>Shipment</v>
          </cell>
        </row>
        <row r="16853">
          <cell r="B16853" t="str">
            <v>Shipment</v>
          </cell>
        </row>
        <row r="16854">
          <cell r="B16854" t="str">
            <v>Shipment</v>
          </cell>
        </row>
        <row r="16855">
          <cell r="B16855" t="str">
            <v>Shipment</v>
          </cell>
        </row>
        <row r="16856">
          <cell r="B16856" t="str">
            <v>Shipment</v>
          </cell>
        </row>
        <row r="16857">
          <cell r="B16857" t="str">
            <v>Shipment</v>
          </cell>
        </row>
        <row r="16858">
          <cell r="B16858" t="str">
            <v>Shipment</v>
          </cell>
        </row>
        <row r="16859">
          <cell r="B16859" t="str">
            <v>Shipment</v>
          </cell>
        </row>
        <row r="16860">
          <cell r="B16860" t="str">
            <v>Shipment</v>
          </cell>
        </row>
        <row r="16861">
          <cell r="B16861" t="str">
            <v>Shipment</v>
          </cell>
        </row>
        <row r="16862">
          <cell r="B16862" t="str">
            <v>Shipment</v>
          </cell>
        </row>
        <row r="16863">
          <cell r="B16863" t="str">
            <v>Shipment</v>
          </cell>
        </row>
        <row r="16864">
          <cell r="B16864" t="str">
            <v>Shipment</v>
          </cell>
        </row>
        <row r="16865">
          <cell r="B16865" t="str">
            <v>Shipment</v>
          </cell>
        </row>
        <row r="16866">
          <cell r="B16866" t="str">
            <v>Shipment</v>
          </cell>
        </row>
        <row r="16867">
          <cell r="B16867" t="str">
            <v>Shipment</v>
          </cell>
        </row>
        <row r="16868">
          <cell r="B16868" t="str">
            <v>Shipment</v>
          </cell>
        </row>
        <row r="16869">
          <cell r="B16869" t="str">
            <v>Shipment</v>
          </cell>
        </row>
        <row r="16870">
          <cell r="B16870" t="str">
            <v>Shipment</v>
          </cell>
        </row>
        <row r="16871">
          <cell r="B16871" t="str">
            <v>Shipment</v>
          </cell>
        </row>
        <row r="16872">
          <cell r="B16872" t="str">
            <v>Shipment</v>
          </cell>
        </row>
        <row r="16873">
          <cell r="B16873" t="str">
            <v>Shipment</v>
          </cell>
        </row>
        <row r="16874">
          <cell r="B16874" t="str">
            <v>Shipment</v>
          </cell>
        </row>
        <row r="16875">
          <cell r="B16875" t="str">
            <v>Shipment</v>
          </cell>
        </row>
        <row r="16876">
          <cell r="B16876" t="str">
            <v>Shipment</v>
          </cell>
        </row>
        <row r="16877">
          <cell r="B16877" t="str">
            <v>Shipment</v>
          </cell>
        </row>
        <row r="16878">
          <cell r="B16878" t="str">
            <v>Shipment</v>
          </cell>
        </row>
        <row r="16879">
          <cell r="B16879" t="str">
            <v>Shipment</v>
          </cell>
        </row>
        <row r="16880">
          <cell r="B16880" t="str">
            <v>Shipment</v>
          </cell>
        </row>
        <row r="16881">
          <cell r="B16881" t="str">
            <v>Shipment</v>
          </cell>
        </row>
        <row r="16882">
          <cell r="B16882" t="str">
            <v>Shipment</v>
          </cell>
        </row>
        <row r="16883">
          <cell r="B16883" t="str">
            <v>Shipment</v>
          </cell>
        </row>
        <row r="16884">
          <cell r="B16884" t="str">
            <v>Shipment</v>
          </cell>
        </row>
        <row r="16885">
          <cell r="B16885" t="str">
            <v>Shipment</v>
          </cell>
        </row>
        <row r="16886">
          <cell r="B16886" t="str">
            <v>Shipment</v>
          </cell>
        </row>
        <row r="16887">
          <cell r="B16887" t="str">
            <v>Shipment</v>
          </cell>
        </row>
        <row r="16888">
          <cell r="B16888" t="str">
            <v>Shipment</v>
          </cell>
        </row>
        <row r="16889">
          <cell r="B16889" t="str">
            <v>Shipment</v>
          </cell>
        </row>
        <row r="16890">
          <cell r="B16890" t="str">
            <v>Shipment</v>
          </cell>
        </row>
        <row r="16891">
          <cell r="B16891" t="str">
            <v>Shipment</v>
          </cell>
        </row>
        <row r="16892">
          <cell r="B16892" t="str">
            <v>Shipment</v>
          </cell>
        </row>
        <row r="16893">
          <cell r="B16893" t="str">
            <v>Shipment</v>
          </cell>
        </row>
        <row r="16894">
          <cell r="B16894" t="str">
            <v>Shipment</v>
          </cell>
        </row>
        <row r="16895">
          <cell r="B16895" t="str">
            <v>Shipment</v>
          </cell>
        </row>
        <row r="16896">
          <cell r="B16896" t="str">
            <v>Shipment</v>
          </cell>
        </row>
        <row r="16897">
          <cell r="B16897" t="str">
            <v>Shipment</v>
          </cell>
        </row>
        <row r="16898">
          <cell r="B16898" t="str">
            <v>Shipment</v>
          </cell>
        </row>
        <row r="16899">
          <cell r="B16899" t="str">
            <v>Shipment</v>
          </cell>
        </row>
        <row r="16900">
          <cell r="B16900" t="str">
            <v>Shipment</v>
          </cell>
        </row>
        <row r="16901">
          <cell r="B16901" t="str">
            <v>Shipment</v>
          </cell>
        </row>
        <row r="16902">
          <cell r="B16902" t="str">
            <v>Shipment</v>
          </cell>
        </row>
        <row r="16903">
          <cell r="B16903" t="str">
            <v>Shipment</v>
          </cell>
        </row>
        <row r="16904">
          <cell r="B16904" t="str">
            <v>Shipment</v>
          </cell>
        </row>
        <row r="16905">
          <cell r="B16905" t="str">
            <v>Shipment</v>
          </cell>
        </row>
        <row r="16906">
          <cell r="B16906" t="str">
            <v>Shipment</v>
          </cell>
        </row>
        <row r="16907">
          <cell r="B16907" t="str">
            <v>Shipment</v>
          </cell>
        </row>
        <row r="16908">
          <cell r="B16908" t="str">
            <v>Shipment</v>
          </cell>
        </row>
        <row r="16909">
          <cell r="B16909" t="str">
            <v>Shipment</v>
          </cell>
        </row>
        <row r="16910">
          <cell r="B16910" t="str">
            <v>Shipment</v>
          </cell>
        </row>
        <row r="16911">
          <cell r="B16911" t="str">
            <v>Shipment</v>
          </cell>
        </row>
        <row r="16912">
          <cell r="B16912" t="str">
            <v>Shipment</v>
          </cell>
        </row>
        <row r="16913">
          <cell r="B16913" t="str">
            <v>Shipment</v>
          </cell>
        </row>
        <row r="16914">
          <cell r="B16914" t="str">
            <v>Shipment</v>
          </cell>
        </row>
        <row r="16915">
          <cell r="B16915" t="str">
            <v>Shipment</v>
          </cell>
        </row>
        <row r="16916">
          <cell r="B16916" t="str">
            <v>Shipment</v>
          </cell>
        </row>
        <row r="16917">
          <cell r="B16917" t="str">
            <v>Shipment</v>
          </cell>
        </row>
        <row r="16918">
          <cell r="B16918" t="str">
            <v>Shipment</v>
          </cell>
        </row>
        <row r="16919">
          <cell r="B16919" t="str">
            <v>Shipment</v>
          </cell>
        </row>
        <row r="16920">
          <cell r="B16920" t="str">
            <v>Shipment</v>
          </cell>
        </row>
        <row r="16921">
          <cell r="B16921" t="str">
            <v>Shipment</v>
          </cell>
        </row>
        <row r="16922">
          <cell r="B16922" t="str">
            <v>Shipment</v>
          </cell>
        </row>
        <row r="16923">
          <cell r="B16923" t="str">
            <v>Shipment</v>
          </cell>
        </row>
        <row r="16924">
          <cell r="B16924" t="str">
            <v>Shipment</v>
          </cell>
        </row>
        <row r="16925">
          <cell r="B16925" t="str">
            <v>Shipment</v>
          </cell>
        </row>
        <row r="16926">
          <cell r="B16926" t="str">
            <v>Shipment</v>
          </cell>
        </row>
        <row r="16927">
          <cell r="B16927" t="str">
            <v>Shipment</v>
          </cell>
        </row>
        <row r="16928">
          <cell r="B16928" t="str">
            <v>Shipment</v>
          </cell>
        </row>
        <row r="16929">
          <cell r="B16929" t="str">
            <v>Shipment</v>
          </cell>
        </row>
        <row r="16930">
          <cell r="B16930" t="str">
            <v>Shipment</v>
          </cell>
        </row>
        <row r="16931">
          <cell r="B16931" t="str">
            <v>Shipment</v>
          </cell>
        </row>
        <row r="16932">
          <cell r="B16932" t="str">
            <v>Shipment</v>
          </cell>
        </row>
        <row r="16933">
          <cell r="B16933" t="str">
            <v>Shipment</v>
          </cell>
        </row>
        <row r="16934">
          <cell r="B16934" t="str">
            <v>Shipment</v>
          </cell>
        </row>
        <row r="16935">
          <cell r="B16935" t="str">
            <v>Shipment</v>
          </cell>
        </row>
        <row r="16936">
          <cell r="B16936" t="str">
            <v>Shipment</v>
          </cell>
        </row>
        <row r="16937">
          <cell r="B16937" t="str">
            <v>Shipment</v>
          </cell>
        </row>
        <row r="16938">
          <cell r="B16938" t="str">
            <v>Shipment</v>
          </cell>
        </row>
        <row r="16939">
          <cell r="B16939" t="str">
            <v>Shipment</v>
          </cell>
        </row>
        <row r="16940">
          <cell r="B16940" t="str">
            <v>Shipment</v>
          </cell>
        </row>
        <row r="16941">
          <cell r="B16941" t="str">
            <v>Shipment</v>
          </cell>
        </row>
        <row r="16942">
          <cell r="B16942" t="str">
            <v>Shipment</v>
          </cell>
        </row>
        <row r="16943">
          <cell r="B16943" t="str">
            <v>Shipment</v>
          </cell>
        </row>
        <row r="16944">
          <cell r="B16944" t="str">
            <v>Shipment</v>
          </cell>
        </row>
        <row r="16945">
          <cell r="B16945" t="str">
            <v>Shipment</v>
          </cell>
        </row>
        <row r="16946">
          <cell r="B16946" t="str">
            <v>Shipment</v>
          </cell>
        </row>
        <row r="16947">
          <cell r="B16947" t="str">
            <v>Shipment</v>
          </cell>
        </row>
        <row r="16948">
          <cell r="B16948" t="str">
            <v>Shipment</v>
          </cell>
        </row>
        <row r="16949">
          <cell r="B16949" t="str">
            <v>Shipment</v>
          </cell>
        </row>
        <row r="16950">
          <cell r="B16950" t="str">
            <v>Shipment</v>
          </cell>
        </row>
        <row r="16951">
          <cell r="B16951" t="str">
            <v>Shipment</v>
          </cell>
        </row>
        <row r="16952">
          <cell r="B16952" t="str">
            <v>Shipment</v>
          </cell>
        </row>
        <row r="16953">
          <cell r="B16953" t="str">
            <v>Shipment</v>
          </cell>
        </row>
        <row r="16954">
          <cell r="B16954" t="str">
            <v>Shipment</v>
          </cell>
        </row>
        <row r="16955">
          <cell r="B16955" t="str">
            <v>Shipment</v>
          </cell>
        </row>
        <row r="16956">
          <cell r="B16956" t="str">
            <v>Shipment</v>
          </cell>
        </row>
        <row r="16957">
          <cell r="B16957" t="str">
            <v>Shipment</v>
          </cell>
        </row>
        <row r="16958">
          <cell r="B16958" t="str">
            <v>Shipment</v>
          </cell>
        </row>
        <row r="16959">
          <cell r="B16959" t="str">
            <v>Shipment</v>
          </cell>
        </row>
        <row r="16960">
          <cell r="B16960" t="str">
            <v>Shipment</v>
          </cell>
        </row>
        <row r="16961">
          <cell r="B16961" t="str">
            <v>Shipment</v>
          </cell>
        </row>
        <row r="16962">
          <cell r="B16962" t="str">
            <v>Shipment</v>
          </cell>
        </row>
        <row r="16963">
          <cell r="B16963" t="str">
            <v>Shipment</v>
          </cell>
        </row>
        <row r="16964">
          <cell r="B16964" t="str">
            <v>Shipment</v>
          </cell>
        </row>
        <row r="16965">
          <cell r="B16965" t="str">
            <v>Shipment</v>
          </cell>
        </row>
        <row r="16966">
          <cell r="B16966" t="str">
            <v>Shipment</v>
          </cell>
        </row>
        <row r="16967">
          <cell r="B16967" t="str">
            <v>Shipment</v>
          </cell>
        </row>
        <row r="16968">
          <cell r="B16968" t="str">
            <v>Shipment</v>
          </cell>
        </row>
        <row r="16969">
          <cell r="B16969" t="str">
            <v>Shipment</v>
          </cell>
        </row>
        <row r="16970">
          <cell r="B16970" t="str">
            <v>Shipment</v>
          </cell>
        </row>
        <row r="16971">
          <cell r="B16971" t="str">
            <v>Shipment</v>
          </cell>
        </row>
        <row r="16972">
          <cell r="B16972" t="str">
            <v>Shipment</v>
          </cell>
        </row>
        <row r="16973">
          <cell r="B16973" t="str">
            <v>Shipment</v>
          </cell>
        </row>
        <row r="16974">
          <cell r="B16974" t="str">
            <v>Shipment</v>
          </cell>
        </row>
        <row r="16975">
          <cell r="B16975" t="str">
            <v>Shipment</v>
          </cell>
        </row>
        <row r="16976">
          <cell r="B16976" t="str">
            <v>Shipment</v>
          </cell>
        </row>
        <row r="16977">
          <cell r="B16977" t="str">
            <v>Shipment</v>
          </cell>
        </row>
        <row r="16978">
          <cell r="B16978" t="str">
            <v>Shipment</v>
          </cell>
        </row>
        <row r="16979">
          <cell r="B16979" t="str">
            <v>Shipment</v>
          </cell>
        </row>
        <row r="16980">
          <cell r="B16980" t="str">
            <v>Shipment</v>
          </cell>
        </row>
        <row r="16981">
          <cell r="B16981" t="str">
            <v>Shipment</v>
          </cell>
        </row>
        <row r="16982">
          <cell r="B16982" t="str">
            <v>Shipment</v>
          </cell>
        </row>
        <row r="16983">
          <cell r="B16983" t="str">
            <v>Shipment</v>
          </cell>
        </row>
        <row r="16984">
          <cell r="B16984" t="str">
            <v>Shipment</v>
          </cell>
        </row>
        <row r="16985">
          <cell r="B16985" t="str">
            <v>Shipment</v>
          </cell>
        </row>
        <row r="16986">
          <cell r="B16986" t="str">
            <v>Shipment</v>
          </cell>
        </row>
        <row r="16987">
          <cell r="B16987" t="str">
            <v>Shipment</v>
          </cell>
        </row>
        <row r="16988">
          <cell r="B16988" t="str">
            <v>Shipment</v>
          </cell>
        </row>
        <row r="16989">
          <cell r="B16989" t="str">
            <v>Shipment</v>
          </cell>
        </row>
        <row r="16990">
          <cell r="B16990" t="str">
            <v>Shipment</v>
          </cell>
        </row>
        <row r="16991">
          <cell r="B16991" t="str">
            <v>Shipment</v>
          </cell>
        </row>
        <row r="16992">
          <cell r="B16992" t="str">
            <v>Shipment</v>
          </cell>
        </row>
        <row r="16993">
          <cell r="B16993" t="str">
            <v>Shipment</v>
          </cell>
        </row>
        <row r="16994">
          <cell r="B16994" t="str">
            <v>Shipment</v>
          </cell>
        </row>
        <row r="16995">
          <cell r="B16995" t="str">
            <v>Shipment</v>
          </cell>
        </row>
        <row r="16996">
          <cell r="B16996" t="str">
            <v>Shipment</v>
          </cell>
        </row>
        <row r="16997">
          <cell r="B16997" t="str">
            <v>Shipment</v>
          </cell>
        </row>
        <row r="16998">
          <cell r="B16998" t="str">
            <v>Shipment</v>
          </cell>
        </row>
        <row r="16999">
          <cell r="B16999" t="str">
            <v>Shipment</v>
          </cell>
        </row>
        <row r="17000">
          <cell r="B17000" t="str">
            <v>Shipment</v>
          </cell>
        </row>
        <row r="17001">
          <cell r="B17001" t="str">
            <v>Shipment</v>
          </cell>
        </row>
        <row r="17002">
          <cell r="B17002" t="str">
            <v>Shipment</v>
          </cell>
        </row>
        <row r="17003">
          <cell r="B17003" t="str">
            <v>Shipment</v>
          </cell>
        </row>
        <row r="17004">
          <cell r="B17004" t="str">
            <v>Shipment</v>
          </cell>
        </row>
        <row r="17005">
          <cell r="B17005" t="str">
            <v>Shipment</v>
          </cell>
        </row>
        <row r="17006">
          <cell r="B17006" t="str">
            <v>Shipment</v>
          </cell>
        </row>
        <row r="17007">
          <cell r="B17007" t="str">
            <v>Shipment</v>
          </cell>
        </row>
        <row r="17008">
          <cell r="B17008" t="str">
            <v>Shipment</v>
          </cell>
        </row>
        <row r="17009">
          <cell r="B17009" t="str">
            <v>Shipment</v>
          </cell>
        </row>
        <row r="17010">
          <cell r="B17010" t="str">
            <v>Shipment</v>
          </cell>
        </row>
        <row r="17011">
          <cell r="B17011" t="str">
            <v>Shipment</v>
          </cell>
        </row>
        <row r="17012">
          <cell r="B17012" t="str">
            <v>Shipment</v>
          </cell>
        </row>
        <row r="17013">
          <cell r="B17013" t="str">
            <v>Shipment</v>
          </cell>
        </row>
        <row r="17014">
          <cell r="B17014" t="str">
            <v>Shipment</v>
          </cell>
        </row>
        <row r="17015">
          <cell r="B17015" t="str">
            <v>Shipment</v>
          </cell>
        </row>
        <row r="17016">
          <cell r="B17016" t="str">
            <v>Shipment</v>
          </cell>
        </row>
        <row r="17017">
          <cell r="B17017" t="str">
            <v>Shipment</v>
          </cell>
        </row>
        <row r="17018">
          <cell r="B17018" t="str">
            <v>Shipment</v>
          </cell>
        </row>
        <row r="17019">
          <cell r="B17019" t="str">
            <v>Shipment</v>
          </cell>
        </row>
        <row r="17020">
          <cell r="B17020" t="str">
            <v>Shipment</v>
          </cell>
        </row>
        <row r="17021">
          <cell r="B17021" t="str">
            <v>Shipment</v>
          </cell>
        </row>
        <row r="17022">
          <cell r="B17022" t="str">
            <v>Shipment</v>
          </cell>
        </row>
        <row r="17023">
          <cell r="B17023" t="str">
            <v>Shipment</v>
          </cell>
        </row>
        <row r="17024">
          <cell r="B17024" t="str">
            <v>Shipment</v>
          </cell>
        </row>
        <row r="17025">
          <cell r="B17025" t="str">
            <v>Shipment</v>
          </cell>
        </row>
        <row r="17026">
          <cell r="B17026" t="str">
            <v>Shipment</v>
          </cell>
        </row>
        <row r="17027">
          <cell r="B17027" t="str">
            <v>Shipment</v>
          </cell>
        </row>
        <row r="17028">
          <cell r="B17028" t="str">
            <v>Shipment</v>
          </cell>
        </row>
        <row r="17029">
          <cell r="B17029" t="str">
            <v>Shipment</v>
          </cell>
        </row>
        <row r="17030">
          <cell r="B17030" t="str">
            <v>Shipment</v>
          </cell>
        </row>
        <row r="17031">
          <cell r="B17031" t="str">
            <v>Shipment</v>
          </cell>
        </row>
        <row r="17032">
          <cell r="B17032" t="str">
            <v>Shipment</v>
          </cell>
        </row>
        <row r="17033">
          <cell r="B17033" t="str">
            <v>Shipment</v>
          </cell>
        </row>
        <row r="17034">
          <cell r="B17034" t="str">
            <v>Shipment</v>
          </cell>
        </row>
        <row r="17035">
          <cell r="B17035" t="str">
            <v>Shipment</v>
          </cell>
        </row>
        <row r="17036">
          <cell r="B17036" t="str">
            <v>Shipment</v>
          </cell>
        </row>
        <row r="17037">
          <cell r="B17037" t="str">
            <v>Shipment</v>
          </cell>
        </row>
        <row r="17038">
          <cell r="B17038" t="str">
            <v>Shipment</v>
          </cell>
        </row>
        <row r="17039">
          <cell r="B17039" t="str">
            <v>Shipment</v>
          </cell>
        </row>
        <row r="17040">
          <cell r="B17040" t="str">
            <v>Shipment</v>
          </cell>
        </row>
        <row r="17041">
          <cell r="B17041" t="str">
            <v>Shipment</v>
          </cell>
        </row>
        <row r="17042">
          <cell r="B17042" t="str">
            <v>Shipment</v>
          </cell>
        </row>
        <row r="17043">
          <cell r="B17043" t="str">
            <v>Shipment</v>
          </cell>
        </row>
        <row r="17044">
          <cell r="B17044" t="str">
            <v>Shipment</v>
          </cell>
        </row>
        <row r="17045">
          <cell r="B17045" t="str">
            <v>Shipment</v>
          </cell>
        </row>
        <row r="17046">
          <cell r="B17046" t="str">
            <v>Shipment</v>
          </cell>
        </row>
        <row r="17047">
          <cell r="B17047" t="str">
            <v>Shipment</v>
          </cell>
        </row>
        <row r="17048">
          <cell r="B17048" t="str">
            <v>Shipment</v>
          </cell>
        </row>
        <row r="17049">
          <cell r="B17049" t="str">
            <v>Shipment</v>
          </cell>
        </row>
        <row r="17050">
          <cell r="B17050" t="str">
            <v>Shipment</v>
          </cell>
        </row>
        <row r="17051">
          <cell r="B17051" t="str">
            <v>Shipment</v>
          </cell>
        </row>
        <row r="17052">
          <cell r="B17052" t="str">
            <v>Shipment</v>
          </cell>
        </row>
        <row r="17053">
          <cell r="B17053" t="str">
            <v>Shipment</v>
          </cell>
        </row>
        <row r="17054">
          <cell r="B17054" t="str">
            <v>Shipment</v>
          </cell>
        </row>
        <row r="17055">
          <cell r="B17055" t="str">
            <v>Shipment</v>
          </cell>
        </row>
        <row r="17056">
          <cell r="B17056" t="str">
            <v>Shipment</v>
          </cell>
        </row>
        <row r="17057">
          <cell r="B17057" t="str">
            <v>Shipment</v>
          </cell>
        </row>
        <row r="17058">
          <cell r="B17058" t="str">
            <v>Shipment</v>
          </cell>
        </row>
        <row r="17059">
          <cell r="B17059" t="str">
            <v>Shipment</v>
          </cell>
        </row>
        <row r="17060">
          <cell r="B17060" t="str">
            <v>Shipment</v>
          </cell>
        </row>
        <row r="17061">
          <cell r="B17061" t="str">
            <v>Shipment</v>
          </cell>
        </row>
        <row r="17062">
          <cell r="B17062" t="str">
            <v>Shipment</v>
          </cell>
        </row>
        <row r="17063">
          <cell r="B17063" t="str">
            <v>Shipment</v>
          </cell>
        </row>
        <row r="17064">
          <cell r="B17064" t="str">
            <v>Shipment</v>
          </cell>
        </row>
        <row r="17065">
          <cell r="B17065" t="str">
            <v>Shipment</v>
          </cell>
        </row>
        <row r="17066">
          <cell r="B17066" t="str">
            <v>Shipment</v>
          </cell>
        </row>
        <row r="17067">
          <cell r="B17067" t="str">
            <v>Shipment</v>
          </cell>
        </row>
        <row r="17068">
          <cell r="B17068" t="str">
            <v>Shipment</v>
          </cell>
        </row>
        <row r="17069">
          <cell r="B17069" t="str">
            <v>Shipment</v>
          </cell>
        </row>
        <row r="17070">
          <cell r="B17070" t="str">
            <v>Shipment</v>
          </cell>
        </row>
        <row r="17071">
          <cell r="B17071" t="str">
            <v>Shipment</v>
          </cell>
        </row>
        <row r="17072">
          <cell r="B17072" t="str">
            <v>Shipment</v>
          </cell>
        </row>
        <row r="17073">
          <cell r="B17073" t="str">
            <v>Shipment</v>
          </cell>
        </row>
        <row r="17074">
          <cell r="B17074" t="str">
            <v>Shipment</v>
          </cell>
        </row>
        <row r="17075">
          <cell r="B17075" t="str">
            <v>Shipment</v>
          </cell>
        </row>
        <row r="17076">
          <cell r="B17076" t="str">
            <v>Shipment</v>
          </cell>
        </row>
        <row r="17077">
          <cell r="B17077" t="str">
            <v>Shipment</v>
          </cell>
        </row>
        <row r="17078">
          <cell r="B17078" t="str">
            <v>Shipment</v>
          </cell>
        </row>
        <row r="17079">
          <cell r="B17079" t="str">
            <v>Shipment</v>
          </cell>
        </row>
        <row r="17080">
          <cell r="B17080" t="str">
            <v>Shipment</v>
          </cell>
        </row>
        <row r="17081">
          <cell r="B17081" t="str">
            <v>Shipment</v>
          </cell>
        </row>
        <row r="17082">
          <cell r="B17082" t="str">
            <v>Shipment</v>
          </cell>
        </row>
        <row r="17083">
          <cell r="B17083" t="str">
            <v>Shipment</v>
          </cell>
        </row>
        <row r="17084">
          <cell r="B17084" t="str">
            <v>Shipment</v>
          </cell>
        </row>
        <row r="17085">
          <cell r="B17085" t="str">
            <v>Shipment</v>
          </cell>
        </row>
        <row r="17086">
          <cell r="B17086" t="str">
            <v>Shipment</v>
          </cell>
        </row>
        <row r="17087">
          <cell r="B17087" t="str">
            <v>Shipment</v>
          </cell>
        </row>
        <row r="17088">
          <cell r="B17088" t="str">
            <v>Shipment</v>
          </cell>
        </row>
        <row r="17089">
          <cell r="B17089" t="str">
            <v>Shipment</v>
          </cell>
        </row>
        <row r="17090">
          <cell r="B17090" t="str">
            <v>Shipment</v>
          </cell>
        </row>
        <row r="17091">
          <cell r="B17091" t="str">
            <v>Shipment</v>
          </cell>
        </row>
        <row r="17092">
          <cell r="B17092" t="str">
            <v>Shipment</v>
          </cell>
        </row>
        <row r="17093">
          <cell r="B17093" t="str">
            <v>Shipment</v>
          </cell>
        </row>
        <row r="17094">
          <cell r="B17094" t="str">
            <v>Shipment</v>
          </cell>
        </row>
        <row r="17095">
          <cell r="B17095" t="str">
            <v>Shipment</v>
          </cell>
        </row>
        <row r="17096">
          <cell r="B17096" t="str">
            <v>Shipment</v>
          </cell>
        </row>
        <row r="17097">
          <cell r="B17097" t="str">
            <v>Shipment</v>
          </cell>
        </row>
        <row r="17098">
          <cell r="B17098" t="str">
            <v>Shipment</v>
          </cell>
        </row>
        <row r="17099">
          <cell r="B17099" t="str">
            <v>Shipment</v>
          </cell>
        </row>
        <row r="17100">
          <cell r="B17100" t="str">
            <v>Shipment</v>
          </cell>
        </row>
        <row r="17101">
          <cell r="B17101" t="str">
            <v>Shipment</v>
          </cell>
        </row>
        <row r="17102">
          <cell r="B17102" t="str">
            <v>Shipment</v>
          </cell>
        </row>
        <row r="17103">
          <cell r="B17103" t="str">
            <v>Shipment</v>
          </cell>
        </row>
        <row r="17104">
          <cell r="B17104" t="str">
            <v>Shipment</v>
          </cell>
        </row>
        <row r="17105">
          <cell r="B17105" t="str">
            <v>Shipment</v>
          </cell>
        </row>
        <row r="17106">
          <cell r="B17106" t="str">
            <v>Shipment</v>
          </cell>
        </row>
        <row r="17107">
          <cell r="B17107" t="str">
            <v>Shipment</v>
          </cell>
        </row>
        <row r="17108">
          <cell r="B17108" t="str">
            <v>Shipment</v>
          </cell>
        </row>
        <row r="17109">
          <cell r="B17109" t="str">
            <v>Shipment</v>
          </cell>
        </row>
        <row r="17110">
          <cell r="B17110" t="str">
            <v>Shipment</v>
          </cell>
        </row>
        <row r="17111">
          <cell r="B17111" t="str">
            <v>Shipment</v>
          </cell>
        </row>
        <row r="17112">
          <cell r="B17112" t="str">
            <v>Shipment</v>
          </cell>
        </row>
        <row r="17113">
          <cell r="B17113" t="str">
            <v>Shipment</v>
          </cell>
        </row>
        <row r="17114">
          <cell r="B17114" t="str">
            <v>Shipment</v>
          </cell>
        </row>
        <row r="17115">
          <cell r="B17115" t="str">
            <v>Shipment</v>
          </cell>
        </row>
        <row r="17116">
          <cell r="B17116" t="str">
            <v>Shipment</v>
          </cell>
        </row>
        <row r="17117">
          <cell r="B17117" t="str">
            <v>Shipment</v>
          </cell>
        </row>
        <row r="17118">
          <cell r="B17118" t="str">
            <v>Shipment</v>
          </cell>
        </row>
        <row r="17119">
          <cell r="B17119" t="str">
            <v>Shipment</v>
          </cell>
        </row>
        <row r="17120">
          <cell r="B17120" t="str">
            <v>Shipment</v>
          </cell>
        </row>
        <row r="17121">
          <cell r="B17121" t="str">
            <v>Shipment</v>
          </cell>
        </row>
        <row r="17122">
          <cell r="B17122" t="str">
            <v>Shipment</v>
          </cell>
        </row>
        <row r="17123">
          <cell r="B17123" t="str">
            <v>Shipment</v>
          </cell>
        </row>
        <row r="17124">
          <cell r="B17124" t="str">
            <v>Shipment</v>
          </cell>
        </row>
        <row r="17125">
          <cell r="B17125" t="str">
            <v>Shipment</v>
          </cell>
        </row>
        <row r="17126">
          <cell r="B17126" t="str">
            <v>Shipment</v>
          </cell>
        </row>
        <row r="17127">
          <cell r="B17127" t="str">
            <v>Shipment</v>
          </cell>
        </row>
        <row r="17128">
          <cell r="B17128" t="str">
            <v>Shipment</v>
          </cell>
        </row>
        <row r="17129">
          <cell r="B17129" t="str">
            <v>Shipment</v>
          </cell>
        </row>
        <row r="17130">
          <cell r="B17130" t="str">
            <v>Shipment</v>
          </cell>
        </row>
        <row r="17131">
          <cell r="B17131" t="str">
            <v>Shipment</v>
          </cell>
        </row>
        <row r="17132">
          <cell r="B17132" t="str">
            <v>Shipment</v>
          </cell>
        </row>
        <row r="17133">
          <cell r="B17133" t="str">
            <v>Shipment</v>
          </cell>
        </row>
        <row r="17134">
          <cell r="B17134" t="str">
            <v>Shipment</v>
          </cell>
        </row>
        <row r="17135">
          <cell r="B17135" t="str">
            <v>Shipment</v>
          </cell>
        </row>
        <row r="17136">
          <cell r="B17136" t="str">
            <v>Shipment</v>
          </cell>
        </row>
        <row r="17137">
          <cell r="B17137" t="str">
            <v>Shipment</v>
          </cell>
        </row>
        <row r="17138">
          <cell r="B17138" t="str">
            <v>Shipment</v>
          </cell>
        </row>
        <row r="17139">
          <cell r="B17139" t="str">
            <v>Shipment</v>
          </cell>
        </row>
        <row r="17140">
          <cell r="B17140" t="str">
            <v>Shipment</v>
          </cell>
        </row>
        <row r="17141">
          <cell r="B17141" t="str">
            <v>Shipment</v>
          </cell>
        </row>
        <row r="17142">
          <cell r="B17142" t="str">
            <v>Shipment</v>
          </cell>
        </row>
        <row r="17143">
          <cell r="B17143" t="str">
            <v>Shipment</v>
          </cell>
        </row>
        <row r="17144">
          <cell r="B17144" t="str">
            <v>Shipment</v>
          </cell>
        </row>
        <row r="17145">
          <cell r="B17145" t="str">
            <v>Shipment</v>
          </cell>
        </row>
        <row r="17146">
          <cell r="B17146" t="str">
            <v>Shipment</v>
          </cell>
        </row>
        <row r="17147">
          <cell r="B17147" t="str">
            <v>Shipment</v>
          </cell>
        </row>
        <row r="17148">
          <cell r="B17148" t="str">
            <v>Shipment</v>
          </cell>
        </row>
        <row r="17149">
          <cell r="B17149" t="str">
            <v>Shipment</v>
          </cell>
        </row>
        <row r="17150">
          <cell r="B17150" t="str">
            <v>Shipment</v>
          </cell>
        </row>
        <row r="17151">
          <cell r="B17151" t="str">
            <v>Shipment</v>
          </cell>
        </row>
        <row r="17152">
          <cell r="B17152" t="str">
            <v>Shipment</v>
          </cell>
        </row>
        <row r="17153">
          <cell r="B17153" t="str">
            <v>Shipment</v>
          </cell>
        </row>
        <row r="17154">
          <cell r="B17154" t="str">
            <v>Shipment</v>
          </cell>
        </row>
        <row r="17155">
          <cell r="B17155" t="str">
            <v>Shipment</v>
          </cell>
        </row>
        <row r="17156">
          <cell r="B17156" t="str">
            <v>Shipment</v>
          </cell>
        </row>
        <row r="17157">
          <cell r="B17157" t="str">
            <v>Shipment</v>
          </cell>
        </row>
        <row r="17158">
          <cell r="B17158" t="str">
            <v>Shipment</v>
          </cell>
        </row>
        <row r="17159">
          <cell r="B17159" t="str">
            <v>Shipment</v>
          </cell>
        </row>
        <row r="17160">
          <cell r="B17160" t="str">
            <v>Shipment</v>
          </cell>
        </row>
        <row r="17161">
          <cell r="B17161" t="str">
            <v>Shipment</v>
          </cell>
        </row>
        <row r="17162">
          <cell r="B17162" t="str">
            <v>Shipment</v>
          </cell>
        </row>
        <row r="17163">
          <cell r="B17163" t="str">
            <v>Shipment</v>
          </cell>
        </row>
        <row r="17164">
          <cell r="B17164" t="str">
            <v>Shipment</v>
          </cell>
        </row>
        <row r="17165">
          <cell r="B17165" t="str">
            <v>Shipment</v>
          </cell>
        </row>
        <row r="17166">
          <cell r="B17166" t="str">
            <v>Shipment</v>
          </cell>
        </row>
        <row r="17167">
          <cell r="B17167" t="str">
            <v>Shipment</v>
          </cell>
        </row>
        <row r="17168">
          <cell r="B17168" t="str">
            <v>Shipment</v>
          </cell>
        </row>
        <row r="17169">
          <cell r="B17169" t="str">
            <v>Shipment</v>
          </cell>
        </row>
        <row r="17170">
          <cell r="B17170" t="str">
            <v>Shipment</v>
          </cell>
        </row>
        <row r="17171">
          <cell r="B17171" t="str">
            <v>Shipment</v>
          </cell>
        </row>
        <row r="17172">
          <cell r="B17172" t="str">
            <v>Shipment</v>
          </cell>
        </row>
        <row r="17173">
          <cell r="B17173" t="str">
            <v>Shipment</v>
          </cell>
        </row>
        <row r="17174">
          <cell r="B17174" t="str">
            <v>Shipment</v>
          </cell>
        </row>
        <row r="17175">
          <cell r="B17175" t="str">
            <v>Shipment</v>
          </cell>
        </row>
        <row r="17176">
          <cell r="B17176" t="str">
            <v>Shipment</v>
          </cell>
        </row>
        <row r="17177">
          <cell r="B17177" t="str">
            <v>Shipment</v>
          </cell>
        </row>
        <row r="17178">
          <cell r="B17178" t="str">
            <v>Shipment</v>
          </cell>
        </row>
        <row r="17179">
          <cell r="B17179" t="str">
            <v>Shipment</v>
          </cell>
        </row>
        <row r="17180">
          <cell r="B17180" t="str">
            <v>Shipment</v>
          </cell>
        </row>
        <row r="17181">
          <cell r="B17181" t="str">
            <v>Shipment</v>
          </cell>
        </row>
        <row r="17182">
          <cell r="B17182" t="str">
            <v>Shipment</v>
          </cell>
        </row>
        <row r="17183">
          <cell r="B17183" t="str">
            <v>Shipment</v>
          </cell>
        </row>
        <row r="17184">
          <cell r="B17184" t="str">
            <v>Shipment</v>
          </cell>
        </row>
        <row r="17185">
          <cell r="B17185" t="str">
            <v>Shipment</v>
          </cell>
        </row>
        <row r="17186">
          <cell r="B17186" t="str">
            <v>Shipment</v>
          </cell>
        </row>
        <row r="17187">
          <cell r="B17187" t="str">
            <v>Shipment</v>
          </cell>
        </row>
        <row r="17188">
          <cell r="B17188" t="str">
            <v>Shipment</v>
          </cell>
        </row>
        <row r="17189">
          <cell r="B17189" t="str">
            <v>Shipment</v>
          </cell>
        </row>
        <row r="17190">
          <cell r="B17190" t="str">
            <v>Shipment</v>
          </cell>
        </row>
        <row r="17191">
          <cell r="B17191" t="str">
            <v>Shipment</v>
          </cell>
        </row>
        <row r="17192">
          <cell r="B17192" t="str">
            <v>Shipment</v>
          </cell>
        </row>
        <row r="17193">
          <cell r="B17193" t="str">
            <v>Shipment</v>
          </cell>
        </row>
        <row r="17194">
          <cell r="B17194" t="str">
            <v>Shipment</v>
          </cell>
        </row>
        <row r="17195">
          <cell r="B17195" t="str">
            <v>Shipment</v>
          </cell>
        </row>
        <row r="17196">
          <cell r="B17196" t="str">
            <v>Shipment</v>
          </cell>
        </row>
        <row r="17197">
          <cell r="B17197" t="str">
            <v>Shipment</v>
          </cell>
        </row>
        <row r="17198">
          <cell r="B17198" t="str">
            <v>Shipment</v>
          </cell>
        </row>
        <row r="17199">
          <cell r="B17199" t="str">
            <v>Shipment</v>
          </cell>
        </row>
        <row r="17200">
          <cell r="B17200" t="str">
            <v>Shipment</v>
          </cell>
        </row>
        <row r="17201">
          <cell r="B17201" t="str">
            <v>Shipment</v>
          </cell>
        </row>
        <row r="17202">
          <cell r="B17202" t="str">
            <v>Shipment</v>
          </cell>
        </row>
        <row r="17203">
          <cell r="B17203" t="str">
            <v>Shipment</v>
          </cell>
        </row>
        <row r="17204">
          <cell r="B17204" t="str">
            <v>Shipment</v>
          </cell>
        </row>
        <row r="17205">
          <cell r="B17205" t="str">
            <v>Shipment</v>
          </cell>
        </row>
        <row r="17206">
          <cell r="B17206" t="str">
            <v>Shipment</v>
          </cell>
        </row>
        <row r="17207">
          <cell r="B17207" t="str">
            <v>Shipment</v>
          </cell>
        </row>
        <row r="17208">
          <cell r="B17208" t="str">
            <v>Shipment</v>
          </cell>
        </row>
        <row r="17209">
          <cell r="B17209" t="str">
            <v>Shipment</v>
          </cell>
        </row>
        <row r="17210">
          <cell r="B17210" t="str">
            <v>Shipment</v>
          </cell>
        </row>
        <row r="17211">
          <cell r="B17211" t="str">
            <v>Shipment</v>
          </cell>
        </row>
        <row r="17212">
          <cell r="B17212" t="str">
            <v>Shipment</v>
          </cell>
        </row>
        <row r="17213">
          <cell r="B17213" t="str">
            <v>Shipment</v>
          </cell>
        </row>
        <row r="17214">
          <cell r="B17214" t="str">
            <v>Shipment</v>
          </cell>
        </row>
        <row r="17215">
          <cell r="B17215" t="str">
            <v>Shipment</v>
          </cell>
        </row>
        <row r="17216">
          <cell r="B17216" t="str">
            <v>Shipment</v>
          </cell>
        </row>
        <row r="17217">
          <cell r="B17217" t="str">
            <v>Shipment</v>
          </cell>
        </row>
        <row r="17218">
          <cell r="B17218" t="str">
            <v>Shipment</v>
          </cell>
        </row>
        <row r="17219">
          <cell r="B17219" t="str">
            <v>Shipment</v>
          </cell>
        </row>
        <row r="17220">
          <cell r="B17220" t="str">
            <v>Shipment</v>
          </cell>
        </row>
        <row r="17221">
          <cell r="B17221" t="str">
            <v>Shipment</v>
          </cell>
        </row>
        <row r="17222">
          <cell r="B17222" t="str">
            <v>Shipment</v>
          </cell>
        </row>
        <row r="17223">
          <cell r="B17223" t="str">
            <v>Shipment</v>
          </cell>
        </row>
        <row r="17224">
          <cell r="B17224" t="str">
            <v>Shipment</v>
          </cell>
        </row>
        <row r="17225">
          <cell r="B17225" t="str">
            <v>Shipment</v>
          </cell>
        </row>
        <row r="17226">
          <cell r="B17226" t="str">
            <v>Shipment</v>
          </cell>
        </row>
        <row r="17227">
          <cell r="B17227" t="str">
            <v>Shipment</v>
          </cell>
        </row>
        <row r="17228">
          <cell r="B17228" t="str">
            <v>Shipment</v>
          </cell>
        </row>
        <row r="17229">
          <cell r="B17229" t="str">
            <v>Shipment</v>
          </cell>
        </row>
        <row r="17230">
          <cell r="B17230" t="str">
            <v>Shipment</v>
          </cell>
        </row>
        <row r="17231">
          <cell r="B17231" t="str">
            <v>Shipment</v>
          </cell>
        </row>
        <row r="17232">
          <cell r="B17232" t="str">
            <v>Shipment</v>
          </cell>
        </row>
        <row r="17233">
          <cell r="B17233" t="str">
            <v>Shipment</v>
          </cell>
        </row>
        <row r="17234">
          <cell r="B17234" t="str">
            <v>Shipment</v>
          </cell>
        </row>
        <row r="17235">
          <cell r="B17235" t="str">
            <v>Shipment</v>
          </cell>
        </row>
        <row r="17236">
          <cell r="B17236" t="str">
            <v>Shipment</v>
          </cell>
        </row>
        <row r="17237">
          <cell r="B17237" t="str">
            <v>Shipment</v>
          </cell>
        </row>
        <row r="17238">
          <cell r="B17238" t="str">
            <v>Shipment</v>
          </cell>
        </row>
        <row r="17239">
          <cell r="B17239" t="str">
            <v>Shipment</v>
          </cell>
        </row>
        <row r="17240">
          <cell r="B17240" t="str">
            <v>Shipment</v>
          </cell>
        </row>
        <row r="17241">
          <cell r="B17241" t="str">
            <v>Shipment</v>
          </cell>
        </row>
        <row r="17242">
          <cell r="B17242" t="str">
            <v>Shipment</v>
          </cell>
        </row>
        <row r="17243">
          <cell r="B17243" t="str">
            <v>Shipment</v>
          </cell>
        </row>
        <row r="17244">
          <cell r="B17244" t="str">
            <v>Shipment</v>
          </cell>
        </row>
        <row r="17245">
          <cell r="B17245" t="str">
            <v>Shipment</v>
          </cell>
        </row>
        <row r="17246">
          <cell r="B17246" t="str">
            <v>Shipment</v>
          </cell>
        </row>
        <row r="17247">
          <cell r="B17247" t="str">
            <v>Shipment</v>
          </cell>
        </row>
        <row r="17248">
          <cell r="B17248" t="str">
            <v>Shipment</v>
          </cell>
        </row>
        <row r="17249">
          <cell r="B17249" t="str">
            <v>Shipment</v>
          </cell>
        </row>
        <row r="17250">
          <cell r="B17250" t="str">
            <v>Shipment</v>
          </cell>
        </row>
        <row r="17251">
          <cell r="B17251" t="str">
            <v>Shipment</v>
          </cell>
        </row>
        <row r="17252">
          <cell r="B17252" t="str">
            <v>Shipment</v>
          </cell>
        </row>
        <row r="17253">
          <cell r="B17253" t="str">
            <v>Shipment</v>
          </cell>
        </row>
        <row r="17254">
          <cell r="B17254" t="str">
            <v>Shipment</v>
          </cell>
        </row>
        <row r="17255">
          <cell r="B17255" t="str">
            <v>Shipment</v>
          </cell>
        </row>
        <row r="17256">
          <cell r="B17256" t="str">
            <v>Shipment</v>
          </cell>
        </row>
        <row r="17257">
          <cell r="B17257" t="str">
            <v>Shipment</v>
          </cell>
        </row>
        <row r="17258">
          <cell r="B17258" t="str">
            <v>Shipment</v>
          </cell>
        </row>
        <row r="17259">
          <cell r="B17259" t="str">
            <v>Shipment</v>
          </cell>
        </row>
        <row r="17260">
          <cell r="B17260" t="str">
            <v>Shipment</v>
          </cell>
        </row>
        <row r="17261">
          <cell r="B17261" t="str">
            <v>Shipment</v>
          </cell>
        </row>
        <row r="17262">
          <cell r="B17262" t="str">
            <v>Shipment</v>
          </cell>
        </row>
        <row r="17263">
          <cell r="B17263" t="str">
            <v>Shipment</v>
          </cell>
        </row>
        <row r="17264">
          <cell r="B17264" t="str">
            <v>Shipment</v>
          </cell>
        </row>
        <row r="17265">
          <cell r="B17265" t="str">
            <v>Shipment</v>
          </cell>
        </row>
        <row r="17266">
          <cell r="B17266" t="str">
            <v>Shipment</v>
          </cell>
        </row>
        <row r="17267">
          <cell r="B17267" t="str">
            <v>Shipment</v>
          </cell>
        </row>
        <row r="17268">
          <cell r="B17268" t="str">
            <v>Shipment</v>
          </cell>
        </row>
        <row r="17269">
          <cell r="B17269" t="str">
            <v>Shipment</v>
          </cell>
        </row>
        <row r="17270">
          <cell r="B17270" t="str">
            <v>Shipment</v>
          </cell>
        </row>
        <row r="17271">
          <cell r="B17271" t="str">
            <v>Shipment</v>
          </cell>
        </row>
        <row r="17272">
          <cell r="B17272" t="str">
            <v>Shipment</v>
          </cell>
        </row>
        <row r="17273">
          <cell r="B17273" t="str">
            <v>Shipment</v>
          </cell>
        </row>
        <row r="17274">
          <cell r="B17274" t="str">
            <v>Shipment</v>
          </cell>
        </row>
        <row r="17275">
          <cell r="B17275" t="str">
            <v>Shipment</v>
          </cell>
        </row>
        <row r="17276">
          <cell r="B17276" t="str">
            <v>Shipment</v>
          </cell>
        </row>
        <row r="17277">
          <cell r="B17277" t="str">
            <v>Shipment</v>
          </cell>
        </row>
        <row r="17278">
          <cell r="B17278" t="str">
            <v>Shipment</v>
          </cell>
        </row>
        <row r="17279">
          <cell r="B17279" t="str">
            <v>Shipment</v>
          </cell>
        </row>
        <row r="17280">
          <cell r="B17280" t="str">
            <v>Shipment</v>
          </cell>
        </row>
        <row r="17281">
          <cell r="B17281" t="str">
            <v>Shipment</v>
          </cell>
        </row>
        <row r="17282">
          <cell r="B17282" t="str">
            <v>Shipment</v>
          </cell>
        </row>
        <row r="17283">
          <cell r="B17283" t="str">
            <v>Shipment</v>
          </cell>
        </row>
        <row r="17284">
          <cell r="B17284" t="str">
            <v>Shipment</v>
          </cell>
        </row>
        <row r="17285">
          <cell r="B17285" t="str">
            <v>Shipment</v>
          </cell>
        </row>
        <row r="17286">
          <cell r="B17286" t="str">
            <v>Shipment</v>
          </cell>
        </row>
        <row r="17287">
          <cell r="B17287" t="str">
            <v>Shipment</v>
          </cell>
        </row>
        <row r="17288">
          <cell r="B17288" t="str">
            <v>Shipment</v>
          </cell>
        </row>
        <row r="17289">
          <cell r="B17289" t="str">
            <v>Shipment</v>
          </cell>
        </row>
        <row r="17290">
          <cell r="B17290" t="str">
            <v>Shipment</v>
          </cell>
        </row>
        <row r="17291">
          <cell r="B17291" t="str">
            <v>Shipment</v>
          </cell>
        </row>
        <row r="17292">
          <cell r="B17292" t="str">
            <v>Shipment</v>
          </cell>
        </row>
        <row r="17293">
          <cell r="B17293" t="str">
            <v>Shipment</v>
          </cell>
        </row>
        <row r="17294">
          <cell r="B17294" t="str">
            <v>Shipment</v>
          </cell>
        </row>
        <row r="17295">
          <cell r="B17295" t="str">
            <v>Shipment</v>
          </cell>
        </row>
        <row r="17296">
          <cell r="B17296" t="str">
            <v>Shipment</v>
          </cell>
        </row>
        <row r="17297">
          <cell r="B17297" t="str">
            <v>Shipment</v>
          </cell>
        </row>
        <row r="17298">
          <cell r="B17298" t="str">
            <v>Shipment</v>
          </cell>
        </row>
        <row r="17299">
          <cell r="B17299" t="str">
            <v>Shipment</v>
          </cell>
        </row>
        <row r="17300">
          <cell r="B17300" t="str">
            <v>Shipment</v>
          </cell>
        </row>
        <row r="17301">
          <cell r="B17301" t="str">
            <v>Shipment</v>
          </cell>
        </row>
        <row r="17302">
          <cell r="B17302" t="str">
            <v>Shipment</v>
          </cell>
        </row>
        <row r="17303">
          <cell r="B17303" t="str">
            <v>Shipment</v>
          </cell>
        </row>
        <row r="17304">
          <cell r="B17304" t="str">
            <v>Shipment</v>
          </cell>
        </row>
        <row r="17305">
          <cell r="B17305" t="str">
            <v>Shipment</v>
          </cell>
        </row>
        <row r="17306">
          <cell r="B17306" t="str">
            <v>Shipment</v>
          </cell>
        </row>
        <row r="17307">
          <cell r="B17307" t="str">
            <v>Shipment</v>
          </cell>
        </row>
        <row r="17308">
          <cell r="B17308" t="str">
            <v>Shipment</v>
          </cell>
        </row>
        <row r="17309">
          <cell r="B17309" t="str">
            <v>Shipment</v>
          </cell>
        </row>
        <row r="17310">
          <cell r="B17310" t="str">
            <v>Shipment</v>
          </cell>
        </row>
        <row r="17311">
          <cell r="B17311" t="str">
            <v>Shipment</v>
          </cell>
        </row>
        <row r="17312">
          <cell r="B17312" t="str">
            <v>Shipment</v>
          </cell>
        </row>
        <row r="17313">
          <cell r="B17313" t="str">
            <v>Shipment</v>
          </cell>
        </row>
        <row r="17314">
          <cell r="B17314" t="str">
            <v>Shipment</v>
          </cell>
        </row>
        <row r="17315">
          <cell r="B17315" t="str">
            <v>Shipment</v>
          </cell>
        </row>
        <row r="17316">
          <cell r="B17316" t="str">
            <v>Shipment</v>
          </cell>
        </row>
        <row r="17317">
          <cell r="B17317" t="str">
            <v>Shipment</v>
          </cell>
        </row>
        <row r="17318">
          <cell r="B17318" t="str">
            <v>Shipment</v>
          </cell>
        </row>
        <row r="17319">
          <cell r="B17319" t="str">
            <v>Shipment</v>
          </cell>
        </row>
        <row r="17320">
          <cell r="B17320" t="str">
            <v>Shipment</v>
          </cell>
        </row>
        <row r="17321">
          <cell r="B17321" t="str">
            <v>Shipment</v>
          </cell>
        </row>
        <row r="17322">
          <cell r="B17322" t="str">
            <v>Shipment</v>
          </cell>
        </row>
        <row r="17323">
          <cell r="B17323" t="str">
            <v>Shipment</v>
          </cell>
        </row>
        <row r="17324">
          <cell r="B17324" t="str">
            <v>Shipment</v>
          </cell>
        </row>
        <row r="17325">
          <cell r="B17325" t="str">
            <v>Shipment</v>
          </cell>
        </row>
        <row r="17326">
          <cell r="B17326" t="str">
            <v>Shipment</v>
          </cell>
        </row>
        <row r="17327">
          <cell r="B17327" t="str">
            <v>Shipment</v>
          </cell>
        </row>
        <row r="17328">
          <cell r="B17328" t="str">
            <v>Shipment</v>
          </cell>
        </row>
        <row r="17329">
          <cell r="B17329" t="str">
            <v>Shipment</v>
          </cell>
        </row>
        <row r="17330">
          <cell r="B17330" t="str">
            <v>Shipment</v>
          </cell>
        </row>
        <row r="17331">
          <cell r="B17331" t="str">
            <v>Shipment</v>
          </cell>
        </row>
        <row r="17332">
          <cell r="B17332" t="str">
            <v>Shipment</v>
          </cell>
        </row>
        <row r="17333">
          <cell r="B17333" t="str">
            <v>Shipment</v>
          </cell>
        </row>
        <row r="17334">
          <cell r="B17334" t="str">
            <v>Shipment</v>
          </cell>
        </row>
        <row r="17335">
          <cell r="B17335" t="str">
            <v>Shipment</v>
          </cell>
        </row>
        <row r="17336">
          <cell r="B17336" t="str">
            <v>Shipment</v>
          </cell>
        </row>
        <row r="17337">
          <cell r="B17337" t="str">
            <v>Shipment</v>
          </cell>
        </row>
        <row r="17338">
          <cell r="B17338" t="str">
            <v>Shipment</v>
          </cell>
        </row>
        <row r="17339">
          <cell r="B17339" t="str">
            <v>Shipment</v>
          </cell>
        </row>
        <row r="17340">
          <cell r="B17340" t="str">
            <v>Shipment</v>
          </cell>
        </row>
        <row r="17341">
          <cell r="B17341" t="str">
            <v>Shipment</v>
          </cell>
        </row>
        <row r="17342">
          <cell r="B17342" t="str">
            <v>Shipment</v>
          </cell>
        </row>
        <row r="17343">
          <cell r="B17343" t="str">
            <v>Shipment</v>
          </cell>
        </row>
        <row r="17344">
          <cell r="B17344" t="str">
            <v>Shipment</v>
          </cell>
        </row>
        <row r="17345">
          <cell r="B17345" t="str">
            <v>Shipment</v>
          </cell>
        </row>
        <row r="17346">
          <cell r="B17346" t="str">
            <v>Shipment</v>
          </cell>
        </row>
        <row r="17347">
          <cell r="B17347" t="str">
            <v>Shipment</v>
          </cell>
        </row>
        <row r="17348">
          <cell r="B17348" t="str">
            <v>Shipment</v>
          </cell>
        </row>
        <row r="17349">
          <cell r="B17349" t="str">
            <v>Shipment</v>
          </cell>
        </row>
        <row r="17350">
          <cell r="B17350" t="str">
            <v>Shipment</v>
          </cell>
        </row>
        <row r="17351">
          <cell r="B17351" t="str">
            <v>Shipment</v>
          </cell>
        </row>
        <row r="17352">
          <cell r="B17352" t="str">
            <v>Shipment</v>
          </cell>
        </row>
        <row r="17353">
          <cell r="B17353" t="str">
            <v>Shipment</v>
          </cell>
        </row>
        <row r="17354">
          <cell r="B17354" t="str">
            <v>Shipment</v>
          </cell>
        </row>
        <row r="17355">
          <cell r="B17355" t="str">
            <v>Shipment</v>
          </cell>
        </row>
        <row r="17356">
          <cell r="B17356" t="str">
            <v>Shipment</v>
          </cell>
        </row>
        <row r="17357">
          <cell r="B17357" t="str">
            <v>Shipment</v>
          </cell>
        </row>
        <row r="17358">
          <cell r="B17358" t="str">
            <v>Shipment</v>
          </cell>
        </row>
        <row r="17359">
          <cell r="B17359" t="str">
            <v>Shipment</v>
          </cell>
        </row>
        <row r="17360">
          <cell r="B17360" t="str">
            <v>Shipment</v>
          </cell>
        </row>
        <row r="17361">
          <cell r="B17361" t="str">
            <v>Shipment</v>
          </cell>
        </row>
        <row r="17362">
          <cell r="B17362" t="str">
            <v>Shipment</v>
          </cell>
        </row>
        <row r="17363">
          <cell r="B17363" t="str">
            <v>Shipment</v>
          </cell>
        </row>
        <row r="17364">
          <cell r="B17364" t="str">
            <v>Shipment</v>
          </cell>
        </row>
        <row r="17365">
          <cell r="B17365" t="str">
            <v>Shipment</v>
          </cell>
        </row>
        <row r="17366">
          <cell r="B17366" t="str">
            <v>Shipment</v>
          </cell>
        </row>
        <row r="17367">
          <cell r="B17367" t="str">
            <v>Shipment</v>
          </cell>
        </row>
        <row r="17368">
          <cell r="B17368" t="str">
            <v>Shipment</v>
          </cell>
        </row>
        <row r="17369">
          <cell r="B17369" t="str">
            <v>Shipment</v>
          </cell>
        </row>
        <row r="17370">
          <cell r="B17370" t="str">
            <v>Shipment</v>
          </cell>
        </row>
        <row r="17371">
          <cell r="B17371" t="str">
            <v>Shipment</v>
          </cell>
        </row>
        <row r="17372">
          <cell r="B17372" t="str">
            <v>Shipment</v>
          </cell>
        </row>
        <row r="17373">
          <cell r="B17373" t="str">
            <v>Shipment</v>
          </cell>
        </row>
        <row r="17374">
          <cell r="B17374" t="str">
            <v>Shipment</v>
          </cell>
        </row>
        <row r="17375">
          <cell r="B17375" t="str">
            <v>Shipment</v>
          </cell>
        </row>
        <row r="17376">
          <cell r="B17376" t="str">
            <v>Shipment</v>
          </cell>
        </row>
        <row r="17377">
          <cell r="B17377" t="str">
            <v>Shipment</v>
          </cell>
        </row>
        <row r="17378">
          <cell r="B17378" t="str">
            <v>Shipment</v>
          </cell>
        </row>
        <row r="17379">
          <cell r="B17379" t="str">
            <v>Shipment</v>
          </cell>
        </row>
        <row r="17380">
          <cell r="B17380" t="str">
            <v>Shipment</v>
          </cell>
        </row>
        <row r="17381">
          <cell r="B17381" t="str">
            <v>Shipment</v>
          </cell>
        </row>
        <row r="17382">
          <cell r="B17382" t="str">
            <v>Shipment</v>
          </cell>
        </row>
        <row r="17383">
          <cell r="B17383" t="str">
            <v>Shipment</v>
          </cell>
        </row>
        <row r="17384">
          <cell r="B17384" t="str">
            <v>Shipment</v>
          </cell>
        </row>
        <row r="17385">
          <cell r="B17385" t="str">
            <v>Shipment</v>
          </cell>
        </row>
        <row r="17386">
          <cell r="B17386" t="str">
            <v>Shipment</v>
          </cell>
        </row>
        <row r="17387">
          <cell r="B17387" t="str">
            <v>Shipment</v>
          </cell>
        </row>
        <row r="17388">
          <cell r="B17388" t="str">
            <v>Shipment</v>
          </cell>
        </row>
        <row r="17389">
          <cell r="B17389" t="str">
            <v>Shipment</v>
          </cell>
        </row>
        <row r="17390">
          <cell r="B17390" t="str">
            <v>Shipment</v>
          </cell>
        </row>
        <row r="17391">
          <cell r="B17391" t="str">
            <v>Shipment</v>
          </cell>
        </row>
        <row r="17392">
          <cell r="B17392" t="str">
            <v>Shipment</v>
          </cell>
        </row>
        <row r="17393">
          <cell r="B17393" t="str">
            <v>Shipment</v>
          </cell>
        </row>
        <row r="17394">
          <cell r="B17394" t="str">
            <v>Shipment</v>
          </cell>
        </row>
        <row r="17395">
          <cell r="B17395" t="str">
            <v>Shipment</v>
          </cell>
        </row>
        <row r="17396">
          <cell r="B17396" t="str">
            <v>Shipment</v>
          </cell>
        </row>
        <row r="17397">
          <cell r="B17397" t="str">
            <v>Shipment</v>
          </cell>
        </row>
        <row r="17398">
          <cell r="B17398" t="str">
            <v>Shipment</v>
          </cell>
        </row>
        <row r="17399">
          <cell r="B17399" t="str">
            <v>Shipment</v>
          </cell>
        </row>
        <row r="17400">
          <cell r="B17400" t="str">
            <v>Shipment</v>
          </cell>
        </row>
        <row r="17401">
          <cell r="B17401" t="str">
            <v>Shipment</v>
          </cell>
        </row>
        <row r="17402">
          <cell r="B17402" t="str">
            <v>Shipment</v>
          </cell>
        </row>
        <row r="17403">
          <cell r="B17403" t="str">
            <v>Shipment</v>
          </cell>
        </row>
        <row r="17404">
          <cell r="B17404" t="str">
            <v>Shipment</v>
          </cell>
        </row>
        <row r="17405">
          <cell r="B17405" t="str">
            <v>Shipment</v>
          </cell>
        </row>
        <row r="17406">
          <cell r="B17406" t="str">
            <v>Shipment</v>
          </cell>
        </row>
        <row r="17407">
          <cell r="B17407" t="str">
            <v>Shipment</v>
          </cell>
        </row>
        <row r="17408">
          <cell r="B17408" t="str">
            <v>Shipment</v>
          </cell>
        </row>
        <row r="17409">
          <cell r="B17409" t="str">
            <v>Shipment</v>
          </cell>
        </row>
        <row r="17410">
          <cell r="B17410" t="str">
            <v>Shipment</v>
          </cell>
        </row>
        <row r="17411">
          <cell r="B17411" t="str">
            <v>Shipment</v>
          </cell>
        </row>
        <row r="17412">
          <cell r="B17412" t="str">
            <v>Shipment</v>
          </cell>
        </row>
        <row r="17413">
          <cell r="B17413" t="str">
            <v>Shipment</v>
          </cell>
        </row>
        <row r="17414">
          <cell r="B17414" t="str">
            <v>Shipment</v>
          </cell>
        </row>
        <row r="17415">
          <cell r="B17415" t="str">
            <v>Shipment</v>
          </cell>
        </row>
        <row r="17416">
          <cell r="B17416" t="str">
            <v>Shipment</v>
          </cell>
        </row>
        <row r="17417">
          <cell r="B17417" t="str">
            <v>Shipment</v>
          </cell>
        </row>
        <row r="17418">
          <cell r="B17418" t="str">
            <v>Shipment</v>
          </cell>
        </row>
        <row r="17419">
          <cell r="B17419" t="str">
            <v>Shipment</v>
          </cell>
        </row>
        <row r="17420">
          <cell r="B17420" t="str">
            <v>Shipment</v>
          </cell>
        </row>
        <row r="17421">
          <cell r="B17421" t="str">
            <v>Shipment</v>
          </cell>
        </row>
        <row r="17422">
          <cell r="B17422" t="str">
            <v>Shipment</v>
          </cell>
        </row>
        <row r="17423">
          <cell r="B17423" t="str">
            <v>Shipment</v>
          </cell>
        </row>
        <row r="17424">
          <cell r="B17424" t="str">
            <v>Shipment</v>
          </cell>
        </row>
        <row r="17425">
          <cell r="B17425" t="str">
            <v>Shipment</v>
          </cell>
        </row>
        <row r="17426">
          <cell r="B17426" t="str">
            <v>Shipment</v>
          </cell>
        </row>
        <row r="17427">
          <cell r="B17427" t="str">
            <v>Shipment</v>
          </cell>
        </row>
        <row r="17428">
          <cell r="B17428" t="str">
            <v>Shipment</v>
          </cell>
        </row>
        <row r="17429">
          <cell r="B17429" t="str">
            <v>Shipment</v>
          </cell>
        </row>
        <row r="17430">
          <cell r="B17430" t="str">
            <v>Shipment</v>
          </cell>
        </row>
        <row r="17431">
          <cell r="B17431" t="str">
            <v>Shipment</v>
          </cell>
        </row>
        <row r="17432">
          <cell r="B17432" t="str">
            <v>Shipment</v>
          </cell>
        </row>
        <row r="17433">
          <cell r="B17433" t="str">
            <v>Shipment</v>
          </cell>
        </row>
        <row r="17434">
          <cell r="B17434" t="str">
            <v>Shipment</v>
          </cell>
        </row>
        <row r="17435">
          <cell r="B17435" t="str">
            <v>Shipment</v>
          </cell>
        </row>
        <row r="17436">
          <cell r="B17436" t="str">
            <v>Shipment</v>
          </cell>
        </row>
        <row r="17437">
          <cell r="B17437" t="str">
            <v>Shipment</v>
          </cell>
        </row>
        <row r="17438">
          <cell r="B17438" t="str">
            <v>Shipment</v>
          </cell>
        </row>
        <row r="17439">
          <cell r="B17439" t="str">
            <v>Shipment</v>
          </cell>
        </row>
        <row r="17440">
          <cell r="B17440" t="str">
            <v>Shipment</v>
          </cell>
        </row>
        <row r="17441">
          <cell r="B17441" t="str">
            <v>Shipment</v>
          </cell>
        </row>
        <row r="17442">
          <cell r="B17442" t="str">
            <v>Shipment</v>
          </cell>
        </row>
        <row r="17443">
          <cell r="B17443" t="str">
            <v>Shipment</v>
          </cell>
        </row>
        <row r="17444">
          <cell r="B17444" t="str">
            <v>Shipment</v>
          </cell>
        </row>
        <row r="17445">
          <cell r="B17445" t="str">
            <v>Shipment</v>
          </cell>
        </row>
        <row r="17446">
          <cell r="B17446" t="str">
            <v>Shipment</v>
          </cell>
        </row>
        <row r="17447">
          <cell r="B17447" t="str">
            <v>Shipment</v>
          </cell>
        </row>
        <row r="17448">
          <cell r="B17448" t="str">
            <v>Shipment</v>
          </cell>
        </row>
        <row r="17449">
          <cell r="B17449" t="str">
            <v>Shipment</v>
          </cell>
        </row>
        <row r="17450">
          <cell r="B17450" t="str">
            <v>Shipment</v>
          </cell>
        </row>
        <row r="17451">
          <cell r="B17451" t="str">
            <v>Shipment</v>
          </cell>
        </row>
        <row r="17452">
          <cell r="B17452" t="str">
            <v>Shipment</v>
          </cell>
        </row>
        <row r="17453">
          <cell r="B17453" t="str">
            <v>Shipment</v>
          </cell>
        </row>
        <row r="17454">
          <cell r="B17454" t="str">
            <v>Shipment</v>
          </cell>
        </row>
        <row r="17455">
          <cell r="B17455" t="str">
            <v>Shipment</v>
          </cell>
        </row>
        <row r="17456">
          <cell r="B17456" t="str">
            <v>Shipment</v>
          </cell>
        </row>
        <row r="17457">
          <cell r="B17457" t="str">
            <v>Shipment</v>
          </cell>
        </row>
        <row r="17458">
          <cell r="B17458" t="str">
            <v>Shipment</v>
          </cell>
        </row>
        <row r="17459">
          <cell r="B17459" t="str">
            <v>Shipment</v>
          </cell>
        </row>
        <row r="17460">
          <cell r="B17460" t="str">
            <v>Shipment</v>
          </cell>
        </row>
        <row r="17461">
          <cell r="B17461" t="str">
            <v>Shipment</v>
          </cell>
        </row>
        <row r="17462">
          <cell r="B17462" t="str">
            <v>Shipment</v>
          </cell>
        </row>
        <row r="17463">
          <cell r="B17463" t="str">
            <v>Shipment</v>
          </cell>
        </row>
        <row r="17464">
          <cell r="B17464" t="str">
            <v>Shipment</v>
          </cell>
        </row>
        <row r="17465">
          <cell r="B17465" t="str">
            <v>Shipment</v>
          </cell>
        </row>
        <row r="17466">
          <cell r="B17466" t="str">
            <v>Shipment</v>
          </cell>
        </row>
        <row r="17467">
          <cell r="B17467" t="str">
            <v>Shipment</v>
          </cell>
        </row>
        <row r="17468">
          <cell r="B17468" t="str">
            <v>Shipment</v>
          </cell>
        </row>
        <row r="17469">
          <cell r="B17469" t="str">
            <v>Shipment</v>
          </cell>
        </row>
        <row r="17470">
          <cell r="B17470" t="str">
            <v>Shipment</v>
          </cell>
        </row>
        <row r="17471">
          <cell r="B17471" t="str">
            <v>Shipment</v>
          </cell>
        </row>
        <row r="17472">
          <cell r="B17472" t="str">
            <v>Shipment</v>
          </cell>
        </row>
        <row r="17473">
          <cell r="B17473" t="str">
            <v>Shipment</v>
          </cell>
        </row>
        <row r="17474">
          <cell r="B17474" t="str">
            <v>Shipment</v>
          </cell>
        </row>
        <row r="17475">
          <cell r="B17475" t="str">
            <v>Shipment</v>
          </cell>
        </row>
        <row r="17476">
          <cell r="B17476" t="str">
            <v>Shipment</v>
          </cell>
        </row>
        <row r="17477">
          <cell r="B17477" t="str">
            <v>Shipment</v>
          </cell>
        </row>
        <row r="17478">
          <cell r="B17478" t="str">
            <v>Shipment</v>
          </cell>
        </row>
        <row r="17479">
          <cell r="B17479" t="str">
            <v>Shipment</v>
          </cell>
        </row>
        <row r="17480">
          <cell r="B17480" t="str">
            <v>Shipment</v>
          </cell>
        </row>
        <row r="17481">
          <cell r="B17481" t="str">
            <v>Shipment</v>
          </cell>
        </row>
        <row r="17482">
          <cell r="B17482" t="str">
            <v>Shipment</v>
          </cell>
        </row>
        <row r="17483">
          <cell r="B17483" t="str">
            <v>Shipment</v>
          </cell>
        </row>
        <row r="17484">
          <cell r="B17484" t="str">
            <v>Shipment</v>
          </cell>
        </row>
        <row r="17485">
          <cell r="B17485" t="str">
            <v>Shipment</v>
          </cell>
        </row>
        <row r="17486">
          <cell r="B17486" t="str">
            <v>Shipment</v>
          </cell>
        </row>
        <row r="17487">
          <cell r="B17487" t="str">
            <v>Shipment</v>
          </cell>
        </row>
        <row r="17488">
          <cell r="B17488" t="str">
            <v>Shipment</v>
          </cell>
        </row>
        <row r="17489">
          <cell r="B17489" t="str">
            <v>Shipment</v>
          </cell>
        </row>
        <row r="17490">
          <cell r="B17490" t="str">
            <v>Shipment</v>
          </cell>
        </row>
        <row r="17491">
          <cell r="B17491" t="str">
            <v>Shipment</v>
          </cell>
        </row>
        <row r="17492">
          <cell r="B17492" t="str">
            <v>Shipment</v>
          </cell>
        </row>
        <row r="17493">
          <cell r="B17493" t="str">
            <v>Shipment</v>
          </cell>
        </row>
        <row r="17494">
          <cell r="B17494" t="str">
            <v>Shipment</v>
          </cell>
        </row>
        <row r="17495">
          <cell r="B17495" t="str">
            <v>Shipment</v>
          </cell>
        </row>
        <row r="17496">
          <cell r="B17496" t="str">
            <v>Shipment</v>
          </cell>
        </row>
        <row r="17497">
          <cell r="B17497" t="str">
            <v>Shipment</v>
          </cell>
        </row>
        <row r="17498">
          <cell r="B17498" t="str">
            <v>Shipment</v>
          </cell>
        </row>
        <row r="17499">
          <cell r="B17499" t="str">
            <v>Shipment</v>
          </cell>
        </row>
        <row r="17500">
          <cell r="B17500" t="str">
            <v>Shipment</v>
          </cell>
        </row>
        <row r="17501">
          <cell r="B17501" t="str">
            <v>Shipment</v>
          </cell>
        </row>
        <row r="17502">
          <cell r="B17502" t="str">
            <v>Shipment</v>
          </cell>
        </row>
        <row r="17503">
          <cell r="B17503" t="str">
            <v>Shipment</v>
          </cell>
        </row>
        <row r="17504">
          <cell r="B17504" t="str">
            <v>Shipment</v>
          </cell>
        </row>
        <row r="17505">
          <cell r="B17505" t="str">
            <v>Shipment</v>
          </cell>
        </row>
        <row r="17506">
          <cell r="B17506" t="str">
            <v>Shipment</v>
          </cell>
        </row>
        <row r="17507">
          <cell r="B17507" t="str">
            <v>Shipment</v>
          </cell>
        </row>
        <row r="17508">
          <cell r="B17508" t="str">
            <v>Shipment</v>
          </cell>
        </row>
        <row r="17509">
          <cell r="B17509" t="str">
            <v>Shipment</v>
          </cell>
        </row>
        <row r="17510">
          <cell r="B17510" t="str">
            <v>Shipment</v>
          </cell>
        </row>
        <row r="17511">
          <cell r="B17511" t="str">
            <v>Shipment</v>
          </cell>
        </row>
        <row r="17512">
          <cell r="B17512" t="str">
            <v>Shipment</v>
          </cell>
        </row>
        <row r="17513">
          <cell r="B17513" t="str">
            <v>Shipment</v>
          </cell>
        </row>
        <row r="17514">
          <cell r="B17514" t="str">
            <v>Shipment</v>
          </cell>
        </row>
        <row r="17515">
          <cell r="B17515" t="str">
            <v>Shipment</v>
          </cell>
        </row>
        <row r="17516">
          <cell r="B17516" t="str">
            <v>Shipment</v>
          </cell>
        </row>
        <row r="17517">
          <cell r="B17517" t="str">
            <v>Shipment</v>
          </cell>
        </row>
        <row r="17518">
          <cell r="B17518" t="str">
            <v>Shipment</v>
          </cell>
        </row>
        <row r="17519">
          <cell r="B17519" t="str">
            <v>Shipment</v>
          </cell>
        </row>
        <row r="17520">
          <cell r="B17520" t="str">
            <v>Shipment</v>
          </cell>
        </row>
        <row r="17521">
          <cell r="B17521" t="str">
            <v>Shipment</v>
          </cell>
        </row>
        <row r="17522">
          <cell r="B17522" t="str">
            <v>Shipment</v>
          </cell>
        </row>
        <row r="17523">
          <cell r="B17523" t="str">
            <v>Shipment</v>
          </cell>
        </row>
        <row r="17524">
          <cell r="B17524" t="str">
            <v>Shipment</v>
          </cell>
        </row>
        <row r="17525">
          <cell r="B17525" t="str">
            <v>Shipment</v>
          </cell>
        </row>
        <row r="17526">
          <cell r="B17526" t="str">
            <v>Shipment</v>
          </cell>
        </row>
        <row r="17527">
          <cell r="B17527" t="str">
            <v>Shipment</v>
          </cell>
        </row>
        <row r="17528">
          <cell r="B17528" t="str">
            <v>Shipment</v>
          </cell>
        </row>
        <row r="17529">
          <cell r="B17529" t="str">
            <v>Shipment</v>
          </cell>
        </row>
        <row r="17530">
          <cell r="B17530" t="str">
            <v>Shipment</v>
          </cell>
        </row>
        <row r="17531">
          <cell r="B17531" t="str">
            <v>Shipment</v>
          </cell>
        </row>
        <row r="17532">
          <cell r="B17532" t="str">
            <v>Shipment</v>
          </cell>
        </row>
        <row r="17533">
          <cell r="B17533" t="str">
            <v>Shipment</v>
          </cell>
        </row>
        <row r="17534">
          <cell r="B17534" t="str">
            <v>Shipment</v>
          </cell>
        </row>
        <row r="17535">
          <cell r="B17535" t="str">
            <v>Shipment</v>
          </cell>
        </row>
        <row r="17536">
          <cell r="B17536" t="str">
            <v>Shipment</v>
          </cell>
        </row>
        <row r="17537">
          <cell r="B17537" t="str">
            <v>Shipment</v>
          </cell>
        </row>
        <row r="17538">
          <cell r="B17538" t="str">
            <v>Shipment</v>
          </cell>
        </row>
        <row r="17539">
          <cell r="B17539" t="str">
            <v>Shipment</v>
          </cell>
        </row>
        <row r="17540">
          <cell r="B17540" t="str">
            <v>Shipment</v>
          </cell>
        </row>
        <row r="17541">
          <cell r="B17541" t="str">
            <v>Shipment</v>
          </cell>
        </row>
        <row r="17542">
          <cell r="B17542" t="str">
            <v>Shipment</v>
          </cell>
        </row>
        <row r="17543">
          <cell r="B17543" t="str">
            <v>Shipment</v>
          </cell>
        </row>
        <row r="17544">
          <cell r="B17544" t="str">
            <v>Shipment</v>
          </cell>
        </row>
        <row r="17545">
          <cell r="B17545" t="str">
            <v>Shipment</v>
          </cell>
        </row>
        <row r="17546">
          <cell r="B17546" t="str">
            <v>Shipment</v>
          </cell>
        </row>
        <row r="17547">
          <cell r="B17547" t="str">
            <v>Shipment</v>
          </cell>
        </row>
        <row r="17548">
          <cell r="B17548" t="str">
            <v>Shipment</v>
          </cell>
        </row>
        <row r="17549">
          <cell r="B17549" t="str">
            <v>Shipment</v>
          </cell>
        </row>
        <row r="17550">
          <cell r="B17550" t="str">
            <v>Shipment</v>
          </cell>
        </row>
        <row r="17551">
          <cell r="B17551" t="str">
            <v>Shipment</v>
          </cell>
        </row>
        <row r="17552">
          <cell r="B17552" t="str">
            <v>Shipment</v>
          </cell>
        </row>
        <row r="17553">
          <cell r="B17553" t="str">
            <v>Shipment</v>
          </cell>
        </row>
        <row r="17554">
          <cell r="B17554" t="str">
            <v>Shipment</v>
          </cell>
        </row>
        <row r="17555">
          <cell r="B17555" t="str">
            <v>Shipment</v>
          </cell>
        </row>
        <row r="17556">
          <cell r="B17556" t="str">
            <v>Shipment</v>
          </cell>
        </row>
        <row r="17557">
          <cell r="B17557" t="str">
            <v>Shipment</v>
          </cell>
        </row>
        <row r="17558">
          <cell r="B17558" t="str">
            <v>Shipment</v>
          </cell>
        </row>
        <row r="17559">
          <cell r="B17559" t="str">
            <v>Shipment</v>
          </cell>
        </row>
        <row r="17560">
          <cell r="B17560" t="str">
            <v>Shipment</v>
          </cell>
        </row>
        <row r="17561">
          <cell r="B17561" t="str">
            <v>Shipment</v>
          </cell>
        </row>
        <row r="17562">
          <cell r="B17562" t="str">
            <v>Shipment</v>
          </cell>
        </row>
        <row r="17563">
          <cell r="B17563" t="str">
            <v>Shipment</v>
          </cell>
        </row>
        <row r="17564">
          <cell r="B17564" t="str">
            <v>Shipment</v>
          </cell>
        </row>
        <row r="17565">
          <cell r="B17565" t="str">
            <v>Shipment</v>
          </cell>
        </row>
        <row r="17566">
          <cell r="B17566" t="str">
            <v>Shipment</v>
          </cell>
        </row>
        <row r="17567">
          <cell r="B17567" t="str">
            <v>Shipment</v>
          </cell>
        </row>
        <row r="17568">
          <cell r="B17568" t="str">
            <v>Shipment</v>
          </cell>
        </row>
        <row r="17569">
          <cell r="B17569" t="str">
            <v>Shipment</v>
          </cell>
        </row>
        <row r="17570">
          <cell r="B17570" t="str">
            <v>Shipment</v>
          </cell>
        </row>
        <row r="17571">
          <cell r="B17571" t="str">
            <v>Shipment</v>
          </cell>
        </row>
        <row r="17572">
          <cell r="B17572" t="str">
            <v>Shipment</v>
          </cell>
        </row>
        <row r="17573">
          <cell r="B17573" t="str">
            <v>Shipment</v>
          </cell>
        </row>
        <row r="17574">
          <cell r="B17574" t="str">
            <v>Shipment</v>
          </cell>
        </row>
        <row r="17575">
          <cell r="B17575" t="str">
            <v>Shipment</v>
          </cell>
        </row>
        <row r="17576">
          <cell r="B17576" t="str">
            <v>Shipment</v>
          </cell>
        </row>
        <row r="17577">
          <cell r="B17577" t="str">
            <v>Shipment</v>
          </cell>
        </row>
        <row r="17578">
          <cell r="B17578" t="str">
            <v>Shipment</v>
          </cell>
        </row>
        <row r="17579">
          <cell r="B17579" t="str">
            <v>Shipment</v>
          </cell>
        </row>
        <row r="17580">
          <cell r="B17580" t="str">
            <v>Shipment</v>
          </cell>
        </row>
        <row r="17581">
          <cell r="B17581" t="str">
            <v>Shipment</v>
          </cell>
        </row>
        <row r="17582">
          <cell r="B17582" t="str">
            <v>Shipment</v>
          </cell>
        </row>
        <row r="17583">
          <cell r="B17583" t="str">
            <v>Shipment</v>
          </cell>
        </row>
        <row r="17584">
          <cell r="B17584" t="str">
            <v>Shipment</v>
          </cell>
        </row>
        <row r="17585">
          <cell r="B17585" t="str">
            <v>Shipment</v>
          </cell>
        </row>
        <row r="17586">
          <cell r="B17586" t="str">
            <v>Shipment</v>
          </cell>
        </row>
        <row r="17587">
          <cell r="B17587" t="str">
            <v>Shipment</v>
          </cell>
        </row>
        <row r="17588">
          <cell r="B17588" t="str">
            <v>Shipment</v>
          </cell>
        </row>
        <row r="17589">
          <cell r="B17589" t="str">
            <v>Shipment</v>
          </cell>
        </row>
        <row r="17590">
          <cell r="B17590" t="str">
            <v>Shipment</v>
          </cell>
        </row>
        <row r="17591">
          <cell r="B17591" t="str">
            <v>Shipment</v>
          </cell>
        </row>
        <row r="17592">
          <cell r="B17592" t="str">
            <v>Shipment</v>
          </cell>
        </row>
        <row r="17593">
          <cell r="B17593" t="str">
            <v>Shipment</v>
          </cell>
        </row>
        <row r="17594">
          <cell r="B17594" t="str">
            <v>Shipment</v>
          </cell>
        </row>
        <row r="17595">
          <cell r="B17595" t="str">
            <v>Shipment</v>
          </cell>
        </row>
        <row r="17596">
          <cell r="B17596" t="str">
            <v>Shipment</v>
          </cell>
        </row>
        <row r="17597">
          <cell r="B17597" t="str">
            <v>Shipment</v>
          </cell>
        </row>
        <row r="17598">
          <cell r="B17598" t="str">
            <v>Shipment</v>
          </cell>
        </row>
        <row r="17599">
          <cell r="B17599" t="str">
            <v>Shipment</v>
          </cell>
        </row>
        <row r="17600">
          <cell r="B17600" t="str">
            <v>Shipment</v>
          </cell>
        </row>
        <row r="17601">
          <cell r="B17601" t="str">
            <v>Shipment</v>
          </cell>
        </row>
        <row r="17602">
          <cell r="B17602" t="str">
            <v>Shipment</v>
          </cell>
        </row>
        <row r="17603">
          <cell r="B17603" t="str">
            <v>Shipment</v>
          </cell>
        </row>
        <row r="17604">
          <cell r="B17604" t="str">
            <v>Shipment</v>
          </cell>
        </row>
        <row r="17605">
          <cell r="B17605" t="str">
            <v>Shipment</v>
          </cell>
        </row>
        <row r="17606">
          <cell r="B17606" t="str">
            <v>Shipment</v>
          </cell>
        </row>
        <row r="17607">
          <cell r="B17607" t="str">
            <v>Shipment</v>
          </cell>
        </row>
        <row r="17608">
          <cell r="B17608" t="str">
            <v>Shipment</v>
          </cell>
        </row>
        <row r="17609">
          <cell r="B17609" t="str">
            <v>Shipment</v>
          </cell>
        </row>
        <row r="17610">
          <cell r="B17610" t="str">
            <v>Shipment</v>
          </cell>
        </row>
        <row r="17611">
          <cell r="B17611" t="str">
            <v>Shipment</v>
          </cell>
        </row>
        <row r="17612">
          <cell r="B17612" t="str">
            <v>Shipment</v>
          </cell>
        </row>
        <row r="17613">
          <cell r="B17613" t="str">
            <v>Shipment</v>
          </cell>
        </row>
        <row r="17614">
          <cell r="B17614" t="str">
            <v>Shipment</v>
          </cell>
        </row>
        <row r="17615">
          <cell r="B17615" t="str">
            <v>Shipment</v>
          </cell>
        </row>
        <row r="17616">
          <cell r="B17616" t="str">
            <v>Shipment</v>
          </cell>
        </row>
        <row r="17617">
          <cell r="B17617" t="str">
            <v>Shipment</v>
          </cell>
        </row>
        <row r="17618">
          <cell r="B17618" t="str">
            <v>Shipment</v>
          </cell>
        </row>
        <row r="17619">
          <cell r="B17619" t="str">
            <v>Shipment</v>
          </cell>
        </row>
        <row r="17620">
          <cell r="B17620" t="str">
            <v>Shipment</v>
          </cell>
        </row>
        <row r="17621">
          <cell r="B17621" t="str">
            <v>Shipment</v>
          </cell>
        </row>
        <row r="17622">
          <cell r="B17622" t="str">
            <v>Shipment</v>
          </cell>
        </row>
        <row r="17623">
          <cell r="B17623" t="str">
            <v>Shipment</v>
          </cell>
        </row>
        <row r="17624">
          <cell r="B17624" t="str">
            <v>Shipment</v>
          </cell>
        </row>
        <row r="17625">
          <cell r="B17625" t="str">
            <v>Shipment</v>
          </cell>
        </row>
        <row r="17626">
          <cell r="B17626" t="str">
            <v>Shipment</v>
          </cell>
        </row>
        <row r="17627">
          <cell r="B17627" t="str">
            <v>Shipment</v>
          </cell>
        </row>
        <row r="17628">
          <cell r="B17628" t="str">
            <v>Shipment</v>
          </cell>
        </row>
        <row r="17629">
          <cell r="B17629" t="str">
            <v>Shipment</v>
          </cell>
        </row>
        <row r="17630">
          <cell r="B17630" t="str">
            <v>Shipment</v>
          </cell>
        </row>
        <row r="17631">
          <cell r="B17631" t="str">
            <v>Shipment</v>
          </cell>
        </row>
        <row r="17632">
          <cell r="B17632" t="str">
            <v>Shipment</v>
          </cell>
        </row>
        <row r="17633">
          <cell r="B17633" t="str">
            <v>Shipment</v>
          </cell>
        </row>
        <row r="17634">
          <cell r="B17634" t="str">
            <v>Shipment</v>
          </cell>
        </row>
        <row r="17635">
          <cell r="B17635" t="str">
            <v>Shipment</v>
          </cell>
        </row>
        <row r="17636">
          <cell r="B17636" t="str">
            <v>Shipment</v>
          </cell>
        </row>
        <row r="17637">
          <cell r="B17637" t="str">
            <v>Shipment</v>
          </cell>
        </row>
        <row r="17638">
          <cell r="B17638" t="str">
            <v>Shipment</v>
          </cell>
        </row>
        <row r="17639">
          <cell r="B17639" t="str">
            <v>Shipment</v>
          </cell>
        </row>
        <row r="17640">
          <cell r="B17640" t="str">
            <v>Shipment</v>
          </cell>
        </row>
        <row r="17641">
          <cell r="B17641" t="str">
            <v>Shipment</v>
          </cell>
        </row>
        <row r="17642">
          <cell r="B17642" t="str">
            <v>Shipment</v>
          </cell>
        </row>
        <row r="17643">
          <cell r="B17643" t="str">
            <v>Shipment</v>
          </cell>
        </row>
        <row r="17644">
          <cell r="B17644" t="str">
            <v>Shipment</v>
          </cell>
        </row>
        <row r="17645">
          <cell r="B17645" t="str">
            <v>Shipment</v>
          </cell>
        </row>
        <row r="17646">
          <cell r="B17646" t="str">
            <v>Shipment</v>
          </cell>
        </row>
        <row r="17647">
          <cell r="B17647" t="str">
            <v>Shipment</v>
          </cell>
        </row>
        <row r="17648">
          <cell r="B17648" t="str">
            <v>Shipment</v>
          </cell>
        </row>
        <row r="17649">
          <cell r="B17649" t="str">
            <v>Shipment</v>
          </cell>
        </row>
        <row r="17650">
          <cell r="B17650" t="str">
            <v>Shipment</v>
          </cell>
        </row>
        <row r="17651">
          <cell r="B17651" t="str">
            <v>Shipment</v>
          </cell>
        </row>
        <row r="17652">
          <cell r="B17652" t="str">
            <v>Shipment</v>
          </cell>
        </row>
        <row r="17653">
          <cell r="B17653" t="str">
            <v>Shipment</v>
          </cell>
        </row>
        <row r="17654">
          <cell r="B17654" t="str">
            <v>Shipment</v>
          </cell>
        </row>
        <row r="17655">
          <cell r="B17655" t="str">
            <v>Shipment</v>
          </cell>
        </row>
        <row r="17656">
          <cell r="B17656" t="str">
            <v>Shipment</v>
          </cell>
        </row>
        <row r="17657">
          <cell r="B17657" t="str">
            <v>Shipment</v>
          </cell>
        </row>
        <row r="17658">
          <cell r="B17658" t="str">
            <v>Shipment</v>
          </cell>
        </row>
        <row r="17659">
          <cell r="B17659" t="str">
            <v>Shipment</v>
          </cell>
        </row>
        <row r="17660">
          <cell r="B17660" t="str">
            <v>Shipment</v>
          </cell>
        </row>
        <row r="17661">
          <cell r="B17661" t="str">
            <v>Shipment</v>
          </cell>
        </row>
        <row r="17662">
          <cell r="B17662" t="str">
            <v>Shipment</v>
          </cell>
        </row>
        <row r="17663">
          <cell r="B17663" t="str">
            <v>Shipment</v>
          </cell>
        </row>
        <row r="17664">
          <cell r="B17664" t="str">
            <v>Shipment</v>
          </cell>
        </row>
        <row r="17665">
          <cell r="B17665" t="str">
            <v>Shipment</v>
          </cell>
        </row>
        <row r="17666">
          <cell r="B17666" t="str">
            <v>Shipment</v>
          </cell>
        </row>
        <row r="17667">
          <cell r="B17667" t="str">
            <v>Shipment</v>
          </cell>
        </row>
        <row r="17668">
          <cell r="B17668" t="str">
            <v>Shipment</v>
          </cell>
        </row>
        <row r="17669">
          <cell r="B17669" t="str">
            <v>Shipment</v>
          </cell>
        </row>
        <row r="17670">
          <cell r="B17670" t="str">
            <v>Shipment</v>
          </cell>
        </row>
        <row r="17671">
          <cell r="B17671" t="str">
            <v>Shipment</v>
          </cell>
        </row>
        <row r="17672">
          <cell r="B17672" t="str">
            <v>Shipment</v>
          </cell>
        </row>
        <row r="17673">
          <cell r="B17673" t="str">
            <v>Shipment</v>
          </cell>
        </row>
        <row r="17674">
          <cell r="B17674" t="str">
            <v>Shipment</v>
          </cell>
        </row>
        <row r="17675">
          <cell r="B17675" t="str">
            <v>Shipment</v>
          </cell>
        </row>
        <row r="17676">
          <cell r="B17676" t="str">
            <v>Shipment</v>
          </cell>
        </row>
        <row r="17677">
          <cell r="B17677" t="str">
            <v>Shipment</v>
          </cell>
        </row>
        <row r="17678">
          <cell r="B17678" t="str">
            <v>Shipment</v>
          </cell>
        </row>
        <row r="17679">
          <cell r="B17679" t="str">
            <v>Shipment</v>
          </cell>
        </row>
        <row r="17680">
          <cell r="B17680" t="str">
            <v>Shipment</v>
          </cell>
        </row>
        <row r="17681">
          <cell r="B17681" t="str">
            <v>Shipment</v>
          </cell>
        </row>
        <row r="17682">
          <cell r="B17682" t="str">
            <v>Shipment</v>
          </cell>
        </row>
        <row r="17683">
          <cell r="B17683" t="str">
            <v>Shipment</v>
          </cell>
        </row>
        <row r="17684">
          <cell r="B17684" t="str">
            <v>Shipment</v>
          </cell>
        </row>
        <row r="17685">
          <cell r="B17685" t="str">
            <v>Shipment</v>
          </cell>
        </row>
        <row r="17686">
          <cell r="B17686" t="str">
            <v>Shipment</v>
          </cell>
        </row>
        <row r="17687">
          <cell r="B17687" t="str">
            <v>Shipment</v>
          </cell>
        </row>
        <row r="17688">
          <cell r="B17688" t="str">
            <v>Shipment</v>
          </cell>
        </row>
        <row r="17689">
          <cell r="B17689" t="str">
            <v>Shipment</v>
          </cell>
        </row>
        <row r="17690">
          <cell r="B17690" t="str">
            <v>Shipment</v>
          </cell>
        </row>
        <row r="17691">
          <cell r="B17691" t="str">
            <v>Shipment</v>
          </cell>
        </row>
        <row r="17692">
          <cell r="B17692" t="str">
            <v>Shipment</v>
          </cell>
        </row>
        <row r="17693">
          <cell r="B17693" t="str">
            <v>Shipment</v>
          </cell>
        </row>
        <row r="17694">
          <cell r="B17694" t="str">
            <v>Shipment</v>
          </cell>
        </row>
        <row r="17695">
          <cell r="B17695" t="str">
            <v>Shipment</v>
          </cell>
        </row>
        <row r="17696">
          <cell r="B17696" t="str">
            <v>Shipment</v>
          </cell>
        </row>
        <row r="17697">
          <cell r="B17697" t="str">
            <v>Shipment</v>
          </cell>
        </row>
        <row r="17698">
          <cell r="B17698" t="str">
            <v>Shipment</v>
          </cell>
        </row>
        <row r="17699">
          <cell r="B17699" t="str">
            <v>Shipment</v>
          </cell>
        </row>
        <row r="17700">
          <cell r="B17700" t="str">
            <v>Shipment</v>
          </cell>
        </row>
        <row r="17701">
          <cell r="B17701" t="str">
            <v>Shipment</v>
          </cell>
        </row>
        <row r="17702">
          <cell r="B17702" t="str">
            <v>Shipment</v>
          </cell>
        </row>
        <row r="17703">
          <cell r="B17703" t="str">
            <v>Shipment</v>
          </cell>
        </row>
        <row r="17704">
          <cell r="B17704" t="str">
            <v>Shipment</v>
          </cell>
        </row>
        <row r="17705">
          <cell r="B17705" t="str">
            <v>Shipment</v>
          </cell>
        </row>
        <row r="17706">
          <cell r="B17706" t="str">
            <v>Shipment</v>
          </cell>
        </row>
        <row r="17707">
          <cell r="B17707" t="str">
            <v>Shipment</v>
          </cell>
        </row>
        <row r="17708">
          <cell r="B17708" t="str">
            <v>Shipment</v>
          </cell>
        </row>
        <row r="17709">
          <cell r="B17709" t="str">
            <v>Shipment</v>
          </cell>
        </row>
        <row r="17710">
          <cell r="B17710" t="str">
            <v>Shipment</v>
          </cell>
        </row>
        <row r="17711">
          <cell r="B17711" t="str">
            <v>Shipment</v>
          </cell>
        </row>
        <row r="17712">
          <cell r="B17712" t="str">
            <v>Shipment</v>
          </cell>
        </row>
        <row r="17713">
          <cell r="B17713" t="str">
            <v>Shipment</v>
          </cell>
        </row>
        <row r="17714">
          <cell r="B17714" t="str">
            <v>Shipment</v>
          </cell>
        </row>
        <row r="17715">
          <cell r="B17715" t="str">
            <v>Shipment</v>
          </cell>
        </row>
        <row r="17716">
          <cell r="B17716" t="str">
            <v>Shipment</v>
          </cell>
        </row>
        <row r="17717">
          <cell r="B17717" t="str">
            <v>Shipment</v>
          </cell>
        </row>
        <row r="17718">
          <cell r="B17718" t="str">
            <v>Shipment</v>
          </cell>
        </row>
        <row r="17719">
          <cell r="B17719" t="str">
            <v>Shipment</v>
          </cell>
        </row>
        <row r="17720">
          <cell r="B17720" t="str">
            <v>Shipment</v>
          </cell>
        </row>
        <row r="17721">
          <cell r="B17721" t="str">
            <v>Shipment</v>
          </cell>
        </row>
        <row r="17722">
          <cell r="B17722" t="str">
            <v>Shipment</v>
          </cell>
        </row>
        <row r="17723">
          <cell r="B17723" t="str">
            <v>Shipment</v>
          </cell>
        </row>
        <row r="17724">
          <cell r="B17724" t="str">
            <v>Shipment</v>
          </cell>
        </row>
        <row r="17725">
          <cell r="B17725" t="str">
            <v>Shipment</v>
          </cell>
        </row>
        <row r="17726">
          <cell r="B17726" t="str">
            <v>Shipment</v>
          </cell>
        </row>
        <row r="17727">
          <cell r="B17727" t="str">
            <v>Shipment</v>
          </cell>
        </row>
        <row r="17728">
          <cell r="B17728" t="str">
            <v>Shipment</v>
          </cell>
        </row>
        <row r="17729">
          <cell r="B17729" t="str">
            <v>Shipment</v>
          </cell>
        </row>
        <row r="17730">
          <cell r="B17730" t="str">
            <v>Shipment</v>
          </cell>
        </row>
        <row r="17731">
          <cell r="B17731" t="str">
            <v>Shipment</v>
          </cell>
        </row>
        <row r="17732">
          <cell r="B17732" t="str">
            <v>Shipment</v>
          </cell>
        </row>
        <row r="17733">
          <cell r="B17733" t="str">
            <v>Shipment</v>
          </cell>
        </row>
        <row r="17734">
          <cell r="B17734" t="str">
            <v>Shipment</v>
          </cell>
        </row>
        <row r="17735">
          <cell r="B17735" t="str">
            <v>Shipment</v>
          </cell>
        </row>
        <row r="17736">
          <cell r="B17736" t="str">
            <v>Shipment</v>
          </cell>
        </row>
        <row r="17737">
          <cell r="B17737" t="str">
            <v>Shipment</v>
          </cell>
        </row>
        <row r="17738">
          <cell r="B17738" t="str">
            <v>Shipment</v>
          </cell>
        </row>
        <row r="17739">
          <cell r="B17739" t="str">
            <v>Shipment</v>
          </cell>
        </row>
        <row r="17740">
          <cell r="B17740" t="str">
            <v>Shipment</v>
          </cell>
        </row>
        <row r="17741">
          <cell r="B17741" t="str">
            <v>Shipment</v>
          </cell>
        </row>
        <row r="17742">
          <cell r="B17742" t="str">
            <v>Shipment</v>
          </cell>
        </row>
        <row r="17743">
          <cell r="B17743" t="str">
            <v>Shipment</v>
          </cell>
        </row>
        <row r="17744">
          <cell r="B17744" t="str">
            <v>Shipment</v>
          </cell>
        </row>
        <row r="17745">
          <cell r="B17745" t="str">
            <v>Shipment</v>
          </cell>
        </row>
        <row r="17746">
          <cell r="B17746" t="str">
            <v>Shipment</v>
          </cell>
        </row>
        <row r="17747">
          <cell r="B17747" t="str">
            <v>Shipment</v>
          </cell>
        </row>
        <row r="17748">
          <cell r="B17748" t="str">
            <v>Shipment</v>
          </cell>
        </row>
        <row r="17749">
          <cell r="B17749" t="str">
            <v>Shipment</v>
          </cell>
        </row>
        <row r="17750">
          <cell r="B17750" t="str">
            <v>Shipment</v>
          </cell>
        </row>
        <row r="17751">
          <cell r="B17751" t="str">
            <v>Shipment</v>
          </cell>
        </row>
        <row r="17752">
          <cell r="B17752" t="str">
            <v>Shipment</v>
          </cell>
        </row>
        <row r="17753">
          <cell r="B17753" t="str">
            <v>Shipment</v>
          </cell>
        </row>
        <row r="17754">
          <cell r="B17754" t="str">
            <v>Shipment</v>
          </cell>
        </row>
        <row r="17755">
          <cell r="B17755" t="str">
            <v>Shipment</v>
          </cell>
        </row>
        <row r="17756">
          <cell r="B17756" t="str">
            <v>Shipment</v>
          </cell>
        </row>
        <row r="17757">
          <cell r="B17757" t="str">
            <v>Shipment</v>
          </cell>
        </row>
        <row r="17758">
          <cell r="B17758" t="str">
            <v>Shipment</v>
          </cell>
        </row>
        <row r="17759">
          <cell r="B17759" t="str">
            <v>Shipment</v>
          </cell>
        </row>
        <row r="17760">
          <cell r="B17760" t="str">
            <v>Shipment</v>
          </cell>
        </row>
        <row r="17761">
          <cell r="B17761" t="str">
            <v>Shipment</v>
          </cell>
        </row>
        <row r="17762">
          <cell r="B17762" t="str">
            <v>Shipment</v>
          </cell>
        </row>
        <row r="17763">
          <cell r="B17763" t="str">
            <v>Shipment</v>
          </cell>
        </row>
        <row r="17764">
          <cell r="B17764" t="str">
            <v>Shipment</v>
          </cell>
        </row>
        <row r="17765">
          <cell r="B17765" t="str">
            <v>Shipment</v>
          </cell>
        </row>
        <row r="17766">
          <cell r="B17766" t="str">
            <v>Shipment</v>
          </cell>
        </row>
        <row r="17767">
          <cell r="B17767" t="str">
            <v>Shipment</v>
          </cell>
        </row>
        <row r="17768">
          <cell r="B17768" t="str">
            <v>Shipment</v>
          </cell>
        </row>
        <row r="17769">
          <cell r="B17769" t="str">
            <v>Shipment</v>
          </cell>
        </row>
        <row r="17770">
          <cell r="B17770" t="str">
            <v>Shipment</v>
          </cell>
        </row>
        <row r="17771">
          <cell r="B17771" t="str">
            <v>Shipment</v>
          </cell>
        </row>
        <row r="17772">
          <cell r="B17772" t="str">
            <v>Shipment</v>
          </cell>
        </row>
        <row r="17773">
          <cell r="B17773" t="str">
            <v>Shipment</v>
          </cell>
        </row>
        <row r="17774">
          <cell r="B17774" t="str">
            <v>Shipment</v>
          </cell>
        </row>
        <row r="17775">
          <cell r="B17775" t="str">
            <v>Shipment</v>
          </cell>
        </row>
        <row r="17776">
          <cell r="B17776" t="str">
            <v>Shipment</v>
          </cell>
        </row>
        <row r="17777">
          <cell r="B17777" t="str">
            <v>Shipment</v>
          </cell>
        </row>
        <row r="17778">
          <cell r="B17778" t="str">
            <v>Shipment</v>
          </cell>
        </row>
        <row r="17779">
          <cell r="B17779" t="str">
            <v>Shipment</v>
          </cell>
        </row>
        <row r="17780">
          <cell r="B17780" t="str">
            <v>Shipment</v>
          </cell>
        </row>
        <row r="17781">
          <cell r="B17781" t="str">
            <v>Shipment</v>
          </cell>
        </row>
        <row r="17782">
          <cell r="B17782" t="str">
            <v>Shipment</v>
          </cell>
        </row>
        <row r="17783">
          <cell r="B17783" t="str">
            <v>Shipment</v>
          </cell>
        </row>
        <row r="17784">
          <cell r="B17784" t="str">
            <v>Shipment</v>
          </cell>
        </row>
        <row r="17785">
          <cell r="B17785" t="str">
            <v>Shipment</v>
          </cell>
        </row>
        <row r="17786">
          <cell r="B17786" t="str">
            <v>Shipment</v>
          </cell>
        </row>
        <row r="17787">
          <cell r="B17787" t="str">
            <v>Shipment</v>
          </cell>
        </row>
        <row r="17788">
          <cell r="B17788" t="str">
            <v>Shipment</v>
          </cell>
        </row>
        <row r="17789">
          <cell r="B17789" t="str">
            <v>Shipment</v>
          </cell>
        </row>
        <row r="17790">
          <cell r="B17790" t="str">
            <v>Shipment</v>
          </cell>
        </row>
        <row r="17791">
          <cell r="B17791" t="str">
            <v>Shipment</v>
          </cell>
        </row>
        <row r="17792">
          <cell r="B17792" t="str">
            <v>Shipment</v>
          </cell>
        </row>
        <row r="17793">
          <cell r="B17793" t="str">
            <v>Shipment</v>
          </cell>
        </row>
        <row r="17794">
          <cell r="B17794" t="str">
            <v>Shipment</v>
          </cell>
        </row>
        <row r="17795">
          <cell r="B17795" t="str">
            <v>Shipment</v>
          </cell>
        </row>
        <row r="17796">
          <cell r="B17796" t="str">
            <v>Shipment</v>
          </cell>
        </row>
        <row r="17797">
          <cell r="B17797" t="str">
            <v>Shipment</v>
          </cell>
        </row>
        <row r="17798">
          <cell r="B17798" t="str">
            <v>Shipment</v>
          </cell>
        </row>
        <row r="17799">
          <cell r="B17799" t="str">
            <v>Shipment</v>
          </cell>
        </row>
        <row r="17800">
          <cell r="B17800" t="str">
            <v>Shipment</v>
          </cell>
        </row>
        <row r="17801">
          <cell r="B17801" t="str">
            <v>Shipment</v>
          </cell>
        </row>
        <row r="17802">
          <cell r="B17802" t="str">
            <v>Shipment</v>
          </cell>
        </row>
        <row r="17803">
          <cell r="B17803" t="str">
            <v>Shipment</v>
          </cell>
        </row>
        <row r="17804">
          <cell r="B17804" t="str">
            <v>Shipment</v>
          </cell>
        </row>
        <row r="17805">
          <cell r="B17805" t="str">
            <v>Shipment</v>
          </cell>
        </row>
        <row r="17806">
          <cell r="B17806" t="str">
            <v>Shipment</v>
          </cell>
        </row>
        <row r="17807">
          <cell r="B17807" t="str">
            <v>Shipment</v>
          </cell>
        </row>
        <row r="17808">
          <cell r="B17808" t="str">
            <v>Shipment</v>
          </cell>
        </row>
        <row r="17809">
          <cell r="B17809" t="str">
            <v>Shipment</v>
          </cell>
        </row>
        <row r="17810">
          <cell r="B17810" t="str">
            <v>Shipment</v>
          </cell>
        </row>
        <row r="17811">
          <cell r="B17811" t="str">
            <v>Shipment</v>
          </cell>
        </row>
        <row r="17812">
          <cell r="B17812" t="str">
            <v>Shipment</v>
          </cell>
        </row>
        <row r="17813">
          <cell r="B17813" t="str">
            <v>Shipment</v>
          </cell>
        </row>
        <row r="17814">
          <cell r="B17814" t="str">
            <v>Shipment</v>
          </cell>
        </row>
        <row r="17815">
          <cell r="B17815" t="str">
            <v>Shipment</v>
          </cell>
        </row>
        <row r="17816">
          <cell r="B17816" t="str">
            <v>Shipment</v>
          </cell>
        </row>
        <row r="17817">
          <cell r="B17817" t="str">
            <v>Shipment</v>
          </cell>
        </row>
        <row r="17818">
          <cell r="B17818" t="str">
            <v>Shipment</v>
          </cell>
        </row>
        <row r="17819">
          <cell r="B17819" t="str">
            <v>Shipment</v>
          </cell>
        </row>
        <row r="17820">
          <cell r="B17820" t="str">
            <v>Shipment</v>
          </cell>
        </row>
        <row r="17821">
          <cell r="B17821" t="str">
            <v>Shipment</v>
          </cell>
        </row>
        <row r="17822">
          <cell r="B17822" t="str">
            <v>Shipment</v>
          </cell>
        </row>
        <row r="17823">
          <cell r="B17823" t="str">
            <v>Shipment</v>
          </cell>
        </row>
        <row r="17824">
          <cell r="B17824" t="str">
            <v>Shipment</v>
          </cell>
        </row>
        <row r="17825">
          <cell r="B17825" t="str">
            <v>Shipment</v>
          </cell>
        </row>
        <row r="17826">
          <cell r="B17826" t="str">
            <v>Shipment</v>
          </cell>
        </row>
        <row r="17827">
          <cell r="B17827" t="str">
            <v>Shipment</v>
          </cell>
        </row>
        <row r="17828">
          <cell r="B17828" t="str">
            <v>Shipment</v>
          </cell>
        </row>
        <row r="17829">
          <cell r="B17829" t="str">
            <v>Shipment</v>
          </cell>
        </row>
        <row r="17830">
          <cell r="B17830" t="str">
            <v>Shipment</v>
          </cell>
        </row>
        <row r="17831">
          <cell r="B17831" t="str">
            <v>Shipment</v>
          </cell>
        </row>
        <row r="17832">
          <cell r="B17832" t="str">
            <v>Shipment</v>
          </cell>
        </row>
        <row r="17833">
          <cell r="B17833" t="str">
            <v>Shipment</v>
          </cell>
        </row>
        <row r="17834">
          <cell r="B17834" t="str">
            <v>Shipment</v>
          </cell>
        </row>
        <row r="17835">
          <cell r="B17835" t="str">
            <v>Shipment</v>
          </cell>
        </row>
        <row r="17836">
          <cell r="B17836" t="str">
            <v>Shipment</v>
          </cell>
        </row>
        <row r="17837">
          <cell r="B17837" t="str">
            <v>Shipment</v>
          </cell>
        </row>
        <row r="17838">
          <cell r="B17838" t="str">
            <v>Shipment</v>
          </cell>
        </row>
        <row r="17839">
          <cell r="B17839" t="str">
            <v>Shipment</v>
          </cell>
        </row>
        <row r="17840">
          <cell r="B17840" t="str">
            <v>Shipment</v>
          </cell>
        </row>
        <row r="17841">
          <cell r="B17841" t="str">
            <v>Shipment</v>
          </cell>
        </row>
        <row r="17842">
          <cell r="B17842" t="str">
            <v>Shipment</v>
          </cell>
        </row>
        <row r="17843">
          <cell r="B17843" t="str">
            <v>Shipment</v>
          </cell>
        </row>
        <row r="17844">
          <cell r="B17844" t="str">
            <v>Shipment</v>
          </cell>
        </row>
        <row r="17845">
          <cell r="B17845" t="str">
            <v>Shipment</v>
          </cell>
        </row>
        <row r="17846">
          <cell r="B17846" t="str">
            <v>Shipment</v>
          </cell>
        </row>
        <row r="17847">
          <cell r="B17847" t="str">
            <v>Shipment</v>
          </cell>
        </row>
        <row r="17848">
          <cell r="B17848" t="str">
            <v>Shipment</v>
          </cell>
        </row>
        <row r="17849">
          <cell r="B17849" t="str">
            <v>Shipment</v>
          </cell>
        </row>
        <row r="17850">
          <cell r="B17850" t="str">
            <v>Shipment</v>
          </cell>
        </row>
        <row r="17851">
          <cell r="B17851" t="str">
            <v>Shipment</v>
          </cell>
        </row>
        <row r="17852">
          <cell r="B17852" t="str">
            <v>Shipment</v>
          </cell>
        </row>
        <row r="17853">
          <cell r="B17853" t="str">
            <v>Shipment</v>
          </cell>
        </row>
        <row r="17854">
          <cell r="B17854" t="str">
            <v>Shipment</v>
          </cell>
        </row>
        <row r="17855">
          <cell r="B17855" t="str">
            <v>Shipment</v>
          </cell>
        </row>
        <row r="17856">
          <cell r="B17856" t="str">
            <v>Shipment</v>
          </cell>
        </row>
        <row r="17857">
          <cell r="B17857" t="str">
            <v>Shipment</v>
          </cell>
        </row>
        <row r="17858">
          <cell r="B17858" t="str">
            <v>Shipment</v>
          </cell>
        </row>
        <row r="17859">
          <cell r="B17859" t="str">
            <v>Shipment</v>
          </cell>
        </row>
        <row r="17860">
          <cell r="B17860" t="str">
            <v>Shipment</v>
          </cell>
        </row>
        <row r="17861">
          <cell r="B17861" t="str">
            <v>Shipment</v>
          </cell>
        </row>
        <row r="17862">
          <cell r="B17862" t="str">
            <v>Shipment</v>
          </cell>
        </row>
        <row r="17863">
          <cell r="B17863" t="str">
            <v>Shipment</v>
          </cell>
        </row>
        <row r="17864">
          <cell r="B17864" t="str">
            <v>Shipment</v>
          </cell>
        </row>
        <row r="17865">
          <cell r="B17865" t="str">
            <v>Shipment</v>
          </cell>
        </row>
        <row r="17866">
          <cell r="B17866" t="str">
            <v>Shipment</v>
          </cell>
        </row>
        <row r="17867">
          <cell r="B17867" t="str">
            <v>Shipment</v>
          </cell>
        </row>
        <row r="17868">
          <cell r="B17868" t="str">
            <v>Shipment</v>
          </cell>
        </row>
        <row r="17869">
          <cell r="B17869" t="str">
            <v>Shipment</v>
          </cell>
        </row>
        <row r="17870">
          <cell r="B17870" t="str">
            <v>Shipment</v>
          </cell>
        </row>
        <row r="17871">
          <cell r="B17871" t="str">
            <v>Shipment</v>
          </cell>
        </row>
        <row r="17872">
          <cell r="B17872" t="str">
            <v>Shipment</v>
          </cell>
        </row>
        <row r="17873">
          <cell r="B17873" t="str">
            <v>Shipment</v>
          </cell>
        </row>
        <row r="17874">
          <cell r="B17874" t="str">
            <v>Shipment</v>
          </cell>
        </row>
        <row r="17875">
          <cell r="B17875" t="str">
            <v>Shipment</v>
          </cell>
        </row>
        <row r="17876">
          <cell r="B17876" t="str">
            <v>Shipment</v>
          </cell>
        </row>
        <row r="17877">
          <cell r="B17877" t="str">
            <v>Shipment</v>
          </cell>
        </row>
        <row r="17878">
          <cell r="B17878" t="str">
            <v>Shipment</v>
          </cell>
        </row>
        <row r="17879">
          <cell r="B17879" t="str">
            <v>Shipment</v>
          </cell>
        </row>
        <row r="17880">
          <cell r="B17880" t="str">
            <v>Shipment</v>
          </cell>
        </row>
        <row r="17881">
          <cell r="B17881" t="str">
            <v>Shipment</v>
          </cell>
        </row>
        <row r="17882">
          <cell r="B17882" t="str">
            <v>Shipment</v>
          </cell>
        </row>
        <row r="17883">
          <cell r="B17883" t="str">
            <v>Shipment</v>
          </cell>
        </row>
        <row r="17884">
          <cell r="B17884" t="str">
            <v>Shipment</v>
          </cell>
        </row>
        <row r="17885">
          <cell r="B17885" t="str">
            <v>Shipment</v>
          </cell>
        </row>
        <row r="17886">
          <cell r="B17886" t="str">
            <v>Shipment</v>
          </cell>
        </row>
        <row r="17887">
          <cell r="B17887" t="str">
            <v>Shipment</v>
          </cell>
        </row>
        <row r="17888">
          <cell r="B17888" t="str">
            <v>Shipment</v>
          </cell>
        </row>
        <row r="17889">
          <cell r="B17889" t="str">
            <v>Shipment</v>
          </cell>
        </row>
        <row r="17890">
          <cell r="B17890" t="str">
            <v>Shipment</v>
          </cell>
        </row>
        <row r="17891">
          <cell r="B17891" t="str">
            <v>Shipment</v>
          </cell>
        </row>
        <row r="17892">
          <cell r="B17892" t="str">
            <v>Shipment</v>
          </cell>
        </row>
        <row r="17893">
          <cell r="B17893" t="str">
            <v>Shipment</v>
          </cell>
        </row>
        <row r="17894">
          <cell r="B17894" t="str">
            <v>Shipment</v>
          </cell>
        </row>
        <row r="17895">
          <cell r="B17895" t="str">
            <v>Shipment</v>
          </cell>
        </row>
        <row r="17896">
          <cell r="B17896" t="str">
            <v>Shipment</v>
          </cell>
        </row>
        <row r="17897">
          <cell r="B17897" t="str">
            <v>Shipment</v>
          </cell>
        </row>
        <row r="17898">
          <cell r="B17898" t="str">
            <v>Shipment</v>
          </cell>
        </row>
        <row r="17899">
          <cell r="B17899" t="str">
            <v>Shipment</v>
          </cell>
        </row>
        <row r="17900">
          <cell r="B17900" t="str">
            <v>Shipment</v>
          </cell>
        </row>
        <row r="17901">
          <cell r="B17901" t="str">
            <v>Shipment</v>
          </cell>
        </row>
        <row r="17902">
          <cell r="B17902" t="str">
            <v>Shipment</v>
          </cell>
        </row>
        <row r="17903">
          <cell r="B17903" t="str">
            <v>Shipment</v>
          </cell>
        </row>
        <row r="17904">
          <cell r="B17904" t="str">
            <v>Shipment</v>
          </cell>
        </row>
        <row r="17905">
          <cell r="B17905" t="str">
            <v>Shipment</v>
          </cell>
        </row>
        <row r="17906">
          <cell r="B17906" t="str">
            <v>Shipment</v>
          </cell>
        </row>
        <row r="17907">
          <cell r="B17907" t="str">
            <v>Shipment</v>
          </cell>
        </row>
        <row r="17908">
          <cell r="B17908" t="str">
            <v>Shipment</v>
          </cell>
        </row>
        <row r="17909">
          <cell r="B17909" t="str">
            <v>Shipment</v>
          </cell>
        </row>
        <row r="17910">
          <cell r="B17910" t="str">
            <v>Shipment</v>
          </cell>
        </row>
        <row r="17911">
          <cell r="B17911" t="str">
            <v>Shipment</v>
          </cell>
        </row>
        <row r="17912">
          <cell r="B17912" t="str">
            <v>Shipment</v>
          </cell>
        </row>
        <row r="17913">
          <cell r="B17913" t="str">
            <v>Shipment</v>
          </cell>
        </row>
        <row r="17914">
          <cell r="B17914" t="str">
            <v>Shipment</v>
          </cell>
        </row>
        <row r="17915">
          <cell r="B17915" t="str">
            <v>Shipment</v>
          </cell>
        </row>
        <row r="17916">
          <cell r="B17916" t="str">
            <v>Shipment</v>
          </cell>
        </row>
        <row r="17917">
          <cell r="B17917" t="str">
            <v>Shipment</v>
          </cell>
        </row>
        <row r="17918">
          <cell r="B17918" t="str">
            <v>Shipment</v>
          </cell>
        </row>
        <row r="17919">
          <cell r="B17919" t="str">
            <v>Shipment</v>
          </cell>
        </row>
        <row r="17920">
          <cell r="B17920" t="str">
            <v>Shipment</v>
          </cell>
        </row>
        <row r="17921">
          <cell r="B17921" t="str">
            <v>Shipment</v>
          </cell>
        </row>
        <row r="17922">
          <cell r="B17922" t="str">
            <v>Shipment</v>
          </cell>
        </row>
        <row r="17923">
          <cell r="B17923" t="str">
            <v>Shipment</v>
          </cell>
        </row>
        <row r="17924">
          <cell r="B17924" t="str">
            <v>Shipment</v>
          </cell>
        </row>
        <row r="17925">
          <cell r="B17925" t="str">
            <v>Shipment</v>
          </cell>
        </row>
        <row r="17926">
          <cell r="B17926" t="str">
            <v>Shipment</v>
          </cell>
        </row>
        <row r="17927">
          <cell r="B17927" t="str">
            <v>Shipment</v>
          </cell>
        </row>
        <row r="17928">
          <cell r="B17928" t="str">
            <v>Shipment</v>
          </cell>
        </row>
        <row r="17929">
          <cell r="B17929" t="str">
            <v>Shipment</v>
          </cell>
        </row>
        <row r="17930">
          <cell r="B17930" t="str">
            <v>Shipment</v>
          </cell>
        </row>
        <row r="17931">
          <cell r="B17931" t="str">
            <v>Shipment</v>
          </cell>
        </row>
        <row r="17932">
          <cell r="B17932" t="str">
            <v>Shipment</v>
          </cell>
        </row>
        <row r="17933">
          <cell r="B17933" t="str">
            <v>Shipment</v>
          </cell>
        </row>
        <row r="17934">
          <cell r="B17934" t="str">
            <v>Shipment</v>
          </cell>
        </row>
        <row r="17935">
          <cell r="B17935" t="str">
            <v>Shipment</v>
          </cell>
        </row>
        <row r="17936">
          <cell r="B17936" t="str">
            <v>Shipment</v>
          </cell>
        </row>
        <row r="17937">
          <cell r="B17937" t="str">
            <v>Shipment</v>
          </cell>
        </row>
        <row r="17938">
          <cell r="B17938" t="str">
            <v>Shipment</v>
          </cell>
        </row>
        <row r="17939">
          <cell r="B17939" t="str">
            <v>Shipment</v>
          </cell>
        </row>
        <row r="17940">
          <cell r="B17940" t="str">
            <v>Shipment</v>
          </cell>
        </row>
        <row r="17941">
          <cell r="B17941" t="str">
            <v>Shipment</v>
          </cell>
        </row>
        <row r="17942">
          <cell r="B17942" t="str">
            <v>Shipment</v>
          </cell>
        </row>
        <row r="17943">
          <cell r="B17943" t="str">
            <v>Shipment</v>
          </cell>
        </row>
        <row r="17944">
          <cell r="B17944" t="str">
            <v>Shipment</v>
          </cell>
        </row>
        <row r="17945">
          <cell r="B17945" t="str">
            <v>Shipment</v>
          </cell>
        </row>
        <row r="17946">
          <cell r="B17946" t="str">
            <v>Shipment</v>
          </cell>
        </row>
        <row r="17947">
          <cell r="B17947" t="str">
            <v>Shipment</v>
          </cell>
        </row>
        <row r="17948">
          <cell r="B17948" t="str">
            <v>Shipment</v>
          </cell>
        </row>
        <row r="17949">
          <cell r="B17949" t="str">
            <v>Shipment</v>
          </cell>
        </row>
        <row r="17950">
          <cell r="B17950" t="str">
            <v>Shipment</v>
          </cell>
        </row>
        <row r="17951">
          <cell r="B17951" t="str">
            <v>Shipment</v>
          </cell>
        </row>
        <row r="17952">
          <cell r="B17952" t="str">
            <v>Shipment</v>
          </cell>
        </row>
        <row r="17953">
          <cell r="B17953" t="str">
            <v>Shipment</v>
          </cell>
        </row>
        <row r="17954">
          <cell r="B17954" t="str">
            <v>Shipment</v>
          </cell>
        </row>
        <row r="17955">
          <cell r="B17955" t="str">
            <v>Shipment</v>
          </cell>
        </row>
        <row r="17956">
          <cell r="B17956" t="str">
            <v>Shipment</v>
          </cell>
        </row>
        <row r="17957">
          <cell r="B17957" t="str">
            <v>Shipment</v>
          </cell>
        </row>
        <row r="17958">
          <cell r="B17958" t="str">
            <v>Shipment</v>
          </cell>
        </row>
        <row r="17959">
          <cell r="B17959" t="str">
            <v>Shipment</v>
          </cell>
        </row>
        <row r="17960">
          <cell r="B17960" t="str">
            <v>Shipment</v>
          </cell>
        </row>
        <row r="17961">
          <cell r="B17961" t="str">
            <v>Shipment</v>
          </cell>
        </row>
        <row r="17962">
          <cell r="B17962" t="str">
            <v>Shipment</v>
          </cell>
        </row>
        <row r="17963">
          <cell r="B17963" t="str">
            <v>Shipment</v>
          </cell>
        </row>
        <row r="17964">
          <cell r="B17964" t="str">
            <v>Shipment</v>
          </cell>
        </row>
        <row r="17965">
          <cell r="B17965" t="str">
            <v>Shipment</v>
          </cell>
        </row>
        <row r="17966">
          <cell r="B17966" t="str">
            <v>Shipment</v>
          </cell>
        </row>
        <row r="17967">
          <cell r="B17967" t="str">
            <v>Shipment</v>
          </cell>
        </row>
        <row r="17968">
          <cell r="B17968" t="str">
            <v>Shipment</v>
          </cell>
        </row>
        <row r="17969">
          <cell r="B17969" t="str">
            <v>Shipment</v>
          </cell>
        </row>
        <row r="17970">
          <cell r="B17970" t="str">
            <v>Shipment</v>
          </cell>
        </row>
        <row r="17971">
          <cell r="B17971" t="str">
            <v>Shipment</v>
          </cell>
        </row>
        <row r="17972">
          <cell r="B17972" t="str">
            <v>Shipment</v>
          </cell>
        </row>
        <row r="17973">
          <cell r="B17973" t="str">
            <v>Shipment</v>
          </cell>
        </row>
        <row r="17974">
          <cell r="B17974" t="str">
            <v>Shipment</v>
          </cell>
        </row>
        <row r="17975">
          <cell r="B17975" t="str">
            <v>Shipment</v>
          </cell>
        </row>
        <row r="17976">
          <cell r="B17976" t="str">
            <v>Shipment</v>
          </cell>
        </row>
        <row r="17977">
          <cell r="B17977" t="str">
            <v>Shipment</v>
          </cell>
        </row>
        <row r="17978">
          <cell r="B17978" t="str">
            <v>Shipment</v>
          </cell>
        </row>
        <row r="17979">
          <cell r="B17979" t="str">
            <v>Shipment</v>
          </cell>
        </row>
        <row r="17980">
          <cell r="B17980" t="str">
            <v>Shipment</v>
          </cell>
        </row>
        <row r="17981">
          <cell r="B17981" t="str">
            <v>Shipment</v>
          </cell>
        </row>
        <row r="17982">
          <cell r="B17982" t="str">
            <v>Shipment</v>
          </cell>
        </row>
        <row r="17983">
          <cell r="B17983" t="str">
            <v>Shipment</v>
          </cell>
        </row>
        <row r="17984">
          <cell r="B17984" t="str">
            <v>Shipment</v>
          </cell>
        </row>
        <row r="17985">
          <cell r="B17985" t="str">
            <v>Shipment</v>
          </cell>
        </row>
        <row r="17986">
          <cell r="B17986" t="str">
            <v>Shipment</v>
          </cell>
        </row>
        <row r="17987">
          <cell r="B17987" t="str">
            <v>Shipment</v>
          </cell>
        </row>
        <row r="17988">
          <cell r="B17988" t="str">
            <v>Shipment</v>
          </cell>
        </row>
        <row r="17989">
          <cell r="B17989" t="str">
            <v>Shipment</v>
          </cell>
        </row>
        <row r="17990">
          <cell r="B17990" t="str">
            <v>Shipment</v>
          </cell>
        </row>
        <row r="17991">
          <cell r="B17991" t="str">
            <v>Shipment</v>
          </cell>
        </row>
        <row r="17992">
          <cell r="B17992" t="str">
            <v>Shipment</v>
          </cell>
        </row>
        <row r="17993">
          <cell r="B17993" t="str">
            <v>Shipment</v>
          </cell>
        </row>
        <row r="17994">
          <cell r="B17994" t="str">
            <v>Shipment</v>
          </cell>
        </row>
        <row r="17995">
          <cell r="B17995" t="str">
            <v>Shipment</v>
          </cell>
        </row>
        <row r="17996">
          <cell r="B17996" t="str">
            <v>Shipment</v>
          </cell>
        </row>
        <row r="17997">
          <cell r="B17997" t="str">
            <v>Shipment</v>
          </cell>
        </row>
        <row r="17998">
          <cell r="B17998" t="str">
            <v>Shipment</v>
          </cell>
        </row>
        <row r="17999">
          <cell r="B17999" t="str">
            <v>Shipment</v>
          </cell>
        </row>
        <row r="18000">
          <cell r="B18000" t="str">
            <v>Shipment</v>
          </cell>
        </row>
        <row r="18001">
          <cell r="B18001" t="str">
            <v>Shipment</v>
          </cell>
        </row>
        <row r="18002">
          <cell r="B18002" t="str">
            <v>Shipment</v>
          </cell>
        </row>
        <row r="18003">
          <cell r="B18003" t="str">
            <v>Shipment</v>
          </cell>
        </row>
        <row r="18004">
          <cell r="B18004" t="str">
            <v>Shipment</v>
          </cell>
        </row>
        <row r="18005">
          <cell r="B18005" t="str">
            <v>Shipment</v>
          </cell>
        </row>
        <row r="18006">
          <cell r="B18006" t="str">
            <v>Shipment</v>
          </cell>
        </row>
        <row r="18007">
          <cell r="B18007" t="str">
            <v>Shipment</v>
          </cell>
        </row>
        <row r="18008">
          <cell r="B18008" t="str">
            <v>Shipment</v>
          </cell>
        </row>
        <row r="18009">
          <cell r="B18009" t="str">
            <v>Shipment</v>
          </cell>
        </row>
        <row r="18010">
          <cell r="B18010" t="str">
            <v>Shipment</v>
          </cell>
        </row>
        <row r="18011">
          <cell r="B18011" t="str">
            <v>Shipment</v>
          </cell>
        </row>
        <row r="18012">
          <cell r="B18012" t="str">
            <v>Shipment</v>
          </cell>
        </row>
        <row r="18013">
          <cell r="B18013" t="str">
            <v>Shipment</v>
          </cell>
        </row>
        <row r="18014">
          <cell r="B18014" t="str">
            <v>Shipment</v>
          </cell>
        </row>
        <row r="18015">
          <cell r="B18015" t="str">
            <v>Shipment</v>
          </cell>
        </row>
        <row r="18016">
          <cell r="B18016" t="str">
            <v>Shipment</v>
          </cell>
        </row>
        <row r="18017">
          <cell r="B18017" t="str">
            <v>Shipment</v>
          </cell>
        </row>
        <row r="18018">
          <cell r="B18018" t="str">
            <v>Shipment</v>
          </cell>
        </row>
        <row r="18019">
          <cell r="B18019" t="str">
            <v>Shipment</v>
          </cell>
        </row>
        <row r="18020">
          <cell r="B18020" t="str">
            <v>Shipment</v>
          </cell>
        </row>
        <row r="18021">
          <cell r="B18021" t="str">
            <v>Shipment</v>
          </cell>
        </row>
        <row r="18022">
          <cell r="B18022" t="str">
            <v>Shipment</v>
          </cell>
        </row>
        <row r="18023">
          <cell r="B18023" t="str">
            <v>Shipment</v>
          </cell>
        </row>
        <row r="18024">
          <cell r="B18024" t="str">
            <v>Shipment</v>
          </cell>
        </row>
        <row r="18025">
          <cell r="B18025" t="str">
            <v>Shipment</v>
          </cell>
        </row>
        <row r="18026">
          <cell r="B18026" t="str">
            <v>Shipment</v>
          </cell>
        </row>
        <row r="18027">
          <cell r="B18027" t="str">
            <v>Shipment</v>
          </cell>
        </row>
        <row r="18028">
          <cell r="B18028" t="str">
            <v>Shipment</v>
          </cell>
        </row>
        <row r="18029">
          <cell r="B18029" t="str">
            <v>Shipment</v>
          </cell>
        </row>
        <row r="18030">
          <cell r="B18030" t="str">
            <v>Shipment</v>
          </cell>
        </row>
        <row r="18031">
          <cell r="B18031" t="str">
            <v>Shipment</v>
          </cell>
        </row>
        <row r="18032">
          <cell r="B18032" t="str">
            <v>Shipment</v>
          </cell>
        </row>
        <row r="18033">
          <cell r="B18033" t="str">
            <v>Shipment</v>
          </cell>
        </row>
        <row r="18034">
          <cell r="B18034" t="str">
            <v>Shipment</v>
          </cell>
        </row>
        <row r="18035">
          <cell r="B18035" t="str">
            <v>Shipment</v>
          </cell>
        </row>
        <row r="18036">
          <cell r="B18036" t="str">
            <v>Shipment</v>
          </cell>
        </row>
        <row r="18037">
          <cell r="B18037" t="str">
            <v>Shipment</v>
          </cell>
        </row>
        <row r="18038">
          <cell r="B18038" t="str">
            <v>Shipment</v>
          </cell>
        </row>
        <row r="18039">
          <cell r="B18039" t="str">
            <v>Shipment</v>
          </cell>
        </row>
        <row r="18040">
          <cell r="B18040" t="str">
            <v>Shipment</v>
          </cell>
        </row>
        <row r="18041">
          <cell r="B18041" t="str">
            <v>Shipment</v>
          </cell>
        </row>
        <row r="18042">
          <cell r="B18042" t="str">
            <v>Shipment</v>
          </cell>
        </row>
        <row r="18043">
          <cell r="B18043" t="str">
            <v>Shipment</v>
          </cell>
        </row>
        <row r="18044">
          <cell r="B18044" t="str">
            <v>Shipment</v>
          </cell>
        </row>
        <row r="18045">
          <cell r="B18045" t="str">
            <v>Shipment</v>
          </cell>
        </row>
        <row r="18046">
          <cell r="B18046" t="str">
            <v>Shipment</v>
          </cell>
        </row>
        <row r="18047">
          <cell r="B18047" t="str">
            <v>Shipment</v>
          </cell>
        </row>
        <row r="18048">
          <cell r="B18048" t="str">
            <v>Shipment</v>
          </cell>
        </row>
        <row r="18049">
          <cell r="B18049" t="str">
            <v>Shipment</v>
          </cell>
        </row>
        <row r="18050">
          <cell r="B18050" t="str">
            <v>Shipment</v>
          </cell>
        </row>
        <row r="18051">
          <cell r="B18051" t="str">
            <v>Shipment</v>
          </cell>
        </row>
        <row r="18052">
          <cell r="B18052" t="str">
            <v>Shipment</v>
          </cell>
        </row>
        <row r="18053">
          <cell r="B18053" t="str">
            <v>Shipment</v>
          </cell>
        </row>
        <row r="18054">
          <cell r="B18054" t="str">
            <v>Shipment</v>
          </cell>
        </row>
        <row r="18055">
          <cell r="B18055" t="str">
            <v>Shipment</v>
          </cell>
        </row>
        <row r="18056">
          <cell r="B18056" t="str">
            <v>Shipment</v>
          </cell>
        </row>
        <row r="18057">
          <cell r="B18057" t="str">
            <v>Shipment</v>
          </cell>
        </row>
        <row r="18058">
          <cell r="B18058" t="str">
            <v>Shipment</v>
          </cell>
        </row>
        <row r="18059">
          <cell r="B18059" t="str">
            <v>Shipment</v>
          </cell>
        </row>
        <row r="18060">
          <cell r="B18060" t="str">
            <v>Shipment</v>
          </cell>
        </row>
        <row r="18061">
          <cell r="B18061" t="str">
            <v>Shipment</v>
          </cell>
        </row>
        <row r="18062">
          <cell r="B18062" t="str">
            <v>Shipment</v>
          </cell>
        </row>
        <row r="18063">
          <cell r="B18063" t="str">
            <v>Shipment</v>
          </cell>
        </row>
        <row r="18064">
          <cell r="B18064" t="str">
            <v>Shipment</v>
          </cell>
        </row>
      </sheetData>
      <sheetData sheetId="8">
        <row r="1">
          <cell r="A1" t="str">
            <v>C-CLX</v>
          </cell>
        </row>
      </sheetData>
      <sheetData sheetId="9"/>
      <sheetData sheetId="1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1262.474282291667" createdVersion="3" refreshedVersion="3" minRefreshableVersion="3" recordCount="3273">
  <cacheSource type="worksheet">
    <worksheetSource name="kpidata" sheet="Db"/>
  </cacheSource>
  <cacheFields count="76">
    <cacheField name="ordertype" numFmtId="0">
      <sharedItems/>
    </cacheField>
    <cacheField name="shiptoparty" numFmtId="0">
      <sharedItems containsSemiMixedTypes="0" containsString="0" containsNumber="1" containsInteger="1" minValue="93171778" maxValue="99107296"/>
    </cacheField>
    <cacheField name="shiptopartyname" numFmtId="0">
      <sharedItems/>
    </cacheField>
    <cacheField name="soldtoparty" numFmtId="0">
      <sharedItems containsSemiMixedTypes="0" containsString="0" containsNumber="1" containsInteger="1" minValue="99001200" maxValue="99010200"/>
    </cacheField>
    <cacheField name="soldtopartyname" numFmtId="0">
      <sharedItems count="36">
        <s v="LAGOSTINA S.P.A.                                  "/>
        <s v="ZAO &quot;GROUPE SEB VOSTOK&quot;                           "/>
        <s v="GRUPO SEB DO BRASIL                               "/>
        <s v="GROUPE SEB FRANCE SAS (GSF)                       "/>
        <s v="GROUP SEB AUSTRALIA PTY LTD                       "/>
        <s v="GROUPE SEB  NORDIC                                "/>
        <s v="GROUPE SEB KOREA                                  "/>
        <s v="SEB ASIA LTD                                      "/>
        <s v="GROUPE SEB (Thailand) Ltd                         "/>
        <s v="GROUPE SEB SCHWEIZ GmbH                           "/>
        <s v="GROUPE SEB UK LTD                                 "/>
        <s v="GROUPE SEB SINGAPORE PTE LTD                      "/>
        <s v="GROUPE SEB USA                                    "/>
        <s v="GROUPE SEB ISTANBUL EV ALETLERI                   "/>
        <s v="GROUPE SEB ITALIA S.p.a                           "/>
        <s v="KRUPS GmbH &amp; Co. KG                               "/>
        <s v="SEB INTERNATIONAL SERVICE SAS                     "/>
        <s v="GROUPE SEB DEUTSCHLAND                            "/>
        <s v="GROUPE SEB EXPORT                                 "/>
        <s v="G.S.E.B. MEXICANA  S.A. DE C.V.                   "/>
        <s v="GROUPE SEB POLSKA SP. ZO.O                        "/>
        <s v="GROUPE SEB IBERICA                                "/>
        <s v="SEB ASIA Ltd  TAIWAN BRANCH                       "/>
        <s v="GROUPE SEB MOULINEX SAS                           "/>
        <s v="SEB GROUPE HELLADOS S.A.                          "/>
        <s v="GROUPE SEB JAPAN CO LTD                           "/>
        <s v="GROUPE SEB COLOMBIA                               "/>
        <s v="GROUPE SEB CANADA INC.                            "/>
        <s v="GROUPE SEB MALAYSIA SDN BDH                       "/>
        <s v="GROUPE SEB CENTRAL EUROPE KFT.                    "/>
        <s v="GROUPE SEB NEDERLAND BV                           "/>
        <s v="TEFAL SAS                                         "/>
        <s v="GROUPE SEB CHILE                                  "/>
        <s v="GROUPE SEB ARGENTINA SA                           "/>
        <s v="GROUPE SEB VENEZUELA SA                           "/>
        <s v="Groupe Seb Peru S.R.L.                            "/>
      </sharedItems>
    </cacheField>
    <cacheField name="customerorderno" numFmtId="0">
      <sharedItems/>
    </cacheField>
    <cacheField name="sebasiasalesorder" numFmtId="0">
      <sharedItems containsSemiMixedTypes="0" containsString="0" containsNumber="1" containsInteger="1" minValue="1370113014" maxValue="1370178188"/>
    </cacheField>
    <cacheField name="solineno" numFmtId="0">
      <sharedItems containsSemiMixedTypes="0" containsString="0" containsNumber="1" containsInteger="1" minValue="10" maxValue="290"/>
    </cacheField>
    <cacheField name="vendorcode" numFmtId="0">
      <sharedItems containsSemiMixedTypes="0" containsString="0" containsNumber="1" containsInteger="1" minValue="10002059" maxValue="99012100" count="86">
        <n v="99011000"/>
        <n v="10022857"/>
        <n v="10017541"/>
        <n v="10018597"/>
        <n v="10016787"/>
        <n v="10002342"/>
        <n v="10020848"/>
        <n v="10006819"/>
        <n v="10002644"/>
        <n v="10007071"/>
        <n v="10019336"/>
        <n v="10013982"/>
        <n v="10020846"/>
        <n v="10016947"/>
        <n v="10019610"/>
        <n v="10020397"/>
        <n v="10002063"/>
        <n v="10019410"/>
        <n v="10012062"/>
        <n v="10023158"/>
        <n v="10014732"/>
        <n v="10017880"/>
        <n v="99011100"/>
        <n v="99001700"/>
        <n v="10023008"/>
        <n v="10011965"/>
        <n v="10011884"/>
        <n v="10005402"/>
        <n v="10008043"/>
        <n v="10012238"/>
        <n v="99011400"/>
        <n v="99011700"/>
        <n v="10023289"/>
        <n v="10002618"/>
        <n v="10002410"/>
        <n v="10003305"/>
        <n v="10011087"/>
        <n v="10011954"/>
        <n v="10016908"/>
        <n v="10017262"/>
        <n v="10011086"/>
        <n v="10013781"/>
        <n v="10017609"/>
        <n v="10021084"/>
        <n v="10022928"/>
        <n v="10028508"/>
        <n v="10011953"/>
        <n v="10011961"/>
        <n v="10023371"/>
        <n v="10016744"/>
        <n v="10028602"/>
        <n v="10021905"/>
        <n v="10007542"/>
        <n v="10016441"/>
        <n v="10016946"/>
        <n v="10002059"/>
        <n v="10003775"/>
        <n v="10018552"/>
        <n v="10019408"/>
        <n v="10022134"/>
        <n v="10024482"/>
        <n v="10011867"/>
        <n v="10018557"/>
        <n v="10018856"/>
        <n v="10019114"/>
        <n v="10019276"/>
        <n v="10021675"/>
        <n v="10023135"/>
        <n v="10023342"/>
        <n v="10023731"/>
        <n v="10017914"/>
        <n v="10016689"/>
        <n v="10018727"/>
        <n v="10018762"/>
        <n v="10020651"/>
        <n v="10022890"/>
        <n v="99012100"/>
        <n v="10002616"/>
        <n v="10017348"/>
        <n v="10023490"/>
        <n v="10023546"/>
        <n v="10022803"/>
        <n v="10012944"/>
        <n v="10022502"/>
        <n v="10012181"/>
        <n v="10022317"/>
      </sharedItems>
    </cacheField>
    <cacheField name="vendorname" numFmtId="0">
      <sharedItems count="86">
        <s v="ZHEJIANG SUPOR CO LTD                             "/>
        <s v="HUROM LS CO LTD                                   "/>
        <s v="HOMEZEST ELECTRICAL MFG CO LTD                    "/>
        <s v="FATIA INDUSTRIAL CO LTD                           "/>
        <s v="AIRTEK                                            "/>
        <s v="CRASTAL TRADING LIMITED                           "/>
        <s v="ELEC TECH INTER HK CO LTD                         "/>
        <s v="WAON Development Ltd.                             "/>
        <s v="WIK FAR EAST LTD                                  "/>
        <s v="PEARL SUMMIT LIMITED                              "/>
        <s v="PT MITRA CITRA MAKMUR                             "/>
        <s v="TSANN KUEN ZHANGZHOU  ENTREPRISE                  "/>
        <s v="IBL PRODUCTS CO LTD                               "/>
        <s v="LINKFAIR HONG KONG  LIMITED                       "/>
        <s v="ZHEJIANG CUORI ELECTRICAL                         "/>
        <s v="NINGBO HEIGER ELECTRICAL                          "/>
        <s v="SIMATELEX MANUFACTORY CO                          "/>
        <s v="SUN LUEN ELECTRICAL MANUFACTUR                    "/>
        <s v="SUZHOU EUP ELECTRIC CO LTD                        "/>
        <s v="MINGLE INSTRUMENT LIMITED                         "/>
        <s v="WINNINGTON METAL &amp; PLASTIC M.CO LTD               "/>
        <s v="HOMEWELL CORPORATION LTD                          "/>
        <s v="SHAOXING SUPOR ELECTRICAL APP LTD                 "/>
        <s v="SHANGHAI SEB ELECTRICAL APPLIANCES                "/>
        <s v="NINGBO HONGYI MANU ELECT CO LTD                   "/>
        <s v="YORKWELL INDUSTRIES LIMITED                       "/>
        <s v="KWONNIE ELECTRICAL PRODUCTS LTD                   "/>
        <s v="Uni-Splendor Corporation                          "/>
        <s v="GUANGDONG Victory Electrical                      "/>
        <s v="Ya Horng Electronic Co., Ltd.                     "/>
        <s v="ZHEJIANG SUPOR ELECTRICAL                         "/>
        <s v="WUHAN CWH SUPOR CO, LTD                           "/>
        <s v="NY HANG MANUFACTURING CO LTD                      "/>
        <s v="ELECTRICAL &amp; ELECTRONICS LTD                      "/>
        <s v="PAYER Industries Hungary Kft                      "/>
        <s v="KARAN ELECTRIC MANUFACTURING LTD                  "/>
        <s v="SPECIALIFE INDUSTRIES LTD                         "/>
        <s v="EASTERN SOURCES HOUSEWARES HK LTD                 "/>
        <s v="FAIRFORM                                          "/>
        <s v="ETERNAL TECH GROUP (HONG KONG) Ltd                "/>
        <s v="KENFORD INDUSTRIAL CO LTD                         "/>
        <s v="NEW LEAF (HK) LTD                                 "/>
        <s v="JUNJIA HK ELECTRIC MANFUCTURING CO                "/>
        <s v="GUANG DONG XINBAO                                 "/>
        <s v="CONAN ELECTRIC MANUFACTURING LTD                  "/>
        <s v="PT STAR COMGISTIC INDONESIA                       "/>
        <s v="DICKSON INDUSTRIAL CO LTD                         "/>
        <s v="JOIN STAR INDUSTRIAL LIMITED                      "/>
        <s v="TEAM CONCEPT HK INDUSTRY LIMITED                  "/>
        <s v="GEW INTERNATIONAL CORPORATION LTD                 "/>
        <s v="TIFFANY MATERIALS LTD                             "/>
        <s v="GUANGDONG G TOP IMPORT AND EXPORT                 "/>
        <s v="MOTOR ELECTRIC MFG CO LTD                         "/>
        <s v="YOUNG AN WING                                     "/>
        <s v="LOMAK                                             "/>
        <s v="MAIN POWER ELECTRICAL FACTORY                     "/>
        <s v="Jack Pot Manufacturer Corp                        "/>
        <s v="SEMCO CO Ltd                                      "/>
        <s v="HIFACER CO LTD                                    "/>
        <s v="KJI Ind Ltd                                       "/>
        <s v="ZHEJIANG YUELI ELECTRICAL CO LTD                  "/>
        <s v="KRELL PRECISION COMPANY LTD                       "/>
        <s v="FOSHAN MD DOMESTIC ELECTRIC                       "/>
        <s v="GUANGDONG  ELECPRO ELE APP CO                     "/>
        <s v="X J GROUP LIMITED                                 "/>
        <s v="EMPEROR LIMITED                                   "/>
        <s v="ENTECH PRODUCTS HONG KONG LTD                     "/>
        <s v="LIANTEK ELECTRICAL APP SZ CO LTD                  "/>
        <s v="FOSHAN CITY SHUNDE DISTRICT                       "/>
        <s v="WAH HING FAI INDUSTRIAL COMPANY LTD               "/>
        <s v="ZHANJIANG HALLSMART ELECTRICAL APP                "/>
        <s v="ZHEJIANG TAIZHOU AISHIDA                          "/>
        <s v="EASYNET INTERNATIONAL CORPORATION                 "/>
        <s v="SMART TECH INDUSTRIAL LIMITED                     "/>
        <s v="FU TIAN INDUSTRIAL CO LTD                         "/>
        <s v="KEEN HING INDUSTRIES LIMITED                      "/>
        <s v="SUPOR VIETNAM CO LTD                              "/>
        <s v="CHUNG MEI INDUSTRIES LTD                          "/>
        <s v="SUZHOU DELUXE ELECTRIC CO LTD                     "/>
        <s v="GUANGDONG GALANZ ELECTRICAL                       "/>
        <s v="HUBEI AISHIDA ELE EQUIPMENT CO LTD                "/>
        <s v="METROPOLITAN ELECTRICAL APP MFG LTD               "/>
        <s v="HOP SHING METAL &amp; PLASTIC MFY LTD                 "/>
        <s v="GUANGDONG FUXIN ELECTRONIC TECH LTD               "/>
        <s v="KWONG TAI INDUSTRIAL CO LTD                       "/>
        <s v="SHEN ZHEN PRODOO ELE  APP CO LTD                  "/>
      </sharedItems>
    </cacheField>
    <cacheField name="rir" numFmtId="0">
      <sharedItems/>
    </cacheField>
    <cacheField name="cmmf" numFmtId="0">
      <sharedItems containsSemiMixedTypes="0" containsString="0" containsNumber="1" containsInteger="1" minValue="1110016821" maxValue="8900493476"/>
    </cacheField>
    <cacheField name="comfam" numFmtId="0">
      <sharedItems containsSemiMixedTypes="0" containsString="0" containsNumber="1" containsInteger="1" minValue="1" maxValue="900"/>
    </cacheField>
    <cacheField name="itemid" numFmtId="0">
      <sharedItems containsMixedTypes="1" containsNumber="1" containsInteger="1" minValue="633" maxValue="14425650324"/>
    </cacheField>
    <cacheField name="materialdesc" numFmtId="0">
      <sharedItems/>
    </cacheField>
    <cacheField name="orderstatus" numFmtId="0">
      <sharedItems/>
    </cacheField>
    <cacheField name="latestupdate" numFmtId="14">
      <sharedItems containsSemiMixedTypes="0" containsNonDate="0" containsDate="1" containsString="0" minDate="2012-01-03T00:00:00" maxDate="2012-08-04T00:00:00"/>
    </cacheField>
    <cacheField name="updatesince" numFmtId="0">
      <sharedItems containsNonDate="0" containsString="0" containsBlank="1"/>
    </cacheField>
    <cacheField name="curinq" numFmtId="0">
      <sharedItems/>
    </cacheField>
    <cacheField name="receptiondate" numFmtId="14">
      <sharedItems containsSemiMixedTypes="0" containsNonDate="0" containsDate="1" containsString="0" minDate="2011-01-22T00:00:00" maxDate="2012-06-16T00:00:00" count="97">
        <d v="2011-01-22T00:00:00"/>
        <d v="2011-02-18T00:00:00"/>
        <d v="2011-05-14T00:00:00"/>
        <d v="2011-05-21T00:00:00"/>
        <d v="2011-06-04T00:00:00"/>
        <d v="2011-06-11T00:00:00"/>
        <d v="2011-06-18T00:00:00"/>
        <d v="2011-07-02T00:00:00"/>
        <d v="2011-07-09T00:00:00"/>
        <d v="2011-07-16T00:00:00"/>
        <d v="2011-07-21T00:00:00"/>
        <d v="2011-07-23T00:00:00"/>
        <d v="2011-07-30T00:00:00"/>
        <d v="2011-08-05T00:00:00"/>
        <d v="2011-08-12T00:00:00"/>
        <d v="2011-08-11T00:00:00"/>
        <d v="2011-08-19T00:00:00"/>
        <d v="2011-08-24T00:00:00"/>
        <d v="2011-08-26T00:00:00"/>
        <d v="2011-09-02T00:00:00"/>
        <d v="2011-09-03T00:00:00"/>
        <d v="2011-09-05T00:00:00"/>
        <d v="2011-09-06T00:00:00"/>
        <d v="2011-09-07T00:00:00"/>
        <d v="2011-09-09T00:00:00"/>
        <d v="2011-09-12T00:00:00"/>
        <d v="2011-09-14T00:00:00"/>
        <d v="2011-09-16T00:00:00"/>
        <d v="2011-09-20T00:00:00"/>
        <d v="2011-09-21T00:00:00"/>
        <d v="2011-09-22T00:00:00"/>
        <d v="2011-09-23T00:00:00"/>
        <d v="2011-09-26T00:00:00"/>
        <d v="2011-09-27T00:00:00"/>
        <d v="2011-09-28T00:00:00"/>
        <d v="2011-09-30T00:00:00"/>
        <d v="2011-10-03T00:00:00"/>
        <d v="2011-10-06T00:00:00"/>
        <d v="2011-10-07T00:00:00"/>
        <d v="2011-10-10T00:00:00"/>
        <d v="2011-10-11T00:00:00"/>
        <d v="2011-10-12T00:00:00"/>
        <d v="2011-10-14T00:00:00"/>
        <d v="2011-10-17T00:00:00"/>
        <d v="2011-10-18T00:00:00"/>
        <d v="2011-10-19T00:00:00"/>
        <d v="2011-10-20T00:00:00"/>
        <d v="2011-10-21T00:00:00"/>
        <d v="2011-10-24T00:00:00"/>
        <d v="2011-10-25T00:00:00"/>
        <d v="2011-10-26T00:00:00"/>
        <d v="2011-10-27T00:00:00"/>
        <d v="2011-10-28T00:00:00"/>
        <d v="2011-10-31T00:00:00"/>
        <d v="2011-11-01T00:00:00"/>
        <d v="2011-11-02T00:00:00"/>
        <d v="2011-11-03T00:00:00"/>
        <d v="2011-11-04T00:00:00"/>
        <d v="2011-11-05T00:00:00"/>
        <d v="2011-11-07T00:00:00"/>
        <d v="2011-11-08T00:00:00"/>
        <d v="2011-11-09T00:00:00"/>
        <d v="2011-11-10T00:00:00"/>
        <d v="2011-11-11T00:00:00"/>
        <d v="2011-11-14T00:00:00"/>
        <d v="2011-11-12T00:00:00"/>
        <d v="2011-11-15T00:00:00"/>
        <d v="2011-11-16T00:00:00"/>
        <d v="2011-11-17T00:00:00"/>
        <d v="2011-11-18T00:00:00"/>
        <d v="2011-11-21T00:00:00"/>
        <d v="2011-11-22T00:00:00"/>
        <d v="2011-11-23T00:00:00"/>
        <d v="2011-11-24T00:00:00"/>
        <d v="2011-11-25T00:00:00"/>
        <d v="2011-11-28T00:00:00"/>
        <d v="2011-11-29T00:00:00"/>
        <d v="2011-11-30T00:00:00"/>
        <d v="2011-12-01T00:00:00"/>
        <d v="2011-12-02T00:00:00"/>
        <d v="2011-12-05T00:00:00"/>
        <d v="2011-12-06T00:00:00"/>
        <d v="2011-12-07T00:00:00"/>
        <d v="2011-12-08T00:00:00"/>
        <d v="2011-12-09T00:00:00"/>
        <d v="2011-12-12T00:00:00"/>
        <d v="2011-12-13T00:00:00"/>
        <d v="2011-12-14T00:00:00"/>
        <d v="2011-12-15T00:00:00"/>
        <d v="2011-12-16T00:00:00"/>
        <d v="2011-12-19T00:00:00"/>
        <d v="2011-12-21T00:00:00"/>
        <d v="2011-12-23T00:00:00"/>
        <d v="2012-01-04T00:00:00"/>
        <d v="2012-01-05T00:00:00"/>
        <d v="2012-01-12T00:00:00"/>
        <d v="2012-06-15T00:00:00"/>
      </sharedItems>
    </cacheField>
    <cacheField name="fob" numFmtId="0">
      <sharedItems containsSemiMixedTypes="0" containsString="0" containsNumber="1" minValue="0.24" maxValue="110.37"/>
    </cacheField>
    <cacheField name="unittp" numFmtId="0">
      <sharedItems containsSemiMixedTypes="0" containsString="0" containsNumber="1" containsInteger="1" minValue="1" maxValue="9538210"/>
    </cacheField>
    <cacheField name="inquiryeta" numFmtId="14">
      <sharedItems containsSemiMixedTypes="0" containsNonDate="0" containsDate="1" containsString="0" minDate="2011-05-20T00:00:00" maxDate="2012-09-07T00:00:00"/>
    </cacheField>
    <cacheField name="inquiryetd" numFmtId="14">
      <sharedItems containsSemiMixedTypes="0" containsNonDate="0" containsDate="1" containsString="0" minDate="2011-04-22T00:00:00" maxDate="2012-08-03T00:00:00"/>
    </cacheField>
    <cacheField name="inquiryqty" numFmtId="0">
      <sharedItems containsSemiMixedTypes="0" containsString="0" containsNumber="1" containsInteger="1" minValue="50" maxValue="65004"/>
    </cacheField>
    <cacheField name="currentinquiryetd" numFmtId="14">
      <sharedItems containsSemiMixedTypes="0" containsNonDate="0" containsDate="1" containsString="0" minDate="2011-04-22T00:00:00" maxDate="2012-08-03T00:00:00"/>
    </cacheField>
    <cacheField name="currentinquiryqty" numFmtId="0">
      <sharedItems containsSemiMixedTypes="0" containsString="0" containsNumber="1" containsInteger="1" minValue="50" maxValue="65004"/>
    </cacheField>
    <cacheField name="confirmationstatus" numFmtId="0">
      <sharedItems containsNonDate="0" containsString="0" containsBlank="1"/>
    </cacheField>
    <cacheField name="stconfirmedetd" numFmtId="0">
      <sharedItems containsNonDate="0" containsDate="1" containsString="0" containsBlank="1" minDate="2011-06-02T00:00:00" maxDate="2012-08-04T00:00:00"/>
    </cacheField>
    <cacheField name="stconfirmedqty" numFmtId="0">
      <sharedItems containsString="0" containsBlank="1" containsNumber="1" containsInteger="1" minValue="50" maxValue="65004"/>
    </cacheField>
    <cacheField name="currentconfirmedeta" numFmtId="14">
      <sharedItems containsSemiMixedTypes="0" containsNonDate="0" containsDate="1" containsString="0" minDate="2011-12-31T00:00:00" maxDate="2012-09-06T00:00:00"/>
    </cacheField>
    <cacheField name="currentconfirmedetd" numFmtId="14">
      <sharedItems containsSemiMixedTypes="0" containsNonDate="0" containsDate="1" containsString="0" minDate="2011-12-16T00:00:00" maxDate="2012-08-02T00:00:00"/>
    </cacheField>
    <cacheField name="currentconfirmedqty" numFmtId="0">
      <sharedItems containsSemiMixedTypes="0" containsString="0" containsNumber="1" containsInteger="1" minValue="50" maxValue="65004"/>
    </cacheField>
    <cacheField name="deliveredqty" numFmtId="0">
      <sharedItems containsSemiMixedTypes="0" containsString="0" containsNumber="1" containsInteger="1" minValue="2" maxValue="21000"/>
    </cacheField>
    <cacheField name="shipdate" numFmtId="14">
      <sharedItems containsSemiMixedTypes="0" containsNonDate="0" containsDate="1" containsString="0" minDate="2012-01-01T00:00:00" maxDate="2012-02-01T00:00:00" count="31">
        <d v="2012-01-09T00:00:00"/>
        <d v="2012-01-23T00:00:00"/>
        <d v="2012-01-04T00:00:00"/>
        <d v="2012-01-02T00:00:00"/>
        <d v="2012-01-22T00:00:00"/>
        <d v="2012-01-10T00:00:00"/>
        <d v="2012-01-05T00:00:00"/>
        <d v="2012-01-06T00:00:00"/>
        <d v="2012-01-16T00:00:00"/>
        <d v="2012-01-14T00:00:00"/>
        <d v="2012-01-12T00:00:00"/>
        <d v="2012-01-15T00:00:00"/>
        <d v="2012-01-07T00:00:00"/>
        <d v="2012-01-01T00:00:00"/>
        <d v="2012-01-20T00:00:00"/>
        <d v="2012-01-26T00:00:00"/>
        <d v="2012-01-03T00:00:00"/>
        <d v="2012-01-11T00:00:00"/>
        <d v="2012-01-27T00:00:00"/>
        <d v="2012-01-17T00:00:00"/>
        <d v="2012-01-31T00:00:00"/>
        <d v="2012-01-18T00:00:00"/>
        <d v="2012-01-19T00:00:00"/>
        <d v="2012-01-08T00:00:00"/>
        <d v="2012-01-13T00:00:00"/>
        <d v="2012-01-24T00:00:00"/>
        <d v="2012-01-21T00:00:00"/>
        <d v="2012-01-25T00:00:00"/>
        <d v="2012-01-30T00:00:00"/>
        <d v="2012-01-28T00:00:00"/>
        <d v="2012-01-29T00:00:00"/>
      </sharedItems>
      <fieldGroup par="75" base="34">
        <rangePr groupBy="months" startDate="2012-01-01T00:00:00" endDate="2012-02-01T00:00:00"/>
        <groupItems count="14">
          <s v="&lt;1/1/201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1/2012"/>
        </groupItems>
      </fieldGroup>
    </cacheField>
    <cacheField name="shipdateeta" numFmtId="14">
      <sharedItems containsSemiMixedTypes="0" containsNonDate="0" containsDate="1" containsString="0" minDate="2012-01-02T00:00:00" maxDate="2012-03-16T00:00:00"/>
    </cacheField>
    <cacheField name="osqty" numFmtId="0">
      <sharedItems containsNonDate="0" containsString="0" containsBlank="1"/>
    </cacheField>
    <cacheField name="sebasiapono" numFmtId="0">
      <sharedItems containsSemiMixedTypes="0" containsString="0" containsNumber="1" containsInteger="1" minValue="9321504861" maxValue="9321791328"/>
    </cacheField>
    <cacheField name="polineno" numFmtId="0">
      <sharedItems containsSemiMixedTypes="0" containsString="0" containsNumber="1" containsInteger="1" minValue="10" maxValue="130"/>
    </cacheField>
    <cacheField name="ctrno" numFmtId="0">
      <sharedItems containsBlank="1"/>
    </cacheField>
    <cacheField name="boatid" numFmtId="0">
      <sharedItems containsBlank="1"/>
    </cacheField>
    <cacheField name="packinglist" numFmtId="0">
      <sharedItems containsNonDate="0" containsString="0" containsBlank="1"/>
    </cacheField>
    <cacheField name="shipfrom" numFmtId="0">
      <sharedItems containsBlank="1"/>
    </cacheField>
    <cacheField name="comments" numFmtId="0">
      <sharedItems containsBlank="1"/>
    </cacheField>
    <cacheField name="cmnttxdtlname" numFmtId="0">
      <sharedItems containsNonDate="0" containsString="0" containsBlank="1"/>
    </cacheField>
    <cacheField name="sao" numFmtId="0">
      <sharedItems containsBlank="1"/>
    </cacheField>
    <cacheField name="purchasinggroup" numFmtId="0">
      <sharedItems/>
    </cacheField>
    <cacheField name="sbu" numFmtId="0">
      <sharedItems/>
    </cacheField>
    <cacheField name="status" numFmtId="0">
      <sharedItems/>
    </cacheField>
    <cacheField name="shipmentline" numFmtId="0">
      <sharedItems containsSemiMixedTypes="0" containsString="0" containsNumber="1" containsInteger="1" minValue="1" maxValue="1"/>
    </cacheField>
    <cacheField name="week" numFmtId="0">
      <sharedItems containsSemiMixedTypes="0" containsString="0" containsNumber="1" containsInteger="1" minValue="1" maxValue="52"/>
    </cacheField>
    <cacheField name="shipdate2" numFmtId="14">
      <sharedItems containsSemiMixedTypes="0" containsNonDate="0" containsDate="1" containsString="0" minDate="2012-01-01T00:00:00" maxDate="2012-02-01T00:00:00"/>
    </cacheField>
    <cacheField name="bu" numFmtId="0">
      <sharedItems/>
    </cacheField>
    <cacheField name="familysbu" numFmtId="0">
      <sharedItems/>
    </cacheField>
    <cacheField name="sp" numFmtId="0">
      <sharedItems containsBlank="1" count="8">
        <m/>
        <s v="MANI YUEN"/>
        <s v="RACHEL CHAN"/>
        <s v="QUEENIE NG"/>
        <s v="NATURAL CHENG"/>
        <s v="RITA CHAN"/>
        <s v="JAMES WEI"/>
        <s v="EDDIE CHEUNG"/>
      </sharedItems>
    </cacheField>
    <cacheField name="spm" numFmtId="0">
      <sharedItems containsBlank="1" count="4">
        <m/>
        <s v="SALIN YIU"/>
        <s v="FARAH SALAM"/>
        <s v="ERIC NGAN"/>
      </sharedItems>
    </cacheField>
    <cacheField name="cmaxtext" numFmtId="0">
      <sharedItems containsBlank="1" count="22">
        <s v="FORWARDER-PROB"/>
        <m/>
        <s v="SP-TECH"/>
        <s v="C-POST-CONF"/>
        <s v="BU-ETD-TEMP"/>
        <s v="MATSPEC-CHG"/>
        <s v="SP-BOTTLENECK"/>
        <s v="SP-HOLIDAY"/>
        <s v="NEWREQ-CUSTOMS"/>
        <s v="SP-MTL"/>
        <s v="CONS-SHIPT"/>
        <s v="SP-OVERCAP"/>
        <s v="SP-INSP-FAILED"/>
        <s v="SP-QLY"/>
        <s v="SP-NO-FORECAST"/>
        <s v="SP-TOOLING"/>
        <s v="C-ETD-TEMP"/>
        <s v="SP-LABOR"/>
        <s v="SP-WRONGSHIP"/>
        <s v="PARTIAL-SHIP"/>
        <s v="SP-CONT-BOOKING"/>
        <s v="SP-INSP-BOOKING"/>
      </sharedItems>
    </cacheField>
    <cacheField name="cmintext" numFmtId="0">
      <sharedItems containsBlank="1"/>
    </cacheField>
    <cacheField name="imaxrank" numFmtId="0">
      <sharedItems containsSemiMixedTypes="0" containsString="0" containsNumber="1" containsInteger="1" minValue="-3" maxValue="1"/>
    </cacheField>
    <cacheField name="iminrank" numFmtId="0">
      <sharedItems containsSemiMixedTypes="0" containsString="0" containsNumber="1" containsInteger="1" minValue="-3" maxValue="1"/>
    </cacheField>
    <cacheField name="igaptext" numFmtId="0">
      <sharedItems containsBlank="1" count="22">
        <s v="C-POST-CONF"/>
        <m/>
        <s v="SP-PRIOR"/>
        <s v="BU-ETD-TEMP"/>
        <s v="SP-TECH"/>
        <s v="MATSPEC-CHG"/>
        <s v="SP-HOLIDAY"/>
        <s v="C-ETD-TEMP"/>
        <s v="CONS-SHIPT"/>
        <s v="SP-OVERCAP"/>
        <s v="SP-MTL"/>
        <s v="FORWARDER-PROB"/>
        <s v="SP-INSP-FAILED"/>
        <s v="SP-QLY"/>
        <s v="NEWREQ-CUSTOMS"/>
        <s v="SP-NO-FORECAST"/>
        <s v="SP-BOTTLENECK"/>
        <s v="SP-LABOR"/>
        <s v="SP-WRONGSHIP"/>
        <s v="PARTIAL-SHIP"/>
        <s v="SP-CONT-BOOKING"/>
        <s v="SP-TOOLING"/>
      </sharedItems>
    </cacheField>
    <cacheField name="icount" numFmtId="0">
      <sharedItems containsSemiMixedTypes="0" containsString="0" containsNumber="1" containsInteger="1" minValue="0" maxValue="9"/>
    </cacheField>
    <cacheField name="customerdemand" numFmtId="0">
      <sharedItems containsSemiMixedTypes="0" containsString="0" containsNumber="1" containsInteger="1" minValue="0" maxValue="0" count="1">
        <n v="0"/>
      </sharedItems>
    </cacheField>
    <cacheField name="ishipvs1stietd" numFmtId="0">
      <sharedItems containsSemiMixedTypes="0" containsString="0" containsNumber="1" containsInteger="1" minValue="0" maxValue="1" count="2">
        <n v="0"/>
        <n v="1"/>
      </sharedItems>
    </cacheField>
    <cacheField name="ishortline" numFmtId="0">
      <sharedItems containsSemiMixedTypes="0" containsString="0" containsNumber="1" containsInteger="1" minValue="0" maxValue="1" count="2">
        <n v="0"/>
        <n v="1"/>
      </sharedItems>
    </cacheField>
    <cacheField name="ifail1stconf" numFmtId="0">
      <sharedItems containsSemiMixedTypes="0" containsString="0" containsNumber="1" containsInteger="1" minValue="0" maxValue="1"/>
    </cacheField>
    <cacheField name="ic1" numFmtId="0">
      <sharedItems containsSemiMixedTypes="0" containsString="0" containsNumber="1" containsInteger="1" minValue="0" maxValue="1"/>
    </cacheField>
    <cacheField name="ic3" numFmtId="0">
      <sharedItems containsSemiMixedTypes="0" containsString="0" containsNumber="1" containsInteger="1" minValue="0" maxValue="1"/>
    </cacheField>
    <cacheField name="il2andsasladjust" numFmtId="0">
      <sharedItems containsSemiMixedTypes="0" containsString="0" containsNumber="1" containsInteger="1" minValue="0" maxValue="1"/>
    </cacheField>
    <cacheField name="il4andsasladjust" numFmtId="0">
      <sharedItems containsSemiMixedTypes="0" containsString="0" containsNumber="1" containsInteger="1" minValue="0" maxValue="1"/>
    </cacheField>
    <cacheField name="saslscoreboard" numFmtId="0">
      <sharedItems containsSemiMixedTypes="0" containsString="0" containsNumber="1" containsInteger="1" minValue="0" maxValue="1"/>
    </cacheField>
    <cacheField name="il2minsasladjust" numFmtId="0">
      <sharedItems containsSemiMixedTypes="0" containsString="0" containsNumber="1" containsInteger="1" minValue="0" maxValue="1" count="2">
        <n v="0"/>
        <n v="1"/>
      </sharedItems>
    </cacheField>
    <cacheField name="il4minsasladjust" numFmtId="0">
      <sharedItems containsSemiMixedTypes="0" containsString="0" containsNumber="1" containsInteger="1" minValue="0" maxValue="1" count="2">
        <n v="0"/>
        <n v="1"/>
      </sharedItems>
    </cacheField>
    <cacheField name="il1plusl2andsasladjust" numFmtId="0">
      <sharedItems containsSemiMixedTypes="0" containsString="0" containsNumber="1" containsInteger="1" minValue="0" maxValue="1" count="2">
        <n v="1"/>
        <n v="0"/>
      </sharedItems>
    </cacheField>
    <cacheField name="il3plusl4adjust" numFmtId="0">
      <sharedItems containsSemiMixedTypes="0" containsString="0" containsNumber="1" containsInteger="1" minValue="0" maxValue="1" count="2">
        <n v="0"/>
        <n v="1"/>
      </sharedItems>
    </cacheField>
    <cacheField name="Years" numFmtId="0" databaseField="0">
      <fieldGroup base="34">
        <rangePr groupBy="years" startDate="2012-01-01T00:00:00" endDate="2012-02-01T00:00:00"/>
        <groupItems count="3">
          <s v="&lt;1/1/2012"/>
          <s v="2012"/>
          <s v="&gt;2/1/2012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73">
  <r>
    <s v="Shipment"/>
    <n v="99008900"/>
    <s v="LAGOSTINA S.P.A.                                  "/>
    <n v="99008900"/>
    <x v="0"/>
    <s v="4600075214/000010"/>
    <n v="1370113014"/>
    <n v="10"/>
    <x v="0"/>
    <x v="0"/>
    <s v="A9"/>
    <n v="8900474925"/>
    <n v="205"/>
    <n v="116000482"/>
    <s v="010700600110 BATTERIA GRANCUCINA  PZ.10           "/>
    <s v="S"/>
    <d v="2012-01-10T00:00:00"/>
    <m/>
    <s v="X"/>
    <x v="0"/>
    <n v="59.301200000000001"/>
    <n v="44"/>
    <d v="2011-07-03T00:00:00"/>
    <d v="2011-06-05T00:00:00"/>
    <n v="1390"/>
    <d v="2012-01-07T00:00:00"/>
    <n v="1390"/>
    <m/>
    <d v="2011-06-02T00:00:00"/>
    <n v="1390"/>
    <d v="2012-02-07T00:00:00"/>
    <d v="2012-01-10T00:00:00"/>
    <n v="1390"/>
    <n v="1390"/>
    <x v="0"/>
    <d v="2012-02-06T00:00:00"/>
    <m/>
    <n v="9321504861"/>
    <n v="10"/>
    <s v="UACU5373447"/>
    <s v="XIN FU ZHOU/1202W"/>
    <m/>
    <s v="NINGBO"/>
    <s v="FORWARDER-PROB/C-POST-CONF/SP-PRIOR/SP-CONFPOSTP-REQST/SP-CONF-CHANGE/"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0"/>
    <s v="C-POST-CONF"/>
    <n v="1"/>
    <n v="-3"/>
    <x v="0"/>
    <n v="5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517641/000010"/>
    <n v="1370115846"/>
    <n v="10"/>
    <x v="1"/>
    <x v="1"/>
    <s v="P1"/>
    <n v="1500833031"/>
    <n v="105"/>
    <n v="833031"/>
    <s v="ZU300131 PRES INFINI PRESS WHT FR                 "/>
    <s v="S"/>
    <d v="2012-01-31T00:00:00"/>
    <m/>
    <s v="X"/>
    <x v="1"/>
    <n v="102"/>
    <n v="3624"/>
    <d v="2011-05-20T00:00:00"/>
    <d v="2011-04-22T00:00:00"/>
    <n v="670"/>
    <d v="2011-04-22T00:00:00"/>
    <n v="670"/>
    <m/>
    <m/>
    <m/>
    <d v="2012-02-20T00:00:00"/>
    <d v="2012-01-23T00:00:00"/>
    <n v="670"/>
    <n v="50"/>
    <x v="1"/>
    <d v="2012-02-20T00:00:00"/>
    <m/>
    <n v="9321518910"/>
    <n v="10"/>
    <s v="APZU3961628"/>
    <s v="HYUNDAI MERCURY 017W"/>
    <m/>
    <s v="BUSAN"/>
    <s v="C-SHORTL/T/C-SHORTL/T/"/>
    <m/>
    <s v="KENUS WONG"/>
    <s v="FO9"/>
    <s v="FOOD PREPARATION              "/>
    <s v="CONFIRMED"/>
    <n v="1"/>
    <n v="4"/>
    <d v="2012-01-23T00:00:00"/>
    <s v="KITCHEN ELECTRICS             "/>
    <s v="FOOD PREPARATION              "/>
    <x v="0"/>
    <x v="0"/>
    <x v="1"/>
    <m/>
    <n v="0"/>
    <n v="0"/>
    <x v="1"/>
    <n v="4"/>
    <x v="0"/>
    <x v="0"/>
    <x v="0"/>
    <n v="0"/>
    <n v="0"/>
    <n v="0"/>
    <n v="0"/>
    <n v="0"/>
    <n v="0"/>
    <x v="0"/>
    <x v="1"/>
    <x v="1"/>
    <x v="0"/>
  </r>
  <r>
    <s v="Shipment"/>
    <n v="99001621"/>
    <s v="GRUPO SEB DO BRASIL                               "/>
    <n v="99001600"/>
    <x v="2"/>
    <s v="9820593907/000010"/>
    <n v="1370126357"/>
    <n v="10"/>
    <x v="2"/>
    <x v="2"/>
    <s v="R1"/>
    <n v="1500634504"/>
    <n v="27"/>
    <n v="634504"/>
    <s v="CM330550 FCM CM921 22C BLK/SS 127V BR             "/>
    <s v="S"/>
    <d v="2012-01-06T00:00:00"/>
    <m/>
    <s v="X"/>
    <x v="2"/>
    <n v="10.02"/>
    <n v="11759"/>
    <d v="2011-09-03T00:00:00"/>
    <d v="2011-07-23T00:00:00"/>
    <n v="2589"/>
    <d v="2011-07-23T00:00:00"/>
    <n v="2589"/>
    <m/>
    <d v="2011-07-30T00:00:00"/>
    <n v="2589"/>
    <d v="2012-02-15T00:00:00"/>
    <d v="2012-01-04T00:00:00"/>
    <n v="2589"/>
    <n v="2589"/>
    <x v="2"/>
    <d v="2012-02-15T00:00:00"/>
    <m/>
    <n v="9321562343"/>
    <n v="10"/>
    <s v="PONU1593740"/>
    <s v="MAERSK LIMA 152W/"/>
    <m/>
    <s v="YANTIAN"/>
    <s v="SP-TECH/SP-QLY/SP-QLY/SP-PRIOR/SP-CONF-CHANGE/"/>
    <m/>
    <s v="THOMAS HO"/>
    <s v="FO9"/>
    <s v="BEVERAGE                      "/>
    <s v="CONFIRMED"/>
    <n v="1"/>
    <n v="1"/>
    <d v="2012-01-04T00:00:00"/>
    <s v="KITCHEN ELECTRICS             "/>
    <s v="BREAKFAST &amp; BREVAGE PREP      "/>
    <x v="1"/>
    <x v="1"/>
    <x v="2"/>
    <s v="SP-PRIOR"/>
    <n v="1"/>
    <n v="-3"/>
    <x v="2"/>
    <n v="5"/>
    <x v="0"/>
    <x v="0"/>
    <x v="0"/>
    <n v="0"/>
    <n v="0"/>
    <n v="0"/>
    <n v="0"/>
    <n v="0"/>
    <n v="0"/>
    <x v="1"/>
    <x v="0"/>
    <x v="1"/>
    <x v="0"/>
  </r>
  <r>
    <s v="Shipment"/>
    <n v="99001621"/>
    <s v="GRUPO SEB DO BRASIL                               "/>
    <n v="99001600"/>
    <x v="2"/>
    <s v="9820593907/000020"/>
    <n v="1370126357"/>
    <n v="20"/>
    <x v="2"/>
    <x v="2"/>
    <s v="R1"/>
    <n v="1500634671"/>
    <n v="27"/>
    <n v="634671"/>
    <s v="CM330551 FCM CM921 22C BLK/SS 220V BR             "/>
    <s v="S"/>
    <d v="2012-01-06T00:00:00"/>
    <m/>
    <s v="X"/>
    <x v="2"/>
    <n v="10.02"/>
    <n v="11759"/>
    <d v="2011-09-03T00:00:00"/>
    <d v="2011-07-23T00:00:00"/>
    <n v="1275"/>
    <d v="2011-07-23T00:00:00"/>
    <n v="1275"/>
    <m/>
    <d v="2011-07-30T00:00:00"/>
    <n v="1275"/>
    <d v="2012-02-15T00:00:00"/>
    <d v="2012-01-04T00:00:00"/>
    <n v="1275"/>
    <n v="1275"/>
    <x v="2"/>
    <d v="2012-02-15T00:00:00"/>
    <m/>
    <n v="9321562343"/>
    <n v="20"/>
    <s v="MRKU0686430"/>
    <s v="MAERSK LIMA 152W/"/>
    <m/>
    <s v="YANTIAN"/>
    <s v="SP-TECH/SP-QLY/SP-QLY/SP-PRIOR/SP-CONF-CHANGE/"/>
    <m/>
    <s v="THOMAS HO"/>
    <s v="FO9"/>
    <s v="BEVERAGE                      "/>
    <s v="CONFIRMED"/>
    <n v="1"/>
    <n v="1"/>
    <d v="2012-01-04T00:00:00"/>
    <s v="KITCHEN ELECTRICS             "/>
    <s v="BREAKFAST &amp; BREVAGE PREP      "/>
    <x v="1"/>
    <x v="1"/>
    <x v="2"/>
    <s v="SP-PRIOR"/>
    <n v="1"/>
    <n v="-3"/>
    <x v="2"/>
    <n v="5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564962/000020"/>
    <n v="1370127092"/>
    <n v="20"/>
    <x v="3"/>
    <x v="3"/>
    <s v="R1"/>
    <n v="1500634675"/>
    <n v="27"/>
    <n v="634675"/>
    <s v="CI430D00 FCM TH EXPRESS 8/12C MET/BLK FR          "/>
    <s v="S"/>
    <d v="2012-01-07T00:00:00"/>
    <m/>
    <s v="X"/>
    <x v="3"/>
    <n v="21.86"/>
    <n v="15"/>
    <d v="2011-09-02T00:00:00"/>
    <d v="2011-07-29T00:00:00"/>
    <n v="732"/>
    <d v="2012-01-02T00:00:00"/>
    <n v="732"/>
    <m/>
    <d v="2011-07-29T00:00:00"/>
    <n v="732"/>
    <d v="2012-02-06T00:00:00"/>
    <d v="2012-01-02T00:00:00"/>
    <n v="732"/>
    <n v="732"/>
    <x v="2"/>
    <d v="2012-02-08T00:00:00"/>
    <m/>
    <n v="9321566448"/>
    <n v="20"/>
    <s v="MSKU4007673"/>
    <s v="MAREN MAERSK 121W/"/>
    <m/>
    <s v="HONG KONG"/>
    <s v="C-POST-CONF/NW-ETDTEMP/NW-ETDTEMP/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2"/>
    <x v="1"/>
    <x v="3"/>
    <s v="C-POST-CONF"/>
    <n v="-3"/>
    <n v="-3"/>
    <x v="0"/>
    <n v="3"/>
    <x v="0"/>
    <x v="0"/>
    <x v="0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140/000003"/>
    <n v="1370128132"/>
    <n v="30"/>
    <x v="4"/>
    <x v="4"/>
    <s v="M5"/>
    <n v="2210016485"/>
    <n v="68"/>
    <s v="RH854883       "/>
    <s v="RH854883 CORDLESS HANDSTICK AIR FORCE-18          "/>
    <s v="S"/>
    <d v="2012-01-29T00:00:00"/>
    <m/>
    <s v="X"/>
    <x v="4"/>
    <n v="48.08"/>
    <n v="59"/>
    <d v="2011-10-25T00:00:00"/>
    <d v="2011-10-04T00:00:00"/>
    <n v="826"/>
    <d v="2012-01-16T00:00:00"/>
    <n v="826"/>
    <m/>
    <d v="2011-10-04T00:00:00"/>
    <n v="826"/>
    <d v="2012-02-06T00:00:00"/>
    <d v="2012-01-16T00:00:00"/>
    <n v="826"/>
    <n v="826"/>
    <x v="1"/>
    <d v="2012-02-13T00:00:00"/>
    <m/>
    <n v="9321572961"/>
    <n v="30"/>
    <s v="ECMU4600248"/>
    <s v="CSCL QINGDAO/0170S"/>
    <m/>
    <s v="YANTIAN"/>
    <s v="C-POST-CONF/SAILING-SCHED-UPDATE/"/>
    <m/>
    <s v="AGNES NUNES"/>
    <s v="FO9"/>
    <s v="HOME CLEANING                 "/>
    <s v="CONFIRMED"/>
    <n v="1"/>
    <n v="4"/>
    <d v="2012-01-23T00:00:00"/>
    <s v="HOME CLEANING                 "/>
    <s v="HOME CLEANING                 "/>
    <x v="3"/>
    <x v="2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575456/000010"/>
    <n v="1370129389"/>
    <n v="10"/>
    <x v="3"/>
    <x v="3"/>
    <s v="R1"/>
    <n v="1500634675"/>
    <n v="27"/>
    <n v="634675"/>
    <s v="CI430D00 FCM TH EXPRESS 8/12C MET/BLK FR          "/>
    <s v="S"/>
    <d v="2012-01-07T00:00:00"/>
    <m/>
    <s v="X"/>
    <x v="5"/>
    <n v="21.86"/>
    <n v="19"/>
    <d v="2011-09-16T00:00:00"/>
    <d v="2011-08-12T00:00:00"/>
    <n v="1508"/>
    <d v="2012-01-02T00:00:00"/>
    <n v="1508"/>
    <m/>
    <d v="2011-08-12T00:00:00"/>
    <n v="1508"/>
    <d v="2012-02-06T00:00:00"/>
    <d v="2012-01-02T00:00:00"/>
    <n v="1508"/>
    <n v="1508"/>
    <x v="2"/>
    <d v="2012-02-08T00:00:00"/>
    <m/>
    <n v="9321576670"/>
    <n v="10"/>
    <s v="MSKU6186156"/>
    <s v="MAREN MAERSK 121W/"/>
    <m/>
    <s v="HONG KONG"/>
    <s v="BU-ETD-TEMP/BU-ETD-TEMP/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2"/>
    <x v="1"/>
    <x v="4"/>
    <s v="BU-ETD-TEMP"/>
    <n v="-3"/>
    <n v="-3"/>
    <x v="3"/>
    <n v="2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02681/000010"/>
    <n v="1370130371"/>
    <n v="10"/>
    <x v="2"/>
    <x v="2"/>
    <s v="R1"/>
    <n v="1500634504"/>
    <n v="27"/>
    <n v="634504"/>
    <s v="CM330550 FCM CM921 22C BLK/SS 127V BR             "/>
    <s v="S"/>
    <d v="2012-01-06T00:00:00"/>
    <m/>
    <s v="X"/>
    <x v="6"/>
    <n v="10.02"/>
    <n v="12"/>
    <d v="2011-10-03T00:00:00"/>
    <d v="2011-08-22T00:00:00"/>
    <n v="1275"/>
    <d v="2011-08-22T00:00:00"/>
    <n v="1275"/>
    <m/>
    <d v="2011-08-22T00:00:00"/>
    <n v="1275"/>
    <d v="2012-02-15T00:00:00"/>
    <d v="2012-01-04T00:00:00"/>
    <n v="1275"/>
    <n v="1275"/>
    <x v="2"/>
    <d v="2012-02-15T00:00:00"/>
    <m/>
    <n v="9321580144"/>
    <n v="10"/>
    <s v="MRKU0686430"/>
    <s v="MAERSK LIMA 152W/"/>
    <m/>
    <s v="YANTIAN"/>
    <s v="SP-TECH/SP-QLY/SP-INSP-FAILED/"/>
    <m/>
    <s v="THOMAS HO"/>
    <s v="FO9"/>
    <s v="BEVERAGE                      "/>
    <s v="CONFIRMED"/>
    <n v="1"/>
    <n v="1"/>
    <d v="2012-01-04T00:00:00"/>
    <s v="KITCHEN ELECTRICS             "/>
    <s v="BREAKFAST &amp; BREVAGE PREP      "/>
    <x v="1"/>
    <x v="1"/>
    <x v="2"/>
    <s v="SP-TECH"/>
    <n v="1"/>
    <n v="1"/>
    <x v="4"/>
    <n v="3"/>
    <x v="0"/>
    <x v="0"/>
    <x v="0"/>
    <n v="0"/>
    <n v="0"/>
    <n v="0"/>
    <n v="0"/>
    <n v="0"/>
    <n v="0"/>
    <x v="1"/>
    <x v="0"/>
    <x v="1"/>
    <x v="0"/>
  </r>
  <r>
    <s v="Shipment"/>
    <n v="99002222"/>
    <s v="GROUPE SEB NORDIC A/S                             "/>
    <n v="99002200"/>
    <x v="5"/>
    <s v="4500249098/000010"/>
    <n v="1370132602"/>
    <n v="10"/>
    <x v="0"/>
    <x v="0"/>
    <s v="A1"/>
    <n v="2100058411"/>
    <n v="207"/>
    <n v="115002313"/>
    <s v="E2062444 SCP20LID JAM-OLIV CAST ALU IND           "/>
    <s v="S"/>
    <d v="2012-01-05T00:00:00"/>
    <m/>
    <s v="X"/>
    <x v="7"/>
    <n v="22.605899999999998"/>
    <n v="130778"/>
    <d v="2011-11-01T00:00:00"/>
    <d v="2011-09-27T00:00:00"/>
    <n v="1000"/>
    <d v="2012-01-02T00:00:00"/>
    <n v="1000"/>
    <m/>
    <d v="2011-10-01T00:00:00"/>
    <n v="1000"/>
    <d v="2012-02-06T00:00:00"/>
    <d v="2012-01-02T00:00:00"/>
    <n v="1000"/>
    <n v="1000"/>
    <x v="3"/>
    <d v="2012-02-06T00:00:00"/>
    <m/>
    <n v="9321588536"/>
    <n v="10"/>
    <s v="CBHU1788389"/>
    <s v="COSCO TAICANG/016W"/>
    <m/>
    <s v="NINGBO"/>
    <s v="C-POST-CONF/SAILING-SCHED-UPDATE/SP-OVERCAP/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3"/>
    <s v="C-POST-CONF"/>
    <n v="-3"/>
    <n v="-3"/>
    <x v="0"/>
    <n v="3"/>
    <x v="0"/>
    <x v="0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49099/000010"/>
    <n v="1370132607"/>
    <n v="10"/>
    <x v="0"/>
    <x v="0"/>
    <s v="A1"/>
    <n v="2100058412"/>
    <n v="207"/>
    <n v="115002314"/>
    <s v="E2064644 D.OV24LID JAM-OLIV CAST ALU IND          "/>
    <s v="S"/>
    <d v="2012-01-05T00:00:00"/>
    <m/>
    <s v="X"/>
    <x v="7"/>
    <n v="26.702200000000001"/>
    <n v="154475"/>
    <d v="2011-11-01T00:00:00"/>
    <d v="2011-09-27T00:00:00"/>
    <n v="1000"/>
    <d v="2012-01-02T00:00:00"/>
    <n v="1000"/>
    <m/>
    <d v="2011-10-01T00:00:00"/>
    <n v="1000"/>
    <d v="2012-02-06T00:00:00"/>
    <d v="2012-01-02T00:00:00"/>
    <n v="1000"/>
    <n v="1000"/>
    <x v="3"/>
    <d v="2012-02-06T00:00:00"/>
    <m/>
    <n v="9321588538"/>
    <n v="10"/>
    <s v="CBHU1788389"/>
    <s v="COSCO TAICANG/016W"/>
    <m/>
    <s v="NINGBO"/>
    <s v="C-POST-CONF/SP-OVERCAP/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2914/000002"/>
    <n v="1370133510"/>
    <n v="20"/>
    <x v="5"/>
    <x v="5"/>
    <s v="R1"/>
    <n v="1500578118"/>
    <n v="23"/>
    <n v="578118"/>
    <s v="TT581970 TOAS ADAGIO 2S LID HAVANE KR             "/>
    <s v="S"/>
    <d v="2012-01-18T00:00:00"/>
    <m/>
    <s v="X"/>
    <x v="8"/>
    <n v="14.21"/>
    <n v="10"/>
    <d v="2011-11-14T00:00:00"/>
    <d v="2011-10-31T00:00:00"/>
    <n v="1640"/>
    <d v="2012-01-02T00:00:00"/>
    <n v="1640"/>
    <m/>
    <d v="2011-10-31T00:00:00"/>
    <n v="1640"/>
    <d v="2012-02-05T00:00:00"/>
    <d v="2012-01-22T00:00:00"/>
    <n v="1640"/>
    <n v="1640"/>
    <x v="4"/>
    <d v="2012-02-05T00:00:00"/>
    <m/>
    <n v="9321594872"/>
    <n v="10"/>
    <s v="POCU0575075"/>
    <s v="ST.MARY/1202"/>
    <m/>
    <s v="YANTIAN"/>
    <s v="MATSPEC-CHG/SAILING-SCHED-UPDATE/C-ETD-TEMP/"/>
    <m/>
    <s v="AGNES NUNES"/>
    <s v="FO9"/>
    <s v="BEVERAGE                      "/>
    <s v="CONFIRMED"/>
    <n v="1"/>
    <n v="3"/>
    <d v="2012-01-22T00:00:00"/>
    <s v="KITCHEN ELECTRICS             "/>
    <s v="BREAKFAST &amp; BREVAGE PREP      "/>
    <x v="4"/>
    <x v="1"/>
    <x v="5"/>
    <s v="MATSPEC-CHG"/>
    <n v="-3"/>
    <n v="-3"/>
    <x v="5"/>
    <n v="3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592838/000010"/>
    <n v="1370133029"/>
    <n v="10"/>
    <x v="6"/>
    <x v="6"/>
    <s v="R1"/>
    <n v="1500634522"/>
    <n v="55"/>
    <n v="634522"/>
    <s v="BY280800 KET NOVEO 0.8L BLK FR                    "/>
    <s v="S"/>
    <d v="2012-01-16T00:00:00"/>
    <m/>
    <s v="X"/>
    <x v="8"/>
    <n v="9.5500000000000007"/>
    <n v="8"/>
    <d v="2011-10-14T00:00:00"/>
    <d v="2011-09-09T00:00:00"/>
    <n v="4090"/>
    <d v="2012-01-12T00:00:00"/>
    <n v="4090"/>
    <m/>
    <d v="2011-09-28T00:00:00"/>
    <n v="4090"/>
    <d v="2012-02-16T00:00:00"/>
    <d v="2012-01-12T00:00:00"/>
    <n v="4090"/>
    <n v="4090"/>
    <x v="5"/>
    <d v="2012-02-14T00:00:00"/>
    <m/>
    <n v="9321595199"/>
    <n v="10"/>
    <s v="MOFU0502143"/>
    <s v="BO YUN 938/***"/>
    <m/>
    <s v="ZHONGSHAN"/>
    <s v="C-POST-CONF/SP-BOTTLENECK/LATE DOC FROM FORWARDER"/>
    <m/>
    <s v="JASON FAN"/>
    <s v="FO9"/>
    <s v="BEVERAGE                      "/>
    <s v="CONFIRMED"/>
    <n v="1"/>
    <n v="2"/>
    <d v="2012-01-10T00:00:00"/>
    <s v="KITCHEN ELECTRICS             "/>
    <s v="BREAKFAST &amp; BREVAGE PREP      "/>
    <x v="2"/>
    <x v="1"/>
    <x v="6"/>
    <s v="C-POST-CONF"/>
    <n v="1"/>
    <n v="-3"/>
    <x v="0"/>
    <n v="3"/>
    <x v="0"/>
    <x v="0"/>
    <x v="0"/>
    <n v="1"/>
    <n v="0"/>
    <n v="1"/>
    <n v="0"/>
    <n v="0"/>
    <n v="1"/>
    <x v="0"/>
    <x v="0"/>
    <x v="1"/>
    <x v="1"/>
  </r>
  <r>
    <s v="Shipment"/>
    <n v="99002222"/>
    <s v="GROUPE SEB NORDIC A/S                             "/>
    <n v="99002200"/>
    <x v="5"/>
    <s v="4500249870/000010"/>
    <n v="1370133447"/>
    <n v="10"/>
    <x v="0"/>
    <x v="0"/>
    <s v="A1"/>
    <n v="2100056462"/>
    <n v="205"/>
    <n v="115001579"/>
    <s v="E4362202 SCP16LID TEFAL BY JO STAIN ST U          "/>
    <s v="S"/>
    <d v="2012-01-05T00:00:00"/>
    <m/>
    <s v="X"/>
    <x v="8"/>
    <n v="10.5459"/>
    <n v="57893"/>
    <d v="2012-01-30T00:00:00"/>
    <d v="2011-12-26T00:00:00"/>
    <n v="8000"/>
    <d v="2012-01-02T00:00:00"/>
    <n v="8000"/>
    <m/>
    <d v="2011-12-24T00:00:00"/>
    <n v="8000"/>
    <d v="2012-02-06T00:00:00"/>
    <d v="2012-01-02T00:00:00"/>
    <n v="8000"/>
    <n v="5880"/>
    <x v="3"/>
    <d v="2012-02-06T00:00:00"/>
    <m/>
    <n v="9321595294"/>
    <n v="10"/>
    <s v="INBU5161394"/>
    <s v="MAERSK SELETAR/1202"/>
    <m/>
    <s v="NINGBO"/>
    <m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49870/000010"/>
    <n v="1370133447"/>
    <n v="10"/>
    <x v="0"/>
    <x v="0"/>
    <s v="A1"/>
    <n v="2100056462"/>
    <n v="205"/>
    <n v="115001579"/>
    <s v="E4362202 SCP16LID TEFAL BY JO STAIN ST U          "/>
    <s v="S"/>
    <d v="2012-01-05T00:00:00"/>
    <m/>
    <s v="X"/>
    <x v="8"/>
    <n v="10.5459"/>
    <n v="57893"/>
    <d v="2012-01-30T00:00:00"/>
    <d v="2011-12-26T00:00:00"/>
    <n v="8000"/>
    <d v="2012-01-02T00:00:00"/>
    <n v="8000"/>
    <m/>
    <d v="2011-12-24T00:00:00"/>
    <n v="8000"/>
    <d v="2012-02-06T00:00:00"/>
    <d v="2012-01-02T00:00:00"/>
    <n v="8000"/>
    <n v="2120"/>
    <x v="3"/>
    <d v="2012-02-06T00:00:00"/>
    <m/>
    <n v="9321595294"/>
    <n v="10"/>
    <s v="SEAU7808519"/>
    <s v="MAERSK SELETAR/1202"/>
    <m/>
    <s v="NINGBO"/>
    <m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49872/000010"/>
    <n v="1370133448"/>
    <n v="10"/>
    <x v="0"/>
    <x v="0"/>
    <s v="A1"/>
    <n v="2100056463"/>
    <n v="205"/>
    <n v="115001580"/>
    <s v="E4364402 D.OV20LID TEFAL BY JO STAIN ST           "/>
    <s v="S"/>
    <d v="2012-01-05T00:00:00"/>
    <m/>
    <s v="X"/>
    <x v="8"/>
    <n v="13.1721"/>
    <n v="72310"/>
    <d v="2012-01-30T00:00:00"/>
    <d v="2011-12-26T00:00:00"/>
    <n v="8000"/>
    <d v="2012-01-02T00:00:00"/>
    <n v="8000"/>
    <m/>
    <d v="2011-12-24T00:00:00"/>
    <n v="8000"/>
    <d v="2012-02-06T00:00:00"/>
    <d v="2012-01-02T00:00:00"/>
    <n v="8000"/>
    <n v="2800"/>
    <x v="3"/>
    <d v="2012-02-06T00:00:00"/>
    <m/>
    <n v="9321595295"/>
    <n v="10"/>
    <s v="SEAU7808519"/>
    <s v="MAERSK SELETAR/1202"/>
    <m/>
    <s v="NINGBO"/>
    <m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49872/000010"/>
    <n v="1370133448"/>
    <n v="10"/>
    <x v="0"/>
    <x v="0"/>
    <s v="A1"/>
    <n v="2100056463"/>
    <n v="205"/>
    <n v="115001580"/>
    <s v="E4364402 D.OV20LID TEFAL BY JO STAIN ST           "/>
    <s v="S"/>
    <d v="2012-01-05T00:00:00"/>
    <m/>
    <s v="X"/>
    <x v="8"/>
    <n v="13.1721"/>
    <n v="72310"/>
    <d v="2012-01-30T00:00:00"/>
    <d v="2011-12-26T00:00:00"/>
    <n v="8000"/>
    <d v="2012-01-02T00:00:00"/>
    <n v="8000"/>
    <m/>
    <d v="2011-12-24T00:00:00"/>
    <n v="8000"/>
    <d v="2012-02-06T00:00:00"/>
    <d v="2012-01-02T00:00:00"/>
    <n v="8000"/>
    <n v="5200"/>
    <x v="3"/>
    <d v="2012-02-06T00:00:00"/>
    <m/>
    <n v="9321595295"/>
    <n v="10"/>
    <s v="TTNU9257467"/>
    <s v="MAERSK SELETAR/1202"/>
    <m/>
    <s v="NINGBO"/>
    <m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257/HKG/"/>
    <n v="1370133690"/>
    <n v="20"/>
    <x v="7"/>
    <x v="7"/>
    <s v="M1"/>
    <n v="1830003861"/>
    <n v="4"/>
    <s v="CO3035G0       "/>
    <s v="CO3035G0 FAN CONVECTOR VECTISSIMO TURBO           "/>
    <s v="S"/>
    <d v="2012-01-04T00:00:00"/>
    <m/>
    <s v="X"/>
    <x v="9"/>
    <n v="20.39"/>
    <n v="14"/>
    <d v="2011-12-02T00:00:00"/>
    <d v="2011-11-18T00:00:00"/>
    <n v="580"/>
    <d v="2012-01-04T00:00:00"/>
    <n v="580"/>
    <m/>
    <d v="2011-11-18T00:00:00"/>
    <n v="580"/>
    <d v="2012-01-18T00:00:00"/>
    <d v="2012-01-04T00:00:00"/>
    <n v="580"/>
    <n v="580"/>
    <x v="2"/>
    <d v="2012-01-18T00:00:00"/>
    <m/>
    <n v="9321599205"/>
    <n v="10"/>
    <s v="TRUCK"/>
    <s v="LOCAL DELIVERY"/>
    <m/>
    <s v="YANTIAN"/>
    <s v="ship with NEW PO# 9321601645 ? 500 units"/>
    <m/>
    <s v="THOMAS HO"/>
    <s v="FO9"/>
    <s v="HOME COMFORT                  "/>
    <s v="CONFIRMED"/>
    <n v="1"/>
    <n v="1"/>
    <d v="2012-01-04T00:00:00"/>
    <s v="LINEN PERS HOME CARE          "/>
    <s v="HOME COMFORT                  "/>
    <x v="3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08/000016"/>
    <n v="1370134527"/>
    <n v="80"/>
    <x v="0"/>
    <x v="0"/>
    <s v="AA"/>
    <n v="7115000674"/>
    <n v="200"/>
    <n v="115000674"/>
    <s v="PCC1-32 WOKPAN 32M LAQUERED                       "/>
    <s v="S"/>
    <d v="2012-01-05T00:00:00"/>
    <m/>
    <s v="X"/>
    <x v="9"/>
    <n v="10.3223"/>
    <n v="26"/>
    <d v="2011-10-15T00:00:00"/>
    <d v="2011-10-01T00:00:00"/>
    <n v="300"/>
    <d v="2012-01-05T00:00:00"/>
    <n v="288"/>
    <m/>
    <m/>
    <m/>
    <d v="2012-01-19T00:00:00"/>
    <d v="2012-01-05T00:00:00"/>
    <n v="288"/>
    <n v="288"/>
    <x v="6"/>
    <d v="2012-01-19T00:00:00"/>
    <m/>
    <n v="9321599450"/>
    <n v="30"/>
    <s v="ZIMU1427470"/>
    <s v="NINOS 121S"/>
    <m/>
    <s v="NINGBO"/>
    <s v="C-POST-CONF/SAILING-SCHED-UPDATE/SP-OVERCAP/"/>
    <m/>
    <s v="TWEETY LEUNG"/>
    <s v="FO9"/>
    <s v="COOKWARE                      "/>
    <s v="CONFIRMED"/>
    <n v="1"/>
    <n v="1"/>
    <d v="2012-01-05T00:00:00"/>
    <s v="COOKWARE                      "/>
    <s v="COOKWARE                      "/>
    <x v="0"/>
    <x v="0"/>
    <x v="3"/>
    <s v="C-POST-CONF"/>
    <n v="-3"/>
    <n v="-3"/>
    <x v="0"/>
    <n v="3"/>
    <x v="0"/>
    <x v="0"/>
    <x v="0"/>
    <n v="0"/>
    <n v="0"/>
    <n v="1"/>
    <n v="0"/>
    <n v="0"/>
    <n v="1"/>
    <x v="0"/>
    <x v="0"/>
    <x v="1"/>
    <x v="1"/>
  </r>
  <r>
    <s v="Shipment"/>
    <n v="99003700"/>
    <s v="SEB ASIA LTD                                      "/>
    <n v="99003700"/>
    <x v="7"/>
    <s v="SAS-10-257/HKG/"/>
    <n v="1370133690"/>
    <n v="30"/>
    <x v="7"/>
    <x v="7"/>
    <s v="M1"/>
    <n v="1830003862"/>
    <n v="4"/>
    <s v="SO6215G0       "/>
    <s v="SO6215G0 BATHROOM FAN HEATER BALNEA SILE          "/>
    <s v="S"/>
    <d v="2012-01-04T00:00:00"/>
    <m/>
    <s v="X"/>
    <x v="10"/>
    <n v="14.33"/>
    <n v="14"/>
    <d v="2011-12-19T00:00:00"/>
    <d v="2011-12-05T00:00:00"/>
    <n v="501"/>
    <d v="2012-01-04T00:00:00"/>
    <n v="501"/>
    <m/>
    <d v="2011-12-05T00:00:00"/>
    <n v="501"/>
    <d v="2012-01-18T00:00:00"/>
    <d v="2012-01-04T00:00:00"/>
    <n v="501"/>
    <n v="501"/>
    <x v="2"/>
    <d v="2012-01-18T00:00:00"/>
    <m/>
    <n v="9321601645"/>
    <n v="10"/>
    <s v="TRUCK"/>
    <s v="LOCAL DELIVERY"/>
    <m/>
    <s v="YANTIAN"/>
    <s v="ship with 9321599205 -580PCS"/>
    <m/>
    <s v="THOMAS HO"/>
    <s v="FO9"/>
    <s v="HOME COMFORT                  "/>
    <s v="CONFIRMED"/>
    <n v="1"/>
    <n v="1"/>
    <d v="2012-01-04T00:00:00"/>
    <s v="LINEN PERS HOME CARE          "/>
    <s v="HOME COMFORT                  "/>
    <x v="3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6201"/>
    <s v="GROUPE SEB SCHWEIZ GmbH                           "/>
    <n v="99006201"/>
    <x v="9"/>
    <s v="4500248505/000010"/>
    <n v="1370135243"/>
    <n v="10"/>
    <x v="8"/>
    <x v="8"/>
    <s v="K9"/>
    <n v="8000034455"/>
    <n v="38"/>
    <s v="KP1509CH       "/>
    <s v="KP1509CH NDG GENIO TIT CH                         "/>
    <s v="S"/>
    <d v="2012-01-10T00:00:00"/>
    <m/>
    <s v="X"/>
    <x v="11"/>
    <n v="56.37"/>
    <n v="58"/>
    <d v="2011-11-15T00:00:00"/>
    <d v="2011-10-11T00:00:00"/>
    <n v="2160"/>
    <d v="2011-12-30T00:00:00"/>
    <n v="2160"/>
    <m/>
    <d v="2011-10-07T00:00:00"/>
    <n v="2160"/>
    <d v="2012-02-10T00:00:00"/>
    <d v="2012-01-06T00:00:00"/>
    <n v="2160"/>
    <n v="2160"/>
    <x v="7"/>
    <d v="2012-02-10T00:00:00"/>
    <m/>
    <n v="9321603271"/>
    <n v="10"/>
    <s v="PONU1503258"/>
    <s v="MAERSK ESSEN 1202/"/>
    <m/>
    <s v="YANTIAN"/>
    <s v="C-POST-CONF"/>
    <m/>
    <s v="KENUS WONG"/>
    <s v="FO9"/>
    <s v="BEVERAGE                      "/>
    <s v="CONFIRMED"/>
    <n v="1"/>
    <n v="1"/>
    <d v="2012-01-06T00:00:00"/>
    <s v="KITCHEN ELECTRICS             "/>
    <s v="BREAKFAST &amp; BREVAGE PREP      "/>
    <x v="4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02542/000010"/>
    <n v="1370136142"/>
    <n v="10"/>
    <x v="8"/>
    <x v="8"/>
    <s v="K9"/>
    <n v="8000033945"/>
    <n v="38"/>
    <s v="KP300240       "/>
    <s v="KP300240 NDG FONTANA WHT UK                       "/>
    <s v="S"/>
    <d v="2012-01-18T00:00:00"/>
    <m/>
    <s v="X"/>
    <x v="12"/>
    <n v="41.86"/>
    <n v="30"/>
    <d v="2011-10-31T00:00:00"/>
    <d v="2011-09-26T00:00:00"/>
    <n v="1184"/>
    <d v="2012-01-09T00:00:00"/>
    <n v="1184"/>
    <m/>
    <d v="2011-09-23T00:00:00"/>
    <n v="1184"/>
    <d v="2012-02-17T00:00:00"/>
    <d v="2012-01-13T00:00:00"/>
    <n v="1184"/>
    <n v="1184"/>
    <x v="8"/>
    <d v="2012-02-20T00:00:00"/>
    <m/>
    <n v="9321607177"/>
    <n v="10"/>
    <s v="PONU1265400"/>
    <s v="MAERSK TUKANG 1202/"/>
    <m/>
    <s v="YANTIAN"/>
    <s v="C-POST-CONF/"/>
    <m/>
    <s v="KENUS WONG"/>
    <s v="FO9"/>
    <s v="BEVERAGE                      "/>
    <s v="CONFIRMED"/>
    <n v="1"/>
    <n v="3"/>
    <d v="2012-01-16T00:00:00"/>
    <s v="KITCHEN ELECTRICS             "/>
    <s v="BREAKFAST &amp; BREVAGE PREP      "/>
    <x v="4"/>
    <x v="1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763/000016"/>
    <n v="1370136603"/>
    <n v="80"/>
    <x v="9"/>
    <x v="9"/>
    <s v="N3"/>
    <n v="1500574512"/>
    <n v="53"/>
    <n v="574512"/>
    <s v="TO101173 TO NEW SUBITO 8L TEF HKSG SI             "/>
    <s v="S"/>
    <d v="2012-01-16T00:00:00"/>
    <m/>
    <s v="X"/>
    <x v="12"/>
    <n v="16.809999999999999"/>
    <n v="99"/>
    <d v="2012-02-13T00:00:00"/>
    <d v="2012-01-30T00:00:00"/>
    <n v="630"/>
    <d v="2012-01-14T00:00:00"/>
    <n v="630"/>
    <m/>
    <d v="2012-01-30T00:00:00"/>
    <n v="630"/>
    <d v="2012-01-28T00:00:00"/>
    <d v="2012-01-14T00:00:00"/>
    <n v="630"/>
    <n v="630"/>
    <x v="9"/>
    <d v="2012-01-28T00:00:00"/>
    <m/>
    <n v="9321607236"/>
    <n v="10"/>
    <s v="CLHU4655203"/>
    <s v="COSCO THAILAND 011W"/>
    <m/>
    <s v="YANTIAN"/>
    <s v="SP-HOLIDAY/"/>
    <m/>
    <s v="AGNES NUNES"/>
    <s v="FO9"/>
    <s v="ELECTRICAL COOKING            "/>
    <s v="CONFIRMED"/>
    <n v="1"/>
    <n v="2"/>
    <d v="2012-01-14T00:00:00"/>
    <s v="KITCHEN ELECTRICS             "/>
    <s v="ELECTRICAL COOKING            "/>
    <x v="4"/>
    <x v="1"/>
    <x v="7"/>
    <s v="SP-HOLIDAY"/>
    <n v="-3"/>
    <n v="-3"/>
    <x v="6"/>
    <n v="1"/>
    <x v="0"/>
    <x v="0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10/000017"/>
    <n v="1370137248"/>
    <n v="90"/>
    <x v="10"/>
    <x v="10"/>
    <s v="P7"/>
    <n v="8000034442"/>
    <n v="36"/>
    <s v="BL1111AD       "/>
    <s v="BL1111AD BLD MAXIBLEND BUILTIN WHT SEA            "/>
    <s v="S"/>
    <d v="2012-01-19T00:00:00"/>
    <m/>
    <s v="X"/>
    <x v="13"/>
    <n v="13.21"/>
    <n v="18"/>
    <d v="2011-10-31T00:00:00"/>
    <d v="2011-10-17T00:00:00"/>
    <n v="3456"/>
    <d v="2011-11-29T00:00:00"/>
    <n v="2940"/>
    <m/>
    <d v="2011-11-28T00:00:00"/>
    <n v="3456"/>
    <d v="2012-01-30T00:00:00"/>
    <d v="2012-01-16T00:00:00"/>
    <n v="2940"/>
    <n v="2940"/>
    <x v="10"/>
    <d v="2012-01-26T00:00:00"/>
    <m/>
    <n v="9321609098"/>
    <n v="10"/>
    <s v="OOLU7625050"/>
    <s v="THORSCAPE 010N"/>
    <m/>
    <s v="SURABAYA"/>
    <s v="NEWREQ-CUSTOMS/SP-TECH/C-ETD-TEMP/BU-ETD-TEMP/"/>
    <m/>
    <s v="TWEETY LEUNG"/>
    <s v="FO9"/>
    <s v="FOOD PREPARATION              "/>
    <s v="CONFIRMED"/>
    <n v="1"/>
    <n v="2"/>
    <d v="2012-01-12T00:00:00"/>
    <s v="KITCHEN ELECTRICS             "/>
    <s v="FOOD PREPARATION              "/>
    <x v="2"/>
    <x v="1"/>
    <x v="8"/>
    <s v="C-ETD-TEMP"/>
    <n v="1"/>
    <n v="-3"/>
    <x v="7"/>
    <n v="4"/>
    <x v="0"/>
    <x v="0"/>
    <x v="0"/>
    <n v="1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07071/000010"/>
    <n v="1370137531"/>
    <n v="10"/>
    <x v="11"/>
    <x v="11"/>
    <s v="J2"/>
    <n v="1110016821"/>
    <n v="1"/>
    <s v="               "/>
    <s v="DZ1900U1 IRON AUTO STEAM W/CORD REEL              "/>
    <s v="S"/>
    <d v="2012-01-17T00:00:00"/>
    <m/>
    <s v="X"/>
    <x v="14"/>
    <n v="13.63"/>
    <n v="15"/>
    <d v="2011-11-08T00:00:00"/>
    <d v="2011-10-04T00:00:00"/>
    <n v="4000"/>
    <d v="2012-01-01T00:00:00"/>
    <n v="4000"/>
    <m/>
    <d v="2011-10-11T00:00:00"/>
    <n v="4000"/>
    <d v="2012-02-19T00:00:00"/>
    <d v="2012-01-15T00:00:00"/>
    <n v="4000"/>
    <n v="4000"/>
    <x v="11"/>
    <d v="2012-02-19T00:00:00"/>
    <m/>
    <n v="9321610662"/>
    <n v="10"/>
    <s v="CMAU8285429"/>
    <s v="MSC INES/FR1203A"/>
    <m/>
    <s v="XIAMEN"/>
    <s v="SP-PROD-ISSUE/"/>
    <m/>
    <s v="TWEETY LEUNG"/>
    <s v="FO9"/>
    <s v="LINEN CARE                    "/>
    <s v="CONFIRMED"/>
    <n v="1"/>
    <n v="2"/>
    <d v="2012-01-15T00:00:00"/>
    <s v="LINEN PERS HOME CARE          "/>
    <s v="LINEN CARE                    "/>
    <x v="5"/>
    <x v="2"/>
    <x v="1"/>
    <m/>
    <n v="0"/>
    <n v="0"/>
    <x v="1"/>
    <n v="1"/>
    <x v="0"/>
    <x v="0"/>
    <x v="1"/>
    <n v="0"/>
    <n v="0"/>
    <n v="0"/>
    <n v="0"/>
    <n v="0"/>
    <n v="0"/>
    <x v="1"/>
    <x v="0"/>
    <x v="1"/>
    <x v="0"/>
  </r>
  <r>
    <s v="Shipment"/>
    <n v="99006402"/>
    <s v="GROUPE SEB (Thailand) Ltd                         "/>
    <n v="99006402"/>
    <x v="8"/>
    <s v="514/000008"/>
    <n v="1370137720"/>
    <n v="180"/>
    <x v="11"/>
    <x v="11"/>
    <s v="J4"/>
    <n v="1830003548"/>
    <n v="1"/>
    <s v="FV1220T0       "/>
    <s v="FV1220T0 STEAM IRON INICIO 20                     "/>
    <s v="S"/>
    <d v="2012-01-12T00:00:00"/>
    <m/>
    <s v="X"/>
    <x v="14"/>
    <n v="8.25"/>
    <n v="50"/>
    <d v="2011-10-25T00:00:00"/>
    <d v="2011-10-11T00:00:00"/>
    <n v="4320"/>
    <d v="2011-11-14T00:00:00"/>
    <n v="4320"/>
    <m/>
    <d v="2011-10-11T00:00:00"/>
    <n v="4320"/>
    <d v="2012-01-20T00:00:00"/>
    <d v="2012-01-06T00:00:00"/>
    <n v="4320"/>
    <n v="4320"/>
    <x v="0"/>
    <d v="2012-01-23T00:00:00"/>
    <m/>
    <n v="9321610665"/>
    <n v="10"/>
    <s v="ZIMU2935959"/>
    <s v="KUO HSIUNG 965S"/>
    <m/>
    <s v="XIAMEN"/>
    <s v="SAILING-SCHED-UPDATE/SP-MTL/C-POST-CONF/SP-MTL/"/>
    <m/>
    <s v="TWEETY LEUNG"/>
    <s v="FO9"/>
    <s v="LINEN CARE                    "/>
    <s v="CONFIRMED"/>
    <n v="1"/>
    <n v="2"/>
    <d v="2012-01-09T00:00:00"/>
    <s v="LINEN PERS HOME CARE          "/>
    <s v="LINEN CARE                    "/>
    <x v="5"/>
    <x v="2"/>
    <x v="9"/>
    <s v="C-POST-CONF"/>
    <n v="1"/>
    <n v="-3"/>
    <x v="0"/>
    <n v="4"/>
    <x v="0"/>
    <x v="0"/>
    <x v="0"/>
    <n v="0"/>
    <n v="0"/>
    <n v="0"/>
    <n v="0"/>
    <n v="0"/>
    <n v="0"/>
    <x v="1"/>
    <x v="0"/>
    <x v="1"/>
    <x v="0"/>
  </r>
  <r>
    <s v="Shipment"/>
    <n v="99002601"/>
    <s v="GROUPE SEB UK LTD                                 "/>
    <n v="99002601"/>
    <x v="10"/>
    <s v="9321608727/000010"/>
    <n v="1370137293"/>
    <n v="10"/>
    <x v="8"/>
    <x v="8"/>
    <s v="K9"/>
    <n v="8000033942"/>
    <n v="38"/>
    <s v="KP300640       "/>
    <s v="KP300640 NDG FONTANA RED UK                       "/>
    <s v="S"/>
    <d v="2012-02-01T00:00:00"/>
    <m/>
    <s v="X"/>
    <x v="14"/>
    <n v="41.67"/>
    <n v="30"/>
    <d v="2011-11-07T00:00:00"/>
    <d v="2011-10-03T00:00:00"/>
    <n v="1184"/>
    <d v="2012-01-09T00:00:00"/>
    <n v="1184"/>
    <m/>
    <d v="2011-09-30T00:00:00"/>
    <n v="1184"/>
    <d v="2012-02-27T00:00:00"/>
    <d v="2012-01-23T00:00:00"/>
    <n v="1184"/>
    <n v="1184"/>
    <x v="4"/>
    <d v="2012-02-26T00:00:00"/>
    <m/>
    <n v="9321610794"/>
    <n v="10"/>
    <s v="MSKU6110973"/>
    <s v="MAERSK SAIGON 1204/"/>
    <m/>
    <s v="YANTIAN"/>
    <s v="SP-MTL/C-POST-CONF/"/>
    <m/>
    <s v="KENUS WONG"/>
    <s v="FO9"/>
    <s v="BEVERAGE                      "/>
    <s v="CONFIRMED"/>
    <n v="1"/>
    <n v="3"/>
    <d v="2012-01-22T00:00:00"/>
    <s v="KITCHEN ELECTRICS             "/>
    <s v="BREAKFAST &amp; BREVAGE PREP      "/>
    <x v="4"/>
    <x v="1"/>
    <x v="9"/>
    <s v="C-POST-CONF"/>
    <n v="1"/>
    <n v="-3"/>
    <x v="0"/>
    <n v="2"/>
    <x v="0"/>
    <x v="0"/>
    <x v="1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10499/000010"/>
    <n v="1370137862"/>
    <n v="10"/>
    <x v="12"/>
    <x v="12"/>
    <s v="A7"/>
    <n v="8701003879"/>
    <n v="235"/>
    <s v="T234           "/>
    <s v="T234 COOK SERVE SERVING TONGS 9.5&quot;                "/>
    <s v="S"/>
    <d v="2012-01-10T00:00:00"/>
    <m/>
    <s v="X"/>
    <x v="15"/>
    <n v="4.34"/>
    <n v="6"/>
    <d v="2012-01-13T00:00:00"/>
    <d v="2011-12-09T00:00:00"/>
    <n v="1056"/>
    <d v="2012-01-07T00:00:00"/>
    <n v="1056"/>
    <m/>
    <d v="2011-12-09T00:00:00"/>
    <n v="1056"/>
    <d v="2012-02-08T00:00:00"/>
    <d v="2012-01-04T00:00:00"/>
    <n v="1056"/>
    <n v="1056"/>
    <x v="12"/>
    <d v="2012-02-11T00:00:00"/>
    <m/>
    <n v="9321611171"/>
    <n v="10"/>
    <s v="GLDU3862334"/>
    <s v="UASC KHOR FAKKAN 000"/>
    <m/>
    <s v="YANTIAN"/>
    <s v="C-POST-CONF(WK01)/SP-PROD-ISSUE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10490/000010"/>
    <n v="1370137844"/>
    <n v="10"/>
    <x v="12"/>
    <x v="12"/>
    <s v="A7"/>
    <n v="8701003876"/>
    <n v="235"/>
    <s v="T231           "/>
    <s v="T231 COOK SERVE SERVING FORK                      "/>
    <s v="S"/>
    <d v="2012-01-10T00:00:00"/>
    <m/>
    <s v="X"/>
    <x v="15"/>
    <n v="3.73"/>
    <n v="5"/>
    <d v="2012-01-13T00:00:00"/>
    <d v="2011-12-09T00:00:00"/>
    <n v="1056"/>
    <d v="2012-01-07T00:00:00"/>
    <n v="1056"/>
    <m/>
    <d v="2011-12-09T00:00:00"/>
    <n v="1056"/>
    <d v="2012-02-08T00:00:00"/>
    <d v="2012-01-04T00:00:00"/>
    <n v="1056"/>
    <n v="1056"/>
    <x v="12"/>
    <d v="2012-02-11T00:00:00"/>
    <m/>
    <n v="9321611172"/>
    <n v="10"/>
    <s v="GLDU3862334"/>
    <s v="UASC KHOR FAKKAN 000"/>
    <m/>
    <s v="YANTIAN"/>
    <s v="C-POST-CONF(WK01) /SP-PROD-ISSUE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10488/000010"/>
    <n v="1370137871"/>
    <n v="10"/>
    <x v="12"/>
    <x v="12"/>
    <s v="A7"/>
    <n v="8701003875"/>
    <n v="235"/>
    <s v="T230           "/>
    <s v="T230 COOK SERVE SOLID SPOON                       "/>
    <s v="S"/>
    <d v="2012-01-10T00:00:00"/>
    <m/>
    <s v="X"/>
    <x v="15"/>
    <n v="3.56"/>
    <n v="5"/>
    <d v="2012-01-13T00:00:00"/>
    <d v="2011-12-09T00:00:00"/>
    <n v="1056"/>
    <d v="2012-01-07T00:00:00"/>
    <n v="1056"/>
    <m/>
    <d v="2011-12-09T00:00:00"/>
    <n v="1056"/>
    <d v="2012-02-08T00:00:00"/>
    <d v="2012-01-04T00:00:00"/>
    <n v="1056"/>
    <n v="1056"/>
    <x v="12"/>
    <d v="2012-02-11T00:00:00"/>
    <m/>
    <n v="9321611173"/>
    <n v="10"/>
    <s v="GLDU3862334"/>
    <s v="UASC KHOR FAKKAN 000"/>
    <m/>
    <s v="YANTIAN"/>
    <s v="C-POST-CONF(WK01)/SP-PROD-ISSUE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11158/000010"/>
    <n v="1370138444"/>
    <n v="10"/>
    <x v="13"/>
    <x v="13"/>
    <s v="A3"/>
    <n v="2100060725"/>
    <n v="205"/>
    <s v="E9077964       "/>
    <s v="E9077964 8QT PAST 22+INSERT+LID AC MESH           "/>
    <s v="S"/>
    <d v="2012-01-10T00:00:00"/>
    <m/>
    <s v="X"/>
    <x v="16"/>
    <n v="39.902000000000001"/>
    <n v="45"/>
    <d v="2011-12-12T00:00:00"/>
    <d v="2011-11-07T00:00:00"/>
    <n v="2000"/>
    <d v="2012-01-01T00:00:00"/>
    <n v="2000"/>
    <m/>
    <d v="2011-11-09T00:00:00"/>
    <n v="2000"/>
    <d v="2012-02-08T00:00:00"/>
    <d v="2012-01-04T00:00:00"/>
    <n v="2000"/>
    <n v="700"/>
    <x v="7"/>
    <d v="2012-02-10T00:00:00"/>
    <m/>
    <n v="9321613055"/>
    <n v="10"/>
    <s v="PVCU2102414"/>
    <s v="CMA CGM DON PASCUALE"/>
    <m/>
    <s v="YANTIAN"/>
    <s v="C-POST-CONF(should be neeed to invoice &lt;(&gt;&amp;&lt;)&gt; packing list  -2012)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5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11158/000010"/>
    <n v="1370138444"/>
    <n v="10"/>
    <x v="13"/>
    <x v="13"/>
    <s v="A3"/>
    <n v="2100060725"/>
    <n v="205"/>
    <s v="E9077964       "/>
    <s v="E9077964 8QT PAST 22+INSERT+LID AC MESH           "/>
    <s v="S"/>
    <d v="2012-01-10T00:00:00"/>
    <m/>
    <s v="X"/>
    <x v="16"/>
    <n v="39.902000000000001"/>
    <n v="45"/>
    <d v="2011-12-12T00:00:00"/>
    <d v="2011-11-07T00:00:00"/>
    <n v="2000"/>
    <d v="2012-01-01T00:00:00"/>
    <n v="2000"/>
    <m/>
    <d v="2011-11-09T00:00:00"/>
    <n v="2000"/>
    <d v="2012-02-08T00:00:00"/>
    <d v="2012-01-04T00:00:00"/>
    <n v="2000"/>
    <n v="1300"/>
    <x v="7"/>
    <d v="2012-02-10T00:00:00"/>
    <m/>
    <n v="9321613055"/>
    <n v="10"/>
    <s v="ECMU4353636"/>
    <s v="CMA CGM DON PASCUALE"/>
    <m/>
    <s v="YANTIAN"/>
    <s v="C-POST-CONF(should be neeed to invoice &lt;(&gt;&amp;&lt;)&gt; packing list  -2012)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5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16356/000010"/>
    <n v="1370137925"/>
    <n v="10"/>
    <x v="14"/>
    <x v="14"/>
    <s v="J2"/>
    <n v="1110030440"/>
    <n v="64"/>
    <s v="               "/>
    <s v="DR5050B0 STEAM BRUSH                              "/>
    <s v="S"/>
    <d v="2012-01-06T00:00:00"/>
    <m/>
    <s v="X"/>
    <x v="16"/>
    <n v="11.26"/>
    <n v="12859"/>
    <d v="2011-12-03T00:00:00"/>
    <d v="2011-10-22T00:00:00"/>
    <n v="3000"/>
    <d v="2012-01-03T00:00:00"/>
    <n v="3000"/>
    <m/>
    <d v="2011-10-23T00:00:00"/>
    <n v="3000"/>
    <d v="2012-02-12T00:00:00"/>
    <d v="2012-01-01T00:00:00"/>
    <n v="3000"/>
    <n v="3000"/>
    <x v="13"/>
    <d v="2012-02-12T00:00:00"/>
    <m/>
    <n v="9321613082"/>
    <n v="10"/>
    <s v="MSKU4081074"/>
    <s v="MAERSK LIMA 152W/"/>
    <m/>
    <s v="NINGBO"/>
    <s v="C-POST-CONF/"/>
    <m/>
    <s v="THOMAS HO"/>
    <s v="FO9"/>
    <s v="LINEN CARE                    "/>
    <s v="CONFIRMED"/>
    <n v="1"/>
    <n v="52"/>
    <d v="2012-01-01T00:00:00"/>
    <s v="LINEN PERS HOME CARE          "/>
    <s v="LINEN CARE                    "/>
    <x v="6"/>
    <x v="2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16370/000010"/>
    <n v="1370137903"/>
    <n v="10"/>
    <x v="0"/>
    <x v="0"/>
    <s v="A1"/>
    <n v="2100064337"/>
    <n v="201"/>
    <n v="115003064"/>
    <s v="C1722564 MILK POT 14 B GREY ROCHEDO INT           "/>
    <s v="S"/>
    <d v="2012-01-10T00:00:00"/>
    <m/>
    <s v="X"/>
    <x v="16"/>
    <n v="4.2603"/>
    <n v="4"/>
    <d v="2011-12-03T00:00:00"/>
    <d v="2011-10-22T00:00:00"/>
    <n v="1000"/>
    <d v="2012-01-14T00:00:00"/>
    <n v="1000"/>
    <m/>
    <d v="2011-10-16T00:00:00"/>
    <n v="1000"/>
    <d v="2012-02-19T00:00:00"/>
    <d v="2012-01-08T00:00:00"/>
    <n v="1000"/>
    <n v="1000"/>
    <x v="0"/>
    <d v="2012-02-20T00:00:00"/>
    <m/>
    <n v="9321613109"/>
    <n v="10"/>
    <s v="SUDU5832907"/>
    <s v="SANTA RITA 146W/"/>
    <m/>
    <s v="NINGBO"/>
    <s v="C-POST-CONF/"/>
    <m/>
    <s v="THOMAS HO"/>
    <s v="FO9"/>
    <s v="COOKWARE                      "/>
    <s v="CONFIRMED"/>
    <n v="1"/>
    <n v="2"/>
    <d v="2012-01-09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16367/000010"/>
    <n v="1370137916"/>
    <n v="10"/>
    <x v="0"/>
    <x v="0"/>
    <s v="A1"/>
    <n v="2100064341"/>
    <n v="201"/>
    <n v="115003061"/>
    <s v="C1724664 D.OV24LID EAS CAR B GREY ROCHED          "/>
    <s v="S"/>
    <d v="2012-01-06T00:00:00"/>
    <m/>
    <s v="X"/>
    <x v="16"/>
    <n v="9.2211999999999996"/>
    <n v="9667"/>
    <d v="2011-12-03T00:00:00"/>
    <d v="2011-10-22T00:00:00"/>
    <n v="1090"/>
    <d v="2012-01-14T00:00:00"/>
    <n v="1090"/>
    <m/>
    <d v="2012-01-08T00:00:00"/>
    <n v="1320"/>
    <d v="2012-02-19T00:00:00"/>
    <d v="2012-01-08T00:00:00"/>
    <n v="1090"/>
    <n v="860"/>
    <x v="13"/>
    <d v="2012-02-12T00:00:00"/>
    <m/>
    <n v="9321613112"/>
    <n v="10"/>
    <s v="MSKU6418903"/>
    <s v="MAERSK LIMA/152W/"/>
    <m/>
    <s v="NINGBO"/>
    <s v="CONS-SHIPT/C-POST-CONF/"/>
    <m/>
    <s v="THOMAS HO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0"/>
    <s v="CONS-SHIPT"/>
    <n v="-3"/>
    <n v="-3"/>
    <x v="8"/>
    <n v="2"/>
    <x v="0"/>
    <x v="0"/>
    <x v="0"/>
    <n v="1"/>
    <n v="0"/>
    <n v="0"/>
    <n v="0"/>
    <n v="0"/>
    <n v="0"/>
    <x v="0"/>
    <x v="1"/>
    <x v="1"/>
    <x v="0"/>
  </r>
  <r>
    <s v="Shipment"/>
    <n v="99001621"/>
    <s v="GRUPO SEB DO BRASIL                               "/>
    <n v="99001600"/>
    <x v="2"/>
    <s v="9820616367/000010"/>
    <n v="1370137916"/>
    <n v="10"/>
    <x v="0"/>
    <x v="0"/>
    <s v="A1"/>
    <n v="2100064341"/>
    <n v="201"/>
    <n v="115003061"/>
    <s v="C1724664 D.OV24LID EAS CAR B GREY ROCHED          "/>
    <s v="S"/>
    <d v="2012-01-10T00:00:00"/>
    <m/>
    <s v="X"/>
    <x v="16"/>
    <n v="9.2211999999999996"/>
    <n v="9667"/>
    <d v="2011-12-03T00:00:00"/>
    <d v="2011-10-22T00:00:00"/>
    <n v="1090"/>
    <d v="2012-01-14T00:00:00"/>
    <n v="1090"/>
    <m/>
    <d v="2012-01-08T00:00:00"/>
    <n v="1320"/>
    <d v="2012-02-19T00:00:00"/>
    <d v="2012-01-08T00:00:00"/>
    <n v="1090"/>
    <n v="230"/>
    <x v="0"/>
    <d v="2012-02-20T00:00:00"/>
    <m/>
    <n v="9321613112"/>
    <n v="10"/>
    <s v="SUDU8532863"/>
    <s v="SANTA RITA 146W/"/>
    <m/>
    <s v="NINGBO"/>
    <s v="CONS-SHIPT/C-POST-CONF/"/>
    <m/>
    <s v="THOMAS HO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0"/>
    <s v="CONS-SHIPT"/>
    <n v="-3"/>
    <n v="-3"/>
    <x v="8"/>
    <n v="2"/>
    <x v="0"/>
    <x v="0"/>
    <x v="0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16366/000010"/>
    <n v="1370137917"/>
    <n v="10"/>
    <x v="0"/>
    <x v="0"/>
    <s v="A1"/>
    <n v="2100064340"/>
    <n v="201"/>
    <n v="115003060"/>
    <s v="C1724564 D.OV22LID EAS CAR B GREY ROCHED          "/>
    <s v="S"/>
    <d v="2012-01-06T00:00:00"/>
    <m/>
    <s v="X"/>
    <x v="16"/>
    <n v="8.3385999999999996"/>
    <n v="8741"/>
    <d v="2011-12-03T00:00:00"/>
    <d v="2011-10-22T00:00:00"/>
    <n v="1308"/>
    <d v="2012-01-01T00:00:00"/>
    <n v="1308"/>
    <m/>
    <d v="2011-10-16T00:00:00"/>
    <n v="1308"/>
    <d v="2012-02-19T00:00:00"/>
    <d v="2012-01-08T00:00:00"/>
    <n v="1308"/>
    <n v="1308"/>
    <x v="13"/>
    <d v="2012-02-12T00:00:00"/>
    <m/>
    <n v="9321613113"/>
    <n v="10"/>
    <s v="MRKU2824190"/>
    <s v="MAERSK LIMA/152W/"/>
    <m/>
    <s v="NINGBO"/>
    <s v="C-POST-CONF/"/>
    <m/>
    <s v="THOMAS HO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12070/000010"/>
    <n v="1370138465"/>
    <n v="10"/>
    <x v="15"/>
    <x v="15"/>
    <s v="J4"/>
    <n v="1830002092"/>
    <n v="142"/>
    <s v="DG5030U0*      "/>
    <s v="DG5030U0 STEAM GENERATOR (2)                      "/>
    <s v="S"/>
    <d v="2012-01-09T00:00:00"/>
    <m/>
    <s v="X"/>
    <x v="17"/>
    <n v="44.75"/>
    <n v="51"/>
    <d v="2012-02-05T00:00:00"/>
    <d v="2012-01-01T00:00:00"/>
    <n v="3180"/>
    <d v="2012-01-09T00:00:00"/>
    <n v="3180"/>
    <m/>
    <d v="2012-01-01T00:00:00"/>
    <n v="3180"/>
    <d v="2012-02-13T00:00:00"/>
    <d v="2012-01-09T00:00:00"/>
    <n v="3180"/>
    <n v="1590"/>
    <x v="12"/>
    <d v="2012-02-11T00:00:00"/>
    <m/>
    <n v="9321615250"/>
    <n v="10"/>
    <s v="TRLU6261014"/>
    <s v="ARTHUR MAERSK/553S"/>
    <m/>
    <s v="NINGBO"/>
    <s v="C-POST-CONF/"/>
    <m/>
    <s v="TWEETY LEUNG"/>
    <s v="FO9"/>
    <s v="LINEN CARE                    "/>
    <s v="CONFIRMED"/>
    <n v="1"/>
    <n v="1"/>
    <d v="2012-01-07T00:00:00"/>
    <s v="LINEN PERS HOME CARE          "/>
    <s v="LINEN CARE                    "/>
    <x v="6"/>
    <x v="2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12070/000010"/>
    <n v="1370138465"/>
    <n v="10"/>
    <x v="15"/>
    <x v="15"/>
    <s v="J4"/>
    <n v="1830002092"/>
    <n v="142"/>
    <s v="DG5030U0*      "/>
    <s v="DG5030U0 STEAM GENERATOR (2)                      "/>
    <s v="S"/>
    <d v="2012-01-09T00:00:00"/>
    <m/>
    <s v="X"/>
    <x v="17"/>
    <n v="44.75"/>
    <n v="51"/>
    <d v="2012-02-05T00:00:00"/>
    <d v="2012-01-01T00:00:00"/>
    <n v="3180"/>
    <d v="2012-01-09T00:00:00"/>
    <n v="3180"/>
    <m/>
    <d v="2012-01-01T00:00:00"/>
    <n v="3180"/>
    <d v="2012-02-13T00:00:00"/>
    <d v="2012-01-09T00:00:00"/>
    <n v="3180"/>
    <n v="1590"/>
    <x v="12"/>
    <d v="2012-02-11T00:00:00"/>
    <m/>
    <n v="9321615250"/>
    <n v="10"/>
    <s v="CLHU4707415"/>
    <s v="ARTHUR MAERSK/553S"/>
    <m/>
    <s v="NINGBO"/>
    <s v="C-POST-CONF/"/>
    <m/>
    <s v="TWEETY LEUNG"/>
    <s v="FO9"/>
    <s v="LINEN CARE                    "/>
    <s v="CONFIRMED"/>
    <n v="1"/>
    <n v="1"/>
    <d v="2012-01-07T00:00:00"/>
    <s v="LINEN PERS HOME CARE          "/>
    <s v="LINEN CARE                    "/>
    <x v="6"/>
    <x v="2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15645/000010"/>
    <n v="1370139064"/>
    <n v="10"/>
    <x v="16"/>
    <x v="16"/>
    <s v="L4"/>
    <n v="1830003637"/>
    <n v="5"/>
    <s v="CV1212C0       "/>
    <s v="CV1212C0 COMPACT HAIR DRYER                       "/>
    <s v="S"/>
    <d v="2012-02-01T00:00:00"/>
    <m/>
    <s v="X"/>
    <x v="18"/>
    <n v="4.3899999999999997"/>
    <n v="4"/>
    <d v="2011-12-02T00:00:00"/>
    <d v="2011-10-28T00:00:00"/>
    <n v="3000"/>
    <d v="2012-01-23T00:00:00"/>
    <n v="3000"/>
    <m/>
    <d v="2011-10-31T00:00:00"/>
    <n v="3000"/>
    <d v="2012-02-20T00:00:00"/>
    <d v="2012-01-16T00:00:00"/>
    <n v="3000"/>
    <n v="3000"/>
    <x v="14"/>
    <d v="2012-02-24T00:00:00"/>
    <m/>
    <n v="9321616694"/>
    <n v="10"/>
    <s v="MSKU5030560"/>
    <s v="MAERSK EINDHOVEN 120"/>
    <m/>
    <s v="YANTIAN"/>
    <s v="C-POST-CONF/"/>
    <m/>
    <s v="JASON FAN"/>
    <s v="FO9"/>
    <s v="PERSONAL CARE                 "/>
    <s v="CONFIRMED"/>
    <n v="1"/>
    <n v="3"/>
    <d v="2012-01-20T00:00:00"/>
    <s v="LINEN PERS HOME CARE          "/>
    <s v="PERSONAL CARE                 "/>
    <x v="3"/>
    <x v="2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16384/000010"/>
    <n v="1370139260"/>
    <n v="10"/>
    <x v="5"/>
    <x v="5"/>
    <s v="R1"/>
    <n v="8000033825"/>
    <n v="55"/>
    <s v="KO70013E       "/>
    <s v="KO70013E KET CERAMIC ART WHT 1L RU                "/>
    <s v="S"/>
    <d v="2012-01-29T00:00:00"/>
    <m/>
    <s v="X"/>
    <x v="18"/>
    <n v="28.26"/>
    <n v="1030"/>
    <d v="2012-01-27T00:00:00"/>
    <d v="2011-12-09T00:00:00"/>
    <n v="1080"/>
    <d v="2011-12-19T00:00:00"/>
    <n v="1080"/>
    <m/>
    <d v="2011-12-09T00:00:00"/>
    <n v="1080"/>
    <d v="2012-03-15T00:00:00"/>
    <d v="2012-01-26T00:00:00"/>
    <n v="1080"/>
    <n v="1080"/>
    <x v="15"/>
    <d v="2012-03-15T00:00:00"/>
    <m/>
    <n v="9321616697"/>
    <n v="10"/>
    <s v="APZU3691482"/>
    <s v="MOL MARVEL/008W"/>
    <m/>
    <s v="YANTIAN"/>
    <s v="SP-PROD-ISSUE/C-POST-CONF/SP-PROD-ISSUE/"/>
    <m/>
    <s v="KENUS WONG"/>
    <s v="FO9"/>
    <s v="BEVERAGE                      "/>
    <s v="CONFIRMED"/>
    <n v="1"/>
    <n v="4"/>
    <d v="2012-01-26T00:00:00"/>
    <s v="KITCHEN ELECTRICS             "/>
    <s v="BREAKFAST &amp; BREVAGE PREP      "/>
    <x v="4"/>
    <x v="1"/>
    <x v="3"/>
    <s v="C-POST-CONF"/>
    <n v="-3"/>
    <n v="-3"/>
    <x v="0"/>
    <n v="3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15632/000010"/>
    <n v="1370139094"/>
    <n v="10"/>
    <x v="17"/>
    <x v="17"/>
    <s v="L4"/>
    <n v="1830003820"/>
    <n v="175"/>
    <s v="CF8212C0       "/>
    <s v="CF8212C0 HAIR BRUSH 1200W                         "/>
    <s v="S"/>
    <d v="2012-01-09T00:00:00"/>
    <m/>
    <s v="X"/>
    <x v="18"/>
    <n v="8"/>
    <n v="7"/>
    <d v="2011-12-02T00:00:00"/>
    <d v="2011-10-28T00:00:00"/>
    <n v="1500"/>
    <d v="2012-01-02T00:00:00"/>
    <n v="1500"/>
    <m/>
    <d v="2011-10-31T00:00:00"/>
    <n v="1500"/>
    <d v="2012-02-10T00:00:00"/>
    <d v="2012-01-06T00:00:00"/>
    <n v="1500"/>
    <n v="1500"/>
    <x v="7"/>
    <d v="2012-02-10T00:00:00"/>
    <m/>
    <n v="9321616883"/>
    <n v="10"/>
    <s v="MSKU6858902"/>
    <s v="MAERSK ESSEN/1202"/>
    <m/>
    <s v="HONG KONG"/>
    <s v="CONS-SHIPT/C-PULLIN-CONF/C-POST-CONF/SP-NO-FORECAST/"/>
    <m/>
    <s v="JASON FAN"/>
    <s v="FO9"/>
    <s v="PERSONAL CARE                 "/>
    <s v="CONFIRMED"/>
    <n v="1"/>
    <n v="1"/>
    <d v="2012-01-06T00:00:00"/>
    <s v="LINEN PERS HOME CARE          "/>
    <s v="PERSONAL CARE                 "/>
    <x v="3"/>
    <x v="2"/>
    <x v="10"/>
    <s v="CONS-SHIPT"/>
    <n v="-3"/>
    <n v="-3"/>
    <x v="8"/>
    <n v="4"/>
    <x v="0"/>
    <x v="0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10/000011"/>
    <n v="1370137248"/>
    <n v="30"/>
    <x v="0"/>
    <x v="0"/>
    <s v="AA"/>
    <n v="7115000845"/>
    <n v="206"/>
    <n v="115000845"/>
    <s v="T03061-4 FRYPAN 20 ELEGANT INDUCTION              "/>
    <s v="S"/>
    <d v="2012-01-05T00:00:00"/>
    <m/>
    <s v="X"/>
    <x v="18"/>
    <n v="5.0465"/>
    <n v="18"/>
    <d v="2011-11-05T00:00:00"/>
    <d v="2011-10-22T00:00:00"/>
    <n v="996"/>
    <d v="2012-01-05T00:00:00"/>
    <n v="996"/>
    <m/>
    <d v="2011-10-29T00:00:00"/>
    <n v="996"/>
    <d v="2012-01-19T00:00:00"/>
    <d v="2012-01-05T00:00:00"/>
    <n v="996"/>
    <n v="996"/>
    <x v="6"/>
    <d v="2012-01-19T00:00:00"/>
    <m/>
    <n v="9321616946"/>
    <n v="10"/>
    <s v="ZIMU1427470"/>
    <s v="NINOS 121S"/>
    <m/>
    <s v="NINGBO"/>
    <s v="SP-OVERCAP/"/>
    <m/>
    <s v="TWEETY LEUNG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54119/000010"/>
    <n v="1370138472"/>
    <n v="10"/>
    <x v="0"/>
    <x v="0"/>
    <s v="A1"/>
    <n v="2100067249"/>
    <n v="208"/>
    <n v="115003385"/>
    <s v="E8940674 FP28 MAINST JO HA IND ANOD GREY          "/>
    <s v="S"/>
    <d v="2012-01-05T00:00:00"/>
    <m/>
    <s v="X"/>
    <x v="18"/>
    <n v="14.5167"/>
    <n v="83981"/>
    <d v="2012-02-01T00:00:00"/>
    <d v="2011-12-28T00:00:00"/>
    <n v="10998"/>
    <d v="2012-01-02T00:00:00"/>
    <n v="10998"/>
    <m/>
    <d v="2011-12-26T00:00:00"/>
    <n v="10998"/>
    <d v="2012-02-06T00:00:00"/>
    <d v="2012-01-02T00:00:00"/>
    <n v="10998"/>
    <n v="2520"/>
    <x v="3"/>
    <d v="2012-02-06T00:00:00"/>
    <m/>
    <n v="9321616947"/>
    <n v="10"/>
    <s v="TGHU4732183"/>
    <s v="COSCO TAICANG/016W"/>
    <m/>
    <s v="NINGBO"/>
    <s v="C-POST-CONF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54119/000010"/>
    <n v="1370138472"/>
    <n v="10"/>
    <x v="0"/>
    <x v="0"/>
    <s v="A1"/>
    <n v="2100067249"/>
    <n v="208"/>
    <n v="115003385"/>
    <s v="E8940674 FP28 MAINST JO HA IND ANOD GREY          "/>
    <s v="S"/>
    <d v="2012-01-05T00:00:00"/>
    <m/>
    <s v="X"/>
    <x v="18"/>
    <n v="14.5167"/>
    <n v="83981"/>
    <d v="2012-02-01T00:00:00"/>
    <d v="2011-12-28T00:00:00"/>
    <n v="10998"/>
    <d v="2012-01-02T00:00:00"/>
    <n v="10998"/>
    <m/>
    <d v="2011-12-26T00:00:00"/>
    <n v="10998"/>
    <d v="2012-02-06T00:00:00"/>
    <d v="2012-01-02T00:00:00"/>
    <n v="10998"/>
    <n v="3120"/>
    <x v="3"/>
    <d v="2012-02-06T00:00:00"/>
    <m/>
    <n v="9321616947"/>
    <n v="10"/>
    <s v="CBHU9053488"/>
    <s v="COSCO TAICANG/016W"/>
    <m/>
    <s v="NINGBO"/>
    <s v="C-POST-CONF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54119/000010"/>
    <n v="1370138472"/>
    <n v="10"/>
    <x v="0"/>
    <x v="0"/>
    <s v="A1"/>
    <n v="2100067249"/>
    <n v="208"/>
    <n v="115003385"/>
    <s v="E8940674 FP28 MAINST JO HA IND ANOD GREY          "/>
    <s v="S"/>
    <d v="2012-01-05T00:00:00"/>
    <m/>
    <s v="X"/>
    <x v="18"/>
    <n v="14.5167"/>
    <n v="83981"/>
    <d v="2012-02-01T00:00:00"/>
    <d v="2011-12-28T00:00:00"/>
    <n v="10998"/>
    <d v="2012-01-02T00:00:00"/>
    <n v="10998"/>
    <m/>
    <d v="2011-12-26T00:00:00"/>
    <n v="10998"/>
    <d v="2012-02-06T00:00:00"/>
    <d v="2012-01-02T00:00:00"/>
    <n v="10998"/>
    <n v="5358"/>
    <x v="3"/>
    <d v="2012-02-06T00:00:00"/>
    <m/>
    <n v="9321616947"/>
    <n v="10"/>
    <s v="GVCU4123438"/>
    <s v="COSCO TAICANG/016W"/>
    <m/>
    <s v="NINGBO"/>
    <s v="C-POST-CONF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54121/000010"/>
    <n v="1370138474"/>
    <n v="10"/>
    <x v="0"/>
    <x v="0"/>
    <s v="A1"/>
    <n v="2100067250"/>
    <n v="208"/>
    <n v="115003386"/>
    <s v="E8943374 STP26LID MAINST JO HA IND ANO G          "/>
    <s v="S"/>
    <d v="2012-01-05T00:00:00"/>
    <m/>
    <s v="X"/>
    <x v="18"/>
    <n v="20.131699999999999"/>
    <n v="116464"/>
    <d v="2012-02-01T00:00:00"/>
    <d v="2011-12-28T00:00:00"/>
    <n v="8000"/>
    <d v="2012-01-02T00:00:00"/>
    <n v="8000"/>
    <m/>
    <d v="2011-12-26T00:00:00"/>
    <n v="8000"/>
    <d v="2012-02-06T00:00:00"/>
    <d v="2012-01-02T00:00:00"/>
    <n v="8000"/>
    <n v="3036"/>
    <x v="3"/>
    <d v="2012-02-06T00:00:00"/>
    <m/>
    <n v="9321616949"/>
    <n v="10"/>
    <s v="BSIU9261384"/>
    <s v="COSCO TAICANG/016W"/>
    <m/>
    <s v="NINGBO"/>
    <s v="C-POST-CONF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54121/000010"/>
    <n v="1370138474"/>
    <n v="10"/>
    <x v="0"/>
    <x v="0"/>
    <s v="A1"/>
    <n v="2100067250"/>
    <n v="208"/>
    <n v="115003386"/>
    <s v="E8943374 STP26LID MAINST JO HA IND ANO G          "/>
    <s v="S"/>
    <d v="2012-01-05T00:00:00"/>
    <m/>
    <s v="X"/>
    <x v="18"/>
    <n v="20.131699999999999"/>
    <n v="116464"/>
    <d v="2012-02-01T00:00:00"/>
    <d v="2011-12-28T00:00:00"/>
    <n v="8000"/>
    <d v="2012-01-02T00:00:00"/>
    <n v="8000"/>
    <m/>
    <d v="2011-12-26T00:00:00"/>
    <n v="8000"/>
    <d v="2012-02-06T00:00:00"/>
    <d v="2012-01-02T00:00:00"/>
    <n v="8000"/>
    <n v="3036"/>
    <x v="3"/>
    <d v="2012-02-06T00:00:00"/>
    <m/>
    <n v="9321616949"/>
    <n v="10"/>
    <s v="TGHU6523644"/>
    <s v="COSCO TAICANG/016W"/>
    <m/>
    <s v="NINGBO"/>
    <s v="C-POST-CONF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54121/000010"/>
    <n v="1370138474"/>
    <n v="10"/>
    <x v="0"/>
    <x v="0"/>
    <s v="A1"/>
    <n v="2100067250"/>
    <n v="208"/>
    <n v="115003386"/>
    <s v="E8943374 STP26LID MAINST JO HA IND ANO G          "/>
    <s v="S"/>
    <d v="2012-01-05T00:00:00"/>
    <m/>
    <s v="X"/>
    <x v="18"/>
    <n v="20.131699999999999"/>
    <n v="116464"/>
    <d v="2012-02-01T00:00:00"/>
    <d v="2011-12-28T00:00:00"/>
    <n v="8000"/>
    <d v="2012-01-02T00:00:00"/>
    <n v="8000"/>
    <m/>
    <d v="2011-12-26T00:00:00"/>
    <n v="8000"/>
    <d v="2012-02-06T00:00:00"/>
    <d v="2012-01-02T00:00:00"/>
    <n v="8000"/>
    <n v="1928"/>
    <x v="3"/>
    <d v="2012-02-06T00:00:00"/>
    <m/>
    <n v="9321616949"/>
    <n v="10"/>
    <s v="CBHU8730265"/>
    <s v="COSCO TAICANG/016W"/>
    <m/>
    <s v="NINGBO"/>
    <s v="C-POST-CONF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54116/000010"/>
    <n v="1370138477"/>
    <n v="10"/>
    <x v="0"/>
    <x v="0"/>
    <s v="A1"/>
    <n v="2100067248"/>
    <n v="208"/>
    <n v="115003384"/>
    <s v="E8940474 FP24 MAINST JO HA IND ANOD GREY          "/>
    <s v="S"/>
    <d v="2012-01-05T00:00:00"/>
    <m/>
    <s v="X"/>
    <x v="18"/>
    <n v="12.263199999999999"/>
    <n v="70944"/>
    <d v="2012-02-01T00:00:00"/>
    <d v="2011-12-28T00:00:00"/>
    <n v="10998"/>
    <d v="2012-01-02T00:00:00"/>
    <n v="10998"/>
    <m/>
    <d v="2011-12-26T00:00:00"/>
    <n v="10998"/>
    <d v="2012-02-06T00:00:00"/>
    <d v="2012-01-02T00:00:00"/>
    <n v="10998"/>
    <n v="2418"/>
    <x v="3"/>
    <d v="2012-02-06T00:00:00"/>
    <m/>
    <n v="9321616952"/>
    <n v="10"/>
    <s v="CBHU9053488"/>
    <s v="COSCO TAICANG/016W"/>
    <m/>
    <s v="NINGBO"/>
    <s v="C-POST-CONF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54116/000010"/>
    <n v="1370138477"/>
    <n v="10"/>
    <x v="0"/>
    <x v="0"/>
    <s v="A1"/>
    <n v="2100067248"/>
    <n v="208"/>
    <n v="115003384"/>
    <s v="E8940474 FP24 MAINST JO HA IND ANOD GREY          "/>
    <s v="S"/>
    <d v="2012-01-05T00:00:00"/>
    <m/>
    <s v="X"/>
    <x v="18"/>
    <n v="12.263199999999999"/>
    <n v="70944"/>
    <d v="2012-02-01T00:00:00"/>
    <d v="2011-12-28T00:00:00"/>
    <n v="10998"/>
    <d v="2012-01-02T00:00:00"/>
    <n v="10998"/>
    <m/>
    <d v="2011-12-26T00:00:00"/>
    <n v="10998"/>
    <d v="2012-02-06T00:00:00"/>
    <d v="2012-01-02T00:00:00"/>
    <n v="10998"/>
    <n v="8580"/>
    <x v="3"/>
    <d v="2012-02-06T00:00:00"/>
    <m/>
    <n v="9321616952"/>
    <n v="10"/>
    <s v="TRLU8618749"/>
    <s v="COSCO TAICANG/016W"/>
    <m/>
    <s v="NINGBO"/>
    <s v="C-POST-CONF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54468/000010"/>
    <n v="1370138972"/>
    <n v="10"/>
    <x v="0"/>
    <x v="0"/>
    <s v="A1"/>
    <n v="2100048758"/>
    <n v="205"/>
    <s v="E9724452       "/>
    <s v="E9724452 D.OV20LID SS UNCOAT PRO SERI SP          "/>
    <s v="S"/>
    <d v="2012-01-05T00:00:00"/>
    <m/>
    <s v="X"/>
    <x v="18"/>
    <n v="10.0525"/>
    <n v="55185"/>
    <d v="2011-12-01T00:00:00"/>
    <d v="2011-10-27T00:00:00"/>
    <n v="3000"/>
    <d v="2012-01-02T00:00:00"/>
    <n v="3000"/>
    <m/>
    <d v="2011-10-24T00:00:00"/>
    <n v="3000"/>
    <d v="2012-02-06T00:00:00"/>
    <d v="2012-01-02T00:00:00"/>
    <n v="3000"/>
    <n v="3000"/>
    <x v="3"/>
    <d v="2012-02-06T00:00:00"/>
    <m/>
    <n v="9321616979"/>
    <n v="10"/>
    <s v="TGHU4732183"/>
    <s v="COSCO TAICANG/016W"/>
    <m/>
    <s v="NINGBO"/>
    <s v="C-POST-CONF/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55043/000010"/>
    <n v="1370139488"/>
    <n v="10"/>
    <x v="18"/>
    <x v="18"/>
    <s v="M5"/>
    <n v="2210016181"/>
    <n v="160"/>
    <s v="RO178301       "/>
    <s v="RO178301 RED VAC CLEANER COMPACTEO UPGRA          "/>
    <s v="S"/>
    <d v="2012-01-04T00:00:00"/>
    <m/>
    <s v="X"/>
    <x v="19"/>
    <n v="27.56"/>
    <n v="57904"/>
    <d v="2011-12-01T00:00:00"/>
    <d v="2011-10-27T00:00:00"/>
    <n v="3060"/>
    <d v="2012-01-03T00:00:00"/>
    <n v="3060"/>
    <m/>
    <m/>
    <m/>
    <d v="2012-02-07T00:00:00"/>
    <d v="2012-01-03T00:00:00"/>
    <n v="3060"/>
    <n v="1530"/>
    <x v="16"/>
    <d v="2012-02-07T00:00:00"/>
    <m/>
    <n v="9321620978"/>
    <n v="10"/>
    <s v="POCU1146455"/>
    <s v="NEDLLOYD DRAKE/1202"/>
    <m/>
    <s v="SHANGHAI"/>
    <s v="C-FINALCUSTOMER-REQ/C-FINALCUSTOMER-REQ/C-PULLIN-CONF/C-PULLIN-CONF/"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4"/>
    <x v="0"/>
    <x v="0"/>
    <x v="1"/>
    <n v="0"/>
    <n v="0"/>
    <n v="1"/>
    <n v="0"/>
    <n v="0"/>
    <n v="1"/>
    <x v="0"/>
    <x v="0"/>
    <x v="1"/>
    <x v="1"/>
  </r>
  <r>
    <s v="Shipment"/>
    <n v="99003600"/>
    <s v="GROUPE SEB ISTANBUL EV ALETLERI                   "/>
    <n v="99003600"/>
    <x v="13"/>
    <s v="4500255043/000010"/>
    <n v="1370139488"/>
    <n v="10"/>
    <x v="18"/>
    <x v="18"/>
    <s v="M5"/>
    <n v="2210016181"/>
    <n v="160"/>
    <s v="RO178301       "/>
    <s v="RO178301 RED VAC CLEANER COMPACTEO UPGRA          "/>
    <s v="S"/>
    <d v="2012-01-04T00:00:00"/>
    <m/>
    <s v="X"/>
    <x v="19"/>
    <n v="27.56"/>
    <n v="57904"/>
    <d v="2011-12-01T00:00:00"/>
    <d v="2011-10-27T00:00:00"/>
    <n v="3060"/>
    <d v="2012-01-03T00:00:00"/>
    <n v="3060"/>
    <m/>
    <m/>
    <m/>
    <d v="2012-02-07T00:00:00"/>
    <d v="2012-01-03T00:00:00"/>
    <n v="3060"/>
    <n v="1530"/>
    <x v="16"/>
    <d v="2012-02-07T00:00:00"/>
    <m/>
    <n v="9321620978"/>
    <n v="10"/>
    <s v="MSKU6534360"/>
    <s v="NEDLLOYD DRAKE/1202"/>
    <m/>
    <s v="SHANGHAI"/>
    <s v="C-FINALCUSTOMER-REQ/C-FINALCUSTOMER-REQ/C-PULLIN-CONF/C-PULLIN-CONF/"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4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16402/000010"/>
    <n v="1370139389"/>
    <n v="10"/>
    <x v="19"/>
    <x v="19"/>
    <s v="A7"/>
    <n v="8701003760"/>
    <n v="235"/>
    <s v="T224           "/>
    <s v="T224 MECHANICAL INSTANT THERMOMETER               "/>
    <s v="S"/>
    <d v="2012-01-16T00:00:00"/>
    <m/>
    <s v="X"/>
    <x v="19"/>
    <n v="1.78"/>
    <n v="2"/>
    <d v="2012-02-19T00:00:00"/>
    <d v="2012-01-15T00:00:00"/>
    <n v="1000"/>
    <d v="2012-01-11T00:00:00"/>
    <n v="1000"/>
    <m/>
    <d v="2011-12-15T00:00:00"/>
    <n v="1000"/>
    <d v="2012-02-14T00:00:00"/>
    <d v="2012-01-10T00:00:00"/>
    <n v="1000"/>
    <n v="1000"/>
    <x v="17"/>
    <d v="2012-02-15T00:00:00"/>
    <m/>
    <n v="9321621099"/>
    <n v="10"/>
    <s v="ECMU9163650"/>
    <s v="ARTHUR MAERSK US553S"/>
    <m/>
    <s v="YANTIAN"/>
    <s v="C -POST-CONF/C-LCL-SHIPT/LATE EDI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5"/>
    <x v="2"/>
    <x v="1"/>
    <m/>
    <n v="0"/>
    <n v="0"/>
    <x v="1"/>
    <n v="3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16336/000010"/>
    <n v="1370139416"/>
    <n v="10"/>
    <x v="20"/>
    <x v="20"/>
    <s v="A7"/>
    <n v="8700800204"/>
    <n v="205"/>
    <n v="59912"/>
    <s v="59912 12 QT MULTICOOKER                           "/>
    <s v="S"/>
    <d v="2012-01-06T00:00:00"/>
    <m/>
    <s v="X"/>
    <x v="20"/>
    <n v="38.619999999999997"/>
    <n v="45"/>
    <d v="2011-12-19T00:00:00"/>
    <d v="2011-11-14T00:00:00"/>
    <n v="1000"/>
    <d v="2012-01-04T00:00:00"/>
    <n v="1000"/>
    <m/>
    <d v="2011-11-14T00:00:00"/>
    <n v="1000"/>
    <d v="2012-02-06T00:00:00"/>
    <d v="2012-01-02T00:00:00"/>
    <n v="1000"/>
    <n v="560"/>
    <x v="13"/>
    <d v="2012-02-05T00:00:00"/>
    <m/>
    <n v="9321621845"/>
    <n v="10"/>
    <s v="TCLU8226939"/>
    <s v="ITAL LAGUNA 0608-036"/>
    <m/>
    <s v="YANTIAN"/>
    <s v="C-POST-CONF/LATE EDI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16336/000010"/>
    <n v="1370139416"/>
    <n v="10"/>
    <x v="20"/>
    <x v="20"/>
    <s v="A7"/>
    <n v="8700800204"/>
    <n v="205"/>
    <n v="59912"/>
    <s v="59912 12 QT MULTICOOKER                           "/>
    <s v="S"/>
    <d v="2012-01-06T00:00:00"/>
    <m/>
    <s v="X"/>
    <x v="20"/>
    <n v="38.619999999999997"/>
    <n v="45"/>
    <d v="2011-12-19T00:00:00"/>
    <d v="2011-11-14T00:00:00"/>
    <n v="1000"/>
    <d v="2012-01-04T00:00:00"/>
    <n v="1000"/>
    <m/>
    <d v="2011-11-14T00:00:00"/>
    <n v="1000"/>
    <d v="2012-02-06T00:00:00"/>
    <d v="2012-01-02T00:00:00"/>
    <n v="1000"/>
    <n v="440"/>
    <x v="13"/>
    <d v="2012-02-05T00:00:00"/>
    <m/>
    <n v="9321621845"/>
    <n v="10"/>
    <s v="LTIU8006025"/>
    <s v="ITAL LAGUNA 0608-036"/>
    <m/>
    <s v="YANTIAN"/>
    <s v="C-POST-CONF/LATE EDI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16401/000010"/>
    <n v="1370139418"/>
    <n v="10"/>
    <x v="21"/>
    <x v="21"/>
    <s v="A7"/>
    <n v="8701000463"/>
    <n v="235"/>
    <s v="T179           "/>
    <s v="T179 7&quot; STRAINER - WS                             "/>
    <s v="S"/>
    <d v="2012-01-05T00:00:00"/>
    <m/>
    <s v="X"/>
    <x v="20"/>
    <n v="6.44"/>
    <n v="7667"/>
    <d v="2011-12-10T00:00:00"/>
    <d v="2011-11-05T00:00:00"/>
    <n v="1002"/>
    <d v="2012-01-04T00:00:00"/>
    <n v="1002"/>
    <m/>
    <d v="2011-11-05T00:00:00"/>
    <n v="1002"/>
    <d v="2012-02-08T00:00:00"/>
    <d v="2012-01-04T00:00:00"/>
    <n v="1002"/>
    <n v="1002"/>
    <x v="3"/>
    <d v="2012-02-06T00:00:00"/>
    <m/>
    <n v="9321621846"/>
    <n v="10"/>
    <s v="KKFU1485753"/>
    <s v="YM MILESTONE 002A/"/>
    <m/>
    <s v="YANTIAN"/>
    <s v="C-POST-CONF/c-lc-shipment"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19987/000010"/>
    <n v="1370139900"/>
    <n v="10"/>
    <x v="0"/>
    <x v="0"/>
    <s v="A1"/>
    <n v="2100064690"/>
    <n v="205"/>
    <n v="116000967"/>
    <s v="C799S544 SET 5P VOLUPTY SS UNCOATED TEFA          "/>
    <s v="S"/>
    <d v="2012-01-17T00:00:00"/>
    <m/>
    <s v="X"/>
    <x v="20"/>
    <n v="45.742199999999997"/>
    <n v="29"/>
    <d v="2011-12-07T00:00:00"/>
    <d v="2011-11-02T00:00:00"/>
    <n v="740"/>
    <d v="2012-01-13T00:00:00"/>
    <n v="1000"/>
    <m/>
    <d v="2011-11-04T00:00:00"/>
    <n v="1000"/>
    <d v="2012-02-17T00:00:00"/>
    <d v="2012-01-13T00:00:00"/>
    <n v="1000"/>
    <n v="1000"/>
    <x v="11"/>
    <d v="2012-02-19T00:00:00"/>
    <m/>
    <n v="9321621874"/>
    <n v="10"/>
    <s v="INKU2477273"/>
    <s v="TIANJIN 0652W/"/>
    <m/>
    <s v="NINGBO"/>
    <s v="C-POST-CONF/SP-OVERCAP/"/>
    <m/>
    <s v="KENUS WO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147/000060"/>
    <n v="1370139997"/>
    <n v="60"/>
    <x v="11"/>
    <x v="11"/>
    <s v="J4"/>
    <n v="1830003421"/>
    <n v="1"/>
    <s v="FV1230E0       "/>
    <s v="FV1230E0 STEAM IRON INICIO 30                     "/>
    <s v="S"/>
    <d v="2012-01-12T00:00:00"/>
    <m/>
    <s v="X"/>
    <x v="20"/>
    <n v="7.98"/>
    <n v="8"/>
    <d v="2011-12-05T00:00:00"/>
    <d v="2011-11-07T00:00:00"/>
    <n v="4320"/>
    <d v="2012-01-02T00:00:00"/>
    <n v="4320"/>
    <m/>
    <d v="2011-11-14T00:00:00"/>
    <n v="4320"/>
    <d v="2012-02-04T00:00:00"/>
    <d v="2012-01-07T00:00:00"/>
    <n v="4320"/>
    <n v="4320"/>
    <x v="12"/>
    <d v="2012-02-04T00:00:00"/>
    <m/>
    <n v="9321621885"/>
    <n v="10"/>
    <s v="UACU3049017"/>
    <s v="HATTA/1153W"/>
    <m/>
    <s v="XIAMEN"/>
    <s v="C-POST-CONF/"/>
    <m/>
    <s v="JASON FAN"/>
    <s v="FO9"/>
    <s v="LINEN CARE                    "/>
    <s v="CONFIRMED"/>
    <n v="1"/>
    <n v="1"/>
    <d v="2012-01-07T00:00:00"/>
    <s v="LINEN PERS HOME CARE          "/>
    <s v="LINEN CARE                    "/>
    <x v="5"/>
    <x v="2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56162/000010"/>
    <n v="1370140318"/>
    <n v="10"/>
    <x v="0"/>
    <x v="0"/>
    <s v="A1"/>
    <n v="2100061387"/>
    <n v="208"/>
    <n v="115002714"/>
    <s v="E9058744 JO WOK 30 ALU ANODIZED INDUC GR          "/>
    <s v="S"/>
    <d v="2012-01-05T00:00:00"/>
    <m/>
    <s v="X"/>
    <x v="21"/>
    <n v="17.3931"/>
    <n v="100621"/>
    <d v="2012-01-07T00:00:00"/>
    <d v="2011-12-03T00:00:00"/>
    <n v="2000"/>
    <d v="2012-01-02T00:00:00"/>
    <n v="2000"/>
    <m/>
    <d v="2011-11-28T00:00:00"/>
    <n v="2000"/>
    <d v="2012-02-06T00:00:00"/>
    <d v="2012-01-02T00:00:00"/>
    <n v="2000"/>
    <n v="100"/>
    <x v="3"/>
    <d v="2012-02-06T00:00:00"/>
    <m/>
    <n v="9321621935"/>
    <n v="10"/>
    <s v="CBHU8730265"/>
    <s v="COSCO TAICANG/016W"/>
    <m/>
    <s v="NINGBO"/>
    <s v="C-POST-CONF/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56162/000010"/>
    <n v="1370140318"/>
    <n v="10"/>
    <x v="0"/>
    <x v="0"/>
    <s v="A1"/>
    <n v="2100061387"/>
    <n v="208"/>
    <n v="115002714"/>
    <s v="E9058744 JO WOK 30 ALU ANODIZED INDUC GR          "/>
    <s v="S"/>
    <d v="2012-01-05T00:00:00"/>
    <m/>
    <s v="X"/>
    <x v="21"/>
    <n v="17.3931"/>
    <n v="100621"/>
    <d v="2012-01-07T00:00:00"/>
    <d v="2011-12-03T00:00:00"/>
    <n v="2000"/>
    <d v="2012-01-02T00:00:00"/>
    <n v="2000"/>
    <m/>
    <d v="2011-11-28T00:00:00"/>
    <n v="2000"/>
    <d v="2012-02-06T00:00:00"/>
    <d v="2012-01-02T00:00:00"/>
    <n v="2000"/>
    <n v="1900"/>
    <x v="3"/>
    <d v="2012-02-06T00:00:00"/>
    <m/>
    <n v="9321621935"/>
    <n v="10"/>
    <s v="GVCU5084320"/>
    <s v="COSCO TAICANG/016W"/>
    <m/>
    <s v="NINGBO"/>
    <s v="C-POST-CONF/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55852/000010"/>
    <n v="1370140218"/>
    <n v="10"/>
    <x v="8"/>
    <x v="8"/>
    <s v="K9"/>
    <n v="8000034366"/>
    <n v="38"/>
    <s v="KP150910       "/>
    <s v="KP150910 NDG GENIO TIT EUR                        "/>
    <s v="S"/>
    <d v="2012-01-20T00:00:00"/>
    <m/>
    <s v="X"/>
    <x v="21"/>
    <n v="56.46"/>
    <n v="47"/>
    <d v="2011-12-05T00:00:00"/>
    <d v="2011-10-31T00:00:00"/>
    <n v="2160"/>
    <d v="2012-01-13T00:00:00"/>
    <n v="2160"/>
    <m/>
    <d v="2011-11-04T00:00:00"/>
    <n v="2160"/>
    <d v="2012-02-17T00:00:00"/>
    <d v="2012-01-13T00:00:00"/>
    <n v="2160"/>
    <n v="2160"/>
    <x v="14"/>
    <d v="2012-02-24T00:00:00"/>
    <m/>
    <n v="9321621938"/>
    <n v="10"/>
    <s v="MOFU0657356"/>
    <s v="MOL MATRIX/010W"/>
    <m/>
    <s v="YANTIAN"/>
    <s v="C-POST-CONF/"/>
    <m/>
    <s v="AGNES NUNES"/>
    <s v="FO9"/>
    <s v="BEVERAGE                      "/>
    <s v="CONFIRMED"/>
    <n v="1"/>
    <n v="3"/>
    <d v="2012-01-20T00:00:00"/>
    <s v="KITCHEN ELECTRICS             "/>
    <s v="BREAKFAST &amp; BREVAGE PREP      "/>
    <x v="4"/>
    <x v="1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285/HKG/"/>
    <n v="1370140442"/>
    <n v="20"/>
    <x v="22"/>
    <x v="22"/>
    <s v="R2"/>
    <n v="7211000510"/>
    <n v="55"/>
    <n v="211000510"/>
    <s v="KO299172 KET EXPRESS 1.5L WHT SA                  "/>
    <s v="S"/>
    <d v="2012-01-05T00:00:00"/>
    <m/>
    <s v="X"/>
    <x v="22"/>
    <n v="12.1792"/>
    <n v="12"/>
    <d v="2012-01-06T00:00:00"/>
    <d v="2012-01-06T00:00:00"/>
    <n v="1290"/>
    <d v="2012-01-06T00:00:00"/>
    <n v="1290"/>
    <m/>
    <d v="2012-01-04T00:00:00"/>
    <n v="1290"/>
    <d v="2012-01-04T00:00:00"/>
    <d v="2012-01-04T00:00:00"/>
    <n v="1290"/>
    <n v="1290"/>
    <x v="2"/>
    <d v="2012-01-04T00:00:00"/>
    <m/>
    <n v="9321622830"/>
    <n v="20"/>
    <s v="OOLU1231336"/>
    <s v="OOCL CANADA"/>
    <m/>
    <s v="NINGBO"/>
    <m/>
    <m/>
    <s v="THOMAS HO"/>
    <s v="FO9"/>
    <s v="BEVERAGE                      "/>
    <s v="CONFIRMED"/>
    <n v="1"/>
    <n v="1"/>
    <d v="2012-01-04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20682/000010"/>
    <n v="1370140241"/>
    <n v="10"/>
    <x v="0"/>
    <x v="0"/>
    <s v="A4"/>
    <n v="8700800004"/>
    <n v="209"/>
    <n v="5016"/>
    <s v="5016 - SS ROTI PAN (RECTANGULAR ROASTER)          "/>
    <s v="S"/>
    <d v="2012-01-11T00:00:00"/>
    <m/>
    <s v="X"/>
    <x v="19"/>
    <n v="30.728999999999999"/>
    <n v="32"/>
    <d v="2011-12-06T00:00:00"/>
    <d v="2011-11-01T00:00:00"/>
    <n v="1000"/>
    <d v="2012-01-06T00:00:00"/>
    <n v="1000"/>
    <m/>
    <m/>
    <m/>
    <d v="2012-02-10T00:00:00"/>
    <d v="2012-01-06T00:00:00"/>
    <n v="1000"/>
    <n v="60"/>
    <x v="12"/>
    <d v="2012-02-11T00:00:00"/>
    <m/>
    <n v="9321622836"/>
    <n v="10"/>
    <s v="FSCU6732760"/>
    <s v="NYK METEOR"/>
    <m/>
    <s v="NINGBO"/>
    <s v="CONS-SHIPT/C-PULLIN-CONF/C-POST-CONF/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0"/>
    <s v="CONS-SHIPT"/>
    <n v="-3"/>
    <n v="-3"/>
    <x v="8"/>
    <n v="4"/>
    <x v="0"/>
    <x v="0"/>
    <x v="0"/>
    <n v="0"/>
    <n v="0"/>
    <n v="1"/>
    <n v="0"/>
    <n v="0"/>
    <n v="1"/>
    <x v="0"/>
    <x v="0"/>
    <x v="1"/>
    <x v="1"/>
  </r>
  <r>
    <s v="Shipment"/>
    <n v="99009500"/>
    <s v="SEB INTERNATIONAL SERVICE SAS                     "/>
    <n v="99009500"/>
    <x v="16"/>
    <s v="9321622232/000010"/>
    <n v="1370140574"/>
    <n v="10"/>
    <x v="23"/>
    <x v="23"/>
    <s v="J3"/>
    <n v="2841958716"/>
    <n v="99"/>
    <s v="CS-00098903    "/>
    <s v="CS-00098903 FTI VALVE PIN SET3481SIS(FV4          "/>
    <s v="S"/>
    <d v="2012-01-27T00:00:00"/>
    <m/>
    <s v="X"/>
    <x v="23"/>
    <n v="0.24"/>
    <n v="530"/>
    <d v="2011-12-29T00:00:00"/>
    <d v="2011-11-24T00:00:00"/>
    <n v="50"/>
    <d v="2011-11-24T00:00:00"/>
    <n v="50"/>
    <m/>
    <d v="2011-12-01T00:00:00"/>
    <n v="50"/>
    <d v="2012-03-01T00:00:00"/>
    <d v="2012-01-26T00:00:00"/>
    <n v="50"/>
    <n v="50"/>
    <x v="18"/>
    <d v="2012-02-03T00:00:00"/>
    <m/>
    <n v="9321624070"/>
    <n v="10"/>
    <s v="8763 8996 3763"/>
    <s v="BY FEDEX"/>
    <m/>
    <s v="By Air 7 days"/>
    <m/>
    <m/>
    <s v="VERA YUNG, CANDY CHAN"/>
    <s v="FOC"/>
    <s v="LINEN CARE                    "/>
    <s v="CONFIRMED"/>
    <n v="1"/>
    <n v="4"/>
    <d v="2012-01-27T00:00:00"/>
    <s v="LINEN PERS HOME CARE          "/>
    <s v="NON AFFECTED                  "/>
    <x v="0"/>
    <x v="0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009500"/>
    <s v="SEB INTERNATIONAL SERVICE SAS                     "/>
    <n v="99009500"/>
    <x v="16"/>
    <s v="9321622198/000010"/>
    <n v="1370140591"/>
    <n v="10"/>
    <x v="23"/>
    <x v="23"/>
    <s v="J3"/>
    <n v="2841958704"/>
    <n v="99"/>
    <s v="CS-00098897    "/>
    <s v="CS-00098897 FTI VALVE PIN SET 2481 SIS            "/>
    <s v="S"/>
    <d v="2012-01-27T00:00:00"/>
    <m/>
    <s v="X"/>
    <x v="23"/>
    <n v="0.24"/>
    <n v="530"/>
    <d v="2011-12-29T00:00:00"/>
    <d v="2011-11-24T00:00:00"/>
    <n v="50"/>
    <d v="2011-11-24T00:00:00"/>
    <n v="50"/>
    <m/>
    <d v="2011-12-01T00:00:00"/>
    <n v="50"/>
    <d v="2012-03-01T00:00:00"/>
    <d v="2012-01-26T00:00:00"/>
    <n v="50"/>
    <n v="50"/>
    <x v="18"/>
    <d v="2012-02-03T00:00:00"/>
    <m/>
    <n v="9321624087"/>
    <n v="10"/>
    <s v="8763 8996 3763"/>
    <s v="BY FEDEX"/>
    <m/>
    <s v="By Air 7 days"/>
    <m/>
    <m/>
    <s v="VERA YUNG, CANDY CHAN"/>
    <s v="FOC"/>
    <s v="LINEN CARE                    "/>
    <s v="CONFIRMED"/>
    <n v="1"/>
    <n v="4"/>
    <d v="2012-01-27T00:00:00"/>
    <s v="LINEN PERS HOME CARE          "/>
    <s v="NON AFFECTED                  "/>
    <x v="0"/>
    <x v="0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008300"/>
    <s v="KRUPS GmbH &amp; Co. KG                               "/>
    <n v="99008300"/>
    <x v="15"/>
    <s v="4500256628/000010"/>
    <n v="1370140743"/>
    <n v="10"/>
    <x v="8"/>
    <x v="8"/>
    <s v="K9"/>
    <n v="8000034366"/>
    <n v="38"/>
    <s v="KP150910       "/>
    <s v="KP150910 NDG GENIO TIT EUR                        "/>
    <s v="S"/>
    <d v="2012-01-20T00:00:00"/>
    <m/>
    <s v="X"/>
    <x v="24"/>
    <n v="56.46"/>
    <n v="47"/>
    <d v="2011-12-12T00:00:00"/>
    <d v="2011-11-07T00:00:00"/>
    <n v="2160"/>
    <d v="2012-01-13T00:00:00"/>
    <n v="2160"/>
    <m/>
    <d v="2011-11-04T00:00:00"/>
    <n v="2160"/>
    <d v="2012-02-17T00:00:00"/>
    <d v="2012-01-13T00:00:00"/>
    <n v="2160"/>
    <n v="2160"/>
    <x v="14"/>
    <d v="2012-02-24T00:00:00"/>
    <m/>
    <n v="9321624882"/>
    <n v="10"/>
    <s v="CAXU7404029"/>
    <s v="MOL MATRIX/010W"/>
    <m/>
    <s v="YANTIAN"/>
    <s v="C-POST-CONF/"/>
    <m/>
    <s v="AGNES NUNES"/>
    <s v="FO9"/>
    <s v="BEVERAGE                      "/>
    <s v="CONFIRMED"/>
    <n v="1"/>
    <n v="3"/>
    <d v="2012-01-20T00:00:00"/>
    <s v="KITCHEN ELECTRICS             "/>
    <s v="BREAKFAST &amp; BREVAGE PREP      "/>
    <x v="4"/>
    <x v="1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56232/000010"/>
    <n v="1370140473"/>
    <n v="10"/>
    <x v="3"/>
    <x v="3"/>
    <s v="R1"/>
    <n v="8000032189"/>
    <n v="27"/>
    <s v="CM415510       "/>
    <s v="CM415510 FCM 10/15T GLASS JUG                     "/>
    <s v="S"/>
    <d v="2012-01-17T00:00:00"/>
    <m/>
    <s v="X"/>
    <x v="24"/>
    <n v="15.07"/>
    <n v="13"/>
    <d v="2011-12-12T00:00:00"/>
    <d v="2011-11-07T00:00:00"/>
    <n v="1500"/>
    <d v="2012-01-19T00:00:00"/>
    <n v="1500"/>
    <m/>
    <d v="2011-11-07T00:00:00"/>
    <n v="1500"/>
    <d v="2012-02-23T00:00:00"/>
    <d v="2012-01-19T00:00:00"/>
    <n v="1500"/>
    <n v="1500"/>
    <x v="8"/>
    <d v="2012-02-20T00:00:00"/>
    <m/>
    <n v="9321624996"/>
    <n v="10"/>
    <s v="CAIU4141328"/>
    <s v="HYUNDAI BRAVE/023W"/>
    <m/>
    <s v="YANTIAN"/>
    <s v="C-POST-CONF/SP-OVERCAP/"/>
    <m/>
    <s v="AGNES NUNES"/>
    <s v="FO9"/>
    <s v="BEVERAGE                      "/>
    <s v="CONFIRMED"/>
    <n v="1"/>
    <n v="3"/>
    <d v="2012-01-16T00:00:00"/>
    <s v="KITCHEN ELECTRICS             "/>
    <s v="BREAKFAST &amp; BREVAGE PREP      "/>
    <x v="2"/>
    <x v="1"/>
    <x v="3"/>
    <s v="C-POST-CONF"/>
    <n v="-3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23321/000010"/>
    <n v="1370140628"/>
    <n v="10"/>
    <x v="6"/>
    <x v="6"/>
    <s v="N3"/>
    <n v="1500573907"/>
    <n v="116"/>
    <n v="573907"/>
    <s v="OW500300 BM XXL MLX FR WHITE/GREY                 "/>
    <s v="S"/>
    <d v="2012-01-07T00:00:00"/>
    <m/>
    <s v="X"/>
    <x v="24"/>
    <n v="46.79"/>
    <n v="41"/>
    <d v="2011-12-16T00:00:00"/>
    <d v="2011-11-11T00:00:00"/>
    <n v="942"/>
    <d v="2011-12-31T00:00:00"/>
    <n v="942"/>
    <m/>
    <d v="2011-11-11T00:00:00"/>
    <n v="942"/>
    <d v="2012-02-07T00:00:00"/>
    <d v="2012-01-03T00:00:00"/>
    <n v="942"/>
    <n v="942"/>
    <x v="7"/>
    <d v="2012-02-10T00:00:00"/>
    <m/>
    <n v="9321625022"/>
    <n v="10"/>
    <s v="OOLU7984790"/>
    <s v="NYK ORPHEUS/18W52"/>
    <m/>
    <s v="ZHUHAI"/>
    <s v="C-POST-CONF/C-PULLIN-CONF/"/>
    <m/>
    <s v="JASON FAN"/>
    <s v="FO9"/>
    <s v="ELECTRICAL COOKING            "/>
    <s v="CONFIRMED"/>
    <n v="1"/>
    <n v="1"/>
    <d v="2012-01-06T00:00:00"/>
    <s v="KITCHEN ELECTRICS             "/>
    <s v="ELECTRICAL COOKING            "/>
    <x v="2"/>
    <x v="1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23319/000010"/>
    <n v="1370140669"/>
    <n v="10"/>
    <x v="6"/>
    <x v="6"/>
    <s v="N3"/>
    <n v="1500573955"/>
    <n v="116"/>
    <n v="573955"/>
    <s v="OW502300 BDM XXL BAGUETTE RELIFT FR               "/>
    <s v="S"/>
    <d v="2012-01-07T00:00:00"/>
    <m/>
    <s v="X"/>
    <x v="24"/>
    <n v="48.89"/>
    <n v="43"/>
    <d v="2011-12-16T00:00:00"/>
    <d v="2011-11-11T00:00:00"/>
    <n v="870"/>
    <d v="2011-12-31T00:00:00"/>
    <n v="870"/>
    <m/>
    <d v="2011-11-15T00:00:00"/>
    <n v="870"/>
    <d v="2012-02-07T00:00:00"/>
    <d v="2012-01-03T00:00:00"/>
    <n v="870"/>
    <n v="870"/>
    <x v="7"/>
    <d v="2012-02-10T00:00:00"/>
    <m/>
    <n v="9321625027"/>
    <n v="10"/>
    <s v="TRLU4213090"/>
    <s v="BO YUN 938/***"/>
    <m/>
    <s v="ZHUHAI"/>
    <s v="C-PULLIN-CONF/LATE DOC FROM FORWARDER"/>
    <m/>
    <s v="JASON FAN"/>
    <s v="FO9"/>
    <s v="ELECTRICAL COOKING            "/>
    <s v="CONFIRMED"/>
    <n v="1"/>
    <n v="1"/>
    <d v="2012-01-06T00:00:00"/>
    <s v="KITCHEN ELECTRICS             "/>
    <s v="ELECTRICAL COOKING            "/>
    <x v="2"/>
    <x v="1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21423/000010"/>
    <n v="1370140303"/>
    <n v="10"/>
    <x v="0"/>
    <x v="0"/>
    <s v="A1"/>
    <n v="2100063377"/>
    <n v="207"/>
    <n v="115003045"/>
    <s v="H1154614 D.OV24+LID FLAVOUR BLACK TEFAL           "/>
    <s v="S"/>
    <d v="2012-01-17T00:00:00"/>
    <m/>
    <s v="X"/>
    <x v="24"/>
    <n v="13.5589"/>
    <n v="441"/>
    <d v="2011-12-23T00:00:00"/>
    <d v="2011-11-04T00:00:00"/>
    <n v="1000"/>
    <d v="2012-01-14T00:00:00"/>
    <n v="1000"/>
    <m/>
    <d v="2011-11-17T00:00:00"/>
    <n v="1000"/>
    <d v="2012-03-03T00:00:00"/>
    <d v="2012-01-14T00:00:00"/>
    <n v="1000"/>
    <n v="1000"/>
    <x v="11"/>
    <d v="2012-03-04T00:00:00"/>
    <m/>
    <n v="9321625071"/>
    <n v="10"/>
    <s v="FSCU4587277"/>
    <s v="MOL CHARISMA/009W"/>
    <m/>
    <s v="NINGBO"/>
    <s v="C-POST-CONF/SP-OVERCAP/"/>
    <m/>
    <s v="KENUS WO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3700"/>
    <s v="SEB ASIA LTD                                      "/>
    <n v="99003700"/>
    <x v="7"/>
    <s v="SAS-10-286/HKG/"/>
    <n v="1370141067"/>
    <n v="10"/>
    <x v="0"/>
    <x v="0"/>
    <s v="AA"/>
    <n v="7115001999"/>
    <n v="208"/>
    <n v="115001999"/>
    <s v="HP09072-1 SAUCEPAN 18 CM WITH GLASS LID           "/>
    <s v="S"/>
    <d v="2012-01-05T00:00:00"/>
    <m/>
    <s v="X"/>
    <x v="24"/>
    <n v="7.8178000000000001"/>
    <n v="7829"/>
    <d v="2011-11-06T00:00:00"/>
    <d v="2011-10-23T00:00:00"/>
    <n v="498"/>
    <d v="2012-01-04T00:00:00"/>
    <n v="480"/>
    <m/>
    <d v="2011-12-07T00:00:00"/>
    <n v="498"/>
    <d v="2012-01-18T00:00:00"/>
    <d v="2012-01-04T00:00:00"/>
    <n v="480"/>
    <n v="480"/>
    <x v="2"/>
    <d v="2012-01-18T00:00:00"/>
    <m/>
    <n v="9321625387"/>
    <n v="10"/>
    <s v="OOLU7518468"/>
    <s v="OOCL CANADA"/>
    <m/>
    <s v="NINGBO"/>
    <s v="SP-OVERCAP/"/>
    <m/>
    <s v="THOMAS HO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3700"/>
    <s v="SEB ASIA LTD                                      "/>
    <n v="99003700"/>
    <x v="7"/>
    <s v="SAS-10-286/HKG/"/>
    <n v="1370141067"/>
    <n v="20"/>
    <x v="0"/>
    <x v="0"/>
    <s v="AA"/>
    <n v="7115002000"/>
    <n v="208"/>
    <n v="115002000"/>
    <s v="HP09072-2 STOCKPOT 24 CM WITH GLASS LID           "/>
    <s v="S"/>
    <d v="2012-01-05T00:00:00"/>
    <m/>
    <s v="X"/>
    <x v="24"/>
    <n v="11.2133"/>
    <n v="7829"/>
    <d v="2011-11-06T00:00:00"/>
    <d v="2011-10-23T00:00:00"/>
    <n v="500"/>
    <d v="2012-01-04T00:00:00"/>
    <n v="500"/>
    <m/>
    <d v="2011-10-19T00:00:00"/>
    <n v="1000"/>
    <d v="2012-01-18T00:00:00"/>
    <d v="2012-01-04T00:00:00"/>
    <n v="500"/>
    <n v="500"/>
    <x v="2"/>
    <d v="2012-01-18T00:00:00"/>
    <m/>
    <n v="9321625387"/>
    <n v="20"/>
    <s v="OOLU7518468"/>
    <s v="OOCL CANADA"/>
    <m/>
    <s v="NINGBO"/>
    <s v="SP-OVERCAP/"/>
    <m/>
    <s v="THOMAS HO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286/HKG/"/>
    <n v="1370141067"/>
    <n v="30"/>
    <x v="0"/>
    <x v="0"/>
    <s v="AA"/>
    <n v="7115002002"/>
    <n v="208"/>
    <n v="115002002"/>
    <s v="HP09072-3 WOK FRYPAN 28 CM WITH GLASS LI          "/>
    <s v="S"/>
    <d v="2012-01-05T00:00:00"/>
    <m/>
    <s v="X"/>
    <x v="24"/>
    <n v="9.9723000000000006"/>
    <n v="7829"/>
    <d v="2011-11-06T00:00:00"/>
    <d v="2011-10-23T00:00:00"/>
    <n v="501"/>
    <d v="2012-01-04T00:00:00"/>
    <n v="501"/>
    <m/>
    <d v="2011-12-07T00:00:00"/>
    <n v="501"/>
    <d v="2012-01-18T00:00:00"/>
    <d v="2012-01-04T00:00:00"/>
    <n v="501"/>
    <n v="501"/>
    <x v="2"/>
    <d v="2012-01-18T00:00:00"/>
    <m/>
    <n v="9321625387"/>
    <n v="30"/>
    <s v="OOLU7518468"/>
    <s v="OOCL CANADA"/>
    <m/>
    <s v="NINGBO"/>
    <s v="SP-OVERCAP/"/>
    <m/>
    <s v="THOMAS HO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3700"/>
    <s v="SEB ASIA LTD                                      "/>
    <n v="99003700"/>
    <x v="7"/>
    <s v="SAS-10-286/HKG/"/>
    <n v="1370141067"/>
    <n v="40"/>
    <x v="0"/>
    <x v="0"/>
    <s v="AA"/>
    <n v="7115002987"/>
    <n v="208"/>
    <n v="115002987"/>
    <s v="HP09072-5 SUPOR 36CM CVD WOK INDUCTION            "/>
    <s v="S"/>
    <d v="2012-01-05T00:00:00"/>
    <m/>
    <s v="X"/>
    <x v="24"/>
    <n v="14.954499999999999"/>
    <n v="7829"/>
    <d v="2011-11-06T00:00:00"/>
    <d v="2011-10-23T00:00:00"/>
    <n v="501"/>
    <d v="2012-01-04T00:00:00"/>
    <n v="501"/>
    <m/>
    <d v="2011-12-07T00:00:00"/>
    <n v="501"/>
    <d v="2012-01-18T00:00:00"/>
    <d v="2012-01-04T00:00:00"/>
    <n v="501"/>
    <n v="501"/>
    <x v="2"/>
    <d v="2012-01-18T00:00:00"/>
    <m/>
    <n v="9321625387"/>
    <n v="40"/>
    <s v="OOLU1516010"/>
    <s v="OOCL CANADA"/>
    <m/>
    <s v="NINGBO"/>
    <s v="SP-OVERCAP/"/>
    <m/>
    <s v="THOMAS HO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103498"/>
    <s v="GSE/DSV BLP WAREHOUSE YANTIAN                     "/>
    <n v="99005151"/>
    <x v="18"/>
    <s v="9321624256/000010"/>
    <n v="1370140834"/>
    <n v="10"/>
    <x v="0"/>
    <x v="0"/>
    <s v="A1"/>
    <n v="2100064652"/>
    <n v="201"/>
    <n v="116001032"/>
    <s v="A810SC74 T-FAL SIMPLY CLEAN CHARCOAL TNS          "/>
    <s v="S"/>
    <d v="2012-02-01T00:00:00"/>
    <m/>
    <s v="X"/>
    <x v="24"/>
    <n v="39.605400000000003"/>
    <n v="42"/>
    <d v="2012-02-09T00:00:00"/>
    <d v="2012-01-26T00:00:00"/>
    <n v="533"/>
    <d v="2012-01-05T00:00:00"/>
    <n v="533"/>
    <m/>
    <d v="2012-01-26T00:00:00"/>
    <n v="533"/>
    <d v="2012-01-19T00:00:00"/>
    <d v="2012-01-05T00:00:00"/>
    <n v="533"/>
    <n v="473"/>
    <x v="7"/>
    <d v="2012-01-20T00:00:00"/>
    <m/>
    <n v="9321625437"/>
    <n v="10"/>
    <s v="CCLU7052820"/>
    <s v="HATSU COURAGE V0078W"/>
    <m/>
    <s v="NINGBO"/>
    <s v="SP-HOLIDAY/"/>
    <m/>
    <s v="ZANDRA LAM"/>
    <s v="FO9"/>
    <s v="COOKWARE                      "/>
    <s v="CONFIRMED"/>
    <n v="1"/>
    <n v="1"/>
    <d v="2012-01-06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24256/000010"/>
    <n v="1370140834"/>
    <n v="10"/>
    <x v="0"/>
    <x v="0"/>
    <s v="A1"/>
    <n v="2100064652"/>
    <n v="201"/>
    <n v="116001032"/>
    <s v="A810SC74 T-FAL SIMPLY CLEAN CHARCOAL TNS          "/>
    <s v="S"/>
    <d v="2012-01-18T00:00:00"/>
    <m/>
    <s v="X"/>
    <x v="24"/>
    <n v="39.605400000000003"/>
    <n v="42"/>
    <d v="2012-02-09T00:00:00"/>
    <d v="2012-01-26T00:00:00"/>
    <n v="533"/>
    <d v="2012-01-05T00:00:00"/>
    <n v="533"/>
    <m/>
    <d v="2012-01-26T00:00:00"/>
    <n v="533"/>
    <d v="2012-01-19T00:00:00"/>
    <d v="2012-01-05T00:00:00"/>
    <n v="533"/>
    <n v="60"/>
    <x v="19"/>
    <d v="2012-01-31T00:00:00"/>
    <m/>
    <n v="9321625437"/>
    <n v="10"/>
    <s v="CCLU7184914"/>
    <s v="HATSU COURAGE /0078W"/>
    <m/>
    <s v="NINGBO"/>
    <s v="SP-HOLIDAY/"/>
    <m/>
    <s v="ZANDRA LAM"/>
    <s v="FO9"/>
    <s v="COOKWARE                      "/>
    <s v="CONFIRMED"/>
    <n v="1"/>
    <n v="3"/>
    <d v="2012-01-17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0"/>
    <n v="0"/>
    <n v="0"/>
    <n v="0"/>
    <n v="0"/>
    <n v="0"/>
    <x v="1"/>
    <x v="0"/>
    <x v="1"/>
    <x v="0"/>
  </r>
  <r>
    <s v="Shipment"/>
    <n v="99001621"/>
    <s v="GRUPO SEB DO BRASIL                               "/>
    <n v="99001600"/>
    <x v="2"/>
    <s v="9820616439/000010"/>
    <n v="1370141128"/>
    <n v="10"/>
    <x v="24"/>
    <x v="24"/>
    <s v="N1"/>
    <n v="2100067237"/>
    <n v="52"/>
    <s v="SM157584       "/>
    <s v="SM157584 SDW  ULTRACOMPACT BLACK GRILL            "/>
    <s v="S"/>
    <d v="2012-01-10T00:00:00"/>
    <m/>
    <s v="X"/>
    <x v="25"/>
    <n v="7.15"/>
    <n v="8"/>
    <d v="2011-12-24T00:00:00"/>
    <d v="2011-11-12T00:00:00"/>
    <n v="1890"/>
    <d v="2011-12-25T00:00:00"/>
    <n v="1890"/>
    <m/>
    <d v="2011-12-25T00:00:00"/>
    <n v="1890"/>
    <d v="2012-02-19T00:00:00"/>
    <d v="2012-01-08T00:00:00"/>
    <n v="1890"/>
    <n v="1890"/>
    <x v="0"/>
    <d v="2012-02-20T00:00:00"/>
    <m/>
    <n v="9321625790"/>
    <n v="10"/>
    <s v="SUDU8953800"/>
    <s v="COSCO VIETNAM 201W/"/>
    <m/>
    <s v="NINGBO"/>
    <s v="SP-PROD-ISSUE/"/>
    <m/>
    <s v="THOMAS HO"/>
    <s v="FO9"/>
    <s v="ELECTRICAL COOKING            "/>
    <s v="CONFIRMED"/>
    <n v="1"/>
    <n v="2"/>
    <d v="2012-01-09T00:00:00"/>
    <s v="KITCHEN ELECTRICS             "/>
    <s v="ELECTRICAL COOKING            "/>
    <x v="1"/>
    <x v="1"/>
    <x v="1"/>
    <m/>
    <n v="0"/>
    <n v="0"/>
    <x v="1"/>
    <n v="1"/>
    <x v="0"/>
    <x v="0"/>
    <x v="0"/>
    <n v="1"/>
    <n v="0"/>
    <n v="0"/>
    <n v="0"/>
    <n v="0"/>
    <n v="0"/>
    <x v="0"/>
    <x v="1"/>
    <x v="1"/>
    <x v="0"/>
  </r>
  <r>
    <s v="Shipment"/>
    <n v="99001621"/>
    <s v="GRUPO SEB DO BRASIL                               "/>
    <n v="99001600"/>
    <x v="2"/>
    <s v="9820616440/000010"/>
    <n v="1370141129"/>
    <n v="10"/>
    <x v="24"/>
    <x v="24"/>
    <s v="N1"/>
    <n v="2100067414"/>
    <n v="52"/>
    <s v="SM157574       "/>
    <s v="SM157574 SDW  ULTRACOMPACT BLACK GRILL A          "/>
    <s v="S"/>
    <d v="2012-01-10T00:00:00"/>
    <m/>
    <s v="X"/>
    <x v="25"/>
    <n v="7.15"/>
    <n v="8"/>
    <d v="2011-12-24T00:00:00"/>
    <d v="2011-11-12T00:00:00"/>
    <n v="1890"/>
    <d v="2011-12-25T00:00:00"/>
    <n v="3990"/>
    <m/>
    <d v="2011-12-25T00:00:00"/>
    <n v="1890"/>
    <d v="2012-02-19T00:00:00"/>
    <d v="2012-01-08T00:00:00"/>
    <n v="3990"/>
    <n v="3990"/>
    <x v="0"/>
    <d v="2012-02-20T00:00:00"/>
    <m/>
    <n v="9321625791"/>
    <n v="10"/>
    <s v="SUDU8953800"/>
    <s v="COSCO VIETNAM 201W/"/>
    <m/>
    <s v="NINGBO"/>
    <s v="SP-PROD-ISSUE/"/>
    <m/>
    <s v="THOMAS HO"/>
    <s v="FO9"/>
    <s v="ELECTRICAL COOKING            "/>
    <s v="CONFIRMED"/>
    <n v="1"/>
    <n v="2"/>
    <d v="2012-01-09T00:00:00"/>
    <s v="KITCHEN ELECTRICS             "/>
    <s v="ELECTRICAL COOKING            "/>
    <x v="1"/>
    <x v="1"/>
    <x v="1"/>
    <m/>
    <n v="0"/>
    <n v="0"/>
    <x v="1"/>
    <n v="1"/>
    <x v="0"/>
    <x v="0"/>
    <x v="0"/>
    <n v="1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24700/000010"/>
    <n v="1370140998"/>
    <n v="10"/>
    <x v="21"/>
    <x v="21"/>
    <s v="A7"/>
    <n v="8700800516"/>
    <n v="235"/>
    <n v="59918"/>
    <s v="59918 MEASURING SPOON SET                         "/>
    <s v="S"/>
    <d v="2012-01-03T00:00:00"/>
    <m/>
    <s v="X"/>
    <x v="25"/>
    <n v="4.28"/>
    <n v="5137"/>
    <d v="2011-12-12T00:00:00"/>
    <d v="2011-11-07T00:00:00"/>
    <n v="1000"/>
    <d v="2012-01-03T00:00:00"/>
    <n v="1000"/>
    <m/>
    <d v="2012-01-03T00:00:00"/>
    <n v="1850"/>
    <d v="2012-02-07T00:00:00"/>
    <d v="2012-01-03T00:00:00"/>
    <n v="1000"/>
    <n v="150"/>
    <x v="20"/>
    <d v="2012-03-06T00:00:00"/>
    <m/>
    <n v="9321625827"/>
    <n v="10"/>
    <s v="TGHU4238463"/>
    <s v="APL SHANGHAI"/>
    <m/>
    <s v="YANTIAN"/>
    <s v="C-POST-CONF/C-LC-SHIPMENT"/>
    <m/>
    <s v="TWEETY LEUNG"/>
    <s v="FO9"/>
    <s v="COOKWARE                      "/>
    <s v="CONFIRMED"/>
    <n v="1"/>
    <n v="5"/>
    <d v="2012-01-31T00:00:00"/>
    <s v="COOKWARE                      "/>
    <s v="COOKWARE                      "/>
    <x v="5"/>
    <x v="2"/>
    <x v="3"/>
    <s v="C-POST-CONF"/>
    <n v="-3"/>
    <n v="-3"/>
    <x v="0"/>
    <n v="2"/>
    <x v="0"/>
    <x v="0"/>
    <x v="1"/>
    <n v="1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24700/000010"/>
    <n v="1370140998"/>
    <n v="10"/>
    <x v="21"/>
    <x v="21"/>
    <s v="A7"/>
    <n v="8700800516"/>
    <n v="235"/>
    <n v="59918"/>
    <s v="59918 MEASURING SPOON SET                         "/>
    <s v="S"/>
    <d v="2012-01-05T00:00:00"/>
    <m/>
    <s v="X"/>
    <x v="25"/>
    <n v="4.28"/>
    <n v="5137"/>
    <d v="2011-12-12T00:00:00"/>
    <d v="2011-11-07T00:00:00"/>
    <n v="1000"/>
    <d v="2012-01-03T00:00:00"/>
    <n v="1000"/>
    <m/>
    <d v="2012-01-03T00:00:00"/>
    <n v="1850"/>
    <d v="2012-02-07T00:00:00"/>
    <d v="2012-01-03T00:00:00"/>
    <n v="1000"/>
    <n v="850"/>
    <x v="3"/>
    <d v="2012-02-06T00:00:00"/>
    <m/>
    <n v="9321625827"/>
    <n v="10"/>
    <s v="KKFU1485753"/>
    <s v="YM MILESTONE 002A/"/>
    <m/>
    <s v="YANTIAN"/>
    <s v="C-POST-CONF/C-LC-SHIPMENT"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6104"/>
    <s v="SAS GROUPE SEB FRANCE                             "/>
    <n v="99006100"/>
    <x v="3"/>
    <s v="9321624231/000010"/>
    <n v="1370140889"/>
    <n v="10"/>
    <x v="0"/>
    <x v="0"/>
    <s v="A1"/>
    <n v="2100046448"/>
    <n v="205"/>
    <n v="115001140"/>
    <s v="B8516305 S.POT26+LID 4U SS FRANCE                 "/>
    <s v="S"/>
    <d v="2012-01-17T00:00:00"/>
    <m/>
    <s v="X"/>
    <x v="25"/>
    <n v="15.895200000000001"/>
    <n v="12"/>
    <d v="2012-02-10T00:00:00"/>
    <d v="2012-01-06T00:00:00"/>
    <n v="500"/>
    <d v="2012-01-14T00:00:00"/>
    <n v="500"/>
    <m/>
    <d v="2012-01-07T00:00:00"/>
    <n v="500"/>
    <d v="2012-02-18T00:00:00"/>
    <d v="2012-01-14T00:00:00"/>
    <n v="500"/>
    <n v="500"/>
    <x v="11"/>
    <d v="2012-02-19T00:00:00"/>
    <m/>
    <n v="9321625929"/>
    <n v="10"/>
    <s v="APZU3358907"/>
    <s v="APL HAMBURG/015W"/>
    <m/>
    <s v="NINGBO"/>
    <s v="C-POST-CONF/"/>
    <m/>
    <s v="JASON FAN"/>
    <s v="FO9"/>
    <s v="COOKWARE                      "/>
    <s v="CONFIRMED"/>
    <n v="1"/>
    <n v="2"/>
    <d v="2012-01-15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884/000001"/>
    <n v="1370140947"/>
    <n v="10"/>
    <x v="25"/>
    <x v="25"/>
    <s v="R1"/>
    <n v="1500573617"/>
    <n v="23"/>
    <n v="573617"/>
    <s v="TT176E50 TOAS SUBITO 2S SS/BLK SHINY MX           "/>
    <s v="S"/>
    <d v="2012-01-06T00:00:00"/>
    <m/>
    <s v="X"/>
    <x v="25"/>
    <n v="8.84"/>
    <n v="125"/>
    <d v="2012-02-15T00:00:00"/>
    <d v="2012-01-11T00:00:00"/>
    <n v="15000"/>
    <d v="2012-01-11T00:00:00"/>
    <n v="15000"/>
    <m/>
    <d v="2012-01-11T00:00:00"/>
    <n v="24492"/>
    <d v="2012-02-09T00:00:00"/>
    <d v="2012-01-05T00:00:00"/>
    <n v="15000"/>
    <n v="4746"/>
    <x v="16"/>
    <d v="2012-02-07T00:00:00"/>
    <m/>
    <n v="9321625935"/>
    <n v="10"/>
    <s v="SUDU8863964"/>
    <s v="MONTE ROSA 201E/"/>
    <m/>
    <s v="YANTIAN"/>
    <s v="C-PULLIN-CONF/"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3500"/>
    <s v="G.S.E.B. MEXICANA  S.A. DE C.V.                   "/>
    <n v="99003500"/>
    <x v="19"/>
    <s v="37350884/000001"/>
    <n v="1370140947"/>
    <n v="10"/>
    <x v="25"/>
    <x v="25"/>
    <s v="R1"/>
    <n v="1500573617"/>
    <n v="23"/>
    <n v="573617"/>
    <s v="TT176E50 TOAS SUBITO 2S SS/BLK SHINY MX           "/>
    <s v="S"/>
    <d v="2012-01-06T00:00:00"/>
    <m/>
    <s v="X"/>
    <x v="25"/>
    <n v="8.84"/>
    <n v="125"/>
    <d v="2012-02-15T00:00:00"/>
    <d v="2012-01-11T00:00:00"/>
    <n v="15000"/>
    <d v="2012-01-11T00:00:00"/>
    <n v="15000"/>
    <m/>
    <d v="2012-01-11T00:00:00"/>
    <n v="24492"/>
    <d v="2012-02-09T00:00:00"/>
    <d v="2012-01-05T00:00:00"/>
    <n v="15000"/>
    <n v="4746"/>
    <x v="16"/>
    <d v="2012-02-07T00:00:00"/>
    <m/>
    <n v="9321625935"/>
    <n v="10"/>
    <s v="SUDU6647462"/>
    <s v="MONTE ROSA 201E/"/>
    <m/>
    <s v="YANTIAN"/>
    <s v="C-PULLIN-CONF/"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3500"/>
    <s v="G.S.E.B. MEXICANA  S.A. DE C.V.                   "/>
    <n v="99003500"/>
    <x v="19"/>
    <s v="37350872/000001"/>
    <n v="1370140949"/>
    <n v="10"/>
    <x v="22"/>
    <x v="22"/>
    <s v="R2"/>
    <n v="7211000811"/>
    <n v="55"/>
    <n v="211000811"/>
    <s v="BF203F50 KET VITESSE 1L BLK MX/US                 "/>
    <s v="S"/>
    <d v="2012-01-05T00:00:00"/>
    <m/>
    <s v="X"/>
    <x v="25"/>
    <n v="12.8482"/>
    <n v="175"/>
    <d v="2012-02-15T00:00:00"/>
    <d v="2012-01-11T00:00:00"/>
    <n v="9999"/>
    <d v="2012-01-11T00:00:00"/>
    <n v="9999"/>
    <m/>
    <d v="2012-01-05T00:00:00"/>
    <n v="9999"/>
    <d v="2012-02-08T00:00:00"/>
    <d v="2012-01-04T00:00:00"/>
    <n v="9999"/>
    <n v="4998"/>
    <x v="16"/>
    <d v="2012-02-07T00:00:00"/>
    <m/>
    <n v="9321625937"/>
    <n v="10"/>
    <s v="GRIU4227543"/>
    <s v="MONTE ALEGRE 152E/"/>
    <m/>
    <s v="NINGBO"/>
    <m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0"/>
    <x v="0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003500"/>
    <s v="G.S.E.B. MEXICANA  S.A. DE C.V.                   "/>
    <n v="99003500"/>
    <x v="19"/>
    <s v="37350872/000001"/>
    <n v="1370140949"/>
    <n v="10"/>
    <x v="22"/>
    <x v="22"/>
    <s v="R2"/>
    <n v="7211000811"/>
    <n v="55"/>
    <n v="211000811"/>
    <s v="BF203F50 KET VITESSE 1L BLK MX/US                 "/>
    <s v="S"/>
    <d v="2012-01-05T00:00:00"/>
    <m/>
    <s v="X"/>
    <x v="25"/>
    <n v="12.8482"/>
    <n v="175"/>
    <d v="2012-02-15T00:00:00"/>
    <d v="2012-01-11T00:00:00"/>
    <n v="9999"/>
    <d v="2012-01-11T00:00:00"/>
    <n v="9999"/>
    <m/>
    <d v="2012-01-05T00:00:00"/>
    <n v="9999"/>
    <d v="2012-02-08T00:00:00"/>
    <d v="2012-01-04T00:00:00"/>
    <n v="9999"/>
    <n v="5001"/>
    <x v="16"/>
    <d v="2012-02-07T00:00:00"/>
    <m/>
    <n v="9321625937"/>
    <n v="10"/>
    <s v="GRIU4225833"/>
    <s v="MONTE ALEGRE 152E/"/>
    <m/>
    <s v="NINGBO"/>
    <m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0"/>
    <x v="0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003500"/>
    <s v="G.S.E.B. MEXICANA  S.A. DE C.V.                   "/>
    <n v="99003500"/>
    <x v="19"/>
    <s v="37350879/000001"/>
    <n v="1370140950"/>
    <n v="10"/>
    <x v="26"/>
    <x v="26"/>
    <s v="P1"/>
    <n v="1500833540"/>
    <n v="105"/>
    <n v="833540"/>
    <s v="PC1058ME CTP ACCESSIMO 30W SILV/BLK MX            "/>
    <s v="S"/>
    <d v="2012-01-09T00:00:00"/>
    <m/>
    <s v="X"/>
    <x v="25"/>
    <n v="6.8"/>
    <n v="103"/>
    <d v="2012-02-01T00:00:00"/>
    <d v="2011-12-28T00:00:00"/>
    <n v="12000"/>
    <d v="2011-12-28T00:00:00"/>
    <n v="12000"/>
    <m/>
    <d v="2012-01-10T00:00:00"/>
    <n v="17802"/>
    <d v="2012-02-02T00:00:00"/>
    <d v="2011-12-29T00:00:00"/>
    <n v="12000"/>
    <n v="5802"/>
    <x v="6"/>
    <d v="2012-02-09T00:00:00"/>
    <m/>
    <n v="9321625938"/>
    <n v="10"/>
    <s v="SUDU6964385"/>
    <s v="HANJIN MONTEVIDEO 17"/>
    <m/>
    <s v="YANTIAN"/>
    <s v="SP-PROD-ISSUE/SP-PROD-ISSUE/"/>
    <m/>
    <s v="TWEETY LEUNG"/>
    <s v="FO9"/>
    <s v="FOOD PREPARATION              "/>
    <s v="CONFIRMED"/>
    <n v="1"/>
    <n v="1"/>
    <d v="2012-01-05T00:00:00"/>
    <s v="KITCHEN ELECTRICS             "/>
    <s v="FOOD PREPARATION              "/>
    <x v="1"/>
    <x v="1"/>
    <x v="1"/>
    <m/>
    <n v="0"/>
    <n v="0"/>
    <x v="1"/>
    <n v="2"/>
    <x v="0"/>
    <x v="0"/>
    <x v="0"/>
    <n v="1"/>
    <n v="0"/>
    <n v="0"/>
    <n v="0"/>
    <n v="0"/>
    <n v="0"/>
    <x v="0"/>
    <x v="1"/>
    <x v="1"/>
    <x v="0"/>
  </r>
  <r>
    <s v="Shipment"/>
    <n v="99003500"/>
    <s v="G.S.E.B. MEXICANA  S.A. DE C.V.                   "/>
    <n v="99003500"/>
    <x v="19"/>
    <s v="37350887/000001"/>
    <n v="1370140951"/>
    <n v="10"/>
    <x v="27"/>
    <x v="27"/>
    <s v="N1"/>
    <n v="2100066577"/>
    <n v="52"/>
    <s v="WD150883       "/>
    <s v="WD150883 WMK CP301 PL BLK/SS MEX                  "/>
    <s v="S"/>
    <d v="2012-01-05T00:00:00"/>
    <m/>
    <s v="X"/>
    <x v="25"/>
    <n v="10.11"/>
    <n v="148283"/>
    <d v="2012-02-01T00:00:00"/>
    <d v="2011-12-28T00:00:00"/>
    <n v="7500"/>
    <d v="2011-12-28T00:00:00"/>
    <n v="7500"/>
    <m/>
    <d v="2011-12-28T00:00:00"/>
    <n v="7500"/>
    <d v="2012-02-01T00:00:00"/>
    <d v="2011-12-28T00:00:00"/>
    <n v="7500"/>
    <n v="5148"/>
    <x v="16"/>
    <d v="2012-02-07T00:00:00"/>
    <m/>
    <n v="9321625941"/>
    <n v="10"/>
    <s v="SUDU6864175"/>
    <s v="MONTE ROSA 201E/"/>
    <m/>
    <s v="YANTIAN"/>
    <m/>
    <m/>
    <s v="TWEETY LEUNG"/>
    <s v="FO9"/>
    <s v="ELECTRICAL COOKING            "/>
    <s v="CONFIRMED"/>
    <n v="1"/>
    <n v="1"/>
    <d v="2012-01-03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887/000001"/>
    <n v="1370140951"/>
    <n v="10"/>
    <x v="27"/>
    <x v="27"/>
    <s v="N1"/>
    <n v="2100066577"/>
    <n v="52"/>
    <s v="WD150883       "/>
    <s v="WD150883 WMK CP301 PL BLK/SS MEX                  "/>
    <s v="S"/>
    <d v="2012-01-05T00:00:00"/>
    <m/>
    <s v="X"/>
    <x v="25"/>
    <n v="10.11"/>
    <n v="148283"/>
    <d v="2012-02-01T00:00:00"/>
    <d v="2011-12-28T00:00:00"/>
    <n v="7500"/>
    <d v="2011-12-28T00:00:00"/>
    <n v="7500"/>
    <m/>
    <d v="2011-12-28T00:00:00"/>
    <n v="7500"/>
    <d v="2012-02-01T00:00:00"/>
    <d v="2011-12-28T00:00:00"/>
    <n v="7500"/>
    <n v="2352"/>
    <x v="16"/>
    <d v="2012-02-07T00:00:00"/>
    <m/>
    <n v="9321625941"/>
    <n v="10"/>
    <s v="SUDU1750138"/>
    <s v="MONTE ROSA 201E/"/>
    <m/>
    <s v="YANTIAN"/>
    <m/>
    <m/>
    <s v="TWEETY LEUNG"/>
    <s v="FO9"/>
    <s v="ELECTRICAL COOKING            "/>
    <s v="CONFIRMED"/>
    <n v="1"/>
    <n v="1"/>
    <d v="2012-01-03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24632/000010"/>
    <n v="1370141027"/>
    <n v="10"/>
    <x v="0"/>
    <x v="0"/>
    <s v="A4"/>
    <n v="8700800004"/>
    <n v="209"/>
    <n v="5016"/>
    <s v="5016 - SS ROTI PAN (RECTANGULAR ROASTER)          "/>
    <s v="S"/>
    <d v="2012-01-11T00:00:00"/>
    <m/>
    <s v="X"/>
    <x v="24"/>
    <n v="31.479900000000001"/>
    <n v="32"/>
    <d v="2011-12-10T00:00:00"/>
    <d v="2011-11-05T00:00:00"/>
    <n v="1000"/>
    <d v="2012-01-06T00:00:00"/>
    <n v="1000"/>
    <m/>
    <d v="2011-11-11T00:00:00"/>
    <n v="1000"/>
    <d v="2012-02-10T00:00:00"/>
    <d v="2012-01-06T00:00:00"/>
    <n v="1000"/>
    <n v="1000"/>
    <x v="12"/>
    <d v="2012-02-11T00:00:00"/>
    <m/>
    <n v="9321627154"/>
    <n v="10"/>
    <s v="FSCU6732760"/>
    <s v="NYK METEOR"/>
    <m/>
    <s v="NINGBO"/>
    <s v="C-POST-CONF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52/000004"/>
    <n v="1370141291"/>
    <n v="40"/>
    <x v="6"/>
    <x v="6"/>
    <s v="N3"/>
    <n v="1500573954"/>
    <n v="116"/>
    <n v="573954"/>
    <s v="OW600070 BDM XXL BAGUETTE &amp; CO SS AU              "/>
    <s v="S"/>
    <d v="2012-01-07T00:00:00"/>
    <m/>
    <s v="X"/>
    <x v="26"/>
    <n v="62.15"/>
    <n v="30"/>
    <d v="2011-12-06T00:00:00"/>
    <d v="2011-11-15T00:00:00"/>
    <n v="375"/>
    <d v="2011-12-31T00:00:00"/>
    <n v="375"/>
    <m/>
    <d v="2011-11-15T00:00:00"/>
    <n v="375"/>
    <d v="2012-01-24T00:00:00"/>
    <d v="2012-01-03T00:00:00"/>
    <n v="375"/>
    <n v="375"/>
    <x v="2"/>
    <d v="2012-01-25T00:00:00"/>
    <m/>
    <n v="9321627375"/>
    <n v="10"/>
    <s v="TRLU3885824"/>
    <s v="BO YUN 938/012"/>
    <m/>
    <s v="ZHUHAI"/>
    <s v="FORWARDER-PROB/C-POST-CONF/"/>
    <m/>
    <s v="AGNES NUNES"/>
    <s v="FO9"/>
    <s v="ELECTRICAL COOKING            "/>
    <s v="CONFIRMED"/>
    <n v="1"/>
    <n v="1"/>
    <d v="2012-01-04T00:00:00"/>
    <s v="KITCHEN ELECTRICS             "/>
    <s v="ELECTRICAL COOKING            "/>
    <x v="2"/>
    <x v="1"/>
    <x v="0"/>
    <s v="C-POST-CONF"/>
    <n v="1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267/HKG/"/>
    <n v="1370141404"/>
    <n v="30"/>
    <x v="0"/>
    <x v="0"/>
    <s v="A1"/>
    <n v="2100067633"/>
    <n v="201"/>
    <n v="115003405"/>
    <s v="A1760414 FP24 T03032 B EVERYDAY N/S BLAC          "/>
    <s v="S"/>
    <d v="2012-01-05T00:00:00"/>
    <m/>
    <s v="X"/>
    <x v="26"/>
    <n v="5.2291999999999996"/>
    <n v="5"/>
    <d v="2012-01-05T00:00:00"/>
    <d v="2012-01-05T00:00:00"/>
    <n v="498"/>
    <d v="2012-01-04T00:00:00"/>
    <n v="504"/>
    <m/>
    <d v="2012-01-04T00:00:00"/>
    <n v="504"/>
    <d v="2012-01-04T00:00:00"/>
    <d v="2012-01-04T00:00:00"/>
    <n v="504"/>
    <n v="504"/>
    <x v="2"/>
    <d v="2012-01-04T00:00:00"/>
    <m/>
    <n v="9321627380"/>
    <n v="30"/>
    <s v="OOLU7518468"/>
    <s v="OOCL CANADA"/>
    <m/>
    <s v="NINGBO"/>
    <s v="SP-OVERCAP/"/>
    <m/>
    <s v="THOMAS HO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1"/>
    <s v="SP-OVERCAP"/>
    <n v="-3"/>
    <n v="-3"/>
    <x v="9"/>
    <n v="1"/>
    <x v="0"/>
    <x v="1"/>
    <x v="0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267/HKG/"/>
    <n v="1370141404"/>
    <n v="40"/>
    <x v="0"/>
    <x v="0"/>
    <s v="A1"/>
    <n v="2100067754"/>
    <n v="201"/>
    <n v="115003407"/>
    <s v="A1769214 WP28+LID T03032 EVERYDAY N/S BL          "/>
    <s v="S"/>
    <d v="2012-01-05T00:00:00"/>
    <m/>
    <s v="X"/>
    <x v="26"/>
    <n v="8.8824000000000005"/>
    <n v="5"/>
    <d v="2012-01-05T00:00:00"/>
    <d v="2012-01-05T00:00:00"/>
    <n v="500"/>
    <d v="2012-01-05T00:00:00"/>
    <n v="500"/>
    <m/>
    <d v="2012-01-04T00:00:00"/>
    <n v="500"/>
    <d v="2012-01-04T00:00:00"/>
    <d v="2012-01-04T00:00:00"/>
    <n v="500"/>
    <n v="500"/>
    <x v="2"/>
    <d v="2012-01-04T00:00:00"/>
    <m/>
    <n v="9321627380"/>
    <n v="40"/>
    <s v="OOLU7518468"/>
    <s v="OOCL CANADA"/>
    <m/>
    <s v="NINGBO"/>
    <m/>
    <m/>
    <s v="THOMAS HO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56681/000010"/>
    <n v="1370140977"/>
    <n v="10"/>
    <x v="28"/>
    <x v="28"/>
    <s v="R1"/>
    <n v="8000032029"/>
    <n v="55"/>
    <s v="BI662510       "/>
    <s v="BI662510 KET EXPRESS STAIN 1.7L                   "/>
    <s v="S"/>
    <d v="2012-01-09T00:00:00"/>
    <m/>
    <s v="X"/>
    <x v="26"/>
    <n v="16.14"/>
    <n v="14064"/>
    <d v="2011-12-15T00:00:00"/>
    <d v="2011-11-10T00:00:00"/>
    <n v="3843"/>
    <d v="2012-01-06T00:00:00"/>
    <n v="3843"/>
    <m/>
    <d v="2011-11-28T00:00:00"/>
    <n v="3843"/>
    <d v="2012-02-10T00:00:00"/>
    <d v="2012-01-06T00:00:00"/>
    <n v="3843"/>
    <n v="3843"/>
    <x v="13"/>
    <d v="2012-02-05T00:00:00"/>
    <m/>
    <n v="9321627462"/>
    <n v="10"/>
    <s v="MOFU0737528"/>
    <s v="HYUNDAI SPLENDOR/016"/>
    <m/>
    <s v="YANTIAN"/>
    <s v="C-POST-CONF/SP-BOTTLENECK/"/>
    <m/>
    <s v="AGNES NUNES"/>
    <s v="FO9"/>
    <s v="BEVERAGE                      "/>
    <s v="CONFIRMED"/>
    <n v="1"/>
    <n v="52"/>
    <d v="2012-01-01T00:00:00"/>
    <s v="KITCHEN ELECTRICS             "/>
    <s v="BREAKFAST &amp; BREVAGE PREP      "/>
    <x v="2"/>
    <x v="1"/>
    <x v="6"/>
    <s v="C-POST-CONF"/>
    <n v="1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24685/000010"/>
    <n v="1370141035"/>
    <n v="10"/>
    <x v="19"/>
    <x v="19"/>
    <s v="A7"/>
    <n v="8701003760"/>
    <n v="235"/>
    <s v="T224           "/>
    <s v="T224 MECHANICAL INSTANT THERMOMETER               "/>
    <s v="S"/>
    <d v="2012-01-16T00:00:00"/>
    <m/>
    <s v="X"/>
    <x v="24"/>
    <n v="1.78"/>
    <n v="2"/>
    <d v="2012-01-07T00:00:00"/>
    <d v="2011-12-03T00:00:00"/>
    <n v="1008"/>
    <d v="2012-01-11T00:00:00"/>
    <n v="1008"/>
    <m/>
    <d v="2011-12-03T00:00:00"/>
    <n v="1008"/>
    <d v="2012-02-14T00:00:00"/>
    <d v="2012-01-10T00:00:00"/>
    <n v="1008"/>
    <n v="1008"/>
    <x v="17"/>
    <d v="2012-02-15T00:00:00"/>
    <m/>
    <n v="9321628168"/>
    <n v="10"/>
    <s v="ECMU9163650"/>
    <s v="ARTHUR MAERSK US553S"/>
    <m/>
    <s v="YANTIAN"/>
    <s v="C-POST-CONF/C-LCL-SHIPT/LATE EDI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5"/>
    <x v="2"/>
    <x v="3"/>
    <s v="C-POST-CONF"/>
    <n v="-3"/>
    <n v="-3"/>
    <x v="0"/>
    <n v="3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24698/000010"/>
    <n v="1370141061"/>
    <n v="10"/>
    <x v="12"/>
    <x v="12"/>
    <s v="A7"/>
    <n v="8700800662"/>
    <n v="235"/>
    <s v="T135           "/>
    <s v="T135 12&quot; WHISK                                    "/>
    <s v="S"/>
    <d v="2012-01-10T00:00:00"/>
    <m/>
    <s v="X"/>
    <x v="24"/>
    <n v="4.16"/>
    <n v="5"/>
    <d v="2012-02-11T00:00:00"/>
    <d v="2012-01-07T00:00:00"/>
    <n v="2016"/>
    <d v="2012-01-07T00:00:00"/>
    <n v="2016"/>
    <m/>
    <d v="2012-01-07T00:00:00"/>
    <n v="2016"/>
    <d v="2012-02-08T00:00:00"/>
    <d v="2012-01-04T00:00:00"/>
    <n v="2016"/>
    <n v="2016"/>
    <x v="12"/>
    <d v="2012-02-11T00:00:00"/>
    <m/>
    <n v="9321628170"/>
    <n v="10"/>
    <s v="GLDU3862334"/>
    <s v="UASC KHOR FAKKAN 000"/>
    <m/>
    <s v="YANTIAN"/>
    <s v="C-POST-CONF(wk01)/SP-PROD-ISSUE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23989/000010"/>
    <n v="1370140822"/>
    <n v="10"/>
    <x v="5"/>
    <x v="5"/>
    <s v="R1"/>
    <n v="1500634606"/>
    <n v="55"/>
    <n v="634606"/>
    <s v="KI410D30 KET TH.VISION 1.5L SS/BLK RU             "/>
    <s v="S"/>
    <d v="2012-01-10T00:00:00"/>
    <m/>
    <s v="X"/>
    <x v="27"/>
    <n v="23.8"/>
    <n v="843"/>
    <d v="2011-12-28T00:00:00"/>
    <d v="2011-11-09T00:00:00"/>
    <n v="2130"/>
    <d v="2011-11-30T00:00:00"/>
    <n v="2130"/>
    <m/>
    <d v="2011-11-29T00:00:00"/>
    <n v="2130"/>
    <d v="2012-02-23T00:00:00"/>
    <d v="2012-01-05T00:00:00"/>
    <n v="2130"/>
    <n v="2130"/>
    <x v="6"/>
    <d v="2012-02-23T00:00:00"/>
    <m/>
    <n v="9321629009"/>
    <n v="10"/>
    <s v="APZU3300356"/>
    <s v="MOL MAXIM/010W"/>
    <m/>
    <s v="YANTIAN"/>
    <s v="SP-MTL/C-SHORTL/T/SP-PROD-ISSUE/"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9"/>
    <s v="SP-MTL"/>
    <n v="1"/>
    <n v="1"/>
    <x v="10"/>
    <n v="4"/>
    <x v="0"/>
    <x v="0"/>
    <x v="1"/>
    <n v="1"/>
    <n v="0"/>
    <n v="0"/>
    <n v="0"/>
    <n v="0"/>
    <n v="0"/>
    <x v="0"/>
    <x v="1"/>
    <x v="1"/>
    <x v="0"/>
  </r>
  <r>
    <s v="Shipment"/>
    <n v="99003800"/>
    <s v="GROUPE SEB POLSKA SP. ZO.O                        "/>
    <n v="99003800"/>
    <x v="20"/>
    <s v="4500256608/000010"/>
    <n v="1370140721"/>
    <n v="10"/>
    <x v="9"/>
    <x v="9"/>
    <s v="N3"/>
    <n v="1500631504"/>
    <n v="177"/>
    <n v="631504"/>
    <s v="AKG243 SUPRALYS EU/C-PL                           "/>
    <s v="S"/>
    <d v="2012-01-06T00:00:00"/>
    <m/>
    <s v="X"/>
    <x v="27"/>
    <n v="16.670000000000002"/>
    <n v="60"/>
    <d v="2012-01-09T00:00:00"/>
    <d v="2011-11-28T00:00:00"/>
    <n v="700"/>
    <d v="2012-01-04T00:00:00"/>
    <n v="700"/>
    <m/>
    <d v="2011-11-26T00:00:00"/>
    <n v="700"/>
    <d v="2012-02-15T00:00:00"/>
    <d v="2012-01-04T00:00:00"/>
    <n v="700"/>
    <n v="700"/>
    <x v="2"/>
    <d v="2012-02-15T00:00:00"/>
    <m/>
    <n v="9321629053"/>
    <n v="10"/>
    <s v="MRKU8210352"/>
    <s v="EBBA MAERSK 1202/"/>
    <m/>
    <s v="YANTIAN"/>
    <s v="C-POST-CONF/"/>
    <m/>
    <s v="KENUS WONG"/>
    <s v="FO9"/>
    <s v="ELECTRICAL COOKING            "/>
    <s v="CONFIRMED"/>
    <n v="1"/>
    <n v="1"/>
    <d v="2012-01-04T00:00:00"/>
    <s v="KITCHEN ELECTRICS             "/>
    <s v="ELECTRICAL COOKING            "/>
    <x v="4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23/000006"/>
    <n v="1370141456"/>
    <n v="180"/>
    <x v="29"/>
    <x v="29"/>
    <s v="P1"/>
    <n v="1500831585"/>
    <n v="105"/>
    <n v="831585"/>
    <s v="ZN25013E JUI TORAJA WHT RU                        "/>
    <s v="S"/>
    <d v="2012-01-10T00:00:00"/>
    <m/>
    <s v="X"/>
    <x v="27"/>
    <n v="16.850000000000001"/>
    <n v="26"/>
    <d v="2012-01-15T00:00:00"/>
    <d v="2012-01-01T00:00:00"/>
    <n v="1200"/>
    <d v="2012-01-01T00:00:00"/>
    <n v="1200"/>
    <m/>
    <d v="2012-01-01T00:00:00"/>
    <n v="1200"/>
    <d v="2012-01-15T00:00:00"/>
    <d v="2012-01-01T00:00:00"/>
    <n v="1200"/>
    <n v="1200"/>
    <x v="7"/>
    <d v="2012-01-20T00:00:00"/>
    <m/>
    <n v="9321629139"/>
    <n v="10"/>
    <s v="TRLU9356854"/>
    <s v="GUANG FENG 1 8C223"/>
    <m/>
    <s v="YANTIAN"/>
    <m/>
    <m/>
    <s v="TWEETY LEUNG"/>
    <s v="FO9"/>
    <s v="FOOD PREPARATION              "/>
    <s v="CONFIRMED"/>
    <n v="1"/>
    <n v="1"/>
    <d v="2012-01-06T00:00:00"/>
    <s v="KITCHEN ELECTRICS             "/>
    <s v="FOOD PREPARATION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28708/000010"/>
    <n v="1370141951"/>
    <n v="10"/>
    <x v="4"/>
    <x v="4"/>
    <s v="M5"/>
    <n v="2210016091"/>
    <n v="68"/>
    <s v="RH857901       "/>
    <s v="RH857901 CORDLESS HANDSTICK-24V                   "/>
    <s v="S"/>
    <d v="2012-01-16T00:00:00"/>
    <m/>
    <s v="X"/>
    <x v="27"/>
    <n v="54.33"/>
    <n v="46"/>
    <d v="2011-12-19T00:00:00"/>
    <d v="2011-11-21T00:00:00"/>
    <n v="826"/>
    <d v="2012-01-14T00:00:00"/>
    <n v="826"/>
    <m/>
    <d v="2011-11-21T00:00:00"/>
    <n v="826"/>
    <d v="2012-02-11T00:00:00"/>
    <d v="2012-01-14T00:00:00"/>
    <n v="826"/>
    <n v="826"/>
    <x v="12"/>
    <d v="2012-02-04T00:00:00"/>
    <m/>
    <n v="9321629169"/>
    <n v="10"/>
    <s v="MAEU6132085"/>
    <s v="MAERSK SANTANA/1202"/>
    <m/>
    <s v="YANTIAN"/>
    <s v="C-POST-CONF/FORWARDER LATE DOC"/>
    <m/>
    <s v="JASON FAN"/>
    <s v="FO9"/>
    <s v="HOME CLEANING                 "/>
    <s v="CONFIRMED"/>
    <n v="1"/>
    <n v="1"/>
    <d v="2012-01-07T00:00:00"/>
    <s v="HOME CLEANING                 "/>
    <s v="HOME CLEANING                 "/>
    <x v="3"/>
    <x v="2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28709/000010"/>
    <n v="1370141958"/>
    <n v="10"/>
    <x v="4"/>
    <x v="4"/>
    <s v="M5"/>
    <n v="2210016177"/>
    <n v="68"/>
    <s v="RH857301       "/>
    <s v="RH857301 CORDLESS  AIR FORCE HANDSTICK-2          "/>
    <s v="S"/>
    <d v="2012-01-16T00:00:00"/>
    <m/>
    <s v="X"/>
    <x v="27"/>
    <n v="57.2"/>
    <n v="49"/>
    <d v="2011-12-19T00:00:00"/>
    <d v="2011-11-21T00:00:00"/>
    <n v="1722"/>
    <d v="2012-01-14T00:00:00"/>
    <n v="1722"/>
    <m/>
    <d v="2011-11-21T00:00:00"/>
    <n v="1722"/>
    <d v="2012-02-11T00:00:00"/>
    <d v="2012-01-14T00:00:00"/>
    <n v="1722"/>
    <n v="1722"/>
    <x v="12"/>
    <d v="2012-02-04T00:00:00"/>
    <m/>
    <n v="9321629173"/>
    <n v="10"/>
    <s v="TTNU4748508"/>
    <s v="MAERSK SANTANA/1202"/>
    <m/>
    <s v="YANTIAN"/>
    <s v="C-POST-CONF/FORWARDER LATE DOC"/>
    <m/>
    <s v="JASON FAN"/>
    <s v="FO9"/>
    <s v="HOME CLEANING                 "/>
    <s v="CONFIRMED"/>
    <n v="1"/>
    <n v="1"/>
    <d v="2012-01-07T00:00:00"/>
    <s v="HOME CLEANING                 "/>
    <s v="HOME CLEANING                 "/>
    <x v="3"/>
    <x v="2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28698/000010"/>
    <n v="1370141961"/>
    <n v="10"/>
    <x v="4"/>
    <x v="4"/>
    <s v="M5"/>
    <n v="2210015093"/>
    <n v="68"/>
    <s v="RH854801       "/>
    <s v="RH854801 CORDLESS HANDSTICK-18V                   "/>
    <s v="S"/>
    <d v="2012-01-16T00:00:00"/>
    <m/>
    <s v="X"/>
    <x v="27"/>
    <n v="47.98"/>
    <n v="41"/>
    <d v="2011-12-12T00:00:00"/>
    <d v="2011-11-14T00:00:00"/>
    <n v="1722"/>
    <d v="2012-01-14T00:00:00"/>
    <n v="1722"/>
    <m/>
    <d v="2011-11-14T00:00:00"/>
    <n v="1722"/>
    <d v="2012-02-11T00:00:00"/>
    <d v="2012-01-14T00:00:00"/>
    <n v="1722"/>
    <n v="1722"/>
    <x v="12"/>
    <d v="2012-02-04T00:00:00"/>
    <m/>
    <n v="9321629174"/>
    <n v="10"/>
    <s v="SEAU7818630"/>
    <s v="MAERSK SANTANA/1202"/>
    <m/>
    <s v="YANTIAN"/>
    <s v="C-POST-CONF/FORWARDER LATE DOC"/>
    <m/>
    <s v="JASON FAN"/>
    <s v="FO9"/>
    <s v="HOME CLEANING                 "/>
    <s v="CONFIRMED"/>
    <n v="1"/>
    <n v="1"/>
    <d v="2012-01-07T00:00:00"/>
    <s v="HOME CLEANING                 "/>
    <s v="HOME CLEANING                 "/>
    <x v="3"/>
    <x v="2"/>
    <x v="3"/>
    <s v="C-POST-CONF"/>
    <n v="-3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892/000001"/>
    <n v="1370141738"/>
    <n v="10"/>
    <x v="2"/>
    <x v="2"/>
    <s v="R1"/>
    <n v="1500635412"/>
    <n v="27"/>
    <n v="635412"/>
    <s v="CM120850 FCM (CM833) 10/15C BLK/SS MX             "/>
    <s v="S"/>
    <d v="2012-01-06T00:00:00"/>
    <m/>
    <s v="X"/>
    <x v="27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CRSU9015203"/>
    <s v="MONTE ROSA 201E/"/>
    <m/>
    <s v="YANTIAN"/>
    <s v="C-POST-CONF/SP-OVERCAP/SP-OVERCAP/SP-OVERCAP/SP-OVERCAP/SP-OVERCAP/SP-OV ERCAP/SP-O VERCAP/SP-OVERCA"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9"/>
    <x v="0"/>
    <x v="0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892/000001"/>
    <n v="1370141738"/>
    <n v="10"/>
    <x v="2"/>
    <x v="2"/>
    <s v="R1"/>
    <n v="1500635412"/>
    <n v="27"/>
    <n v="635412"/>
    <s v="CM120850 FCM (CM833) 10/15C BLK/SS MX             "/>
    <s v="S"/>
    <d v="2012-01-06T00:00:00"/>
    <m/>
    <s v="X"/>
    <x v="27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SUDU5729606"/>
    <s v="MONTE ROSA 201E/"/>
    <m/>
    <s v="YANTIAN"/>
    <s v="C-POST-CONF/SP-OVERCAP/SP-OVERCAP/SP-OVERCAP/SP-OVERCAP/SP-OVERCAP/SP-OV ERCAP/SP-O VERCAP/SP-OVERCA"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9"/>
    <x v="0"/>
    <x v="0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892/000001"/>
    <n v="1370141738"/>
    <n v="10"/>
    <x v="2"/>
    <x v="2"/>
    <s v="R1"/>
    <n v="1500635412"/>
    <n v="27"/>
    <n v="635412"/>
    <s v="CM120850 FCM (CM833) 10/15C BLK/SS MX             "/>
    <s v="S"/>
    <d v="2012-01-09T00:00:00"/>
    <m/>
    <s v="X"/>
    <x v="27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SUDU5808393"/>
    <s v="MONTE ROSA 201E/"/>
    <m/>
    <s v="YANTIAN"/>
    <s v="C-POST-CONF/SP-OVERCAP/SP-OVERCAP/SP-OVERCAP/SP-OVERCAP/SP-OVERCAP/SP-OV ERCAP/SP-O VERCAP/SP-OVERCA"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9"/>
    <x v="0"/>
    <x v="0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892/000001"/>
    <n v="1370141738"/>
    <n v="10"/>
    <x v="2"/>
    <x v="2"/>
    <s v="R1"/>
    <n v="1500635412"/>
    <n v="27"/>
    <n v="635412"/>
    <s v="CM120850 FCM (CM833) 10/15C BLK/SS MX             "/>
    <s v="S"/>
    <d v="2012-01-06T00:00:00"/>
    <m/>
    <s v="X"/>
    <x v="27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SUDU6645351"/>
    <s v="MONTE ROSA 201E/"/>
    <m/>
    <s v="YANTIAN"/>
    <s v="C-POST-CONF/SP-OVERCAP/SP-OVERCAP/SP-OVERCAP/SP-OVERCAP/SP-OVERCAP/SP-OV ERCAP/SP-O VERCAP/SP-OVERCA"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9"/>
    <x v="0"/>
    <x v="0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892/000001"/>
    <n v="1370141738"/>
    <n v="10"/>
    <x v="2"/>
    <x v="2"/>
    <s v="R1"/>
    <n v="1500635412"/>
    <n v="27"/>
    <n v="635412"/>
    <s v="CM120850 FCM (CM833) 10/15C BLK/SS MX             "/>
    <s v="S"/>
    <d v="2012-01-06T00:00:00"/>
    <m/>
    <s v="X"/>
    <x v="27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SUDU8725836"/>
    <s v="MONTE ROSA 201E/"/>
    <m/>
    <s v="YANTIAN"/>
    <s v="C-POST-CONF/SP-OVERCAP/SP-OVERCAP/SP-OVERCAP/SP-OVERCAP/SP-OVERCAP/SP-OV ERCAP/SP-O VERCAP/SP-OVERCA"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9"/>
    <x v="0"/>
    <x v="0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892/000001"/>
    <n v="1370141738"/>
    <n v="10"/>
    <x v="2"/>
    <x v="2"/>
    <s v="R1"/>
    <n v="1500635412"/>
    <n v="27"/>
    <n v="635412"/>
    <s v="CM120850 FCM (CM833) 10/15C BLK/SS MX             "/>
    <s v="S"/>
    <d v="2012-01-10T00:00:00"/>
    <m/>
    <s v="X"/>
    <x v="27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SUDU4998262"/>
    <s v="MONTE ROSA 201E/"/>
    <m/>
    <s v="YANTIAN"/>
    <s v="C-POST-CONF/SP-OVERCAP/SP-OVERCAP/SP-OVERCAP/SP-OVERCAP/SP-OVERCAP/SP-OV ERCAP/SP-O VERCAP/SP-OVERCA"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9"/>
    <x v="0"/>
    <x v="0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892/000001"/>
    <n v="1370141738"/>
    <n v="10"/>
    <x v="2"/>
    <x v="2"/>
    <s v="R1"/>
    <n v="1500635412"/>
    <n v="27"/>
    <n v="635412"/>
    <s v="CM120850 FCM (CM833) 10/15C BLK/SS MX             "/>
    <s v="S"/>
    <d v="2012-01-06T00:00:00"/>
    <m/>
    <s v="X"/>
    <x v="27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SUDU5838382"/>
    <s v="MONTE ROSA 201E/"/>
    <m/>
    <s v="YANTIAN"/>
    <s v="C-POST-CONF/SP-OVERCAP/SP-OVERCAP/SP-OVERCAP/SP-OVERCAP/SP-OVERCAP/SP-OV ERCAP/SP-O VERCAP/SP-OVERCA"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9"/>
    <x v="0"/>
    <x v="0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892/000001"/>
    <n v="1370141738"/>
    <n v="10"/>
    <x v="2"/>
    <x v="2"/>
    <s v="R1"/>
    <n v="1500635412"/>
    <n v="27"/>
    <n v="635412"/>
    <s v="CM120850 FCM (CM833) 10/15C BLK/SS MX             "/>
    <s v="S"/>
    <d v="2012-01-06T00:00:00"/>
    <m/>
    <s v="X"/>
    <x v="27"/>
    <n v="11.01"/>
    <n v="165"/>
    <d v="2012-03-01T00:00:00"/>
    <d v="2012-01-26T00:00:00"/>
    <n v="24999"/>
    <d v="2012-01-03T00:00:00"/>
    <n v="25008"/>
    <m/>
    <d v="2012-02-11T00:00:00"/>
    <n v="25008"/>
    <d v="2012-02-07T00:00:00"/>
    <d v="2012-01-03T00:00:00"/>
    <n v="25008"/>
    <n v="3126"/>
    <x v="16"/>
    <d v="2012-02-07T00:00:00"/>
    <m/>
    <n v="9321629180"/>
    <n v="10"/>
    <s v="GLDU7155617"/>
    <s v="MONTE ROSA 201E/"/>
    <m/>
    <s v="YANTIAN"/>
    <s v="C-POST-CONF/SP-OVERCAP/SP-OVERCAP/SP-OVERCAP/SP-OVERCAP/SP-OVERCAP/SP-OV ERCAP/SP-O VERCAP/SP-OVERCA"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9"/>
    <x v="0"/>
    <x v="0"/>
    <x v="0"/>
    <n v="1"/>
    <n v="0"/>
    <n v="1"/>
    <n v="0"/>
    <n v="0"/>
    <n v="1"/>
    <x v="0"/>
    <x v="0"/>
    <x v="1"/>
    <x v="1"/>
  </r>
  <r>
    <s v="Shipment"/>
    <n v="99006402"/>
    <s v="GROUPE SEB (Thailand) Ltd                         "/>
    <n v="99006402"/>
    <x v="8"/>
    <s v="523/000022"/>
    <n v="1370141456"/>
    <n v="150"/>
    <x v="10"/>
    <x v="10"/>
    <s v="P7"/>
    <n v="8000034442"/>
    <n v="36"/>
    <s v="BL1111AD       "/>
    <s v="BL1111AD BLD MAXIBLEND BUILTIN WHT SEA            "/>
    <s v="S"/>
    <d v="2012-02-01T00:00:00"/>
    <m/>
    <s v="X"/>
    <x v="27"/>
    <n v="13.21"/>
    <n v="26"/>
    <d v="2012-01-18T00:00:00"/>
    <d v="2012-01-04T00:00:00"/>
    <n v="3024"/>
    <d v="2012-01-04T00:00:00"/>
    <n v="3360"/>
    <m/>
    <d v="2012-01-09T00:00:00"/>
    <n v="3024"/>
    <d v="2012-01-30T00:00:00"/>
    <d v="2012-01-16T00:00:00"/>
    <n v="3360"/>
    <n v="3360"/>
    <x v="21"/>
    <d v="2012-02-01T00:00:00"/>
    <m/>
    <n v="9321629204"/>
    <n v="10"/>
    <s v="FCIU8090525"/>
    <s v="PATRICIA SCHULTE"/>
    <m/>
    <s v="SURABAYA"/>
    <s v="SP-TECH/CONS-SHIPT/"/>
    <m/>
    <s v="TWEETY LEUNG"/>
    <s v="FO9"/>
    <s v="FOOD PREPARATION              "/>
    <s v="CONFIRMED"/>
    <n v="1"/>
    <n v="3"/>
    <d v="2012-01-18T00:00:00"/>
    <s v="KITCHEN ELECTRICS             "/>
    <s v="FOOD PREPARATION              "/>
    <x v="2"/>
    <x v="1"/>
    <x v="2"/>
    <s v="CONS-SHIPT"/>
    <n v="1"/>
    <n v="-3"/>
    <x v="8"/>
    <n v="2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28137/000010"/>
    <n v="1370141896"/>
    <n v="10"/>
    <x v="24"/>
    <x v="24"/>
    <s v="N1"/>
    <n v="2100060368"/>
    <n v="52"/>
    <s v="SW611812       "/>
    <s v="SW611812 MSDW BREAK TIME-3PL-NR/GREY  EU          "/>
    <s v="S"/>
    <d v="2012-01-07T00:00:00"/>
    <m/>
    <s v="X"/>
    <x v="27"/>
    <n v="15.89"/>
    <n v="13"/>
    <d v="2011-12-23T00:00:00"/>
    <d v="2011-11-18T00:00:00"/>
    <n v="1440"/>
    <d v="2011-12-10T00:00:00"/>
    <n v="1440"/>
    <m/>
    <d v="2011-12-10T00:00:00"/>
    <n v="1440"/>
    <d v="2012-02-05T00:00:00"/>
    <d v="2012-01-01T00:00:00"/>
    <n v="1440"/>
    <n v="1440"/>
    <x v="13"/>
    <d v="2012-02-05T00:00:00"/>
    <m/>
    <n v="9321629248"/>
    <n v="10"/>
    <s v="GESU1401147"/>
    <s v="MAERSK ESSEN 1202/"/>
    <m/>
    <s v="NINGBO"/>
    <s v="SP-OVERCAP/LATE DOC FROM FORWARDER"/>
    <m/>
    <s v="JASON FAN"/>
    <s v="FO9"/>
    <s v="ELECTRICAL COOKING            "/>
    <s v="CONFIRMED"/>
    <n v="1"/>
    <n v="52"/>
    <d v="2012-01-01T00:00:00"/>
    <s v="KITCHEN ELECTRICS             "/>
    <s v="ELECTRICAL COOKING            "/>
    <x v="1"/>
    <x v="1"/>
    <x v="11"/>
    <s v="SP-OVERCAP"/>
    <n v="-3"/>
    <n v="-3"/>
    <x v="9"/>
    <n v="2"/>
    <x v="0"/>
    <x v="0"/>
    <x v="0"/>
    <n v="1"/>
    <n v="0"/>
    <n v="0"/>
    <n v="0"/>
    <n v="0"/>
    <n v="0"/>
    <x v="0"/>
    <x v="1"/>
    <x v="1"/>
    <x v="0"/>
  </r>
  <r>
    <s v="Shipment"/>
    <n v="99003600"/>
    <s v="GROUPE SEB ISTANBUL EV ALETLERI                   "/>
    <n v="99003600"/>
    <x v="13"/>
    <s v="4500256731/000040"/>
    <n v="1370140967"/>
    <n v="40"/>
    <x v="24"/>
    <x v="24"/>
    <s v="N1"/>
    <n v="2100057158"/>
    <n v="52"/>
    <s v="SM157241       "/>
    <s v="SM157241 SAND ULTRA COMP. BLACK INOX GRI          "/>
    <s v="S"/>
    <d v="2012-01-17T00:00:00"/>
    <m/>
    <s v="X"/>
    <x v="27"/>
    <n v="7.65"/>
    <n v="94"/>
    <d v="2011-12-10T00:00:00"/>
    <d v="2011-11-05T00:00:00"/>
    <n v="2952"/>
    <d v="2012-01-06T00:00:00"/>
    <n v="2952"/>
    <m/>
    <d v="2011-11-04T00:00:00"/>
    <n v="2952"/>
    <d v="2012-02-19T00:00:00"/>
    <d v="2012-01-15T00:00:00"/>
    <n v="2952"/>
    <n v="2952"/>
    <x v="11"/>
    <d v="2012-02-19T00:00:00"/>
    <m/>
    <n v="9321629249"/>
    <n v="10"/>
    <s v="PONU0949857"/>
    <s v="MAERSK LAGUNA/1202"/>
    <m/>
    <s v="NINGBO"/>
    <s v="FORWARDER-PROB/C-PULLIN-CONF/"/>
    <m/>
    <s v="KENUS WONG"/>
    <s v="FO9"/>
    <s v="ELECTRICAL COOKING            "/>
    <s v="CONFIRMED"/>
    <n v="1"/>
    <n v="2"/>
    <d v="2012-01-15T00:00:00"/>
    <s v="KITCHEN ELECTRICS             "/>
    <s v="ELECTRICAL COOKING            "/>
    <x v="1"/>
    <x v="1"/>
    <x v="0"/>
    <s v="FORWARDER-PROB"/>
    <n v="1"/>
    <n v="1"/>
    <x v="11"/>
    <n v="2"/>
    <x v="0"/>
    <x v="0"/>
    <x v="1"/>
    <n v="0"/>
    <n v="0"/>
    <n v="0"/>
    <n v="0"/>
    <n v="0"/>
    <n v="0"/>
    <x v="1"/>
    <x v="0"/>
    <x v="1"/>
    <x v="0"/>
  </r>
  <r>
    <s v="Shipment"/>
    <n v="99006300"/>
    <s v="SEB ASIA Ltd  TAIWAN BRANCH                       "/>
    <n v="99006300"/>
    <x v="22"/>
    <s v="TW-110913-420/"/>
    <n v="1370141410"/>
    <n v="20"/>
    <x v="0"/>
    <x v="0"/>
    <s v="AA"/>
    <n v="7115002622"/>
    <n v="205"/>
    <n v="115002622"/>
    <s v="S09105-6 38CM CVD WOK ELEGANT RANGE               "/>
    <s v="S"/>
    <d v="2012-01-05T00:00:00"/>
    <m/>
    <s v="X"/>
    <x v="27"/>
    <n v="22.023800000000001"/>
    <n v="15"/>
    <d v="2011-11-07T00:00:00"/>
    <d v="2011-10-31T00:00:00"/>
    <n v="500"/>
    <d v="2012-01-04T00:00:00"/>
    <n v="500"/>
    <m/>
    <d v="2011-11-30T00:00:00"/>
    <n v="500"/>
    <d v="2012-01-11T00:00:00"/>
    <d v="2012-01-04T00:00:00"/>
    <n v="500"/>
    <n v="500"/>
    <x v="6"/>
    <d v="2012-01-12T00:00:00"/>
    <m/>
    <n v="9321629305"/>
    <n v="20"/>
    <s v="FCIU9352635"/>
    <s v="YONG DA VOY 393E"/>
    <m/>
    <s v="NINGBO"/>
    <s v="SP-OVERCAP/"/>
    <m/>
    <s v="THOMAS HO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6402"/>
    <s v="GROUPE SEB (Thailand) Ltd                         "/>
    <n v="99006402"/>
    <x v="8"/>
    <s v="523/000018"/>
    <n v="1370141456"/>
    <n v="100"/>
    <x v="30"/>
    <x v="30"/>
    <s v="N4"/>
    <n v="7211000662"/>
    <n v="39"/>
    <n v="211000662"/>
    <s v="RK703171 RC FUZZY ELECTRONIC 18L WHT TH           "/>
    <s v="S"/>
    <d v="2012-01-10T00:00:00"/>
    <m/>
    <s v="X"/>
    <x v="27"/>
    <n v="29.374099999999999"/>
    <n v="26"/>
    <d v="2012-01-15T00:00:00"/>
    <d v="2012-01-01T00:00:00"/>
    <n v="1000"/>
    <d v="2012-01-05T00:00:00"/>
    <n v="1000"/>
    <m/>
    <d v="2011-12-29T00:00:00"/>
    <n v="1000"/>
    <d v="2012-01-19T00:00:00"/>
    <d v="2012-01-05T00:00:00"/>
    <n v="1000"/>
    <n v="1000"/>
    <x v="12"/>
    <d v="2012-01-21T00:00:00"/>
    <m/>
    <n v="9321629341"/>
    <n v="20"/>
    <s v="ZCSU7027050"/>
    <s v="NINOS 121S"/>
    <m/>
    <s v="NINGBO"/>
    <s v="C-POST-CONF"/>
    <m/>
    <s v="TWEETY LEUNG"/>
    <s v="FO9"/>
    <s v="ELECTRICAL COOKING            "/>
    <s v="CONFIRMED"/>
    <n v="1"/>
    <n v="1"/>
    <d v="2012-01-07T00:00:00"/>
    <s v="KITCHEN ELECTRICS             "/>
    <s v="ELECTRICAL COOKING            "/>
    <x v="0"/>
    <x v="0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23/000019"/>
    <n v="1370141456"/>
    <n v="110"/>
    <x v="30"/>
    <x v="30"/>
    <s v="N4"/>
    <n v="7211000663"/>
    <n v="39"/>
    <n v="211000663"/>
    <s v="RK702171 RC FUZZY ELECTRONIC 1L WHT TH            "/>
    <s v="S"/>
    <d v="2012-01-10T00:00:00"/>
    <m/>
    <s v="X"/>
    <x v="27"/>
    <n v="26.8338"/>
    <n v="26"/>
    <d v="2012-01-15T00:00:00"/>
    <d v="2012-01-01T00:00:00"/>
    <n v="1000"/>
    <d v="2012-01-05T00:00:00"/>
    <n v="1000"/>
    <m/>
    <d v="2011-12-29T00:00:00"/>
    <n v="1000"/>
    <d v="2012-01-19T00:00:00"/>
    <d v="2012-01-05T00:00:00"/>
    <n v="1000"/>
    <n v="1000"/>
    <x v="12"/>
    <d v="2012-01-21T00:00:00"/>
    <m/>
    <n v="9321629341"/>
    <n v="30"/>
    <s v="ZCSU7027050"/>
    <s v="NINOS 121S"/>
    <m/>
    <s v="NINGBO"/>
    <s v="C-POST-CONF"/>
    <m/>
    <s v="TWEETY LEUNG"/>
    <s v="FO9"/>
    <s v="ELECTRICAL COOKING            "/>
    <s v="CONFIRMED"/>
    <n v="1"/>
    <n v="1"/>
    <d v="2012-01-07T00:00:00"/>
    <s v="KITCHEN ELECTRICS             "/>
    <s v="ELECTRICAL COOKING            "/>
    <x v="0"/>
    <x v="0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20860/000010"/>
    <n v="1370140982"/>
    <n v="10"/>
    <x v="31"/>
    <x v="31"/>
    <s v="A1"/>
    <n v="2100066464"/>
    <n v="201"/>
    <n v="116001012"/>
    <s v="A909SA14 T-FAL EASY CARE GREY TNS 10P SE          "/>
    <s v="S"/>
    <d v="2012-01-16T00:00:00"/>
    <m/>
    <s v="X"/>
    <x v="27"/>
    <n v="31.066400000000002"/>
    <n v="34"/>
    <d v="2011-12-01T00:00:00"/>
    <d v="2011-10-20T00:00:00"/>
    <n v="6500"/>
    <d v="2012-01-06T00:00:00"/>
    <n v="6500"/>
    <m/>
    <m/>
    <m/>
    <d v="2012-02-14T00:00:00"/>
    <d v="2012-01-03T00:00:00"/>
    <n v="6500"/>
    <n v="1165"/>
    <x v="2"/>
    <d v="2012-02-15T00:00:00"/>
    <m/>
    <n v="9321629368"/>
    <n v="10"/>
    <s v="ECMU4719052"/>
    <s v="SHUN CHENG 999 HAO A"/>
    <m/>
    <s v="WUHAN"/>
    <s v="C-POST-CONF/SP-OVERCAP/EDI MISSING/WRONG EDI"/>
    <m/>
    <s v="TWEETY LEUNG"/>
    <s v="FO9"/>
    <s v="COOKWARE                      "/>
    <s v="CONFIRMED"/>
    <n v="1"/>
    <n v="1"/>
    <d v="2012-01-04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20860/000010"/>
    <n v="1370140982"/>
    <n v="10"/>
    <x v="31"/>
    <x v="31"/>
    <s v="A1"/>
    <n v="2100066464"/>
    <n v="201"/>
    <n v="116001012"/>
    <s v="A909SA14 T-FAL EASY CARE GREY TNS 10P SE          "/>
    <s v="S"/>
    <d v="2012-01-16T00:00:00"/>
    <m/>
    <s v="X"/>
    <x v="27"/>
    <n v="31.066400000000002"/>
    <n v="34"/>
    <d v="2011-12-01T00:00:00"/>
    <d v="2011-10-20T00:00:00"/>
    <n v="6500"/>
    <d v="2012-01-06T00:00:00"/>
    <n v="6500"/>
    <m/>
    <m/>
    <m/>
    <d v="2012-02-14T00:00:00"/>
    <d v="2012-01-03T00:00:00"/>
    <n v="6500"/>
    <n v="1380"/>
    <x v="2"/>
    <d v="2012-02-15T00:00:00"/>
    <m/>
    <n v="9321629368"/>
    <n v="10"/>
    <s v="GESU5511944"/>
    <s v="SHUN CHENG 999 HAO A"/>
    <m/>
    <s v="WUHAN"/>
    <s v="C-POST-CONF/SP-OVERCAP/EDI MISSING/WRONG EDI"/>
    <m/>
    <s v="TWEETY LEUNG"/>
    <s v="FO9"/>
    <s v="COOKWARE                      "/>
    <s v="CONFIRMED"/>
    <n v="1"/>
    <n v="1"/>
    <d v="2012-01-04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20860/000010"/>
    <n v="1370140982"/>
    <n v="10"/>
    <x v="31"/>
    <x v="31"/>
    <s v="A1"/>
    <n v="2100066464"/>
    <n v="201"/>
    <n v="116001012"/>
    <s v="A909SA14 T-FAL EASY CARE GREY TNS 10P SE          "/>
    <s v="S"/>
    <d v="2012-01-16T00:00:00"/>
    <m/>
    <s v="X"/>
    <x v="27"/>
    <n v="31.066400000000002"/>
    <n v="34"/>
    <d v="2011-12-01T00:00:00"/>
    <d v="2011-10-20T00:00:00"/>
    <n v="6500"/>
    <d v="2012-01-06T00:00:00"/>
    <n v="6500"/>
    <m/>
    <m/>
    <m/>
    <d v="2012-02-14T00:00:00"/>
    <d v="2012-01-03T00:00:00"/>
    <n v="6500"/>
    <n v="1200"/>
    <x v="2"/>
    <d v="2012-02-15T00:00:00"/>
    <m/>
    <n v="9321629368"/>
    <n v="10"/>
    <s v="ECMU4218364"/>
    <s v="SHUN CHENG 999 HAO A"/>
    <m/>
    <s v="WUHAN"/>
    <s v="C-POST-CONF/SP-OVERCAP/EDI MISSING/WRONG EDI"/>
    <m/>
    <s v="TWEETY LEUNG"/>
    <s v="FO9"/>
    <s v="COOKWARE                      "/>
    <s v="CONFIRMED"/>
    <n v="1"/>
    <n v="1"/>
    <d v="2012-01-04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20860/000010"/>
    <n v="1370140982"/>
    <n v="10"/>
    <x v="31"/>
    <x v="31"/>
    <s v="A1"/>
    <n v="2100066464"/>
    <n v="201"/>
    <n v="116001012"/>
    <s v="A909SA14 T-FAL EASY CARE GREY TNS 10P SE          "/>
    <s v="S"/>
    <d v="2012-01-16T00:00:00"/>
    <m/>
    <s v="X"/>
    <x v="27"/>
    <n v="31.066400000000002"/>
    <n v="34"/>
    <d v="2011-12-01T00:00:00"/>
    <d v="2011-10-20T00:00:00"/>
    <n v="6500"/>
    <d v="2012-01-06T00:00:00"/>
    <n v="6500"/>
    <m/>
    <m/>
    <m/>
    <d v="2012-02-14T00:00:00"/>
    <d v="2012-01-03T00:00:00"/>
    <n v="6500"/>
    <n v="755"/>
    <x v="2"/>
    <d v="2012-02-15T00:00:00"/>
    <m/>
    <n v="9321629368"/>
    <n v="10"/>
    <s v="TGHU4971104"/>
    <s v="SHUN CHENG 999 HAO"/>
    <m/>
    <s v="WUHAN"/>
    <s v="C-POST-CONF/SP-OVERCAP/EDI MISSING/WRONG EDI"/>
    <m/>
    <s v="TWEETY LEUNG"/>
    <s v="FO9"/>
    <s v="COOKWARE                      "/>
    <s v="CONFIRMED"/>
    <n v="1"/>
    <n v="1"/>
    <d v="2012-01-04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0"/>
    <n v="0"/>
    <n v="1"/>
    <n v="0"/>
    <n v="0"/>
    <n v="1"/>
    <x v="0"/>
    <x v="0"/>
    <x v="1"/>
    <x v="1"/>
  </r>
  <r>
    <s v="Shipment"/>
    <n v="99008000"/>
    <s v="GROUPE SEB MOULINEX SAS                           "/>
    <n v="99008000"/>
    <x v="23"/>
    <s v="9321624645/000010"/>
    <n v="1370141286"/>
    <n v="10"/>
    <x v="22"/>
    <x v="22"/>
    <s v="R2"/>
    <n v="7211000726"/>
    <n v="55"/>
    <n v="211000726"/>
    <s v="FLF244 KET AQUACONTROL SUCCESS BLK EUR            "/>
    <s v="S"/>
    <d v="2012-01-07T00:00:00"/>
    <m/>
    <s v="X"/>
    <x v="27"/>
    <n v="14.6836"/>
    <n v="12"/>
    <d v="2011-12-20T00:00:00"/>
    <d v="2011-11-15T00:00:00"/>
    <n v="1088"/>
    <d v="2011-11-15T00:00:00"/>
    <n v="2764"/>
    <m/>
    <m/>
    <m/>
    <d v="2012-02-04T00:00:00"/>
    <d v="2011-12-31T00:00:00"/>
    <n v="2764"/>
    <n v="132"/>
    <x v="13"/>
    <d v="2012-02-05T00:00:00"/>
    <m/>
    <n v="9321629449"/>
    <n v="10"/>
    <s v="OOLU1548676"/>
    <s v="CHINA EXPRESS/08W52"/>
    <m/>
    <s v="NINGBO"/>
    <s v="CONS-SHIPT/CONS-SHIPT/"/>
    <m/>
    <s v="JASON FAN"/>
    <s v="FO9"/>
    <s v="BEVERAGE                      "/>
    <s v="CONFIRMED"/>
    <n v="1"/>
    <n v="52"/>
    <d v="2012-01-01T00:00:00"/>
    <s v="KITCHEN ELECTRICS             "/>
    <s v="BREAKFAST &amp; BREVAGE PREP      "/>
    <x v="0"/>
    <x v="0"/>
    <x v="10"/>
    <s v="CONS-SHIPT"/>
    <n v="-3"/>
    <n v="-3"/>
    <x v="8"/>
    <n v="2"/>
    <x v="0"/>
    <x v="0"/>
    <x v="0"/>
    <n v="0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05552/"/>
    <n v="1370136949"/>
    <n v="20"/>
    <x v="12"/>
    <x v="12"/>
    <s v="A7"/>
    <n v="8701003877"/>
    <n v="235"/>
    <s v="T232           "/>
    <s v="T232 COOK SERVE LADLE                             "/>
    <s v="S"/>
    <d v="2012-01-10T00:00:00"/>
    <m/>
    <s v="X"/>
    <x v="28"/>
    <n v="4.26"/>
    <n v="5"/>
    <d v="2012-04-03T00:00:00"/>
    <d v="2012-02-28T00:00:00"/>
    <n v="960"/>
    <d v="2012-01-07T00:00:00"/>
    <n v="1056"/>
    <m/>
    <d v="2012-02-28T00:00:00"/>
    <n v="960"/>
    <d v="2012-02-08T00:00:00"/>
    <d v="2012-01-04T00:00:00"/>
    <n v="1056"/>
    <n v="1056"/>
    <x v="12"/>
    <d v="2012-02-11T00:00:00"/>
    <m/>
    <n v="9321631176"/>
    <n v="10"/>
    <s v="GLDU3862334"/>
    <s v="UASC KHOR FAKKAN 000"/>
    <m/>
    <s v="YANTIAN"/>
    <s v="C-PULLIN-CONF/SP-PROD-ISSUE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57020/000010"/>
    <n v="1370142065"/>
    <n v="10"/>
    <x v="32"/>
    <x v="32"/>
    <s v="R1"/>
    <n v="1500578142"/>
    <n v="23"/>
    <n v="578142"/>
    <s v="TL600830 TOAS TOAST N'GRILL BLK EUR               "/>
    <s v="S"/>
    <d v="2012-01-04T00:00:00"/>
    <m/>
    <s v="X"/>
    <x v="28"/>
    <n v="25.94"/>
    <n v="23"/>
    <d v="2011-12-22T00:00:00"/>
    <d v="2011-11-17T00:00:00"/>
    <n v="3000"/>
    <d v="2011-11-17T00:00:00"/>
    <n v="1990"/>
    <m/>
    <m/>
    <m/>
    <d v="2012-02-05T00:00:00"/>
    <d v="2012-01-01T00:00:00"/>
    <n v="1990"/>
    <n v="120"/>
    <x v="13"/>
    <d v="2012-02-05T00:00:00"/>
    <m/>
    <n v="9321631179"/>
    <n v="10"/>
    <s v="MOTU6723470"/>
    <s v="HYUNDAI SPLENDOR/016"/>
    <m/>
    <s v="YANTIAN"/>
    <s v="SP-INSP-FAILED/SP-QLY/SP-QLY/CONS-SHIPT/SP-INSP-FAILED/SP-INSP-FAILED/ SP-INSP-FAILED/"/>
    <m/>
    <s v="AGNES NUNES"/>
    <s v="FO9"/>
    <s v="BEVERAGE                      "/>
    <s v="CONFIRMED"/>
    <n v="1"/>
    <n v="52"/>
    <d v="2012-01-01T00:00:00"/>
    <s v="KITCHEN ELECTRICS             "/>
    <s v="BREAKFAST &amp; BREVAGE PREP      "/>
    <x v="2"/>
    <x v="1"/>
    <x v="12"/>
    <s v="CONS-SHIPT"/>
    <n v="1"/>
    <n v="-3"/>
    <x v="8"/>
    <n v="7"/>
    <x v="0"/>
    <x v="0"/>
    <x v="1"/>
    <n v="0"/>
    <n v="0"/>
    <n v="0"/>
    <n v="0"/>
    <n v="0"/>
    <n v="0"/>
    <x v="0"/>
    <x v="1"/>
    <x v="1"/>
    <x v="0"/>
  </r>
  <r>
    <s v="Shipment"/>
    <n v="99007300"/>
    <s v="GROUPE SEB DEUTSCHLAND                            "/>
    <n v="99007300"/>
    <x v="17"/>
    <s v="4500257020/000010"/>
    <n v="1370142065"/>
    <n v="10"/>
    <x v="32"/>
    <x v="32"/>
    <s v="R1"/>
    <n v="1500578142"/>
    <n v="23"/>
    <n v="578142"/>
    <s v="TL600830 TOAS TOAST N'GRILL BLK EUR               "/>
    <s v="S"/>
    <d v="2012-01-04T00:00:00"/>
    <m/>
    <s v="X"/>
    <x v="28"/>
    <n v="25.94"/>
    <n v="23"/>
    <d v="2011-12-22T00:00:00"/>
    <d v="2011-11-17T00:00:00"/>
    <n v="3000"/>
    <d v="2011-11-17T00:00:00"/>
    <n v="1990"/>
    <m/>
    <m/>
    <m/>
    <d v="2012-02-05T00:00:00"/>
    <d v="2012-01-01T00:00:00"/>
    <n v="1990"/>
    <n v="970"/>
    <x v="13"/>
    <d v="2012-02-05T00:00:00"/>
    <m/>
    <n v="9321631179"/>
    <n v="10"/>
    <s v="TGHU1094001"/>
    <s v="HYUNDAI SPLENDOR/016"/>
    <m/>
    <s v="YANTIAN"/>
    <s v="SP-INSP-FAILED/SP-QLY/SP-QLY/CONS-SHIPT/SP-INSP-FAILED/SP-INSP-FAILED/ SP-INSP-FAILED/"/>
    <m/>
    <s v="AGNES NUNES"/>
    <s v="FO9"/>
    <s v="BEVERAGE                      "/>
    <s v="CONFIRMED"/>
    <n v="1"/>
    <n v="52"/>
    <d v="2012-01-01T00:00:00"/>
    <s v="KITCHEN ELECTRICS             "/>
    <s v="BREAKFAST &amp; BREVAGE PREP      "/>
    <x v="2"/>
    <x v="1"/>
    <x v="12"/>
    <s v="CONS-SHIPT"/>
    <n v="1"/>
    <n v="-3"/>
    <x v="8"/>
    <n v="7"/>
    <x v="0"/>
    <x v="0"/>
    <x v="1"/>
    <n v="0"/>
    <n v="0"/>
    <n v="0"/>
    <n v="0"/>
    <n v="0"/>
    <n v="0"/>
    <x v="0"/>
    <x v="1"/>
    <x v="1"/>
    <x v="0"/>
  </r>
  <r>
    <s v="Shipment"/>
    <n v="99009500"/>
    <s v="SEB INTERNATIONAL SERVICE SAS                     "/>
    <n v="99009500"/>
    <x v="16"/>
    <s v="9321631268/000010"/>
    <n v="1370142534"/>
    <n v="10"/>
    <x v="18"/>
    <x v="18"/>
    <s v="M5"/>
    <n v="2210014973"/>
    <n v="82"/>
    <s v="ZR003901       "/>
    <s v="ZR003901 BOX 6 PAPER BAGS +1 _ FILTER             "/>
    <s v="S"/>
    <d v="2012-02-01T00:00:00"/>
    <m/>
    <s v="X"/>
    <x v="28"/>
    <n v="1.72"/>
    <n v="1"/>
    <d v="2012-01-22T00:00:00"/>
    <d v="2011-12-18T00:00:00"/>
    <n v="16000"/>
    <d v="2012-01-23T00:00:00"/>
    <n v="16000"/>
    <m/>
    <d v="2011-12-18T00:00:00"/>
    <n v="16000"/>
    <d v="2012-02-22T00:00:00"/>
    <d v="2012-01-18T00:00:00"/>
    <n v="16000"/>
    <n v="15000"/>
    <x v="1"/>
    <d v="2012-02-27T00:00:00"/>
    <m/>
    <n v="9321631785"/>
    <n v="10"/>
    <s v="APZU3283496"/>
    <s v="APL ITALY/002W"/>
    <m/>
    <s v="SHANGHAI"/>
    <s v="SIS need to defer the ETD to wk4  2012 (see 27.9)"/>
    <m/>
    <s v="VERA YUNG, CANDY CHAN"/>
    <s v="FOC"/>
    <s v="HOME CLEANING                 "/>
    <s v="CONFIRMED"/>
    <n v="1"/>
    <n v="4"/>
    <d v="2012-01-23T00:00:00"/>
    <s v="HOME CLEANING                 "/>
    <s v="HOME CLEANING                 "/>
    <x v="6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9500"/>
    <s v="SEB INTERNATIONAL SERVICE SAS                     "/>
    <n v="99009500"/>
    <x v="16"/>
    <s v="9321631268/000010"/>
    <n v="1370142534"/>
    <n v="10"/>
    <x v="18"/>
    <x v="18"/>
    <s v="M5"/>
    <n v="2210014973"/>
    <n v="82"/>
    <s v="ZR003901       "/>
    <s v="ZR003901 BOX 6 PAPER BAGS +1 _ FILTER             "/>
    <s v="S"/>
    <d v="2012-02-01T00:00:00"/>
    <m/>
    <s v="X"/>
    <x v="28"/>
    <n v="1.72"/>
    <n v="1"/>
    <d v="2012-01-22T00:00:00"/>
    <d v="2011-12-18T00:00:00"/>
    <n v="16000"/>
    <d v="2012-01-23T00:00:00"/>
    <n v="16000"/>
    <m/>
    <d v="2011-12-18T00:00:00"/>
    <n v="16000"/>
    <d v="2012-02-22T00:00:00"/>
    <d v="2012-01-18T00:00:00"/>
    <n v="16000"/>
    <n v="1000"/>
    <x v="1"/>
    <d v="2012-02-27T00:00:00"/>
    <m/>
    <n v="9321631785"/>
    <n v="10"/>
    <s v="APZU3283496"/>
    <s v="APL ITALY/002W"/>
    <m/>
    <s v="SHANGHAI"/>
    <s v="SIS need to defer the ETD to wk4  2012 (see 27.9)"/>
    <m/>
    <s v="VERA YUNG, CANDY CHAN"/>
    <s v="FOC"/>
    <s v="HOME CLEANING                 "/>
    <s v="CONFIRMED"/>
    <n v="1"/>
    <n v="4"/>
    <d v="2012-01-23T00:00:00"/>
    <s v="HOME CLEANING                 "/>
    <s v="HOME CLEANING                 "/>
    <x v="6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088/000001"/>
    <n v="1370142512"/>
    <n v="10"/>
    <x v="9"/>
    <x v="9"/>
    <s v="N3"/>
    <n v="1500574515"/>
    <n v="53"/>
    <n v="574515"/>
    <s v="TO102170 NEWSUBI8L TEF KPKR WH                    "/>
    <s v="S"/>
    <d v="2012-01-17T00:00:00"/>
    <m/>
    <s v="X"/>
    <x v="29"/>
    <n v="16.95"/>
    <n v="15"/>
    <d v="2012-01-19T00:00:00"/>
    <d v="2012-01-05T00:00:00"/>
    <n v="1296"/>
    <d v="2012-01-05T00:00:00"/>
    <n v="1296"/>
    <m/>
    <d v="2012-01-08T00:00:00"/>
    <n v="1296"/>
    <d v="2012-01-30T00:00:00"/>
    <d v="2012-01-16T00:00:00"/>
    <n v="1296"/>
    <n v="1296"/>
    <x v="8"/>
    <d v="2012-01-30T00:00:00"/>
    <m/>
    <n v="9321631877"/>
    <n v="10"/>
    <s v="MAEU6274942"/>
    <s v="OTTO SCHULTE/1202"/>
    <m/>
    <s v="YANTIAN"/>
    <s v="SP-INSP-FAILED/"/>
    <m/>
    <s v="AGNES NUNES"/>
    <s v="FO9"/>
    <s v="ELECTRICAL COOKING            "/>
    <s v="CONFIRMED"/>
    <n v="1"/>
    <n v="3"/>
    <d v="2012-01-16T00:00:00"/>
    <s v="KITCHEN ELECTRICS             "/>
    <s v="ELECTRICAL COOKING            "/>
    <x v="4"/>
    <x v="1"/>
    <x v="12"/>
    <s v="SP-INSP-FAILED"/>
    <n v="1"/>
    <n v="1"/>
    <x v="12"/>
    <n v="1"/>
    <x v="0"/>
    <x v="0"/>
    <x v="0"/>
    <n v="0"/>
    <n v="0"/>
    <n v="0"/>
    <n v="0"/>
    <n v="0"/>
    <n v="0"/>
    <x v="1"/>
    <x v="0"/>
    <x v="1"/>
    <x v="0"/>
  </r>
  <r>
    <s v="Shipment"/>
    <n v="99005400"/>
    <s v="GROUPE SEB KOREA                                  "/>
    <n v="99005400"/>
    <x v="6"/>
    <s v="3088/000002"/>
    <n v="1370142512"/>
    <n v="20"/>
    <x v="9"/>
    <x v="9"/>
    <s v="N3"/>
    <n v="1500574515"/>
    <n v="53"/>
    <n v="574515"/>
    <s v="TO102170 NEWSUBI8L TEF KPKR WH                    "/>
    <s v="S"/>
    <d v="2012-01-17T00:00:00"/>
    <m/>
    <s v="X"/>
    <x v="29"/>
    <n v="16.95"/>
    <n v="15"/>
    <d v="2012-01-19T00:00:00"/>
    <d v="2012-01-05T00:00:00"/>
    <n v="1296"/>
    <d v="2012-01-05T00:00:00"/>
    <n v="1296"/>
    <m/>
    <d v="2012-01-08T00:00:00"/>
    <n v="1296"/>
    <d v="2012-01-30T00:00:00"/>
    <d v="2012-01-16T00:00:00"/>
    <n v="1296"/>
    <n v="1296"/>
    <x v="8"/>
    <d v="2012-01-30T00:00:00"/>
    <m/>
    <n v="9321631877"/>
    <n v="20"/>
    <s v="MSKU6091322"/>
    <s v="OTTO SCHULTE/1202"/>
    <m/>
    <s v="YANTIAN"/>
    <s v="SP-INSP-FAILED/"/>
    <m/>
    <s v="AGNES NUNES"/>
    <s v="FO9"/>
    <s v="ELECTRICAL COOKING            "/>
    <s v="CONFIRMED"/>
    <n v="1"/>
    <n v="3"/>
    <d v="2012-01-16T00:00:00"/>
    <s v="KITCHEN ELECTRICS             "/>
    <s v="ELECTRICAL COOKING            "/>
    <x v="4"/>
    <x v="1"/>
    <x v="12"/>
    <s v="SP-INSP-FAILED"/>
    <n v="1"/>
    <n v="1"/>
    <x v="12"/>
    <n v="1"/>
    <x v="0"/>
    <x v="0"/>
    <x v="0"/>
    <n v="0"/>
    <n v="0"/>
    <n v="0"/>
    <n v="0"/>
    <n v="0"/>
    <n v="0"/>
    <x v="1"/>
    <x v="0"/>
    <x v="1"/>
    <x v="0"/>
  </r>
  <r>
    <s v="Shipment"/>
    <n v="99005400"/>
    <s v="GROUPE SEB KOREA                                  "/>
    <n v="99005400"/>
    <x v="6"/>
    <s v="3088/000003"/>
    <n v="1370142512"/>
    <n v="30"/>
    <x v="9"/>
    <x v="9"/>
    <s v="N3"/>
    <n v="1500574515"/>
    <n v="53"/>
    <n v="574515"/>
    <s v="TO102170 NEWSUBI8L TEF KPKR WH                    "/>
    <s v="S"/>
    <d v="2012-01-17T00:00:00"/>
    <m/>
    <s v="X"/>
    <x v="29"/>
    <n v="16.95"/>
    <n v="15"/>
    <d v="2012-01-19T00:00:00"/>
    <d v="2012-01-05T00:00:00"/>
    <n v="1296"/>
    <d v="2012-01-05T00:00:00"/>
    <n v="1296"/>
    <m/>
    <d v="2012-01-08T00:00:00"/>
    <n v="1296"/>
    <d v="2012-01-30T00:00:00"/>
    <d v="2012-01-16T00:00:00"/>
    <n v="1296"/>
    <n v="1296"/>
    <x v="8"/>
    <d v="2012-01-30T00:00:00"/>
    <m/>
    <n v="9321631877"/>
    <n v="30"/>
    <s v="MSKU6244632"/>
    <s v="OTTO SCHULTE/1202"/>
    <m/>
    <s v="YANTIAN"/>
    <s v="SP-INSP-FAILED/"/>
    <m/>
    <s v="AGNES NUNES"/>
    <s v="FO9"/>
    <s v="ELECTRICAL COOKING            "/>
    <s v="CONFIRMED"/>
    <n v="1"/>
    <n v="3"/>
    <d v="2012-01-16T00:00:00"/>
    <s v="KITCHEN ELECTRICS             "/>
    <s v="ELECTRICAL COOKING            "/>
    <x v="4"/>
    <x v="1"/>
    <x v="12"/>
    <s v="SP-INSP-FAILED"/>
    <n v="1"/>
    <n v="1"/>
    <x v="12"/>
    <n v="1"/>
    <x v="0"/>
    <x v="0"/>
    <x v="0"/>
    <n v="0"/>
    <n v="0"/>
    <n v="0"/>
    <n v="0"/>
    <n v="0"/>
    <n v="0"/>
    <x v="1"/>
    <x v="0"/>
    <x v="1"/>
    <x v="0"/>
  </r>
  <r>
    <s v="Shipment"/>
    <n v="99005400"/>
    <s v="GROUPE SEB KOREA                                  "/>
    <n v="99005400"/>
    <x v="6"/>
    <s v="3088/000004"/>
    <n v="1370142512"/>
    <n v="40"/>
    <x v="9"/>
    <x v="9"/>
    <s v="N3"/>
    <n v="1500574515"/>
    <n v="53"/>
    <n v="574515"/>
    <s v="TO102170 NEWSUBI8L TEF KPKR WH                    "/>
    <s v="S"/>
    <d v="2012-01-17T00:00:00"/>
    <m/>
    <s v="X"/>
    <x v="29"/>
    <n v="16.95"/>
    <n v="15"/>
    <d v="2012-01-19T00:00:00"/>
    <d v="2012-01-05T00:00:00"/>
    <n v="1296"/>
    <d v="2012-01-05T00:00:00"/>
    <n v="1296"/>
    <m/>
    <d v="2012-01-08T00:00:00"/>
    <n v="1296"/>
    <d v="2012-01-30T00:00:00"/>
    <d v="2012-01-16T00:00:00"/>
    <n v="1296"/>
    <n v="1296"/>
    <x v="8"/>
    <d v="2012-01-30T00:00:00"/>
    <m/>
    <n v="9321631877"/>
    <n v="40"/>
    <s v="MSKU6353850"/>
    <s v="OTTO SCHULTE/1202"/>
    <m/>
    <s v="YANTIAN"/>
    <s v="SP-INSP-FAILED/"/>
    <m/>
    <s v="AGNES NUNES"/>
    <s v="FO9"/>
    <s v="ELECTRICAL COOKING            "/>
    <s v="CONFIRMED"/>
    <n v="1"/>
    <n v="3"/>
    <d v="2012-01-16T00:00:00"/>
    <s v="KITCHEN ELECTRICS             "/>
    <s v="ELECTRICAL COOKING            "/>
    <x v="4"/>
    <x v="1"/>
    <x v="12"/>
    <s v="SP-INSP-FAILED"/>
    <n v="1"/>
    <n v="1"/>
    <x v="12"/>
    <n v="1"/>
    <x v="0"/>
    <x v="0"/>
    <x v="0"/>
    <n v="0"/>
    <n v="0"/>
    <n v="0"/>
    <n v="0"/>
    <n v="0"/>
    <n v="0"/>
    <x v="1"/>
    <x v="0"/>
    <x v="1"/>
    <x v="0"/>
  </r>
  <r>
    <s v="Shipment"/>
    <n v="99003700"/>
    <s v="SEB ASIA LTD                                      "/>
    <n v="99003700"/>
    <x v="7"/>
    <s v="SAS-10-302/HKG/"/>
    <n v="1370142613"/>
    <n v="10"/>
    <x v="0"/>
    <x v="0"/>
    <s v="A1"/>
    <n v="2100067634"/>
    <n v="201"/>
    <n v="115003406"/>
    <s v="A1760514 FP26 T03032 B EVERYDAY N/S BLAC          "/>
    <s v="S"/>
    <d v="2012-01-05T00:00:00"/>
    <m/>
    <s v="X"/>
    <x v="29"/>
    <n v="5.7413999999999996"/>
    <n v="5472"/>
    <d v="2012-01-05T00:00:00"/>
    <d v="2012-01-05T00:00:00"/>
    <n v="498"/>
    <d v="2012-01-05T00:00:00"/>
    <n v="498"/>
    <m/>
    <d v="2012-01-04T00:00:00"/>
    <n v="498"/>
    <d v="2012-01-04T00:00:00"/>
    <d v="2012-01-04T00:00:00"/>
    <n v="498"/>
    <n v="498"/>
    <x v="2"/>
    <d v="2012-01-04T00:00:00"/>
    <m/>
    <n v="9321631882"/>
    <n v="10"/>
    <s v="OOLU1516010"/>
    <s v="OOCL CANADA"/>
    <m/>
    <s v="NINGBO"/>
    <m/>
    <m/>
    <s v="THOMAS HO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02/HKG/"/>
    <n v="1370142613"/>
    <n v="20"/>
    <x v="0"/>
    <x v="0"/>
    <s v="A1"/>
    <n v="2100067636"/>
    <n v="201"/>
    <n v="115003408"/>
    <s v="A1769414 WFP30LID T03032 B EVERYDAY N/S           "/>
    <s v="S"/>
    <d v="2012-01-05T00:00:00"/>
    <m/>
    <s v="X"/>
    <x v="29"/>
    <n v="10.7393"/>
    <n v="5472"/>
    <d v="2012-01-05T00:00:00"/>
    <d v="2012-01-05T00:00:00"/>
    <n v="400"/>
    <d v="2012-01-05T00:00:00"/>
    <n v="400"/>
    <m/>
    <d v="2012-01-04T00:00:00"/>
    <n v="400"/>
    <d v="2012-01-04T00:00:00"/>
    <d v="2012-01-04T00:00:00"/>
    <n v="400"/>
    <n v="400"/>
    <x v="2"/>
    <d v="2012-01-04T00:00:00"/>
    <m/>
    <n v="9321631882"/>
    <n v="20"/>
    <s v="OOLU1516010"/>
    <s v="OOCL CANADA"/>
    <m/>
    <s v="NINGBO"/>
    <m/>
    <m/>
    <s v="THOMAS HO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02/HKG/"/>
    <n v="1370142613"/>
    <n v="30"/>
    <x v="0"/>
    <x v="0"/>
    <s v="A1"/>
    <n v="2100059348"/>
    <n v="205"/>
    <n v="115002744"/>
    <s v="C9000714 FP30 GOU SO COOK SS POLI IND UN          "/>
    <s v="S"/>
    <d v="2012-01-05T00:00:00"/>
    <m/>
    <s v="X"/>
    <x v="29"/>
    <n v="10.679600000000001"/>
    <n v="5472"/>
    <d v="2012-01-05T00:00:00"/>
    <d v="2012-01-05T00:00:00"/>
    <n v="504"/>
    <d v="2012-01-05T00:00:00"/>
    <n v="504"/>
    <m/>
    <d v="2012-01-04T00:00:00"/>
    <n v="1008"/>
    <d v="2012-01-04T00:00:00"/>
    <d v="2012-01-04T00:00:00"/>
    <n v="504"/>
    <n v="504"/>
    <x v="2"/>
    <d v="2012-01-04T00:00:00"/>
    <m/>
    <n v="9321631882"/>
    <n v="30"/>
    <s v="OOLU7518468"/>
    <s v="OOCL CANADA"/>
    <m/>
    <s v="NINGBO"/>
    <m/>
    <m/>
    <s v="THOMAS HO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299/HKG/"/>
    <n v="1370141407"/>
    <n v="20"/>
    <x v="0"/>
    <x v="0"/>
    <s v="A1"/>
    <n v="2100064922"/>
    <n v="204"/>
    <n v="115003161"/>
    <s v="D1289614 W36LID B FLAT BOT EN BLACK TC T          "/>
    <s v="S"/>
    <d v="2012-01-11T00:00:00"/>
    <m/>
    <s v="X"/>
    <x v="30"/>
    <n v="19.554400000000001"/>
    <n v="17"/>
    <d v="2012-01-14T00:00:00"/>
    <d v="2012-01-14T00:00:00"/>
    <n v="500"/>
    <d v="2012-01-14T00:00:00"/>
    <n v="500"/>
    <m/>
    <d v="2012-01-11T00:00:00"/>
    <n v="500"/>
    <d v="2012-01-11T00:00:00"/>
    <d v="2012-01-11T00:00:00"/>
    <n v="500"/>
    <n v="500"/>
    <x v="5"/>
    <d v="2012-01-10T00:00:00"/>
    <m/>
    <n v="9321632663"/>
    <n v="10"/>
    <s v="TEXU2408449"/>
    <s v="COSCO THAILAND"/>
    <m/>
    <s v="NINGBO"/>
    <m/>
    <m/>
    <s v="THOMAS HO"/>
    <s v="FO9"/>
    <s v="COOKWARE                      "/>
    <s v="CONFIRMED"/>
    <n v="1"/>
    <n v="2"/>
    <d v="2012-01-1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25617/000010"/>
    <n v="1370142146"/>
    <n v="10"/>
    <x v="33"/>
    <x v="33"/>
    <s v="R1"/>
    <n v="8000033857"/>
    <n v="27"/>
    <s v="KM900855       "/>
    <s v="KM900855 FCM ARUBA 12C BLK/MET                    "/>
    <s v="S"/>
    <d v="2012-01-10T00:00:00"/>
    <m/>
    <s v="X"/>
    <x v="30"/>
    <n v="53.99"/>
    <n v="71"/>
    <d v="2012-01-26T00:00:00"/>
    <d v="2011-12-22T00:00:00"/>
    <n v="1500"/>
    <d v="2011-12-22T00:00:00"/>
    <n v="1500"/>
    <m/>
    <d v="2011-12-22T00:00:00"/>
    <n v="1500"/>
    <d v="2012-01-26T00:00:00"/>
    <d v="2011-12-22T00:00:00"/>
    <n v="1500"/>
    <n v="1500"/>
    <x v="7"/>
    <d v="2012-02-10T00:00:00"/>
    <m/>
    <n v="9321632772"/>
    <n v="10"/>
    <s v="CRXU9259710"/>
    <s v="CMA CGM DON PASCUALE"/>
    <m/>
    <s v="YANTIAN"/>
    <s v="SP-HOLIDAY"/>
    <m/>
    <s v="TWEETY LEUNG"/>
    <s v="FO9"/>
    <s v="BEVERAGE                      "/>
    <s v="CONFIRMED"/>
    <n v="1"/>
    <n v="1"/>
    <d v="2012-01-06T00:00:00"/>
    <s v="KITCHEN ELECTRICS             "/>
    <s v="BREAKFAST &amp; BREVAGE PREP      "/>
    <x v="1"/>
    <x v="1"/>
    <x v="7"/>
    <s v="SP-HOLIDAY"/>
    <n v="-3"/>
    <n v="-3"/>
    <x v="6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28778/000010"/>
    <n v="1370142125"/>
    <n v="10"/>
    <x v="0"/>
    <x v="0"/>
    <s v="A1"/>
    <n v="2100065035"/>
    <n v="201"/>
    <n v="115003011"/>
    <s v="C3062464 SCP20LID B SB PERF N/S STAMP BL          "/>
    <s v="S"/>
    <d v="2012-01-09T00:00:00"/>
    <m/>
    <s v="X"/>
    <x v="30"/>
    <n v="8.6850000000000005"/>
    <n v="9"/>
    <d v="2011-12-25T00:00:00"/>
    <d v="2011-11-20T00:00:00"/>
    <n v="2000"/>
    <d v="2012-01-06T00:00:00"/>
    <n v="2000"/>
    <m/>
    <d v="2011-12-16T00:00:00"/>
    <n v="2000"/>
    <d v="2012-02-10T00:00:00"/>
    <d v="2012-01-06T00:00:00"/>
    <n v="2000"/>
    <n v="2000"/>
    <x v="7"/>
    <d v="2012-02-10T00:00:00"/>
    <m/>
    <n v="9321632834"/>
    <n v="10"/>
    <s v="CAXU9804214"/>
    <s v="HYUNDAI VOYAGER/026E"/>
    <m/>
    <s v="NINGBO"/>
    <s v="C-POST-CONF/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28913/000010"/>
    <n v="1370142152"/>
    <n v="10"/>
    <x v="0"/>
    <x v="0"/>
    <s v="A1"/>
    <n v="2100063856"/>
    <n v="201"/>
    <n v="116000903"/>
    <s v="C306S264 TOTAL EDGE TNS 8/10&quot; FP COMBO            "/>
    <s v="S"/>
    <d v="2012-01-10T00:00:00"/>
    <m/>
    <s v="X"/>
    <x v="30"/>
    <n v="11.3909"/>
    <n v="12"/>
    <d v="2011-12-25T00:00:00"/>
    <d v="2011-11-20T00:00:00"/>
    <n v="1500"/>
    <d v="2012-01-06T00:00:00"/>
    <n v="1500"/>
    <m/>
    <d v="2011-12-16T00:00:00"/>
    <n v="1500"/>
    <d v="2012-02-17T00:00:00"/>
    <d v="2012-01-13T00:00:00"/>
    <n v="1500"/>
    <n v="1500"/>
    <x v="7"/>
    <d v="2012-02-10T00:00:00"/>
    <m/>
    <n v="9321632864"/>
    <n v="10"/>
    <s v="HDMU6183723"/>
    <s v="HYUNDAI VOYAGER/026E"/>
    <m/>
    <s v="NINGBO"/>
    <s v="FORWARDER-PROB/C-POST-CONF/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0"/>
    <s v="C-POST-CONF"/>
    <n v="1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5700"/>
    <s v="SEB GROUPE HELLADOS S.A.                          "/>
    <n v="99005700"/>
    <x v="24"/>
    <s v="000006118/000006"/>
    <n v="1370141403"/>
    <n v="60"/>
    <x v="8"/>
    <x v="8"/>
    <s v="K9"/>
    <n v="8000033961"/>
    <n v="38"/>
    <s v="KP500910       "/>
    <s v="KP500910 NDG CIRCOLO TIT EUR                      "/>
    <s v="S"/>
    <d v="2012-01-06T00:00:00"/>
    <m/>
    <s v="X"/>
    <x v="30"/>
    <n v="52.24"/>
    <n v="43723"/>
    <d v="2012-01-02T00:00:00"/>
    <d v="2011-11-28T00:00:00"/>
    <n v="600"/>
    <d v="2012-01-01T00:00:00"/>
    <n v="600"/>
    <m/>
    <d v="2012-01-06T00:00:00"/>
    <n v="600"/>
    <d v="2012-02-04T00:00:00"/>
    <d v="2011-12-31T00:00:00"/>
    <n v="600"/>
    <n v="600"/>
    <x v="13"/>
    <d v="2012-02-05T00:00:00"/>
    <m/>
    <n v="9321632889"/>
    <n v="40"/>
    <s v="MAEU6306844"/>
    <s v="NEDLLOYD HUDSON/1202"/>
    <m/>
    <s v="YANTIAN"/>
    <s v="C-POST-CONF/"/>
    <m/>
    <s v="JASON FAN"/>
    <s v="FO9"/>
    <s v="BEVERAGE                      "/>
    <s v="CONFIRMED"/>
    <n v="1"/>
    <n v="52"/>
    <d v="2012-01-01T00:00:00"/>
    <s v="KITCHEN ELECTRICS             "/>
    <s v="BREAKFAST &amp; BREVAGE PREP      "/>
    <x v="4"/>
    <x v="1"/>
    <x v="3"/>
    <s v="C-POST-CONF"/>
    <n v="-3"/>
    <n v="-3"/>
    <x v="0"/>
    <n v="1"/>
    <x v="0"/>
    <x v="0"/>
    <x v="0"/>
    <n v="1"/>
    <n v="0"/>
    <n v="1"/>
    <n v="0"/>
    <n v="0"/>
    <n v="1"/>
    <x v="0"/>
    <x v="0"/>
    <x v="1"/>
    <x v="1"/>
  </r>
  <r>
    <s v="Shipment"/>
    <n v="99005700"/>
    <s v="SEB GROUPE HELLADOS S.A.                          "/>
    <n v="99005700"/>
    <x v="24"/>
    <s v="000006116/000004"/>
    <n v="1370141402"/>
    <n v="40"/>
    <x v="8"/>
    <x v="8"/>
    <s v="K9"/>
    <n v="8000033961"/>
    <n v="38"/>
    <s v="KP500910       "/>
    <s v="KP500910 NDG CIRCOLO TIT EUR                      "/>
    <s v="S"/>
    <d v="2012-01-06T00:00:00"/>
    <m/>
    <s v="X"/>
    <x v="30"/>
    <n v="52.24"/>
    <n v="43723"/>
    <d v="2011-12-27T00:00:00"/>
    <d v="2011-11-22T00:00:00"/>
    <n v="600"/>
    <d v="2012-01-01T00:00:00"/>
    <n v="600"/>
    <m/>
    <d v="2011-11-18T00:00:00"/>
    <n v="600"/>
    <d v="2012-02-05T00:00:00"/>
    <d v="2012-01-01T00:00:00"/>
    <n v="600"/>
    <n v="600"/>
    <x v="13"/>
    <d v="2012-02-05T00:00:00"/>
    <m/>
    <n v="9321632899"/>
    <n v="10"/>
    <s v="MAEU6306844"/>
    <s v="NEDLLOYD HUDSON/1202"/>
    <m/>
    <s v="YANTIAN"/>
    <s v="C-POST-CONF NEDLLOYD HUDSON 1202 01/01/2012"/>
    <m/>
    <s v="JASON FAN"/>
    <s v="FO9"/>
    <s v="BEVERAGE                      "/>
    <s v="CONFIRMED"/>
    <n v="1"/>
    <n v="52"/>
    <d v="2012-01-01T00:00:00"/>
    <s v="KITCHEN ELECTRICS             "/>
    <s v="BREAKFAST &amp; BREVAGE PREP      "/>
    <x v="4"/>
    <x v="1"/>
    <x v="1"/>
    <m/>
    <n v="0"/>
    <n v="0"/>
    <x v="1"/>
    <n v="3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16400/000010"/>
    <n v="1370139417"/>
    <n v="10"/>
    <x v="20"/>
    <x v="20"/>
    <s v="A7"/>
    <n v="8700800685"/>
    <n v="235"/>
    <s v="TSET1          "/>
    <s v="TSET1 KITCHEN TOOL SET _1                         "/>
    <s v="S"/>
    <d v="2012-01-06T00:00:00"/>
    <m/>
    <s v="X"/>
    <x v="30"/>
    <n v="21.85"/>
    <n v="26"/>
    <d v="2011-12-27T00:00:00"/>
    <d v="2011-11-22T00:00:00"/>
    <n v="1000"/>
    <d v="2012-01-04T00:00:00"/>
    <n v="1000"/>
    <m/>
    <d v="2011-11-22T00:00:00"/>
    <n v="1000"/>
    <d v="2012-02-06T00:00:00"/>
    <d v="2012-01-02T00:00:00"/>
    <n v="1000"/>
    <n v="1000"/>
    <x v="13"/>
    <d v="2012-02-05T00:00:00"/>
    <m/>
    <n v="9321633151"/>
    <n v="10"/>
    <s v="LTIU8006025"/>
    <s v="ITAL LAGUNA 0608-036"/>
    <m/>
    <s v="YANTIAN"/>
    <s v="C-POST-CONF REPLACE-PO(SAP ISSUE)/LATE EDI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33114/000010"/>
    <n v="1370142985"/>
    <n v="10"/>
    <x v="5"/>
    <x v="5"/>
    <s v="R1"/>
    <n v="1500532718"/>
    <n v="23"/>
    <n v="532718"/>
    <s v="532718 TOAS AVANTI CLASSIC 4S PLAST BLK           "/>
    <s v="S"/>
    <d v="2012-01-09T00:00:00"/>
    <m/>
    <s v="X"/>
    <x v="31"/>
    <n v="18.59"/>
    <n v="14"/>
    <d v="2012-01-16T00:00:00"/>
    <d v="2011-12-12T00:00:00"/>
    <n v="920"/>
    <d v="2012-01-15T00:00:00"/>
    <n v="920"/>
    <m/>
    <d v="2011-12-12T00:00:00"/>
    <n v="920"/>
    <d v="2012-02-09T00:00:00"/>
    <d v="2012-01-05T00:00:00"/>
    <n v="920"/>
    <n v="920"/>
    <x v="6"/>
    <d v="2012-02-09T00:00:00"/>
    <m/>
    <n v="9321633527"/>
    <n v="10"/>
    <s v="MRKU8214492"/>
    <s v="SVEND MAERSK 1202/"/>
    <m/>
    <s v="YANTIAN"/>
    <s v="C-PULLIN-CONF/"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32769/000010"/>
    <n v="1370142987"/>
    <n v="10"/>
    <x v="5"/>
    <x v="5"/>
    <s v="R1"/>
    <n v="1500634606"/>
    <n v="55"/>
    <n v="634606"/>
    <s v="KI410D30 KET TH.VISION 1.5L SS/BLK RU             "/>
    <s v="S"/>
    <d v="2012-01-21T00:00:00"/>
    <m/>
    <s v="X"/>
    <x v="31"/>
    <n v="23.8"/>
    <n v="843"/>
    <d v="2012-01-20T00:00:00"/>
    <d v="2011-12-02T00:00:00"/>
    <n v="2130"/>
    <d v="2011-12-07T00:00:00"/>
    <n v="2130"/>
    <m/>
    <d v="2011-12-02T00:00:00"/>
    <n v="2130"/>
    <d v="2012-03-08T00:00:00"/>
    <d v="2012-01-19T00:00:00"/>
    <n v="2130"/>
    <n v="2130"/>
    <x v="14"/>
    <d v="2012-03-09T00:00:00"/>
    <m/>
    <n v="9321633528"/>
    <n v="10"/>
    <s v="APZU3571070"/>
    <s v="MOL MATRIX/010W"/>
    <m/>
    <s v="YANTIAN"/>
    <s v="SP-MTL/C-SHORTL/T/"/>
    <m/>
    <s v="KENUS WONG"/>
    <s v="FO9"/>
    <s v="BEVERAGE                      "/>
    <s v="CONFIRMED"/>
    <n v="1"/>
    <n v="3"/>
    <d v="2012-01-20T00:00:00"/>
    <s v="KITCHEN ELECTRICS             "/>
    <s v="BREAKFAST &amp; BREVAGE PREP      "/>
    <x v="4"/>
    <x v="1"/>
    <x v="9"/>
    <s v="SP-MTL"/>
    <n v="1"/>
    <n v="1"/>
    <x v="10"/>
    <n v="3"/>
    <x v="0"/>
    <x v="0"/>
    <x v="0"/>
    <n v="0"/>
    <n v="0"/>
    <n v="0"/>
    <n v="0"/>
    <n v="0"/>
    <n v="0"/>
    <x v="1"/>
    <x v="0"/>
    <x v="1"/>
    <x v="0"/>
  </r>
  <r>
    <s v="Shipment"/>
    <n v="99008200"/>
    <s v="GROUPE SEB IBERICA                                "/>
    <n v="99008200"/>
    <x v="21"/>
    <s v="9321632149/000010"/>
    <n v="1370142758"/>
    <n v="10"/>
    <x v="34"/>
    <x v="34"/>
    <s v="L4"/>
    <n v="1830002716"/>
    <n v="76"/>
    <s v="TN9010E4       "/>
    <s v="TN9010E4 HAIR CLIPPER BODYGROOM TRIM&amp;STY          "/>
    <s v="S"/>
    <d v="2012-01-13T00:00:00"/>
    <m/>
    <s v="X"/>
    <x v="31"/>
    <n v="17.260000000000002"/>
    <n v="16"/>
    <d v="2011-12-19T00:00:00"/>
    <d v="2011-11-21T00:00:00"/>
    <n v="1000"/>
    <d v="2012-01-02T00:00:00"/>
    <n v="1000"/>
    <m/>
    <d v="2011-11-21T00:00:00"/>
    <n v="1000"/>
    <d v="2012-01-30T00:00:00"/>
    <d v="2012-01-02T00:00:00"/>
    <n v="1000"/>
    <n v="1000"/>
    <x v="5"/>
    <d v="2012-02-07T00:00:00"/>
    <m/>
    <n v="9321633529"/>
    <n v="10"/>
    <s v="MAEU7882119"/>
    <s v="MAERSK SHEERNESS/120"/>
    <m/>
    <s v="SHANGHAI"/>
    <s v="FORWARDER-PROB(VESSEL DELAY)/C-PULLIN-CONF/"/>
    <m/>
    <s v="JASON FAN"/>
    <s v="FO9"/>
    <s v="PERSONAL CARE                 "/>
    <s v="CONFIRMED"/>
    <n v="1"/>
    <n v="2"/>
    <d v="2012-01-10T00:00:00"/>
    <s v="LINEN PERS HOME CARE          "/>
    <s v="PERSONAL CARE                 "/>
    <x v="6"/>
    <x v="2"/>
    <x v="1"/>
    <m/>
    <n v="0"/>
    <n v="0"/>
    <x v="1"/>
    <n v="2"/>
    <x v="0"/>
    <x v="0"/>
    <x v="1"/>
    <n v="0"/>
    <n v="0"/>
    <n v="0"/>
    <n v="0"/>
    <n v="0"/>
    <n v="0"/>
    <x v="1"/>
    <x v="0"/>
    <x v="1"/>
    <x v="0"/>
  </r>
  <r>
    <s v="Shipment"/>
    <n v="99008000"/>
    <s v="GROUPE SEB MOULINEX SAS                           "/>
    <n v="99008000"/>
    <x v="23"/>
    <s v="9321626828/000010"/>
    <n v="1370142748"/>
    <n v="10"/>
    <x v="33"/>
    <x v="33"/>
    <s v="R1"/>
    <n v="1500635070"/>
    <n v="27"/>
    <n v="635070"/>
    <s v="KM900830 FCM ARUBA 12C BLK EUR                    "/>
    <s v="S"/>
    <d v="2012-01-18T00:00:00"/>
    <m/>
    <s v="X"/>
    <x v="31"/>
    <n v="55.17"/>
    <n v="53"/>
    <d v="2012-02-22T00:00:00"/>
    <d v="2012-01-18T00:00:00"/>
    <n v="1560"/>
    <d v="2012-01-17T00:00:00"/>
    <n v="1500"/>
    <m/>
    <d v="2011-12-28T00:00:00"/>
    <n v="1560"/>
    <d v="2012-02-22T00:00:00"/>
    <d v="2012-01-18T00:00:00"/>
    <n v="1500"/>
    <n v="1500"/>
    <x v="21"/>
    <d v="2012-02-22T00:00:00"/>
    <m/>
    <n v="9321633531"/>
    <n v="10"/>
    <s v="GESU5025773"/>
    <s v="APL HAMBURG/015W"/>
    <m/>
    <s v="YANTIAN"/>
    <s v="BU-ETD-TEMP/"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1"/>
    <x v="1"/>
    <x v="4"/>
    <s v="BU-ETD-TEMP"/>
    <n v="-3"/>
    <n v="-3"/>
    <x v="3"/>
    <n v="1"/>
    <x v="0"/>
    <x v="1"/>
    <x v="0"/>
    <n v="1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719/000002"/>
    <n v="1370142986"/>
    <n v="20"/>
    <x v="35"/>
    <x v="35"/>
    <s v="R1"/>
    <n v="1500635019"/>
    <n v="55"/>
    <n v="635019"/>
    <s v="KO320170 KET ANTOINETTE 0.8L WHT/GRG JP           "/>
    <s v="S"/>
    <d v="2012-01-19T00:00:00"/>
    <m/>
    <s v="X"/>
    <x v="31"/>
    <n v="17.579999999999998"/>
    <n v="13"/>
    <d v="2011-12-12T00:00:00"/>
    <d v="2011-11-28T00:00:00"/>
    <n v="2580"/>
    <d v="2011-11-28T00:00:00"/>
    <n v="2580"/>
    <m/>
    <m/>
    <m/>
    <d v="2012-02-06T00:00:00"/>
    <d v="2012-01-23T00:00:00"/>
    <n v="2580"/>
    <n v="54"/>
    <x v="22"/>
    <d v="2012-02-02T00:00:00"/>
    <m/>
    <n v="9321633572"/>
    <n v="20"/>
    <s v="VCSU2003094"/>
    <s v="KYOTO TOWER/KTWR1200"/>
    <m/>
    <s v="YANTIAN"/>
    <s v="SP-QLY/SP-QLY/SP-TECH/SP-TECH/SP-QLY/SP-QLY/"/>
    <m/>
    <s v="DOROTHEA LING"/>
    <s v="FO9"/>
    <s v="BEVERAGE                      "/>
    <s v="CONFIRMED"/>
    <n v="1"/>
    <n v="3"/>
    <d v="2012-01-19T00:00:00"/>
    <s v="KITCHEN ELECTRICS             "/>
    <s v="BREAKFAST &amp; BREVAGE PREP      "/>
    <x v="2"/>
    <x v="1"/>
    <x v="13"/>
    <s v="SP-QLY"/>
    <n v="1"/>
    <n v="1"/>
    <x v="13"/>
    <n v="6"/>
    <x v="0"/>
    <x v="0"/>
    <x v="0"/>
    <n v="0"/>
    <n v="0"/>
    <n v="0"/>
    <n v="0"/>
    <n v="0"/>
    <n v="0"/>
    <x v="0"/>
    <x v="1"/>
    <x v="1"/>
    <x v="0"/>
  </r>
  <r>
    <s v="Shipment"/>
    <n v="99003300"/>
    <s v="GROUPE SEB JAPAN CO LTD                           "/>
    <n v="99003300"/>
    <x v="25"/>
    <s v="3719/000002"/>
    <n v="1370142986"/>
    <n v="20"/>
    <x v="35"/>
    <x v="35"/>
    <s v="R1"/>
    <n v="1500635019"/>
    <n v="55"/>
    <n v="635019"/>
    <s v="KO320170 KET ANTOINETTE 0.8L WHT/GRG JP           "/>
    <s v="S"/>
    <d v="2012-01-19T00:00:00"/>
    <m/>
    <s v="X"/>
    <x v="31"/>
    <n v="17.579999999999998"/>
    <n v="13"/>
    <d v="2011-12-12T00:00:00"/>
    <d v="2011-11-28T00:00:00"/>
    <n v="2580"/>
    <d v="2011-11-28T00:00:00"/>
    <n v="2580"/>
    <m/>
    <m/>
    <m/>
    <d v="2012-02-06T00:00:00"/>
    <d v="2012-01-23T00:00:00"/>
    <n v="2580"/>
    <n v="2526"/>
    <x v="22"/>
    <d v="2012-02-02T00:00:00"/>
    <m/>
    <n v="9321633572"/>
    <n v="20"/>
    <s v="VCSU2003094"/>
    <s v="KYOTO TOWER/KTWR1200"/>
    <m/>
    <s v="YANTIAN"/>
    <s v="SP-QLY/SP-QLY/SP-TECH/SP-TECH/SP-QLY/SP-QLY/"/>
    <m/>
    <s v="DOROTHEA LING"/>
    <s v="FO9"/>
    <s v="BEVERAGE                      "/>
    <s v="CONFIRMED"/>
    <n v="1"/>
    <n v="3"/>
    <d v="2012-01-19T00:00:00"/>
    <s v="KITCHEN ELECTRICS             "/>
    <s v="BREAKFAST &amp; BREVAGE PREP      "/>
    <x v="2"/>
    <x v="1"/>
    <x v="13"/>
    <s v="SP-QLY"/>
    <n v="1"/>
    <n v="1"/>
    <x v="13"/>
    <n v="6"/>
    <x v="0"/>
    <x v="0"/>
    <x v="0"/>
    <n v="0"/>
    <n v="0"/>
    <n v="0"/>
    <n v="0"/>
    <n v="0"/>
    <n v="0"/>
    <x v="0"/>
    <x v="1"/>
    <x v="1"/>
    <x v="0"/>
  </r>
  <r>
    <s v="Shipment"/>
    <n v="99107296"/>
    <s v="SOCIMAR                                           "/>
    <n v="99005151"/>
    <x v="18"/>
    <s v="9321631457/000010"/>
    <n v="1370143116"/>
    <n v="10"/>
    <x v="7"/>
    <x v="7"/>
    <s v="M1"/>
    <n v="1830003458"/>
    <n v="8"/>
    <s v="VU5540F0       "/>
    <s v="VU5540F0 STAND FAN TURBO SILENCE                  "/>
    <s v="S"/>
    <d v="2012-01-03T00:00:00"/>
    <m/>
    <s v="X"/>
    <x v="31"/>
    <n v="23.29"/>
    <n v="25619"/>
    <d v="2012-01-05T00:00:00"/>
    <d v="2012-01-05T00:00:00"/>
    <n v="970"/>
    <d v="2012-01-05T00:00:00"/>
    <n v="970"/>
    <m/>
    <d v="2012-01-05T00:00:00"/>
    <n v="970"/>
    <d v="2012-01-04T00:00:00"/>
    <d v="2012-01-04T00:00:00"/>
    <n v="970"/>
    <n v="970"/>
    <x v="2"/>
    <d v="2012-01-04T00:00:00"/>
    <m/>
    <n v="9321633578"/>
    <n v="10"/>
    <s v="MEDU4316730 / F"/>
    <s v="MSC PALOMA V.D1152R"/>
    <m/>
    <s v="YANTIAN"/>
    <m/>
    <m/>
    <s v="RITA CHOW"/>
    <s v="FO9"/>
    <s v="HOME COMFORT                  "/>
    <s v="CONFIRMED"/>
    <n v="1"/>
    <n v="1"/>
    <d v="2012-01-04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7296"/>
    <s v="SOCIMAR                                           "/>
    <n v="99005151"/>
    <x v="18"/>
    <s v="9321631458/000010"/>
    <n v="1370143117"/>
    <n v="10"/>
    <x v="7"/>
    <x v="7"/>
    <s v="M1"/>
    <n v="1830003459"/>
    <n v="8"/>
    <s v="VU5560F0       "/>
    <s v="VU5560F0 STAND FAN SILENCE PROT.ANTI-MOS          "/>
    <s v="S"/>
    <d v="2012-01-03T00:00:00"/>
    <m/>
    <s v="X"/>
    <x v="31"/>
    <n v="26.11"/>
    <n v="28710"/>
    <d v="2012-01-05T00:00:00"/>
    <d v="2012-01-05T00:00:00"/>
    <n v="970"/>
    <d v="2012-01-05T00:00:00"/>
    <n v="970"/>
    <m/>
    <d v="2012-01-05T00:00:00"/>
    <n v="970"/>
    <d v="2012-01-04T00:00:00"/>
    <d v="2012-01-04T00:00:00"/>
    <n v="970"/>
    <n v="970"/>
    <x v="2"/>
    <d v="2012-01-04T00:00:00"/>
    <m/>
    <n v="9321633579"/>
    <n v="10"/>
    <s v="CLHU4577543 / F"/>
    <s v="MSC PALOMA V.D1152R"/>
    <m/>
    <s v="YANTIAN"/>
    <m/>
    <m/>
    <s v="RITA CHOW"/>
    <s v="FO9"/>
    <s v="HOME COMFORT                  "/>
    <s v="CONFIRMED"/>
    <n v="1"/>
    <n v="1"/>
    <d v="2012-01-04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432/000030"/>
    <n v="1370142979"/>
    <n v="30"/>
    <x v="36"/>
    <x v="36"/>
    <s v="L4"/>
    <n v="1830003911"/>
    <n v="76"/>
    <s v="TN1111F0       "/>
    <s v="TN1111F0 HAIRCLIPPER MOVING                       "/>
    <s v="S"/>
    <d v="2012-01-05T00:00:00"/>
    <m/>
    <s v="X"/>
    <x v="31"/>
    <n v="6.45"/>
    <n v="10"/>
    <d v="2012-01-16T00:00:00"/>
    <d v="2011-12-19T00:00:00"/>
    <n v="3072"/>
    <d v="2011-12-28T00:00:00"/>
    <n v="3072"/>
    <m/>
    <d v="2011-12-19T00:00:00"/>
    <n v="3072"/>
    <d v="2012-01-30T00:00:00"/>
    <d v="2012-01-02T00:00:00"/>
    <n v="3072"/>
    <n v="3072"/>
    <x v="16"/>
    <d v="2012-01-31T00:00:00"/>
    <m/>
    <n v="9321633595"/>
    <n v="10"/>
    <s v="IEAU2630912"/>
    <s v="HANJIN AMSTERDAM/007"/>
    <m/>
    <s v="YANTIAN"/>
    <s v="SAILING-SCHED-UPDATE/CONS-SHIPT/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433/000210"/>
    <n v="1370142980"/>
    <n v="210"/>
    <x v="36"/>
    <x v="36"/>
    <s v="L4"/>
    <n v="1830002713"/>
    <n v="76"/>
    <s v="TN8110E4       "/>
    <s v="TN8110E4 HAIR CLIPPER EXPERTISE PRECISIO          "/>
    <s v="S"/>
    <d v="2012-01-05T00:00:00"/>
    <m/>
    <s v="X"/>
    <x v="31"/>
    <n v="15.62"/>
    <n v="13673"/>
    <d v="2011-12-30T00:00:00"/>
    <d v="2011-12-02T00:00:00"/>
    <n v="3000"/>
    <d v="2011-12-28T00:00:00"/>
    <n v="3000"/>
    <m/>
    <d v="2011-12-20T00:00:00"/>
    <n v="3000"/>
    <d v="2012-01-30T00:00:00"/>
    <d v="2012-01-02T00:00:00"/>
    <n v="3000"/>
    <n v="3000"/>
    <x v="16"/>
    <d v="2012-01-31T00:00:00"/>
    <m/>
    <n v="9321633596"/>
    <n v="10"/>
    <s v="IEAU2630912"/>
    <s v="HANJIN AMSTERDAM/007"/>
    <m/>
    <s v="YANTIAN"/>
    <s v="SAILING-SCHED-UPDATE/CONS-SHIPT/SP-NO-FORECAST/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3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3/000010"/>
    <n v="1370143210"/>
    <n v="10"/>
    <x v="37"/>
    <x v="37"/>
    <s v="N3"/>
    <n v="1500633927"/>
    <n v="177"/>
    <n v="633927"/>
    <s v="KJ700051 FRYER KRUPS  4.5L WS                     "/>
    <s v="S"/>
    <d v="2012-01-16T00:00:00"/>
    <m/>
    <s v="X"/>
    <x v="31"/>
    <n v="62.83"/>
    <n v="75"/>
    <d v="2012-02-01T00:00:00"/>
    <d v="2011-12-28T00:00:00"/>
    <n v="755"/>
    <d v="2012-01-10T00:00:00"/>
    <n v="755"/>
    <m/>
    <d v="2011-12-28T00:00:00"/>
    <n v="755"/>
    <d v="2012-02-14T00:00:00"/>
    <d v="2012-01-10T00:00:00"/>
    <n v="755"/>
    <n v="755"/>
    <x v="5"/>
    <d v="2012-02-14T00:00:00"/>
    <m/>
    <n v="9321633607"/>
    <n v="10"/>
    <s v="ITAU4163246"/>
    <s v="ZIM ONTARIO 12E01/"/>
    <m/>
    <s v="YANTIAN"/>
    <s v="C-PULL IN -CONF / CLX-NEG(shows an excess of stock? Sorry but gs usa DON'T need it until end of 04/2"/>
    <m/>
    <s v="TWEETY LEUNG"/>
    <s v="FO9"/>
    <s v="ELECTRICAL COOKING            "/>
    <s v="CONFIRMED"/>
    <n v="1"/>
    <n v="2"/>
    <d v="2012-01-10T00:00:00"/>
    <s v="KITCHEN ELECTRICS             "/>
    <s v="ELECTRICAL COOKING            "/>
    <x v="1"/>
    <x v="1"/>
    <x v="1"/>
    <m/>
    <n v="0"/>
    <n v="0"/>
    <x v="1"/>
    <n v="3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433/000030"/>
    <n v="1370142980"/>
    <n v="30"/>
    <x v="38"/>
    <x v="38"/>
    <s v="L4"/>
    <n v="1830002709"/>
    <n v="76"/>
    <s v="TN1050F0       "/>
    <s v="TN1050F0 HAIR CLIPPER DRIVER                      "/>
    <s v="S"/>
    <d v="2012-01-04T00:00:00"/>
    <m/>
    <s v="X"/>
    <x v="31"/>
    <n v="6.23"/>
    <n v="13673"/>
    <d v="2012-01-16T00:00:00"/>
    <d v="2011-12-19T00:00:00"/>
    <n v="3000"/>
    <d v="2012-01-02T00:00:00"/>
    <n v="3000"/>
    <m/>
    <d v="2011-12-19T00:00:00"/>
    <n v="3000"/>
    <d v="2012-01-30T00:00:00"/>
    <d v="2012-01-02T00:00:00"/>
    <n v="3000"/>
    <n v="3000"/>
    <x v="3"/>
    <d v="2012-01-30T00:00:00"/>
    <m/>
    <n v="9321633638"/>
    <n v="10"/>
    <s v="HJCU8041225"/>
    <s v="HANJIN AMSTERDAM/007"/>
    <m/>
    <s v="YANTIAN"/>
    <s v="CONS-SHIPT/"/>
    <m/>
    <s v="JASON FAN"/>
    <s v="FO9"/>
    <s v="PERSONAL CARE                 "/>
    <s v="CONFIRMED"/>
    <n v="1"/>
    <n v="1"/>
    <d v="2012-01-02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57721/000010"/>
    <n v="1370142622"/>
    <n v="10"/>
    <x v="3"/>
    <x v="3"/>
    <s v="R1"/>
    <n v="8000032189"/>
    <n v="27"/>
    <s v="CM415510       "/>
    <s v="CM415510 FCM 10/15T GLASS JUG                     "/>
    <s v="S"/>
    <d v="2012-01-17T00:00:00"/>
    <m/>
    <s v="X"/>
    <x v="31"/>
    <n v="15.07"/>
    <n v="13"/>
    <d v="2011-12-29T00:00:00"/>
    <d v="2011-11-24T00:00:00"/>
    <n v="1500"/>
    <d v="2012-01-19T00:00:00"/>
    <n v="1500"/>
    <m/>
    <d v="2011-12-26T00:00:00"/>
    <n v="1500"/>
    <d v="2012-02-23T00:00:00"/>
    <d v="2012-01-19T00:00:00"/>
    <n v="1500"/>
    <n v="1500"/>
    <x v="8"/>
    <d v="2012-02-20T00:00:00"/>
    <m/>
    <n v="9321633661"/>
    <n v="10"/>
    <s v="MOFU0631243"/>
    <s v="HYUNDAI BRAVE/023W"/>
    <m/>
    <s v="YANTIAN"/>
    <s v="C-POST-CONF/SP-NO-FORECAST/"/>
    <m/>
    <s v="AGNES NUNES"/>
    <s v="FO9"/>
    <s v="BEVERAGE                      "/>
    <s v="CONFIRMED"/>
    <n v="1"/>
    <n v="3"/>
    <d v="2012-01-16T00:00:00"/>
    <s v="KITCHEN ELECTRICS             "/>
    <s v="BREAKFAST &amp; BREVAGE PREP      "/>
    <x v="2"/>
    <x v="1"/>
    <x v="3"/>
    <s v="C-POST-CONF"/>
    <n v="-3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6402"/>
    <s v="GROUPE SEB (Thailand) Ltd                         "/>
    <n v="99006402"/>
    <x v="8"/>
    <s v="521/000001"/>
    <n v="1370140602"/>
    <n v="10"/>
    <x v="6"/>
    <x v="6"/>
    <s v="N3"/>
    <n v="1500577907"/>
    <n v="53"/>
    <n v="577907"/>
    <s v="OF245830 OVEN DELICE 18LCV+LIGHT BLK ES/          "/>
    <s v="S"/>
    <d v="2012-01-09T00:00:00"/>
    <m/>
    <s v="X"/>
    <x v="31"/>
    <n v="39.97"/>
    <n v="9"/>
    <d v="2012-01-09T00:00:00"/>
    <d v="2011-12-26T00:00:00"/>
    <n v="300"/>
    <d v="2011-12-26T00:00:00"/>
    <n v="300"/>
    <m/>
    <d v="2011-12-26T00:00:00"/>
    <n v="300"/>
    <d v="2012-01-07T00:00:00"/>
    <d v="2011-12-24T00:00:00"/>
    <n v="300"/>
    <n v="300"/>
    <x v="2"/>
    <d v="2012-01-18T00:00:00"/>
    <m/>
    <n v="9321633694"/>
    <n v="10"/>
    <s v="SGCU1984006"/>
    <s v="YM IMPROVEMENT"/>
    <m/>
    <s v="ZHUHAI"/>
    <m/>
    <m/>
    <s v="TWEETY LEUNG"/>
    <s v="FO9"/>
    <s v="ELECTRICAL COOKING            "/>
    <s v="CONFIRMED"/>
    <n v="1"/>
    <n v="1"/>
    <d v="2012-01-04T00:00:00"/>
    <s v="KITCHEN ELECTRICS             "/>
    <s v="ELECTRICAL COOKING            "/>
    <x v="2"/>
    <x v="1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003300"/>
    <s v="GROUPE SEB JAPAN CO LTD                           "/>
    <n v="99003300"/>
    <x v="25"/>
    <s v="3719/000004"/>
    <n v="1370142986"/>
    <n v="110"/>
    <x v="23"/>
    <x v="23"/>
    <s v="N4"/>
    <n v="2820105170"/>
    <n v="32"/>
    <n v="633036"/>
    <s v="VC105170 STMC S.SMART 2B TRIT WHT/GRE JP          "/>
    <s v="S"/>
    <d v="2012-01-04T00:00:00"/>
    <m/>
    <s v="X"/>
    <x v="31"/>
    <n v="23.625299999999999"/>
    <n v="13"/>
    <d v="2011-12-12T00:00:00"/>
    <d v="2011-11-28T00:00:00"/>
    <n v="1008"/>
    <d v="2011-12-31T00:00:00"/>
    <n v="940"/>
    <m/>
    <d v="2011-11-28T00:00:00"/>
    <n v="940"/>
    <d v="2012-01-17T00:00:00"/>
    <d v="2012-01-03T00:00:00"/>
    <n v="940"/>
    <n v="940"/>
    <x v="3"/>
    <d v="2012-01-16T00:00:00"/>
    <m/>
    <n v="9321633716"/>
    <n v="10"/>
    <s v="TGHU4895935"/>
    <s v="GLORY FORTUNE"/>
    <m/>
    <s v="SHANGHAI"/>
    <s v="C-POST-CONF/SP-QLY"/>
    <m/>
    <s v="DOROTHEA LING"/>
    <s v="FO9"/>
    <s v="ELECTRICAL COOKING            "/>
    <s v="CONFIRMED"/>
    <n v="1"/>
    <n v="1"/>
    <d v="2012-01-02T00:00:00"/>
    <s v="KITCHEN ELECTRICS             "/>
    <s v="ELECTRICAL COOKING            "/>
    <x v="0"/>
    <x v="0"/>
    <x v="13"/>
    <s v="C-POST-CONF"/>
    <n v="1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27190/000010"/>
    <n v="1370141914"/>
    <n v="10"/>
    <x v="0"/>
    <x v="0"/>
    <s v="A1"/>
    <n v="2100048513"/>
    <n v="205"/>
    <n v="115001321"/>
    <s v="E9724652 D.OV24LID SS UNCOAT PRO SERIE G          "/>
    <s v="S"/>
    <d v="2012-01-17T00:00:00"/>
    <m/>
    <s v="X"/>
    <x v="31"/>
    <n v="12.598100000000001"/>
    <n v="9"/>
    <d v="2012-02-03T00:00:00"/>
    <d v="2011-12-30T00:00:00"/>
    <n v="500"/>
    <d v="2012-01-14T00:00:00"/>
    <n v="500"/>
    <m/>
    <d v="2011-12-24T00:00:00"/>
    <n v="500"/>
    <d v="2012-02-18T00:00:00"/>
    <d v="2012-01-14T00:00:00"/>
    <n v="500"/>
    <n v="500"/>
    <x v="11"/>
    <d v="2012-02-19T00:00:00"/>
    <m/>
    <n v="9321633721"/>
    <n v="10"/>
    <s v="APZU4064954"/>
    <s v="APL HAMBURG/015W"/>
    <m/>
    <s v="NINGBO"/>
    <s v="C-POST-NEG"/>
    <m/>
    <s v="JASON FAN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31906/000010"/>
    <n v="1370143133"/>
    <n v="10"/>
    <x v="0"/>
    <x v="0"/>
    <s v="A1"/>
    <n v="2100046387"/>
    <n v="205"/>
    <n v="115001160"/>
    <s v="B8010405 FP24 4U SS COATED FCE                    "/>
    <s v="S"/>
    <d v="2012-01-12T00:00:00"/>
    <m/>
    <s v="X"/>
    <x v="31"/>
    <n v="9.2345000000000006"/>
    <n v="7"/>
    <d v="2012-01-13T00:00:00"/>
    <d v="2011-12-09T00:00:00"/>
    <n v="2004"/>
    <d v="2012-01-07T00:00:00"/>
    <n v="2004"/>
    <m/>
    <d v="2011-12-03T00:00:00"/>
    <n v="2004"/>
    <d v="2012-02-11T00:00:00"/>
    <d v="2012-01-07T00:00:00"/>
    <n v="2004"/>
    <n v="2004"/>
    <x v="23"/>
    <d v="2012-02-12T00:00:00"/>
    <m/>
    <n v="9321633766"/>
    <n v="10"/>
    <s v="TRLU6991305"/>
    <s v="BUSAN EXPRESS/04W01"/>
    <m/>
    <s v="NINGBO"/>
    <s v="C-POST-NEG/LATE DOC FROM FORWARDER"/>
    <m/>
    <s v="JASON FAN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31901/000010"/>
    <n v="1370143163"/>
    <n v="10"/>
    <x v="0"/>
    <x v="0"/>
    <s v="A1"/>
    <n v="2100046390"/>
    <n v="205"/>
    <n v="115001163"/>
    <s v="B8010705 FP30 4U SS COATED FCE                    "/>
    <s v="S"/>
    <d v="2012-01-17T00:00:00"/>
    <m/>
    <s v="X"/>
    <x v="31"/>
    <n v="11.8224"/>
    <n v="9"/>
    <d v="2012-01-13T00:00:00"/>
    <d v="2011-12-09T00:00:00"/>
    <n v="1002"/>
    <d v="2012-01-14T00:00:00"/>
    <n v="1002"/>
    <m/>
    <d v="2011-12-03T00:00:00"/>
    <n v="1002"/>
    <d v="2012-02-18T00:00:00"/>
    <d v="2012-01-14T00:00:00"/>
    <n v="1002"/>
    <n v="1002"/>
    <x v="11"/>
    <d v="2012-02-19T00:00:00"/>
    <m/>
    <n v="9321633772"/>
    <n v="10"/>
    <s v="APZU4064954"/>
    <s v="APL HAMBURG/015W"/>
    <m/>
    <s v="NINGBO"/>
    <s v="C-POST-NEG"/>
    <m/>
    <s v="JASON FAN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33283/000010"/>
    <n v="1370143202"/>
    <n v="10"/>
    <x v="0"/>
    <x v="0"/>
    <s v="A4"/>
    <n v="8700800313"/>
    <n v="208"/>
    <n v="115000227"/>
    <s v="3011 - 11&quot; LTD SQUARE GRILLE PAN                  "/>
    <s v="S"/>
    <d v="2012-01-11T00:00:00"/>
    <m/>
    <s v="X"/>
    <x v="31"/>
    <n v="17.8354"/>
    <n v="20"/>
    <d v="2012-01-10T00:00:00"/>
    <d v="2011-12-06T00:00:00"/>
    <n v="1000"/>
    <d v="2012-01-06T00:00:00"/>
    <n v="1000"/>
    <m/>
    <d v="2011-12-02T00:00:00"/>
    <n v="1000"/>
    <d v="2012-02-10T00:00:00"/>
    <d v="2012-01-06T00:00:00"/>
    <n v="1000"/>
    <n v="1000"/>
    <x v="12"/>
    <d v="2012-02-11T00:00:00"/>
    <m/>
    <n v="9321633779"/>
    <n v="10"/>
    <s v="HLXU6226851"/>
    <s v="NYK METEOR"/>
    <m/>
    <s v="NINGBO"/>
    <s v="C-POST-CONF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33429/000010"/>
    <n v="1370143191"/>
    <n v="10"/>
    <x v="31"/>
    <x v="31"/>
    <s v="A1"/>
    <n v="2100067829"/>
    <n v="200"/>
    <n v="116001102"/>
    <s v="A809S594 GRIP RIGHT TNS GREY 5P ENTREE S          "/>
    <s v="S"/>
    <d v="2012-01-16T00:00:00"/>
    <m/>
    <s v="X"/>
    <x v="31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98"/>
    <x v="5"/>
    <d v="2012-02-21T00:00:00"/>
    <m/>
    <n v="9321633813"/>
    <n v="10"/>
    <s v="FSCU9296696"/>
    <s v="HUAI AN YONG SHUN A0"/>
    <m/>
    <s v="WUHAN"/>
    <s v="C-POST-CONF/SP-OVERCAP/LATE DOC(ETD 17-Nov/received 23-Nov)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29/000010"/>
    <n v="1370143191"/>
    <n v="10"/>
    <x v="31"/>
    <x v="31"/>
    <s v="A1"/>
    <n v="2100067829"/>
    <n v="200"/>
    <n v="116001102"/>
    <s v="A809S594 GRIP RIGHT TNS GREY 5P ENTREE S          "/>
    <s v="S"/>
    <d v="2012-01-18T00:00:00"/>
    <m/>
    <s v="X"/>
    <x v="31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79"/>
    <x v="24"/>
    <d v="2012-02-24T00:00:00"/>
    <m/>
    <n v="9321633813"/>
    <n v="10"/>
    <s v="CMAU5331670"/>
    <s v="JI HAI ZHI XIU A138/"/>
    <m/>
    <s v="WUHAN"/>
    <s v="C-POST-CONF/SP-OVERCAP/LATE DOC(ETD 17-Nov/received 23-Nov)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29/000010"/>
    <n v="1370143191"/>
    <n v="10"/>
    <x v="31"/>
    <x v="31"/>
    <s v="A1"/>
    <n v="2100067829"/>
    <n v="200"/>
    <n v="116001102"/>
    <s v="A809S594 GRIP RIGHT TNS GREY 5P ENTREE S          "/>
    <s v="S"/>
    <d v="2012-01-18T00:00:00"/>
    <m/>
    <s v="X"/>
    <x v="31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241"/>
    <x v="24"/>
    <d v="2012-02-24T00:00:00"/>
    <m/>
    <n v="9321633813"/>
    <n v="10"/>
    <s v="CMAU8331885"/>
    <s v="JI HAI ZHI XIU A138/"/>
    <m/>
    <s v="WUHAN"/>
    <s v="C-POST-CONF/SP-OVERCAP/LATE DOC(ETD 17-Nov/received 23-Nov)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29/000010"/>
    <n v="1370143191"/>
    <n v="10"/>
    <x v="31"/>
    <x v="31"/>
    <s v="A1"/>
    <n v="2100067829"/>
    <n v="200"/>
    <n v="116001102"/>
    <s v="A809S594 GRIP RIGHT TNS GREY 5P ENTREE S          "/>
    <s v="S"/>
    <d v="2012-01-16T00:00:00"/>
    <m/>
    <s v="X"/>
    <x v="31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50"/>
    <x v="5"/>
    <d v="2012-02-21T00:00:00"/>
    <m/>
    <n v="9321633813"/>
    <n v="10"/>
    <s v="CMAU4011395"/>
    <s v="HUAI AN YONG SHUN A0"/>
    <m/>
    <s v="WUHAN"/>
    <s v="C-POST-CONF/SP-OVERCAP/LATE DOC(ETD 17-Nov/received 23-Nov)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29/000010"/>
    <n v="1370143191"/>
    <n v="10"/>
    <x v="31"/>
    <x v="31"/>
    <s v="A1"/>
    <n v="2100067829"/>
    <n v="200"/>
    <n v="116001102"/>
    <s v="A809S594 GRIP RIGHT TNS GREY 5P ENTREE S          "/>
    <s v="S"/>
    <d v="2012-01-16T00:00:00"/>
    <m/>
    <s v="X"/>
    <x v="31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50"/>
    <x v="5"/>
    <d v="2012-02-21T00:00:00"/>
    <m/>
    <n v="9321633813"/>
    <n v="10"/>
    <s v="CMAU5119070"/>
    <s v="HUAI AN YONG SHUN A0"/>
    <m/>
    <s v="WUHAN"/>
    <s v="C-POST-CONF/SP-OVERCAP/LATE DOC(ETD 17-Nov/received 23-Nov)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29/000010"/>
    <n v="1370143191"/>
    <n v="10"/>
    <x v="31"/>
    <x v="31"/>
    <s v="A1"/>
    <n v="2100067829"/>
    <n v="200"/>
    <n v="116001102"/>
    <s v="A809S594 GRIP RIGHT TNS GREY 5P ENTREE S          "/>
    <s v="S"/>
    <d v="2012-01-16T00:00:00"/>
    <m/>
    <s v="X"/>
    <x v="31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80"/>
    <x v="5"/>
    <d v="2012-02-21T00:00:00"/>
    <m/>
    <n v="9321633813"/>
    <n v="10"/>
    <s v="ECMU9520700"/>
    <s v="HUAI AN YONG SHUN A0"/>
    <m/>
    <s v="WUHAN"/>
    <s v="C-POST-CONF/SP-OVERCAP/LATE DOC(ETD 17-Nov/received 23-Nov)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29/000010"/>
    <n v="1370143191"/>
    <n v="10"/>
    <x v="31"/>
    <x v="31"/>
    <s v="A1"/>
    <n v="2100067829"/>
    <n v="200"/>
    <n v="116001102"/>
    <s v="A809S594 GRIP RIGHT TNS GREY 5P ENTREE S          "/>
    <s v="S"/>
    <d v="2012-01-16T00:00:00"/>
    <m/>
    <s v="X"/>
    <x v="31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123"/>
    <x v="5"/>
    <d v="2012-02-21T00:00:00"/>
    <m/>
    <n v="9321633813"/>
    <n v="10"/>
    <s v="ECMU9619708"/>
    <s v="HUAI AN YONG SHUN A0"/>
    <m/>
    <s v="WUHAN"/>
    <s v="C-POST-CONF/SP-OVERCAP/LATE DOC(ETD 17-Nov/received 23-Nov)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29/000010"/>
    <n v="1370143191"/>
    <n v="10"/>
    <x v="31"/>
    <x v="31"/>
    <s v="A1"/>
    <n v="2100067829"/>
    <n v="200"/>
    <n v="116001102"/>
    <s v="A809S594 GRIP RIGHT TNS GREY 5P ENTREE S          "/>
    <s v="S"/>
    <d v="2012-01-18T00:00:00"/>
    <m/>
    <s v="X"/>
    <x v="31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80"/>
    <x v="24"/>
    <d v="2012-02-24T00:00:00"/>
    <m/>
    <n v="9321633813"/>
    <n v="10"/>
    <s v="TTNU9473635"/>
    <s v="JI HAI ZHI XIU A138/"/>
    <m/>
    <s v="WUHAN"/>
    <s v="C-POST-CONF/SP-OVERCAP/LATE DOC(ETD 17-Nov/received 23-Nov)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29/000010"/>
    <n v="1370143191"/>
    <n v="10"/>
    <x v="31"/>
    <x v="31"/>
    <s v="A1"/>
    <n v="2100067829"/>
    <n v="200"/>
    <n v="116001102"/>
    <s v="A809S594 GRIP RIGHT TNS GREY 5P ENTREE S          "/>
    <s v="S"/>
    <d v="2012-01-16T00:00:00"/>
    <m/>
    <s v="X"/>
    <x v="31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99"/>
    <x v="5"/>
    <d v="2012-02-21T00:00:00"/>
    <m/>
    <n v="9321633813"/>
    <n v="10"/>
    <s v="CMAU5152401"/>
    <s v="HUAI AN YONG SHUN A0"/>
    <m/>
    <s v="WUHAN"/>
    <s v="C-POST-CONF/SP-OVERCAP/LATE DOC(ETD 17-Nov/received 23-Nov)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29/000010"/>
    <n v="1370143191"/>
    <n v="10"/>
    <x v="31"/>
    <x v="31"/>
    <s v="A1"/>
    <n v="2100067829"/>
    <n v="200"/>
    <n v="116001102"/>
    <s v="A809S594 GRIP RIGHT TNS GREY 5P ENTREE S          "/>
    <s v="S"/>
    <d v="2012-01-18T00:00:00"/>
    <m/>
    <s v="X"/>
    <x v="31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650"/>
    <x v="24"/>
    <d v="2012-02-24T00:00:00"/>
    <m/>
    <n v="9321633813"/>
    <n v="10"/>
    <s v="CMAU8330831"/>
    <s v="JI HAI ZHI XIU A138/"/>
    <m/>
    <s v="WUHAN"/>
    <s v="C-POST-CONF/SP-OVERCAP/LATE DOC(ETD 17-Nov/received 23-Nov)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29/000010"/>
    <n v="1370143191"/>
    <n v="10"/>
    <x v="31"/>
    <x v="31"/>
    <s v="A1"/>
    <n v="2100067829"/>
    <n v="200"/>
    <n v="116001102"/>
    <s v="A809S594 GRIP RIGHT TNS GREY 5P ENTREE S          "/>
    <s v="S"/>
    <d v="2012-01-18T00:00:00"/>
    <m/>
    <s v="X"/>
    <x v="31"/>
    <n v="18.853999999999999"/>
    <n v="27"/>
    <d v="2012-01-02T00:00:00"/>
    <d v="2011-11-21T00:00:00"/>
    <n v="28000"/>
    <d v="2012-01-13T00:00:00"/>
    <n v="28000"/>
    <m/>
    <d v="2011-12-02T00:00:00"/>
    <n v="38000"/>
    <d v="2012-02-24T00:00:00"/>
    <d v="2012-01-13T00:00:00"/>
    <n v="28000"/>
    <n v="1350"/>
    <x v="24"/>
    <d v="2012-02-24T00:00:00"/>
    <m/>
    <n v="9321633813"/>
    <n v="10"/>
    <s v="TRLU7337665"/>
    <s v="JI HAI ZHI XIU A138/"/>
    <m/>
    <s v="WUHAN"/>
    <s v="C-POST-CONF/SP-OVERCAP/LATE DOC(ETD 17-Nov/received 23-Nov)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03/000010"/>
    <n v="1370143218"/>
    <n v="10"/>
    <x v="31"/>
    <x v="31"/>
    <s v="A1"/>
    <n v="2100065307"/>
    <n v="201"/>
    <n v="116000996"/>
    <s v="A909SI84 SET 18P CLAS MACHINED GREY USA           "/>
    <s v="S"/>
    <d v="2012-01-16T00:00:00"/>
    <m/>
    <s v="X"/>
    <x v="31"/>
    <n v="49.091099999999997"/>
    <n v="51"/>
    <d v="2012-01-02T00:00:00"/>
    <d v="2011-11-21T00:00:00"/>
    <n v="2500"/>
    <d v="2012-01-06T00:00:00"/>
    <n v="2500"/>
    <m/>
    <d v="2011-11-25T00:00:00"/>
    <n v="2500"/>
    <d v="2012-02-14T00:00:00"/>
    <d v="2012-01-03T00:00:00"/>
    <n v="2500"/>
    <n v="5"/>
    <x v="2"/>
    <d v="2012-02-15T00:00:00"/>
    <m/>
    <n v="9321633814"/>
    <n v="10"/>
    <s v="TGHU4971104"/>
    <s v="SHUN CHENG 999 HAO"/>
    <m/>
    <s v="WUHAN"/>
    <s v="C-POST-CONF/WRONG EDI"/>
    <m/>
    <s v="TWEETY LEUNG"/>
    <s v="FO9"/>
    <s v="COOKWARE                      "/>
    <s v="CONFIRMED"/>
    <n v="1"/>
    <n v="1"/>
    <d v="2012-01-04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33403/000010"/>
    <n v="1370143218"/>
    <n v="10"/>
    <x v="31"/>
    <x v="31"/>
    <s v="A1"/>
    <n v="2100065307"/>
    <n v="201"/>
    <n v="116000996"/>
    <s v="A909SI84 SET 18P CLAS MACHINED GREY USA           "/>
    <s v="S"/>
    <d v="2012-01-11T00:00:00"/>
    <m/>
    <s v="X"/>
    <x v="31"/>
    <n v="49.091099999999997"/>
    <n v="51"/>
    <d v="2012-01-02T00:00:00"/>
    <d v="2011-11-21T00:00:00"/>
    <n v="2500"/>
    <d v="2012-01-06T00:00:00"/>
    <n v="2500"/>
    <m/>
    <d v="2011-11-25T00:00:00"/>
    <n v="2500"/>
    <d v="2012-02-14T00:00:00"/>
    <d v="2012-01-03T00:00:00"/>
    <n v="2500"/>
    <n v="894"/>
    <x v="2"/>
    <d v="2012-02-15T00:00:00"/>
    <m/>
    <n v="9321633814"/>
    <n v="10"/>
    <s v="CMAU5700824"/>
    <s v="SHUN CHENG 999 HAO A"/>
    <m/>
    <s v="WUHAN"/>
    <s v="C-POST-CONF/WRONG EDI"/>
    <m/>
    <s v="TWEETY LEUNG"/>
    <s v="FO9"/>
    <s v="COOKWARE                      "/>
    <s v="CONFIRMED"/>
    <n v="1"/>
    <n v="1"/>
    <d v="2012-01-04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33403/000010"/>
    <n v="1370143218"/>
    <n v="10"/>
    <x v="31"/>
    <x v="31"/>
    <s v="A1"/>
    <n v="2100065307"/>
    <n v="201"/>
    <n v="116000996"/>
    <s v="A909SI84 SET 18P CLAS MACHINED GREY USA           "/>
    <s v="S"/>
    <d v="2012-01-11T00:00:00"/>
    <m/>
    <s v="X"/>
    <x v="31"/>
    <n v="49.091099999999997"/>
    <n v="51"/>
    <d v="2012-01-02T00:00:00"/>
    <d v="2011-11-21T00:00:00"/>
    <n v="2500"/>
    <d v="2012-01-06T00:00:00"/>
    <n v="2500"/>
    <m/>
    <d v="2011-11-25T00:00:00"/>
    <n v="2500"/>
    <d v="2012-02-14T00:00:00"/>
    <d v="2012-01-03T00:00:00"/>
    <n v="2500"/>
    <n v="816"/>
    <x v="2"/>
    <d v="2012-02-15T00:00:00"/>
    <m/>
    <n v="9321633814"/>
    <n v="10"/>
    <s v="ECMU4390291"/>
    <s v="SHUN CHENG 999 HAO A"/>
    <m/>
    <s v="WUHAN"/>
    <s v="C-POST-CONF/WRONG EDI"/>
    <m/>
    <s v="TWEETY LEUNG"/>
    <s v="FO9"/>
    <s v="COOKWARE                      "/>
    <s v="CONFIRMED"/>
    <n v="1"/>
    <n v="1"/>
    <d v="2012-01-04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33403/000010"/>
    <n v="1370143218"/>
    <n v="10"/>
    <x v="31"/>
    <x v="31"/>
    <s v="A1"/>
    <n v="2100065307"/>
    <n v="201"/>
    <n v="116000996"/>
    <s v="A909SI84 SET 18P CLAS MACHINED GREY USA           "/>
    <s v="S"/>
    <d v="2012-01-11T00:00:00"/>
    <m/>
    <s v="X"/>
    <x v="31"/>
    <n v="49.091099999999997"/>
    <n v="51"/>
    <d v="2012-01-02T00:00:00"/>
    <d v="2011-11-21T00:00:00"/>
    <n v="2500"/>
    <d v="2012-01-06T00:00:00"/>
    <n v="2500"/>
    <m/>
    <d v="2011-11-25T00:00:00"/>
    <n v="2500"/>
    <d v="2012-02-14T00:00:00"/>
    <d v="2012-01-03T00:00:00"/>
    <n v="2500"/>
    <n v="785"/>
    <x v="2"/>
    <d v="2012-02-15T00:00:00"/>
    <m/>
    <n v="9321633814"/>
    <n v="10"/>
    <s v="INBU5142244"/>
    <s v="SHUN CHENG 999 HAO A"/>
    <m/>
    <s v="WUHAN"/>
    <s v="C-POST-CONF/WRONG EDI"/>
    <m/>
    <s v="TWEETY LEUNG"/>
    <s v="FO9"/>
    <s v="COOKWARE                      "/>
    <s v="CONFIRMED"/>
    <n v="1"/>
    <n v="1"/>
    <d v="2012-01-04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31105/000010"/>
    <n v="1370143201"/>
    <n v="10"/>
    <x v="39"/>
    <x v="39"/>
    <s v="R1"/>
    <n v="1500634613"/>
    <n v="27"/>
    <n v="634613"/>
    <s v="KM100050 FILTERED COFFEE MAKER                    "/>
    <s v="S"/>
    <d v="2012-01-04T00:00:00"/>
    <m/>
    <s v="X"/>
    <x v="32"/>
    <n v="19.670000000000002"/>
    <n v="22341"/>
    <d v="2012-01-25T00:00:00"/>
    <d v="2011-12-21T00:00:00"/>
    <n v="1728"/>
    <d v="2012-01-07T00:00:00"/>
    <n v="1728"/>
    <m/>
    <d v="2011-12-21T00:00:00"/>
    <n v="1728"/>
    <d v="2012-02-11T00:00:00"/>
    <d v="2012-01-07T00:00:00"/>
    <n v="1728"/>
    <n v="1728"/>
    <x v="3"/>
    <d v="2012-02-06T00:00:00"/>
    <m/>
    <n v="9321634697"/>
    <n v="10"/>
    <s v="TCKU9730037"/>
    <s v="NYK REMUS 16E52/"/>
    <m/>
    <s v="YANTIAN"/>
    <s v="C-POST-CONF/"/>
    <m/>
    <s v="TWEETY LEUNG"/>
    <s v="FO9"/>
    <s v="BEVERAGE                      "/>
    <s v="CONFIRMED"/>
    <n v="1"/>
    <n v="1"/>
    <d v="2012-01-02T00:00:00"/>
    <s v="KITCHEN ELECTRICS             "/>
    <s v="BREAKFAST &amp; BREVAGE PREP      "/>
    <x v="4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9500"/>
    <s v="SEB INTERNATIONAL SERVICE SAS                     "/>
    <n v="99009500"/>
    <x v="16"/>
    <s v="9321635663/000010"/>
    <n v="1370143730"/>
    <n v="10"/>
    <x v="18"/>
    <x v="18"/>
    <s v="M5"/>
    <n v="2210014923"/>
    <n v="82"/>
    <s v="MT000501       "/>
    <s v="MT000501 BOX 6 PAPER BAGS ACCESSIMO COMP          "/>
    <s v="S"/>
    <d v="2012-01-16T00:00:00"/>
    <m/>
    <s v="X"/>
    <x v="33"/>
    <n v="1.64"/>
    <n v="1"/>
    <d v="2012-02-22T00:00:00"/>
    <d v="2012-01-18T00:00:00"/>
    <n v="6000"/>
    <d v="2012-01-18T00:00:00"/>
    <n v="6000"/>
    <m/>
    <d v="2012-01-18T00:00:00"/>
    <n v="6000"/>
    <d v="2012-02-22T00:00:00"/>
    <d v="2012-01-18T00:00:00"/>
    <n v="6000"/>
    <n v="6000"/>
    <x v="9"/>
    <d v="2012-02-18T00:00:00"/>
    <m/>
    <n v="9321636235"/>
    <n v="10"/>
    <s v="APZU3934345"/>
    <s v="APL DHAKA/002W"/>
    <m/>
    <s v="SHANGHAI"/>
    <m/>
    <m/>
    <s v="VERA YUNG, CANDY CHAN"/>
    <s v="FOC"/>
    <s v="HOME CLEANING                 "/>
    <s v="CONFIRMED"/>
    <n v="1"/>
    <n v="2"/>
    <d v="2012-01-14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58535/000010"/>
    <n v="1370143412"/>
    <n v="10"/>
    <x v="0"/>
    <x v="0"/>
    <s v="A1"/>
    <n v="2100061786"/>
    <n v="208"/>
    <n v="115002742"/>
    <s v="E9054644 D.OV24+LID STR JO3 ALU ANODIZED          "/>
    <s v="S"/>
    <d v="2012-01-05T00:00:00"/>
    <m/>
    <s v="X"/>
    <x v="34"/>
    <n v="20.0199"/>
    <n v="115817"/>
    <d v="2012-01-16T00:00:00"/>
    <d v="2011-12-12T00:00:00"/>
    <n v="1000"/>
    <d v="2012-01-02T00:00:00"/>
    <n v="1000"/>
    <m/>
    <d v="2011-12-05T00:00:00"/>
    <n v="1000"/>
    <d v="2012-02-06T00:00:00"/>
    <d v="2012-01-02T00:00:00"/>
    <n v="1000"/>
    <n v="1000"/>
    <x v="3"/>
    <d v="2012-02-06T00:00:00"/>
    <m/>
    <n v="9321636412"/>
    <n v="10"/>
    <s v="CBHU8730265"/>
    <s v="COSCO TAICANG/016W"/>
    <m/>
    <s v="NINGBO"/>
    <s v="C-POST-CONF/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58535/000020"/>
    <n v="1370143412"/>
    <n v="20"/>
    <x v="0"/>
    <x v="0"/>
    <s v="A1"/>
    <n v="2100061385"/>
    <n v="208"/>
    <n v="115002713"/>
    <s v="E9052344 JO SCP18+LID ALU ANODIZED INDUC          "/>
    <s v="S"/>
    <d v="2012-01-05T00:00:00"/>
    <m/>
    <s v="X"/>
    <x v="34"/>
    <n v="15.0588"/>
    <n v="115817"/>
    <d v="2012-01-16T00:00:00"/>
    <d v="2011-12-12T00:00:00"/>
    <n v="1000"/>
    <d v="2012-01-02T00:00:00"/>
    <n v="1000"/>
    <m/>
    <d v="2011-12-05T00:00:00"/>
    <n v="1000"/>
    <d v="2012-02-06T00:00:00"/>
    <d v="2012-01-02T00:00:00"/>
    <n v="1000"/>
    <n v="1000"/>
    <x v="3"/>
    <d v="2012-02-06T00:00:00"/>
    <m/>
    <n v="9321636412"/>
    <n v="20"/>
    <s v="CBHU9053488"/>
    <s v="COSCO TAICANG/016W"/>
    <m/>
    <s v="NINGBO"/>
    <s v="C-POST-CONF/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57800/000010"/>
    <n v="1370143356"/>
    <n v="10"/>
    <x v="5"/>
    <x v="5"/>
    <s v="R1"/>
    <n v="1500634620"/>
    <n v="55"/>
    <n v="634620"/>
    <s v="BV300930 KET ADAGIO 1.4L BRW EUR                  "/>
    <s v="S"/>
    <d v="2012-01-06T00:00:00"/>
    <m/>
    <s v="X"/>
    <x v="35"/>
    <n v="15.68"/>
    <n v="14104"/>
    <d v="2011-12-27T00:00:00"/>
    <d v="2011-11-22T00:00:00"/>
    <n v="2100"/>
    <d v="2012-01-01T00:00:00"/>
    <n v="2100"/>
    <m/>
    <d v="2011-12-02T00:00:00"/>
    <n v="2100"/>
    <d v="2012-02-05T00:00:00"/>
    <d v="2012-01-01T00:00:00"/>
    <n v="2100"/>
    <n v="2100"/>
    <x v="13"/>
    <d v="2012-02-05T00:00:00"/>
    <m/>
    <n v="9321638306"/>
    <n v="10"/>
    <s v="MSKU3482391"/>
    <s v="MAERSK SERANGOON/120"/>
    <m/>
    <s v="YANTIAN"/>
    <s v="SP-PROD-ISSUE/"/>
    <m/>
    <s v="AGNES NUNES"/>
    <s v="FO9"/>
    <s v="BEVERAGE                      "/>
    <s v="CONFIRMED"/>
    <n v="1"/>
    <n v="52"/>
    <d v="2012-01-01T00:00:00"/>
    <s v="KITCHEN ELECTRICS             "/>
    <s v="BREAKFAST &amp; BREVAGE PREP      "/>
    <x v="4"/>
    <x v="1"/>
    <x v="1"/>
    <m/>
    <n v="0"/>
    <n v="0"/>
    <x v="1"/>
    <n v="1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38044/000010"/>
    <n v="1370144260"/>
    <n v="10"/>
    <x v="27"/>
    <x v="27"/>
    <s v="N1"/>
    <n v="2100051785"/>
    <n v="52"/>
    <s v="SW280302       "/>
    <s v="SW280302 SNACK TIME 3 PLAQUES FR DT BE            "/>
    <s v="S"/>
    <d v="2012-01-27T00:00:00"/>
    <m/>
    <s v="X"/>
    <x v="35"/>
    <n v="19.809999999999999"/>
    <n v="17"/>
    <d v="2012-01-06T00:00:00"/>
    <d v="2011-12-02T00:00:00"/>
    <n v="1311"/>
    <d v="2012-01-20T00:00:00"/>
    <n v="1311"/>
    <m/>
    <d v="2011-12-02T00:00:00"/>
    <n v="1311"/>
    <d v="2012-02-24T00:00:00"/>
    <d v="2012-01-20T00:00:00"/>
    <n v="1311"/>
    <n v="1311"/>
    <x v="14"/>
    <d v="2012-02-24T00:00:00"/>
    <m/>
    <n v="9321638344"/>
    <n v="10"/>
    <s v="PONU1573825"/>
    <s v="MAERSK EINDHOVEN"/>
    <m/>
    <s v="YANTIAN"/>
    <s v="C-PULLIN-CONF/C-POST-CONF/"/>
    <m/>
    <s v="JASON FAN"/>
    <s v="FO9"/>
    <s v="ELECTRICAL COOKING            "/>
    <s v="CONFIRMED"/>
    <n v="1"/>
    <n v="3"/>
    <d v="2012-01-20T00:00:00"/>
    <s v="KITCHEN ELECTRICS             "/>
    <s v="ELECTRICAL COOKING            "/>
    <x v="2"/>
    <x v="1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565/000210"/>
    <n v="1370144084"/>
    <n v="210"/>
    <x v="40"/>
    <x v="40"/>
    <s v="L4"/>
    <n v="1830003060"/>
    <n v="5"/>
    <s v="CV4212F0       "/>
    <s v="CV4212F0 STUDIO DRY HAIR DRYER                    "/>
    <s v="S"/>
    <d v="2012-01-05T00:00:00"/>
    <m/>
    <s v="X"/>
    <x v="35"/>
    <n v="5.33"/>
    <n v="13"/>
    <d v="2012-01-30T00:00:00"/>
    <d v="2012-01-02T00:00:00"/>
    <n v="3000"/>
    <d v="2012-01-02T00:00:00"/>
    <n v="3000"/>
    <m/>
    <d v="2012-01-02T00:00:00"/>
    <n v="3000"/>
    <d v="2012-01-30T00:00:00"/>
    <d v="2012-01-02T00:00:00"/>
    <n v="3000"/>
    <n v="3000"/>
    <x v="3"/>
    <d v="2012-01-30T00:00:00"/>
    <m/>
    <n v="9321638354"/>
    <n v="10"/>
    <s v="TTNU4867981"/>
    <s v="HANJIN AMSTERDAM/007"/>
    <m/>
    <s v="YANTIAN"/>
    <s v="CONS-SHIPT/"/>
    <m/>
    <s v="JASON FAN"/>
    <s v="FO9"/>
    <s v="PERSONAL CARE                 "/>
    <s v="CONFIRMED"/>
    <n v="1"/>
    <n v="1"/>
    <d v="2012-01-02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37953/000010"/>
    <n v="1370144211"/>
    <n v="10"/>
    <x v="36"/>
    <x v="36"/>
    <s v="L4"/>
    <n v="1830002620"/>
    <n v="171"/>
    <s v="TZ5020C0       "/>
    <s v="TZ5020C0 BIKINI TRIMMER EXPERTISE                 "/>
    <s v="S"/>
    <d v="2012-01-09T00:00:00"/>
    <m/>
    <s v="X"/>
    <x v="35"/>
    <n v="11.35"/>
    <n v="11"/>
    <d v="2012-01-06T00:00:00"/>
    <d v="2011-12-02T00:00:00"/>
    <n v="3000"/>
    <d v="2011-12-02T00:00:00"/>
    <n v="3000"/>
    <m/>
    <d v="2011-12-09T00:00:00"/>
    <n v="4500"/>
    <d v="2012-02-10T00:00:00"/>
    <d v="2012-01-06T00:00:00"/>
    <n v="3000"/>
    <n v="1500"/>
    <x v="7"/>
    <d v="2012-02-10T00:00:00"/>
    <m/>
    <n v="9321638357"/>
    <n v="10"/>
    <s v="MRKU3219866"/>
    <s v="MAERSK ESSEN/1202"/>
    <m/>
    <s v="YANTIAN"/>
    <s v="CONS-SHIPT/CONS-SHIPT/"/>
    <m/>
    <s v="JASON FAN"/>
    <s v="FO9"/>
    <s v="PERSONAL CARE                 "/>
    <s v="CONFIRMED"/>
    <n v="1"/>
    <n v="1"/>
    <d v="2012-01-06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37620/000010"/>
    <n v="1370144193"/>
    <n v="10"/>
    <x v="37"/>
    <x v="37"/>
    <s v="P1"/>
    <n v="8000001773"/>
    <n v="25"/>
    <s v="F3727510       "/>
    <s v="F3727510 SLICER KRUPS F372                        "/>
    <s v="S"/>
    <d v="2012-01-05T00:00:00"/>
    <m/>
    <s v="X"/>
    <x v="35"/>
    <n v="35.97"/>
    <n v="31101"/>
    <d v="2012-01-06T00:00:00"/>
    <d v="2011-12-02T00:00:00"/>
    <n v="1520"/>
    <d v="2012-01-02T00:00:00"/>
    <n v="1520"/>
    <m/>
    <d v="2011-11-30T00:00:00"/>
    <n v="1520"/>
    <d v="2012-02-06T00:00:00"/>
    <d v="2012-01-02T00:00:00"/>
    <n v="1520"/>
    <n v="1520"/>
    <x v="16"/>
    <d v="2012-02-07T00:00:00"/>
    <m/>
    <n v="9321638364"/>
    <n v="10"/>
    <s v="TRLU9439460"/>
    <s v="HYUNDAI VANCOUVER/00"/>
    <m/>
    <s v="YANTIAN"/>
    <s v="C-POST-CONF/SP-MTL/SP-HOLIDAY/"/>
    <m/>
    <s v="JASON FAN"/>
    <s v="FO9"/>
    <s v="FOOD PREPARATION              "/>
    <s v="CONFIRMED"/>
    <n v="1"/>
    <n v="1"/>
    <d v="2012-01-03T00:00:00"/>
    <s v="KITCHEN ELECTRICS             "/>
    <s v="FOOD PREPARATION              "/>
    <x v="1"/>
    <x v="1"/>
    <x v="9"/>
    <s v="C-POST-CONF"/>
    <n v="1"/>
    <n v="-3"/>
    <x v="0"/>
    <n v="3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565/000040"/>
    <n v="1370144084"/>
    <n v="40"/>
    <x v="18"/>
    <x v="18"/>
    <s v="M5"/>
    <n v="2210016489"/>
    <n v="74"/>
    <s v="RH7737IA       "/>
    <s v="RH7737IA POWERLINE BAGLESS CLEANER RH773          "/>
    <s v="S"/>
    <d v="2012-01-10T00:00:00"/>
    <m/>
    <s v="X"/>
    <x v="35"/>
    <n v="30.17"/>
    <n v="13"/>
    <d v="2012-01-30T00:00:00"/>
    <d v="2012-01-02T00:00:00"/>
    <n v="520"/>
    <d v="2012-01-02T00:00:00"/>
    <n v="520"/>
    <m/>
    <d v="2012-01-06T00:00:00"/>
    <n v="520"/>
    <d v="2012-02-05T00:00:00"/>
    <d v="2012-01-08T00:00:00"/>
    <n v="520"/>
    <n v="520"/>
    <x v="23"/>
    <d v="2012-02-05T00:00:00"/>
    <m/>
    <n v="9321638396"/>
    <n v="20"/>
    <s v="UACU8412716"/>
    <s v="XIN FU ZHOU/1202W"/>
    <m/>
    <s v="SHANGHAI"/>
    <m/>
    <m/>
    <s v="JASON FAN"/>
    <s v="FO9"/>
    <s v="HOME CLEANING                 "/>
    <s v="CONFIRMED"/>
    <n v="1"/>
    <n v="1"/>
    <d v="2012-01-08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565/000110"/>
    <n v="1370144084"/>
    <n v="110"/>
    <x v="18"/>
    <x v="18"/>
    <s v="M5"/>
    <n v="2210016198"/>
    <n v="74"/>
    <s v="RH7637IA       "/>
    <s v="RH7637IA IVOIRY  POWERLINE STICK CLEANER          "/>
    <s v="S"/>
    <d v="2012-01-10T00:00:00"/>
    <m/>
    <s v="X"/>
    <x v="35"/>
    <n v="27.03"/>
    <n v="13"/>
    <d v="2012-01-30T00:00:00"/>
    <d v="2012-01-02T00:00:00"/>
    <n v="520"/>
    <d v="2012-01-02T00:00:00"/>
    <n v="520"/>
    <m/>
    <d v="2012-01-06T00:00:00"/>
    <n v="520"/>
    <d v="2012-02-05T00:00:00"/>
    <d v="2012-01-08T00:00:00"/>
    <n v="520"/>
    <n v="520"/>
    <x v="23"/>
    <d v="2012-02-05T00:00:00"/>
    <m/>
    <n v="9321638396"/>
    <n v="60"/>
    <s v="UACU8412716"/>
    <s v="XIN FU ZHOU/1202W"/>
    <m/>
    <s v="SHANGHAI"/>
    <m/>
    <m/>
    <s v="JASON FAN"/>
    <s v="FO9"/>
    <s v="HOME CLEANING                 "/>
    <s v="CONFIRMED"/>
    <n v="1"/>
    <n v="1"/>
    <d v="2012-01-08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565/000150"/>
    <n v="1370144084"/>
    <n v="150"/>
    <x v="18"/>
    <x v="18"/>
    <s v="M5"/>
    <n v="2210015543"/>
    <n v="161"/>
    <s v="RO342701       "/>
    <s v="RO342701 VAC CLEANER COMPACTEO CYCLONIC           "/>
    <s v="S"/>
    <d v="2012-01-12T00:00:00"/>
    <m/>
    <s v="X"/>
    <x v="35"/>
    <n v="30.83"/>
    <n v="13"/>
    <d v="2012-01-23T00:00:00"/>
    <d v="2011-12-26T00:00:00"/>
    <n v="730"/>
    <d v="2012-01-08T00:00:00"/>
    <n v="730"/>
    <m/>
    <d v="2011-12-30T00:00:00"/>
    <n v="730"/>
    <d v="2012-02-03T00:00:00"/>
    <d v="2012-01-06T00:00:00"/>
    <n v="730"/>
    <n v="730"/>
    <x v="5"/>
    <d v="2012-02-07T00:00:00"/>
    <m/>
    <n v="9321638396"/>
    <n v="70"/>
    <s v="OOLU7339056"/>
    <s v="BUSAN EXPRESS/04W01"/>
    <m/>
    <s v="SHANGHAI"/>
    <s v="C-POST-CONF"/>
    <m/>
    <s v="JASON FAN"/>
    <s v="FO9"/>
    <s v="HOME CLEANING                 "/>
    <s v="CONFIRMED"/>
    <n v="1"/>
    <n v="2"/>
    <d v="2012-01-10T00:00:00"/>
    <s v="HOME CLEANING                 "/>
    <s v="HOME CLEANING                 "/>
    <x v="6"/>
    <x v="2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37756/000010"/>
    <n v="1370144253"/>
    <n v="10"/>
    <x v="41"/>
    <x v="41"/>
    <s v="A3"/>
    <n v="2100059078"/>
    <n v="240"/>
    <s v="M3000302       "/>
    <s v="M3000302 MULTI GRATER CROCOPOM MOULINEX           "/>
    <s v="S"/>
    <d v="2012-01-09T00:00:00"/>
    <m/>
    <s v="X"/>
    <x v="35"/>
    <n v="2.7582"/>
    <n v="3"/>
    <d v="2012-01-20T00:00:00"/>
    <d v="2011-12-16T00:00:00"/>
    <n v="4008"/>
    <d v="2012-01-02T00:00:00"/>
    <n v="4008"/>
    <m/>
    <d v="2011-12-16T00:00:00"/>
    <n v="4008"/>
    <d v="2012-02-06T00:00:00"/>
    <d v="2012-01-02T00:00:00"/>
    <n v="4008"/>
    <n v="4008"/>
    <x v="13"/>
    <d v="2012-02-05T00:00:00"/>
    <m/>
    <n v="9321638406"/>
    <n v="10"/>
    <s v="MSKU6341720"/>
    <s v="CHARLOTTE MAERSK/120"/>
    <m/>
    <s v="YANTIAN"/>
    <s v="CONS-SHIPT/LATE DOC FROM FORWARDER"/>
    <m/>
    <s v="JASON FAN"/>
    <s v="FO9"/>
    <s v="COOKWARE                      "/>
    <s v="CONFIRMED"/>
    <n v="1"/>
    <n v="52"/>
    <d v="2012-01-01T00:00:00"/>
    <s v="COOKWARE                      "/>
    <s v="COOKWARE                      "/>
    <x v="1"/>
    <x v="1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36951/000010"/>
    <n v="1370144218"/>
    <n v="10"/>
    <x v="4"/>
    <x v="4"/>
    <s v="M5"/>
    <n v="2210016669"/>
    <n v="68"/>
    <s v="RH855101       "/>
    <s v="RH855101 AIR FORCE CORDLESS HANDSTICK-18          "/>
    <s v="S"/>
    <d v="2012-01-07T00:00:00"/>
    <m/>
    <s v="X"/>
    <x v="35"/>
    <n v="48.06"/>
    <n v="41"/>
    <d v="2012-01-06T00:00:00"/>
    <d v="2011-12-02T00:00:00"/>
    <n v="826"/>
    <d v="2012-01-10T00:00:00"/>
    <n v="826"/>
    <m/>
    <d v="2011-12-02T00:00:00"/>
    <n v="826"/>
    <d v="2012-02-08T00:00:00"/>
    <d v="2012-01-04T00:00:00"/>
    <n v="826"/>
    <n v="826"/>
    <x v="2"/>
    <d v="2012-02-08T00:00:00"/>
    <m/>
    <n v="9321638424"/>
    <n v="10"/>
    <s v="PONU1720103"/>
    <s v="MAREN MAERSK 121W/"/>
    <m/>
    <s v="YANTIAN"/>
    <s v="C-POST-CONF/C-POST-CONF/"/>
    <m/>
    <s v="JASON FAN"/>
    <s v="FO9"/>
    <s v="HOME CLEANING                 "/>
    <s v="CONFIRMED"/>
    <n v="1"/>
    <n v="1"/>
    <d v="2012-01-04T00:00:00"/>
    <s v="HOME CLEANING                 "/>
    <s v="HOME CLEANING                 "/>
    <x v="3"/>
    <x v="2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37482/000010"/>
    <n v="1370144186"/>
    <n v="10"/>
    <x v="39"/>
    <x v="39"/>
    <s v="L2"/>
    <n v="2100032244"/>
    <n v="48"/>
    <s v="PX1250A0       "/>
    <s v="PX1250A0 BOTTLE WARMER MLX                        "/>
    <s v="S"/>
    <d v="2012-01-09T00:00:00"/>
    <m/>
    <s v="X"/>
    <x v="35"/>
    <n v="5.34"/>
    <n v="5"/>
    <d v="2012-01-06T00:00:00"/>
    <d v="2011-12-02T00:00:00"/>
    <n v="1008"/>
    <d v="2012-01-02T00:00:00"/>
    <n v="1008"/>
    <m/>
    <d v="2011-12-02T00:00:00"/>
    <n v="1008"/>
    <d v="2012-01-30T00:00:00"/>
    <d v="2011-12-26T00:00:00"/>
    <n v="1008"/>
    <n v="1008"/>
    <x v="16"/>
    <d v="2012-02-07T00:00:00"/>
    <m/>
    <n v="9321638437"/>
    <n v="10"/>
    <s v="AMFU8869801"/>
    <s v="H.VANCOUVER/007W"/>
    <m/>
    <s v="YANTIAN"/>
    <s v="NEWREQ-CUSTOMS/SAILING-SCHED-UPDATE/LATE DOC FROM FORWARDER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4"/>
    <x v="1"/>
    <x v="8"/>
    <s v="NEWREQ-CUSTOMS"/>
    <n v="1"/>
    <n v="1"/>
    <x v="14"/>
    <n v="3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29390/000010"/>
    <n v="1370143799"/>
    <n v="10"/>
    <x v="42"/>
    <x v="42"/>
    <s v="N1"/>
    <n v="2100066419"/>
    <n v="50"/>
    <s v="GC305084       "/>
    <s v="GC305084 GRILL UC600 A12 CLASSIC ARNO 12          "/>
    <s v="S"/>
    <d v="2012-01-06T00:00:00"/>
    <m/>
    <s v="X"/>
    <x v="35"/>
    <n v="25.39"/>
    <n v="29"/>
    <d v="2012-01-09T00:00:00"/>
    <d v="2011-11-28T00:00:00"/>
    <n v="900"/>
    <d v="2011-12-20T00:00:00"/>
    <n v="900"/>
    <m/>
    <d v="2011-11-28T00:00:00"/>
    <n v="900"/>
    <d v="2012-02-15T00:00:00"/>
    <d v="2012-01-04T00:00:00"/>
    <n v="900"/>
    <n v="900"/>
    <x v="2"/>
    <d v="2012-02-15T00:00:00"/>
    <m/>
    <n v="9321638462"/>
    <n v="10"/>
    <s v="MRKU0291018"/>
    <s v="MAERSK LIMA 152W/"/>
    <m/>
    <s v="YANTIAN"/>
    <s v="NEWREQ-CUSTOMS/C-ETD-TEMP/SP-HOLIDAY/"/>
    <m/>
    <s v="THOMAS HO"/>
    <s v="FO9"/>
    <s v="ELECTRICAL COOKING            "/>
    <s v="CONFIRMED"/>
    <n v="1"/>
    <n v="1"/>
    <d v="2012-01-04T00:00:00"/>
    <s v="KITCHEN ELECTRICS             "/>
    <s v="ELECTRICAL COOKING            "/>
    <x v="2"/>
    <x v="1"/>
    <x v="8"/>
    <s v="C-ETD-TEMP"/>
    <n v="1"/>
    <n v="-3"/>
    <x v="7"/>
    <n v="3"/>
    <x v="0"/>
    <x v="0"/>
    <x v="1"/>
    <n v="0"/>
    <n v="0"/>
    <n v="0"/>
    <n v="0"/>
    <n v="0"/>
    <n v="0"/>
    <x v="1"/>
    <x v="0"/>
    <x v="1"/>
    <x v="0"/>
  </r>
  <r>
    <s v="Shipment"/>
    <n v="99001621"/>
    <s v="GRUPO SEB DO BRASIL                               "/>
    <n v="99001600"/>
    <x v="2"/>
    <s v="9820629390/000020"/>
    <n v="1370143799"/>
    <n v="20"/>
    <x v="42"/>
    <x v="42"/>
    <s v="N1"/>
    <n v="2100066435"/>
    <n v="50"/>
    <s v="GC305074       "/>
    <s v="GC305074 GRILL UC600 A12 CLASSIC ARNO 22          "/>
    <s v="S"/>
    <d v="2012-01-06T00:00:00"/>
    <m/>
    <s v="X"/>
    <x v="35"/>
    <n v="24.59"/>
    <n v="29"/>
    <d v="2012-01-09T00:00:00"/>
    <d v="2011-11-28T00:00:00"/>
    <n v="840"/>
    <d v="2011-12-20T00:00:00"/>
    <n v="840"/>
    <m/>
    <d v="2011-11-28T00:00:00"/>
    <n v="840"/>
    <d v="2012-02-15T00:00:00"/>
    <d v="2012-01-04T00:00:00"/>
    <n v="840"/>
    <n v="840"/>
    <x v="2"/>
    <d v="2012-02-15T00:00:00"/>
    <m/>
    <n v="9321638462"/>
    <n v="20"/>
    <s v="MRKU0291018"/>
    <s v="MAERSK LIMA 152W/"/>
    <m/>
    <s v="YANTIAN"/>
    <s v="NEWREQ-CUSTOMS/C-ETD-TEMP/SP-HOLIDAY/"/>
    <m/>
    <s v="THOMAS HO"/>
    <s v="FO9"/>
    <s v="ELECTRICAL COOKING            "/>
    <s v="CONFIRMED"/>
    <n v="1"/>
    <n v="1"/>
    <d v="2012-01-04T00:00:00"/>
    <s v="KITCHEN ELECTRICS             "/>
    <s v="ELECTRICAL COOKING            "/>
    <x v="2"/>
    <x v="1"/>
    <x v="8"/>
    <s v="C-ETD-TEMP"/>
    <n v="1"/>
    <n v="-3"/>
    <x v="7"/>
    <n v="3"/>
    <x v="0"/>
    <x v="0"/>
    <x v="1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8565/000090"/>
    <n v="1370144084"/>
    <n v="90"/>
    <x v="17"/>
    <x v="17"/>
    <s v="L4"/>
    <n v="1830003751"/>
    <n v="5"/>
    <s v="CV8655E0       "/>
    <s v="CV8655E0 HAIR DRYER AC MOTOR INIFINIPRO           "/>
    <s v="S"/>
    <d v="2012-01-05T00:00:00"/>
    <m/>
    <s v="X"/>
    <x v="35"/>
    <n v="13.17"/>
    <n v="13"/>
    <d v="2012-01-27T00:00:00"/>
    <d v="2011-12-30T00:00:00"/>
    <n v="6000"/>
    <d v="2011-12-30T00:00:00"/>
    <n v="6000"/>
    <m/>
    <d v="2011-12-30T00:00:00"/>
    <n v="6000"/>
    <d v="2012-01-30T00:00:00"/>
    <d v="2012-01-02T00:00:00"/>
    <n v="6000"/>
    <n v="6000"/>
    <x v="16"/>
    <d v="2012-01-31T00:00:00"/>
    <m/>
    <n v="9321638495"/>
    <n v="30"/>
    <s v="UACU8222721"/>
    <s v="HANJIN AMSTERDAM/007"/>
    <m/>
    <s v="HONG KONG"/>
    <s v="C-PULLIN-CONF/C-POST-CONF/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3"/>
    <s v="C-POST-CONF"/>
    <n v="-3"/>
    <n v="-3"/>
    <x v="0"/>
    <n v="2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37647/000010"/>
    <n v="1370144158"/>
    <n v="10"/>
    <x v="6"/>
    <x v="6"/>
    <s v="R1"/>
    <n v="8000033841"/>
    <n v="27"/>
    <s v="FG100131       "/>
    <s v="FG100131 FCM NOVEO 10C WHT FR                     "/>
    <s v="S"/>
    <d v="2012-01-07T00:00:00"/>
    <m/>
    <s v="X"/>
    <x v="35"/>
    <n v="9.66"/>
    <n v="8"/>
    <d v="2012-01-06T00:00:00"/>
    <d v="2011-12-02T00:00:00"/>
    <n v="1938"/>
    <d v="2012-01-05T00:00:00"/>
    <n v="1938"/>
    <m/>
    <d v="2011-12-17T00:00:00"/>
    <n v="1938"/>
    <d v="2012-02-07T00:00:00"/>
    <d v="2012-01-03T00:00:00"/>
    <n v="1938"/>
    <n v="1938"/>
    <x v="7"/>
    <d v="2012-02-10T00:00:00"/>
    <m/>
    <n v="9321638506"/>
    <n v="10"/>
    <s v="UESU4148416"/>
    <s v="BO YUN 938/***"/>
    <m/>
    <s v="ZHUHAI"/>
    <s v="FORWARDER-PROB/C-POST-CONF/SP-OVERCAP/"/>
    <m/>
    <s v="JASON FAN"/>
    <s v="FO9"/>
    <s v="BEVERAGE                      "/>
    <s v="CONFIRMED"/>
    <n v="1"/>
    <n v="1"/>
    <d v="2012-01-06T00:00:00"/>
    <s v="KITCHEN ELECTRICS             "/>
    <s v="BREAKFAST &amp; BREVAGE PREP      "/>
    <x v="2"/>
    <x v="1"/>
    <x v="0"/>
    <s v="C-POST-CONF"/>
    <n v="1"/>
    <n v="-3"/>
    <x v="0"/>
    <n v="3"/>
    <x v="0"/>
    <x v="0"/>
    <x v="0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29388/000010"/>
    <n v="1370143800"/>
    <n v="10"/>
    <x v="43"/>
    <x v="43"/>
    <s v="N3"/>
    <n v="1500578128"/>
    <n v="116"/>
    <n v="578128"/>
    <s v="PF110150 BDM PROMO 900G 220V WHT BR               "/>
    <s v="S"/>
    <d v="2012-01-20T00:00:00"/>
    <m/>
    <s v="X"/>
    <x v="35"/>
    <n v="32.11"/>
    <n v="37"/>
    <d v="2012-01-09T00:00:00"/>
    <d v="2011-11-28T00:00:00"/>
    <n v="1372"/>
    <d v="2012-01-11T00:00:00"/>
    <n v="1310"/>
    <m/>
    <d v="2011-12-07T00:00:00"/>
    <n v="1310"/>
    <d v="2012-02-22T00:00:00"/>
    <d v="2012-01-11T00:00:00"/>
    <n v="1310"/>
    <n v="1310"/>
    <x v="21"/>
    <d v="2012-02-29T00:00:00"/>
    <m/>
    <n v="9321638515"/>
    <n v="10"/>
    <s v="SUDU6723726"/>
    <s v="MAERSK LUZ 202W/"/>
    <m/>
    <s v="YANTIAN"/>
    <s v="NEWREQ-CUSTOMS/BU-ETD-TEMP/SP-NO-FORECAST/"/>
    <m/>
    <s v="THOMAS HO"/>
    <s v="FO9"/>
    <s v="ELECTRICAL COOKING            "/>
    <s v="CONFIRMED"/>
    <n v="1"/>
    <n v="3"/>
    <d v="2012-01-18T00:00:00"/>
    <s v="KITCHEN ELECTRICS             "/>
    <s v="ELECTRICAL COOKING            "/>
    <x v="1"/>
    <x v="1"/>
    <x v="8"/>
    <s v="BU-ETD-TEMP"/>
    <n v="1"/>
    <n v="-3"/>
    <x v="3"/>
    <n v="3"/>
    <x v="0"/>
    <x v="0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29388/000020"/>
    <n v="1370143800"/>
    <n v="20"/>
    <x v="43"/>
    <x v="43"/>
    <s v="N3"/>
    <n v="1500578129"/>
    <n v="116"/>
    <n v="578129"/>
    <s v="PF110151 BDM PROMO 900G 127V WHT BR               "/>
    <s v="S"/>
    <d v="2012-01-20T00:00:00"/>
    <m/>
    <s v="X"/>
    <x v="35"/>
    <n v="32.450000000000003"/>
    <n v="37"/>
    <d v="2012-01-09T00:00:00"/>
    <d v="2011-11-28T00:00:00"/>
    <n v="1372"/>
    <d v="2012-01-11T00:00:00"/>
    <n v="1310"/>
    <m/>
    <d v="2011-12-07T00:00:00"/>
    <n v="1310"/>
    <d v="2012-02-22T00:00:00"/>
    <d v="2012-01-11T00:00:00"/>
    <n v="1310"/>
    <n v="1310"/>
    <x v="21"/>
    <d v="2012-02-29T00:00:00"/>
    <m/>
    <n v="9321638515"/>
    <n v="20"/>
    <s v="SUDU8576476"/>
    <s v="MAERSK LUZ 202W/"/>
    <m/>
    <s v="YANTIAN"/>
    <s v="NEWREQ-CUSTOMS/BU-ETD-TEMP/SP-NO-FORECAST/"/>
    <m/>
    <s v="THOMAS HO"/>
    <s v="FO9"/>
    <s v="ELECTRICAL COOKING            "/>
    <s v="CONFIRMED"/>
    <n v="1"/>
    <n v="3"/>
    <d v="2012-01-18T00:00:00"/>
    <s v="KITCHEN ELECTRICS             "/>
    <s v="ELECTRICAL COOKING            "/>
    <x v="1"/>
    <x v="1"/>
    <x v="8"/>
    <s v="BU-ETD-TEMP"/>
    <n v="1"/>
    <n v="-3"/>
    <x v="3"/>
    <n v="3"/>
    <x v="0"/>
    <x v="0"/>
    <x v="1"/>
    <n v="1"/>
    <n v="0"/>
    <n v="1"/>
    <n v="0"/>
    <n v="0"/>
    <n v="1"/>
    <x v="0"/>
    <x v="0"/>
    <x v="1"/>
    <x v="1"/>
  </r>
  <r>
    <s v="Shipment"/>
    <n v="99002102"/>
    <s v="GROUPE SEB ITALIA S.p.a                           "/>
    <n v="99002102"/>
    <x v="14"/>
    <s v="4600078574/000110"/>
    <n v="1370144085"/>
    <n v="110"/>
    <x v="44"/>
    <x v="44"/>
    <s v="P1"/>
    <n v="1500817090"/>
    <n v="25"/>
    <n v="817090"/>
    <s v="DJAA42 KNF SECALIO WHT FR                         "/>
    <s v="S"/>
    <d v="2012-01-04T00:00:00"/>
    <m/>
    <s v="X"/>
    <x v="35"/>
    <n v="7.17"/>
    <n v="23"/>
    <d v="2012-01-23T00:00:00"/>
    <d v="2011-12-26T00:00:00"/>
    <n v="1152"/>
    <d v="2012-01-02T00:00:00"/>
    <n v="1152"/>
    <m/>
    <d v="2011-12-26T00:00:00"/>
    <n v="1152"/>
    <d v="2012-01-30T00:00:00"/>
    <d v="2012-01-02T00:00:00"/>
    <n v="1152"/>
    <n v="1152"/>
    <x v="3"/>
    <d v="2012-01-30T00:00:00"/>
    <m/>
    <n v="9321638526"/>
    <n v="30"/>
    <s v="HJCU8041225"/>
    <s v="HANJIN AMSTERDAM/007"/>
    <m/>
    <s v="SHENZHEN"/>
    <s v="SAILING-SCHED-UPDATE/C-POST-CONF/"/>
    <m/>
    <s v="JASON FAN"/>
    <s v="FO9"/>
    <s v="FOOD PREPARATION              "/>
    <s v="CONFIRMED"/>
    <n v="1"/>
    <n v="1"/>
    <d v="2012-01-02T00:00:00"/>
    <s v="KITCHEN ELECTRICS             "/>
    <s v="FOOD PREPARATION              "/>
    <x v="2"/>
    <x v="1"/>
    <x v="3"/>
    <s v="C-POST-CONF"/>
    <n v="-3"/>
    <n v="-3"/>
    <x v="0"/>
    <n v="2"/>
    <x v="0"/>
    <x v="1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27918/000010"/>
    <n v="1370143271"/>
    <n v="10"/>
    <x v="45"/>
    <x v="45"/>
    <s v="J4"/>
    <n v="1830003973"/>
    <n v="1"/>
    <s v="IM1210B1*      "/>
    <s v="IM1210B1 STEAM IRON ACCESS SUCCESSOR              "/>
    <s v="S"/>
    <d v="2012-02-01T00:00:00"/>
    <m/>
    <s v="X"/>
    <x v="35"/>
    <n v="8.01"/>
    <n v="11"/>
    <d v="2012-01-23T00:00:00"/>
    <d v="2011-12-12T00:00:00"/>
    <n v="4320"/>
    <d v="2011-12-12T00:00:00"/>
    <n v="4320"/>
    <m/>
    <m/>
    <m/>
    <d v="2012-03-04T00:00:00"/>
    <d v="2012-01-22T00:00:00"/>
    <n v="4320"/>
    <n v="4320"/>
    <x v="1"/>
    <d v="2012-03-05T00:00:00"/>
    <m/>
    <n v="9321638547"/>
    <n v="10"/>
    <s v="MSKU7103177"/>
    <m/>
    <m/>
    <s v="JAKARTA"/>
    <s v="NEWREQ-CUSTOMS/"/>
    <m/>
    <s v="THOMAS HO"/>
    <s v="FO9"/>
    <s v="LINEN CARE                    "/>
    <s v="CONFIRMED"/>
    <n v="1"/>
    <n v="4"/>
    <d v="2012-01-23T00:00:00"/>
    <s v="LINEN PERS HOME CARE          "/>
    <s v="LINEN CARE                    "/>
    <x v="5"/>
    <x v="2"/>
    <x v="8"/>
    <s v="NEWREQ-CUSTOMS"/>
    <n v="1"/>
    <n v="1"/>
    <x v="14"/>
    <n v="1"/>
    <x v="0"/>
    <x v="0"/>
    <x v="0"/>
    <n v="0"/>
    <n v="0"/>
    <n v="0"/>
    <n v="0"/>
    <n v="0"/>
    <n v="0"/>
    <x v="0"/>
    <x v="1"/>
    <x v="1"/>
    <x v="0"/>
  </r>
  <r>
    <s v="Shipment"/>
    <n v="99003500"/>
    <s v="G.S.E.B. MEXICANA  S.A. DE C.V.                   "/>
    <n v="99003500"/>
    <x v="19"/>
    <s v="37350902/000001"/>
    <n v="1370143351"/>
    <n v="10"/>
    <x v="23"/>
    <x v="23"/>
    <s v="J3"/>
    <n v="2820345020"/>
    <n v="1"/>
    <s v="FV3450X0       "/>
    <s v="FV3450X0 STEAM IRON ULTRAGLIDE 3 FTK              "/>
    <s v="S"/>
    <d v="2012-01-28T00:00:00"/>
    <m/>
    <s v="X"/>
    <x v="35"/>
    <n v="14.296799999999999"/>
    <n v="209"/>
    <d v="2012-01-10T00:00:00"/>
    <d v="2011-12-06T00:00:00"/>
    <n v="2808"/>
    <d v="2012-01-23T00:00:00"/>
    <n v="2808"/>
    <m/>
    <d v="2012-01-23T00:00:00"/>
    <n v="2808"/>
    <d v="2012-02-27T00:00:00"/>
    <d v="2012-01-23T00:00:00"/>
    <n v="2808"/>
    <n v="2808"/>
    <x v="14"/>
    <d v="2012-02-24T00:00:00"/>
    <m/>
    <n v="9321638549"/>
    <n v="10"/>
    <s v="CLHU4431076"/>
    <s v="PETROHUE 1202E/"/>
    <m/>
    <s v="SHANGHAI"/>
    <s v="SP-NO-FORECAST"/>
    <m/>
    <s v="TWEETY LEUNG"/>
    <s v="FO9"/>
    <s v="LINEN CARE                    "/>
    <s v="CONFIRMED"/>
    <n v="1"/>
    <n v="3"/>
    <d v="2012-01-20T00:00:00"/>
    <s v="LINEN PERS HOME CARE          "/>
    <s v="LINEN CARE                    "/>
    <x v="0"/>
    <x v="0"/>
    <x v="14"/>
    <s v="SP-NO-FORECAST"/>
    <n v="-3"/>
    <n v="-3"/>
    <x v="15"/>
    <n v="1"/>
    <x v="0"/>
    <x v="0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902/000002"/>
    <n v="1370143351"/>
    <n v="20"/>
    <x v="23"/>
    <x v="23"/>
    <s v="J3"/>
    <n v="2820345020"/>
    <n v="1"/>
    <s v="FV3450X0       "/>
    <s v="FV3450X0 STEAM IRON ULTRAGLIDE 3 FTK              "/>
    <s v="S"/>
    <d v="2012-01-30T00:00:00"/>
    <m/>
    <s v="X"/>
    <x v="35"/>
    <n v="14.296799999999999"/>
    <n v="209"/>
    <d v="2012-01-20T00:00:00"/>
    <d v="2011-12-16T00:00:00"/>
    <n v="2808"/>
    <d v="2012-01-23T00:00:00"/>
    <n v="2808"/>
    <m/>
    <d v="2012-01-23T00:00:00"/>
    <n v="2808"/>
    <d v="2012-02-27T00:00:00"/>
    <d v="2012-01-23T00:00:00"/>
    <n v="2808"/>
    <n v="2808"/>
    <x v="14"/>
    <d v="2012-02-24T00:00:00"/>
    <m/>
    <n v="9321638549"/>
    <n v="20"/>
    <s v="MSCU4947787"/>
    <s v="PETROHUE 1202E/"/>
    <m/>
    <s v="SHANGHAI"/>
    <s v="SP-NO-FORECAST"/>
    <m/>
    <s v="TWEETY LEUNG"/>
    <s v="FO9"/>
    <s v="LINEN CARE                    "/>
    <s v="CONFIRMED"/>
    <n v="1"/>
    <n v="3"/>
    <d v="2012-01-20T00:00:00"/>
    <s v="LINEN PERS HOME CARE          "/>
    <s v="LINEN CARE                    "/>
    <x v="0"/>
    <x v="0"/>
    <x v="14"/>
    <s v="SP-NO-FORECAST"/>
    <n v="-3"/>
    <n v="-3"/>
    <x v="15"/>
    <n v="1"/>
    <x v="0"/>
    <x v="0"/>
    <x v="0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27728/000010"/>
    <n v="1370143319"/>
    <n v="10"/>
    <x v="0"/>
    <x v="0"/>
    <s v="A1"/>
    <n v="2100065289"/>
    <n v="201"/>
    <n v="116000963"/>
    <s v="E009S564 SET 5P BLACK TC TP ROCHEDO BON           "/>
    <s v="S"/>
    <d v="2012-01-06T00:00:00"/>
    <m/>
    <s v="X"/>
    <x v="35"/>
    <n v="39.750799999999998"/>
    <n v="41671"/>
    <d v="2012-01-23T00:00:00"/>
    <d v="2011-12-12T00:00:00"/>
    <n v="1308"/>
    <d v="2012-01-01T00:00:00"/>
    <n v="1308"/>
    <m/>
    <d v="2012-01-01T00:00:00"/>
    <n v="1308"/>
    <d v="2012-02-12T00:00:00"/>
    <d v="2012-01-01T00:00:00"/>
    <n v="1308"/>
    <n v="788"/>
    <x v="13"/>
    <d v="2012-02-12T00:00:00"/>
    <m/>
    <n v="9321638574"/>
    <n v="10"/>
    <s v="SCMU4030215"/>
    <s v="MAERSK LIMA/152W/"/>
    <m/>
    <s v="NINGBO"/>
    <s v="SP-OVERCAP/"/>
    <m/>
    <m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27728/000010"/>
    <n v="1370143319"/>
    <n v="10"/>
    <x v="0"/>
    <x v="0"/>
    <s v="A1"/>
    <n v="2100065289"/>
    <n v="201"/>
    <n v="116000963"/>
    <s v="E009S564 SET 5P BLACK TC TP ROCHEDO BON           "/>
    <s v="S"/>
    <d v="2012-01-06T00:00:00"/>
    <m/>
    <s v="X"/>
    <x v="35"/>
    <n v="39.750799999999998"/>
    <n v="41671"/>
    <d v="2012-01-23T00:00:00"/>
    <d v="2011-12-12T00:00:00"/>
    <n v="1308"/>
    <d v="2012-01-01T00:00:00"/>
    <n v="1308"/>
    <m/>
    <d v="2012-01-01T00:00:00"/>
    <n v="1308"/>
    <d v="2012-02-12T00:00:00"/>
    <d v="2012-01-01T00:00:00"/>
    <n v="1308"/>
    <n v="520"/>
    <x v="13"/>
    <d v="2012-02-12T00:00:00"/>
    <m/>
    <n v="9321638574"/>
    <n v="10"/>
    <s v="MRKU2824190"/>
    <s v="MAERSK LIMA/152W/"/>
    <m/>
    <s v="NINGBO"/>
    <s v="SP-OVERCAP/"/>
    <m/>
    <m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27729/000010"/>
    <n v="1370143320"/>
    <n v="10"/>
    <x v="0"/>
    <x v="0"/>
    <s v="A1"/>
    <n v="2100064258"/>
    <n v="201"/>
    <n v="115003070"/>
    <s v="E0094064 GRIL P26X26 B BLACK TP ROCH BON          "/>
    <s v="S"/>
    <d v="2012-01-10T00:00:00"/>
    <m/>
    <s v="X"/>
    <x v="35"/>
    <n v="10.144399999999999"/>
    <n v="11"/>
    <d v="2012-01-23T00:00:00"/>
    <d v="2011-12-12T00:00:00"/>
    <n v="1000"/>
    <d v="2012-01-01T00:00:00"/>
    <n v="1000"/>
    <m/>
    <d v="2012-01-01T00:00:00"/>
    <n v="1000"/>
    <d v="2012-02-19T00:00:00"/>
    <d v="2012-01-08T00:00:00"/>
    <n v="1000"/>
    <n v="1000"/>
    <x v="0"/>
    <d v="2012-02-20T00:00:00"/>
    <m/>
    <n v="9321638575"/>
    <n v="10"/>
    <s v="SUDU8532863"/>
    <s v="SANTA RITA 146W/"/>
    <m/>
    <s v="NINGBO"/>
    <s v="SP-OVERCAP/"/>
    <m/>
    <m/>
    <s v="FO9"/>
    <s v="COOKWARE                      "/>
    <s v="CONFIRMED"/>
    <n v="1"/>
    <n v="2"/>
    <d v="2012-01-09T00:00:00"/>
    <s v="COOKWARE                      "/>
    <s v="COOKWARE                      "/>
    <x v="0"/>
    <x v="0"/>
    <x v="11"/>
    <s v="SP-OVERCAP"/>
    <n v="-3"/>
    <n v="-3"/>
    <x v="9"/>
    <n v="1"/>
    <x v="0"/>
    <x v="0"/>
    <x v="0"/>
    <n v="1"/>
    <n v="0"/>
    <n v="0"/>
    <n v="0"/>
    <n v="0"/>
    <n v="0"/>
    <x v="0"/>
    <x v="1"/>
    <x v="1"/>
    <x v="0"/>
  </r>
  <r>
    <s v="Shipment"/>
    <n v="99001600"/>
    <s v="GRUPO SEB DO BRASIL                               "/>
    <n v="99001600"/>
    <x v="2"/>
    <s v="9820627730/000010"/>
    <n v="1370143321"/>
    <n v="10"/>
    <x v="0"/>
    <x v="0"/>
    <s v="A1"/>
    <n v="2100065462"/>
    <n v="201"/>
    <n v="115003133"/>
    <s v="E0091964 W28 B STD BLACK TC TP ROCH BON           "/>
    <s v="S"/>
    <d v="2012-01-10T00:00:00"/>
    <m/>
    <s v="X"/>
    <x v="35"/>
    <n v="10.144500000000001"/>
    <n v="11"/>
    <d v="2012-01-09T00:00:00"/>
    <d v="2011-11-28T00:00:00"/>
    <n v="1000"/>
    <d v="2012-01-10T00:00:00"/>
    <n v="1000"/>
    <m/>
    <d v="2012-01-01T00:00:00"/>
    <n v="1000"/>
    <d v="2012-02-19T00:00:00"/>
    <d v="2012-01-08T00:00:00"/>
    <n v="1000"/>
    <n v="1000"/>
    <x v="0"/>
    <d v="2012-02-20T00:00:00"/>
    <m/>
    <n v="9321638576"/>
    <n v="10"/>
    <s v="SUDU8532863"/>
    <s v="SANTA RITA 146W/"/>
    <m/>
    <s v="NINGBO"/>
    <s v="SP-OVERCAP/"/>
    <m/>
    <m/>
    <s v="FO9"/>
    <s v="COOKWARE                      "/>
    <s v="CONFIRMED"/>
    <n v="1"/>
    <n v="2"/>
    <d v="2012-01-09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27731/000010"/>
    <n v="1370143322"/>
    <n v="10"/>
    <x v="0"/>
    <x v="0"/>
    <s v="A1"/>
    <n v="2100065460"/>
    <n v="201"/>
    <n v="115003134"/>
    <s v="E0098264 JC30+LID STR BIS BLACK ROCH BON          "/>
    <s v="S"/>
    <d v="2012-01-06T00:00:00"/>
    <m/>
    <s v="X"/>
    <x v="35"/>
    <n v="14.3719"/>
    <n v="15066"/>
    <d v="2012-01-09T00:00:00"/>
    <d v="2011-11-28T00:00:00"/>
    <n v="1000"/>
    <d v="2012-01-01T00:00:00"/>
    <n v="1000"/>
    <m/>
    <d v="2012-01-01T00:00:00"/>
    <n v="1000"/>
    <d v="2012-02-12T00:00:00"/>
    <d v="2012-01-01T00:00:00"/>
    <n v="1000"/>
    <n v="960"/>
    <x v="13"/>
    <d v="2012-02-12T00:00:00"/>
    <m/>
    <n v="9321638577"/>
    <n v="10"/>
    <s v="MSKU6418903"/>
    <s v="MAERSK LIMA/152W/"/>
    <m/>
    <s v="NINGBO"/>
    <s v="SP-OVERCAP/"/>
    <m/>
    <m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27731/000010"/>
    <n v="1370143322"/>
    <n v="10"/>
    <x v="0"/>
    <x v="0"/>
    <s v="A1"/>
    <n v="2100065460"/>
    <n v="201"/>
    <n v="115003134"/>
    <s v="E0098264 JC30+LID STR BIS BLACK ROCH BON          "/>
    <s v="S"/>
    <d v="2012-01-06T00:00:00"/>
    <m/>
    <s v="X"/>
    <x v="35"/>
    <n v="14.3719"/>
    <n v="15066"/>
    <d v="2012-01-09T00:00:00"/>
    <d v="2011-11-28T00:00:00"/>
    <n v="1000"/>
    <d v="2012-01-01T00:00:00"/>
    <n v="1000"/>
    <m/>
    <d v="2012-01-01T00:00:00"/>
    <n v="1000"/>
    <d v="2012-02-12T00:00:00"/>
    <d v="2012-01-01T00:00:00"/>
    <n v="1000"/>
    <n v="40"/>
    <x v="13"/>
    <d v="2012-02-12T00:00:00"/>
    <m/>
    <n v="9321638577"/>
    <n v="10"/>
    <s v="MRKU2824190"/>
    <s v="MAERSK LIMA/152W/"/>
    <m/>
    <s v="NINGBO"/>
    <s v="SP-OVERCAP/"/>
    <m/>
    <m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3600"/>
    <s v="GROUPE SEB ISTANBUL EV ALETLERI                   "/>
    <n v="99003600"/>
    <x v="13"/>
    <s v="4500258403/000010"/>
    <n v="1370143352"/>
    <n v="10"/>
    <x v="0"/>
    <x v="0"/>
    <s v="A1"/>
    <n v="2100065196"/>
    <n v="207"/>
    <s v="H1157824       "/>
    <s v="H1157824 PAST 20+LID FLAVOUR BLACK TEFAL          "/>
    <s v="S"/>
    <d v="2012-01-17T00:00:00"/>
    <m/>
    <s v="X"/>
    <x v="35"/>
    <n v="13.5021"/>
    <n v="25"/>
    <d v="2011-12-29T00:00:00"/>
    <d v="2011-11-24T00:00:00"/>
    <n v="1000"/>
    <d v="2012-01-17T00:00:00"/>
    <n v="1000"/>
    <m/>
    <d v="2012-01-06T00:00:00"/>
    <n v="1000"/>
    <d v="2012-02-21T00:00:00"/>
    <d v="2012-01-17T00:00:00"/>
    <n v="1000"/>
    <n v="1000"/>
    <x v="11"/>
    <d v="2012-02-19T00:00:00"/>
    <m/>
    <n v="9321638584"/>
    <n v="10"/>
    <s v="MRKU6763600"/>
    <s v="MAERSK LAGUNA/1202"/>
    <m/>
    <s v="NINGBO"/>
    <s v="NEWREQ-CUSTOMS/"/>
    <m/>
    <s v="KENUS WO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8"/>
    <s v="NEWREQ-CUSTOMS"/>
    <n v="1"/>
    <n v="1"/>
    <x v="14"/>
    <n v="1"/>
    <x v="0"/>
    <x v="0"/>
    <x v="1"/>
    <n v="1"/>
    <n v="0"/>
    <n v="1"/>
    <n v="0"/>
    <n v="0"/>
    <n v="1"/>
    <x v="0"/>
    <x v="0"/>
    <x v="1"/>
    <x v="1"/>
  </r>
  <r>
    <s v="Shipment"/>
    <n v="99006104"/>
    <s v="SAS GROUPE SEB FRANCE                             "/>
    <n v="99006100"/>
    <x v="3"/>
    <s v="9321637662/000010"/>
    <n v="1370144190"/>
    <n v="10"/>
    <x v="0"/>
    <x v="0"/>
    <s v="A1"/>
    <n v="2100046384"/>
    <n v="205"/>
    <n v="115001168"/>
    <s v="B8513005 SCP20 4U SS UNCOATED FCE                 "/>
    <s v="S"/>
    <d v="2012-01-12T00:00:00"/>
    <m/>
    <s v="X"/>
    <x v="35"/>
    <n v="8.0939999999999994"/>
    <n v="6"/>
    <d v="2012-01-13T00:00:00"/>
    <d v="2011-12-09T00:00:00"/>
    <n v="1002"/>
    <d v="2012-01-07T00:00:00"/>
    <n v="1002"/>
    <m/>
    <d v="2011-12-03T00:00:00"/>
    <n v="1002"/>
    <d v="2012-02-11T00:00:00"/>
    <d v="2012-01-07T00:00:00"/>
    <n v="1002"/>
    <n v="1002"/>
    <x v="23"/>
    <d v="2012-02-12T00:00:00"/>
    <m/>
    <n v="9321638616"/>
    <n v="10"/>
    <s v="TRLU6991305"/>
    <s v="BUSAN EXPRESS/04W01"/>
    <m/>
    <s v="NINGBO"/>
    <s v="C-POST-NEG/LATE DOC FROM FORWARDER"/>
    <m/>
    <s v="JASON FAN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37659/000010"/>
    <n v="1370144262"/>
    <n v="10"/>
    <x v="0"/>
    <x v="0"/>
    <s v="A1"/>
    <n v="2100046382"/>
    <n v="205"/>
    <n v="115001166"/>
    <s v="B8512805 SCP16LID 4U SS UNCOATED FCE              "/>
    <s v="S"/>
    <d v="2012-01-17T00:00:00"/>
    <m/>
    <s v="X"/>
    <x v="35"/>
    <n v="6.6330999999999998"/>
    <n v="5"/>
    <d v="2012-01-13T00:00:00"/>
    <d v="2011-12-09T00:00:00"/>
    <n v="1002"/>
    <d v="2012-01-14T00:00:00"/>
    <n v="1002"/>
    <m/>
    <d v="2011-12-03T00:00:00"/>
    <n v="1002"/>
    <d v="2012-02-18T00:00:00"/>
    <d v="2012-01-14T00:00:00"/>
    <n v="1002"/>
    <n v="1002"/>
    <x v="11"/>
    <d v="2012-02-19T00:00:00"/>
    <m/>
    <n v="9321638631"/>
    <n v="10"/>
    <s v="APZU4064954"/>
    <s v="APL HAMBURG/015W"/>
    <m/>
    <s v="NINGBO"/>
    <s v="C-POST-CONF/"/>
    <m/>
    <s v="JASON FAN"/>
    <s v="FO9"/>
    <s v="COOKWARE                      "/>
    <s v="CONFIRMED"/>
    <n v="1"/>
    <n v="2"/>
    <d v="2012-01-15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29387/000010"/>
    <n v="1370143801"/>
    <n v="10"/>
    <x v="22"/>
    <x v="22"/>
    <s v="N4"/>
    <n v="7211000819"/>
    <n v="116"/>
    <n v="211000819"/>
    <s v="PF310151 BDM UNO 220V WHT/BLK BR                  "/>
    <s v="S"/>
    <d v="2012-02-02T00:00:00"/>
    <m/>
    <s v="X"/>
    <x v="35"/>
    <n v="43.748899999999999"/>
    <n v="46"/>
    <d v="2012-01-09T00:00:00"/>
    <d v="2011-11-28T00:00:00"/>
    <n v="886"/>
    <d v="2012-01-22T00:00:00"/>
    <n v="886"/>
    <m/>
    <m/>
    <m/>
    <d v="2012-03-04T00:00:00"/>
    <d v="2012-01-22T00:00:00"/>
    <n v="886"/>
    <n v="886"/>
    <x v="1"/>
    <d v="2012-03-05T00:00:00"/>
    <m/>
    <n v="9321638640"/>
    <n v="10"/>
    <s v="SUDU8900570"/>
    <s v="MAERSK LA PAZ 203W/"/>
    <m/>
    <s v="NINGBO"/>
    <s v="C-POST-CONF/"/>
    <m/>
    <s v="THOMAS HO"/>
    <s v="FO9"/>
    <s v="ELECTRICAL COOKING            "/>
    <s v="CONFIRMED"/>
    <n v="1"/>
    <n v="4"/>
    <d v="2012-01-23T00:00:00"/>
    <s v="KITCHEN ELECTRICS             "/>
    <s v="ELECTRICAL COOKING            "/>
    <x v="0"/>
    <x v="0"/>
    <x v="3"/>
    <s v="C-POST-CONF"/>
    <n v="-3"/>
    <n v="-3"/>
    <x v="0"/>
    <n v="1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8/000010"/>
    <n v="1370143217"/>
    <n v="10"/>
    <x v="31"/>
    <x v="31"/>
    <s v="A1"/>
    <n v="2100064623"/>
    <n v="201"/>
    <n v="116000905"/>
    <s v="A813SA84 SOFT HANDLES TNS BLUE SET 10PC           "/>
    <s v="S"/>
    <d v="2012-01-12T00:00:00"/>
    <m/>
    <s v="X"/>
    <x v="35"/>
    <n v="42.794600000000003"/>
    <n v="45"/>
    <d v="2011-12-27T00:00:00"/>
    <d v="2011-11-15T00:00:00"/>
    <n v="6000"/>
    <d v="2012-01-06T00:00:00"/>
    <n v="6000"/>
    <m/>
    <d v="2011-12-16T00:00:00"/>
    <n v="6000"/>
    <d v="2012-02-17T00:00:00"/>
    <d v="2012-01-06T00:00:00"/>
    <n v="6000"/>
    <n v="890"/>
    <x v="7"/>
    <d v="2012-02-17T00:00:00"/>
    <m/>
    <n v="9321638659"/>
    <n v="10"/>
    <s v="CMAU8330765"/>
    <s v="XIN CHANG JIANG A094"/>
    <m/>
    <s v="WUHAN"/>
    <s v="C-POST-CONF/SP-OVERCAP/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8/000010"/>
    <n v="1370143217"/>
    <n v="10"/>
    <x v="31"/>
    <x v="31"/>
    <s v="A1"/>
    <n v="2100064623"/>
    <n v="201"/>
    <n v="116000905"/>
    <s v="A813SA84 SOFT HANDLES TNS BLUE SET 10PC           "/>
    <s v="S"/>
    <d v="2012-01-12T00:00:00"/>
    <m/>
    <s v="X"/>
    <x v="35"/>
    <n v="42.794600000000003"/>
    <n v="45"/>
    <d v="2011-12-27T00:00:00"/>
    <d v="2011-11-15T00:00:00"/>
    <n v="6000"/>
    <d v="2012-01-06T00:00:00"/>
    <n v="6000"/>
    <m/>
    <d v="2011-12-16T00:00:00"/>
    <n v="6000"/>
    <d v="2012-02-17T00:00:00"/>
    <d v="2012-01-06T00:00:00"/>
    <n v="6000"/>
    <n v="890"/>
    <x v="7"/>
    <d v="2012-02-17T00:00:00"/>
    <m/>
    <n v="9321638659"/>
    <n v="10"/>
    <s v="CMAU8330810"/>
    <s v="XIN CHANG JIANG A094"/>
    <m/>
    <s v="WUHAN"/>
    <s v="C-POST-CONF/SP-OVERCAP/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8/000010"/>
    <n v="1370143217"/>
    <n v="10"/>
    <x v="31"/>
    <x v="31"/>
    <s v="A1"/>
    <n v="2100064623"/>
    <n v="201"/>
    <n v="116000905"/>
    <s v="A813SA84 SOFT HANDLES TNS BLUE SET 10PC           "/>
    <s v="S"/>
    <d v="2012-01-11T00:00:00"/>
    <m/>
    <s v="X"/>
    <x v="35"/>
    <n v="42.794600000000003"/>
    <n v="45"/>
    <d v="2011-12-27T00:00:00"/>
    <d v="2011-11-15T00:00:00"/>
    <n v="6000"/>
    <d v="2012-01-06T00:00:00"/>
    <n v="6000"/>
    <m/>
    <d v="2011-12-16T00:00:00"/>
    <n v="6000"/>
    <d v="2012-02-17T00:00:00"/>
    <d v="2012-01-06T00:00:00"/>
    <n v="6000"/>
    <n v="834"/>
    <x v="7"/>
    <d v="2012-02-17T00:00:00"/>
    <m/>
    <n v="9321638659"/>
    <n v="10"/>
    <s v="CMAU8331057"/>
    <s v="XIN CHANG JIANG A094"/>
    <m/>
    <s v="WUHAN"/>
    <s v="C-POST-CONF/SP-OVERCAP/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8/000010"/>
    <n v="1370143217"/>
    <n v="10"/>
    <x v="31"/>
    <x v="31"/>
    <s v="A1"/>
    <n v="2100064623"/>
    <n v="201"/>
    <n v="116000905"/>
    <s v="A813SA84 SOFT HANDLES TNS BLUE SET 10PC           "/>
    <s v="S"/>
    <d v="2012-01-12T00:00:00"/>
    <m/>
    <s v="X"/>
    <x v="35"/>
    <n v="42.794600000000003"/>
    <n v="45"/>
    <d v="2011-12-27T00:00:00"/>
    <d v="2011-11-15T00:00:00"/>
    <n v="6000"/>
    <d v="2012-01-06T00:00:00"/>
    <n v="6000"/>
    <m/>
    <d v="2011-12-16T00:00:00"/>
    <n v="6000"/>
    <d v="2012-02-17T00:00:00"/>
    <d v="2012-01-06T00:00:00"/>
    <n v="6000"/>
    <n v="880"/>
    <x v="7"/>
    <d v="2012-02-17T00:00:00"/>
    <m/>
    <n v="9321638659"/>
    <n v="10"/>
    <s v="CMAU8330940"/>
    <s v="XIN CHANG JIANG A094"/>
    <m/>
    <s v="WUHAN"/>
    <s v="C-POST-CONF/SP-OVERCAP/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8/000010"/>
    <n v="1370143217"/>
    <n v="10"/>
    <x v="31"/>
    <x v="31"/>
    <s v="A1"/>
    <n v="2100064623"/>
    <n v="201"/>
    <n v="116000905"/>
    <s v="A813SA84 SOFT HANDLES TNS BLUE SET 10PC           "/>
    <s v="S"/>
    <d v="2012-01-12T00:00:00"/>
    <m/>
    <s v="X"/>
    <x v="35"/>
    <n v="42.794600000000003"/>
    <n v="45"/>
    <d v="2011-12-27T00:00:00"/>
    <d v="2011-11-15T00:00:00"/>
    <n v="6000"/>
    <d v="2012-01-06T00:00:00"/>
    <n v="6000"/>
    <m/>
    <d v="2011-12-16T00:00:00"/>
    <n v="6000"/>
    <d v="2012-02-17T00:00:00"/>
    <d v="2012-01-06T00:00:00"/>
    <n v="6000"/>
    <n v="651"/>
    <x v="7"/>
    <d v="2012-02-17T00:00:00"/>
    <m/>
    <n v="9321638659"/>
    <n v="10"/>
    <s v="CMAU8329738"/>
    <s v="XIN CHANG JIANG A094"/>
    <m/>
    <s v="WUHAN"/>
    <s v="C-POST-CONF/SP-OVERCAP/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8/000010"/>
    <n v="1370143217"/>
    <n v="10"/>
    <x v="31"/>
    <x v="31"/>
    <s v="A1"/>
    <n v="2100064623"/>
    <n v="201"/>
    <n v="116000905"/>
    <s v="A813SA84 SOFT HANDLES TNS BLUE SET 10PC           "/>
    <s v="S"/>
    <d v="2012-01-12T00:00:00"/>
    <m/>
    <s v="X"/>
    <x v="35"/>
    <n v="42.794600000000003"/>
    <n v="45"/>
    <d v="2011-12-27T00:00:00"/>
    <d v="2011-11-15T00:00:00"/>
    <n v="6000"/>
    <d v="2012-01-06T00:00:00"/>
    <n v="6000"/>
    <m/>
    <d v="2011-12-16T00:00:00"/>
    <n v="6000"/>
    <d v="2012-02-17T00:00:00"/>
    <d v="2012-01-06T00:00:00"/>
    <n v="6000"/>
    <n v="985"/>
    <x v="7"/>
    <d v="2012-02-17T00:00:00"/>
    <m/>
    <n v="9321638659"/>
    <n v="10"/>
    <s v="ECMU9397112"/>
    <s v="XIN CHANG JIANG A094"/>
    <m/>
    <s v="WUHAN"/>
    <s v="C-POST-CONF/SP-OVERCAP/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8/000010"/>
    <n v="1370143217"/>
    <n v="10"/>
    <x v="31"/>
    <x v="31"/>
    <s v="A1"/>
    <n v="2100064623"/>
    <n v="201"/>
    <n v="116000905"/>
    <s v="A813SA84 SOFT HANDLES TNS BLUE SET 10PC           "/>
    <s v="S"/>
    <d v="2012-01-11T00:00:00"/>
    <m/>
    <s v="X"/>
    <x v="35"/>
    <n v="42.794600000000003"/>
    <n v="45"/>
    <d v="2011-12-27T00:00:00"/>
    <d v="2011-11-15T00:00:00"/>
    <n v="6000"/>
    <d v="2012-01-06T00:00:00"/>
    <n v="6000"/>
    <m/>
    <d v="2011-12-16T00:00:00"/>
    <n v="6000"/>
    <d v="2012-02-17T00:00:00"/>
    <d v="2012-01-06T00:00:00"/>
    <n v="6000"/>
    <n v="870"/>
    <x v="7"/>
    <d v="2012-02-17T00:00:00"/>
    <m/>
    <n v="9321638659"/>
    <n v="10"/>
    <s v="CMAU8330554"/>
    <s v="XIN CHANG JIANG A094"/>
    <m/>
    <s v="WUHAN"/>
    <s v="C-POST-CONF/SP-OVERCAP/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01/000010"/>
    <n v="1370143215"/>
    <n v="10"/>
    <x v="31"/>
    <x v="31"/>
    <s v="A1"/>
    <n v="2100064635"/>
    <n v="201"/>
    <n v="116000906"/>
    <s v="A812SA74 SOFT HANDLES TNS BLACK 10PC SET          "/>
    <s v="S"/>
    <d v="2012-01-16T00:00:00"/>
    <m/>
    <s v="X"/>
    <x v="35"/>
    <n v="42.500900000000001"/>
    <n v="45"/>
    <d v="2011-12-28T00:00:00"/>
    <d v="2011-11-16T00:00:00"/>
    <n v="1000"/>
    <d v="2012-01-06T00:00:00"/>
    <n v="1000"/>
    <m/>
    <d v="2011-12-09T00:00:00"/>
    <n v="1000"/>
    <d v="2012-02-17T00:00:00"/>
    <d v="2012-01-06T00:00:00"/>
    <n v="1000"/>
    <n v="984"/>
    <x v="7"/>
    <d v="2012-02-17T00:00:00"/>
    <m/>
    <n v="9321638662"/>
    <n v="10"/>
    <s v="INKU2538527"/>
    <s v="XIN CHANG JIANG A094"/>
    <m/>
    <s v="WUHAN"/>
    <s v="C-POST-CONF/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01/000010"/>
    <n v="1370143215"/>
    <n v="10"/>
    <x v="31"/>
    <x v="31"/>
    <s v="A1"/>
    <n v="2100064635"/>
    <n v="201"/>
    <n v="116000906"/>
    <s v="A812SA74 SOFT HANDLES TNS BLACK 10PC SET          "/>
    <s v="S"/>
    <d v="2012-01-16T00:00:00"/>
    <m/>
    <s v="X"/>
    <x v="35"/>
    <n v="42.500900000000001"/>
    <n v="45"/>
    <d v="2011-12-28T00:00:00"/>
    <d v="2011-11-16T00:00:00"/>
    <n v="1000"/>
    <d v="2012-01-06T00:00:00"/>
    <n v="1000"/>
    <m/>
    <d v="2011-12-09T00:00:00"/>
    <n v="1000"/>
    <d v="2012-02-17T00:00:00"/>
    <d v="2012-01-06T00:00:00"/>
    <n v="1000"/>
    <n v="16"/>
    <x v="7"/>
    <d v="2012-02-17T00:00:00"/>
    <m/>
    <n v="9321638662"/>
    <n v="10"/>
    <s v="DVRU0530446"/>
    <s v="XIN CHANG JIANG A094"/>
    <m/>
    <s v="WUHAN"/>
    <s v="C-POST-CONF/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11/000010"/>
    <n v="1370143221"/>
    <n v="10"/>
    <x v="31"/>
    <x v="31"/>
    <s v="A1"/>
    <n v="2100065276"/>
    <n v="201"/>
    <n v="115003119"/>
    <s v="A8132464 SOFT HANDLES TNS BLUE 3QT SAUCE          "/>
    <s v="S"/>
    <d v="2012-01-11T00:00:00"/>
    <m/>
    <s v="X"/>
    <x v="35"/>
    <n v="7.9109999999999996"/>
    <n v="8"/>
    <d v="2011-12-26T00:00:00"/>
    <d v="2011-11-14T00:00:00"/>
    <n v="3800"/>
    <d v="2012-01-06T00:00:00"/>
    <n v="3800"/>
    <m/>
    <d v="2011-12-16T00:00:00"/>
    <n v="3800"/>
    <d v="2012-02-17T00:00:00"/>
    <d v="2012-01-06T00:00:00"/>
    <n v="3800"/>
    <n v="3604"/>
    <x v="7"/>
    <d v="2012-02-17T00:00:00"/>
    <m/>
    <n v="9321638664"/>
    <n v="10"/>
    <s v="CMAU8331308"/>
    <s v="XIN CHANG JIANG A094"/>
    <m/>
    <s v="WUHAN"/>
    <s v="C-POST-CONF/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11/000010"/>
    <n v="1370143221"/>
    <n v="10"/>
    <x v="31"/>
    <x v="31"/>
    <s v="A1"/>
    <n v="2100065276"/>
    <n v="201"/>
    <n v="115003119"/>
    <s v="A8132464 SOFT HANDLES TNS BLUE 3QT SAUCE          "/>
    <s v="S"/>
    <d v="2012-01-12T00:00:00"/>
    <m/>
    <s v="X"/>
    <x v="35"/>
    <n v="7.9109999999999996"/>
    <n v="8"/>
    <d v="2011-12-26T00:00:00"/>
    <d v="2011-11-14T00:00:00"/>
    <n v="3800"/>
    <d v="2012-01-06T00:00:00"/>
    <n v="3800"/>
    <m/>
    <d v="2011-12-16T00:00:00"/>
    <n v="3800"/>
    <d v="2012-02-17T00:00:00"/>
    <d v="2012-01-06T00:00:00"/>
    <n v="3800"/>
    <n v="196"/>
    <x v="7"/>
    <d v="2012-02-17T00:00:00"/>
    <m/>
    <n v="9321638664"/>
    <n v="10"/>
    <s v="TGHU9505726"/>
    <s v="XIN CHANG JIANG A094"/>
    <m/>
    <s v="WUHAN"/>
    <s v="C-POST-CONF/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5/000010"/>
    <n v="1370143207"/>
    <n v="10"/>
    <x v="31"/>
    <x v="31"/>
    <s v="A1"/>
    <n v="2100065301"/>
    <n v="201"/>
    <n v="115003174"/>
    <s v="A9090584 &quot;EASY CARE FS GREY 10&quot;&quot; FRY PAN          "/>
    <s v="S"/>
    <d v="2012-01-11T00:00:00"/>
    <m/>
    <s v="X"/>
    <x v="35"/>
    <n v="4.5461999999999998"/>
    <n v="5"/>
    <d v="2011-12-27T00:00:00"/>
    <d v="2011-11-15T00:00:00"/>
    <n v="15000"/>
    <d v="2012-01-06T00:00:00"/>
    <n v="15000"/>
    <m/>
    <d v="2011-12-09T00:00:00"/>
    <n v="15000"/>
    <d v="2012-02-17T00:00:00"/>
    <d v="2012-01-06T00:00:00"/>
    <n v="15000"/>
    <n v="9720"/>
    <x v="7"/>
    <d v="2012-02-17T00:00:00"/>
    <m/>
    <n v="9321638666"/>
    <n v="10"/>
    <s v="TCKU9292861"/>
    <s v="XIN CHANG JIANG A094"/>
    <m/>
    <s v="WUHAN"/>
    <s v="C-POST-CONF/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5/000010"/>
    <n v="1370143207"/>
    <n v="10"/>
    <x v="31"/>
    <x v="31"/>
    <s v="A1"/>
    <n v="2100065301"/>
    <n v="201"/>
    <n v="115003174"/>
    <s v="A9090584 &quot;EASY CARE FS GREY 10&quot;&quot; FRY PAN          "/>
    <s v="S"/>
    <d v="2012-01-11T00:00:00"/>
    <m/>
    <s v="X"/>
    <x v="35"/>
    <n v="4.5461999999999998"/>
    <n v="5"/>
    <d v="2011-12-27T00:00:00"/>
    <d v="2011-11-15T00:00:00"/>
    <n v="15000"/>
    <d v="2012-01-06T00:00:00"/>
    <n v="15000"/>
    <m/>
    <d v="2011-12-09T00:00:00"/>
    <n v="15000"/>
    <d v="2012-02-17T00:00:00"/>
    <d v="2012-01-06T00:00:00"/>
    <n v="15000"/>
    <n v="5280"/>
    <x v="7"/>
    <d v="2012-02-17T00:00:00"/>
    <m/>
    <n v="9321638666"/>
    <n v="10"/>
    <s v="INKU6072648"/>
    <s v="XIN CHANG JIANG A094"/>
    <m/>
    <s v="WUHAN"/>
    <s v="C-POST-CONF/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6/000010"/>
    <n v="1370143211"/>
    <n v="10"/>
    <x v="31"/>
    <x v="31"/>
    <s v="A1"/>
    <n v="2100065302"/>
    <n v="201"/>
    <n v="115003156"/>
    <s v="A9090784 &quot;EASY CARE FS GREY 12&quot;&quot; FRY PAN          "/>
    <s v="S"/>
    <d v="2012-01-11T00:00:00"/>
    <m/>
    <s v="X"/>
    <x v="35"/>
    <n v="5.6371000000000002"/>
    <n v="6"/>
    <d v="2011-12-25T00:00:00"/>
    <d v="2011-11-13T00:00:00"/>
    <n v="16068"/>
    <d v="2012-01-06T00:00:00"/>
    <n v="16068"/>
    <m/>
    <d v="2011-12-09T00:00:00"/>
    <n v="16068"/>
    <d v="2012-02-17T00:00:00"/>
    <d v="2012-01-06T00:00:00"/>
    <n v="16068"/>
    <n v="7455"/>
    <x v="17"/>
    <d v="2012-02-22T00:00:00"/>
    <m/>
    <n v="9321638667"/>
    <n v="10"/>
    <s v="CMAU5854666"/>
    <s v="XIN CHANG JIANG A094"/>
    <m/>
    <s v="WUHAN"/>
    <s v="C-POST-CONF/SP-OVERCAP/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6/000010"/>
    <n v="1370143211"/>
    <n v="10"/>
    <x v="31"/>
    <x v="31"/>
    <s v="A1"/>
    <n v="2100065302"/>
    <n v="201"/>
    <n v="115003156"/>
    <s v="A9090784 &quot;EASY CARE FS GREY 12&quot;&quot; FRY PAN          "/>
    <s v="S"/>
    <d v="2012-01-11T00:00:00"/>
    <m/>
    <s v="X"/>
    <x v="35"/>
    <n v="5.6371000000000002"/>
    <n v="6"/>
    <d v="2011-12-25T00:00:00"/>
    <d v="2011-11-13T00:00:00"/>
    <n v="16068"/>
    <d v="2012-01-06T00:00:00"/>
    <n v="16068"/>
    <m/>
    <d v="2011-12-09T00:00:00"/>
    <n v="16068"/>
    <d v="2012-02-17T00:00:00"/>
    <d v="2012-01-06T00:00:00"/>
    <n v="16068"/>
    <n v="3369"/>
    <x v="7"/>
    <d v="2012-02-17T00:00:00"/>
    <m/>
    <n v="9321638667"/>
    <n v="10"/>
    <s v="INKU6072648"/>
    <s v="XIN CHANG JIANG A094"/>
    <m/>
    <s v="WUHAN"/>
    <s v="C-POST-CONF/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6/000010"/>
    <n v="1370143211"/>
    <n v="10"/>
    <x v="31"/>
    <x v="31"/>
    <s v="A1"/>
    <n v="2100065302"/>
    <n v="201"/>
    <n v="115003156"/>
    <s v="A9090784 &quot;EASY CARE FS GREY 12&quot;&quot; FRY PAN          "/>
    <s v="S"/>
    <d v="2012-01-11T00:00:00"/>
    <m/>
    <s v="X"/>
    <x v="35"/>
    <n v="5.6371000000000002"/>
    <n v="6"/>
    <d v="2011-12-25T00:00:00"/>
    <d v="2011-11-13T00:00:00"/>
    <n v="16068"/>
    <d v="2012-01-06T00:00:00"/>
    <n v="16068"/>
    <m/>
    <d v="2011-12-09T00:00:00"/>
    <n v="16068"/>
    <d v="2012-02-17T00:00:00"/>
    <d v="2012-01-06T00:00:00"/>
    <n v="16068"/>
    <n v="5244"/>
    <x v="7"/>
    <d v="2012-02-17T00:00:00"/>
    <m/>
    <n v="9321638667"/>
    <n v="10"/>
    <s v="INKU2676280"/>
    <s v="XIN CHANG JIANG A094"/>
    <m/>
    <s v="WUHAN"/>
    <s v="C-POST-CONF/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7/000010"/>
    <n v="1370143216"/>
    <n v="10"/>
    <x v="31"/>
    <x v="31"/>
    <s v="A1"/>
    <n v="2100065302"/>
    <n v="201"/>
    <n v="115003156"/>
    <s v="A9090784 &quot;EASY CARE FS GREY 12&quot;&quot; FRY PAN          "/>
    <s v="S"/>
    <d v="2012-01-12T00:00:00"/>
    <m/>
    <s v="X"/>
    <x v="35"/>
    <n v="5.6371000000000002"/>
    <n v="6"/>
    <d v="2011-12-27T00:00:00"/>
    <d v="2011-11-15T00:00:00"/>
    <n v="15000"/>
    <d v="2012-01-06T00:00:00"/>
    <n v="15000"/>
    <m/>
    <d v="2011-12-09T00:00:00"/>
    <n v="15000"/>
    <d v="2012-02-17T00:00:00"/>
    <d v="2012-01-06T00:00:00"/>
    <n v="15000"/>
    <n v="5613"/>
    <x v="7"/>
    <d v="2012-02-17T00:00:00"/>
    <m/>
    <n v="9321638668"/>
    <n v="10"/>
    <s v="TGHU9505726"/>
    <s v="XIN CHANG JIANG A094"/>
    <m/>
    <s v="WUHAN"/>
    <s v="C-POST-CONF/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7/000010"/>
    <n v="1370143216"/>
    <n v="10"/>
    <x v="31"/>
    <x v="31"/>
    <s v="A1"/>
    <n v="2100065302"/>
    <n v="201"/>
    <n v="115003156"/>
    <s v="A9090784 &quot;EASY CARE FS GREY 12&quot;&quot; FRY PAN          "/>
    <s v="S"/>
    <d v="2012-01-11T00:00:00"/>
    <m/>
    <s v="X"/>
    <x v="35"/>
    <n v="5.6371000000000002"/>
    <n v="6"/>
    <d v="2011-12-27T00:00:00"/>
    <d v="2011-11-15T00:00:00"/>
    <n v="15000"/>
    <d v="2012-01-06T00:00:00"/>
    <n v="15000"/>
    <m/>
    <d v="2011-12-09T00:00:00"/>
    <n v="15000"/>
    <d v="2012-02-17T00:00:00"/>
    <d v="2012-01-06T00:00:00"/>
    <n v="15000"/>
    <n v="7335"/>
    <x v="7"/>
    <d v="2012-02-17T00:00:00"/>
    <m/>
    <n v="9321638668"/>
    <n v="10"/>
    <s v="TRLU6696953"/>
    <s v="XIN CHANG JIANG A094"/>
    <m/>
    <s v="WUHAN"/>
    <s v="C-POST-CONF/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397/000010"/>
    <n v="1370143216"/>
    <n v="10"/>
    <x v="31"/>
    <x v="31"/>
    <s v="A1"/>
    <n v="2100065302"/>
    <n v="201"/>
    <n v="115003156"/>
    <s v="A9090784 &quot;EASY CARE FS GREY 12&quot;&quot; FRY PAN          "/>
    <s v="S"/>
    <d v="2012-01-11T00:00:00"/>
    <m/>
    <s v="X"/>
    <x v="35"/>
    <n v="5.6371000000000002"/>
    <n v="6"/>
    <d v="2011-12-27T00:00:00"/>
    <d v="2011-11-15T00:00:00"/>
    <n v="15000"/>
    <d v="2012-01-06T00:00:00"/>
    <n v="15000"/>
    <m/>
    <d v="2011-12-09T00:00:00"/>
    <n v="15000"/>
    <d v="2012-02-17T00:00:00"/>
    <d v="2012-01-06T00:00:00"/>
    <n v="15000"/>
    <n v="2052"/>
    <x v="7"/>
    <d v="2012-02-17T00:00:00"/>
    <m/>
    <n v="9321638668"/>
    <n v="10"/>
    <s v="INKU2676280"/>
    <s v="XIN CHANG JIANG A094"/>
    <m/>
    <s v="WUHAN"/>
    <s v="C-POST-CONF/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10/000010"/>
    <n v="1370143175"/>
    <n v="10"/>
    <x v="31"/>
    <x v="31"/>
    <s v="A1"/>
    <n v="2100065277"/>
    <n v="201"/>
    <n v="115003120"/>
    <s v="A8120564 FP26 B GOUR SOFT HAND3 BLACK TP          "/>
    <s v="S"/>
    <d v="2012-01-18T00:00:00"/>
    <m/>
    <s v="X"/>
    <x v="35"/>
    <n v="5.4885000000000002"/>
    <n v="6"/>
    <d v="2011-12-27T00:00:00"/>
    <d v="2011-11-15T00:00:00"/>
    <n v="9999"/>
    <d v="2012-01-13T00:00:00"/>
    <n v="9999"/>
    <m/>
    <d v="2011-12-09T00:00:00"/>
    <n v="9999"/>
    <d v="2012-02-24T00:00:00"/>
    <d v="2012-01-13T00:00:00"/>
    <n v="9999"/>
    <n v="7485"/>
    <x v="24"/>
    <d v="2012-02-24T00:00:00"/>
    <m/>
    <n v="9321638677"/>
    <n v="10"/>
    <s v="CMAU5705702"/>
    <s v="JI HAI ZHI XIU A138/"/>
    <m/>
    <s v="WUHAN"/>
    <s v="C-POST-CONF/SP-OVERCAP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3410/000010"/>
    <n v="1370143175"/>
    <n v="10"/>
    <x v="31"/>
    <x v="31"/>
    <s v="A1"/>
    <n v="2100065277"/>
    <n v="201"/>
    <n v="115003120"/>
    <s v="A8120564 FP26 B GOUR SOFT HAND3 BLACK TP          "/>
    <s v="S"/>
    <d v="2012-01-18T00:00:00"/>
    <m/>
    <s v="X"/>
    <x v="35"/>
    <n v="5.4885000000000002"/>
    <n v="6"/>
    <d v="2011-12-27T00:00:00"/>
    <d v="2011-11-15T00:00:00"/>
    <n v="9999"/>
    <d v="2012-01-13T00:00:00"/>
    <n v="9999"/>
    <m/>
    <d v="2011-12-09T00:00:00"/>
    <n v="9999"/>
    <d v="2012-02-24T00:00:00"/>
    <d v="2012-01-13T00:00:00"/>
    <n v="9999"/>
    <n v="2514"/>
    <x v="24"/>
    <d v="2012-02-24T00:00:00"/>
    <m/>
    <n v="9321638677"/>
    <n v="10"/>
    <s v="CMAU5004955"/>
    <s v="JI HAI ZHI XIU A138/"/>
    <m/>
    <s v="WUHAN"/>
    <s v="C-POST-CONF/SP-OVERCAP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3600"/>
    <s v="GROUPE SEB ISTANBUL EV ALETLERI                   "/>
    <n v="99003600"/>
    <x v="13"/>
    <s v="4500259055/000030"/>
    <n v="1370144283"/>
    <n v="30"/>
    <x v="46"/>
    <x v="46"/>
    <s v="L4"/>
    <n v="1830001512"/>
    <n v="175"/>
    <s v="CF2002E0       "/>
    <s v="CF2002E0 CURLING IRON STRUCTURE                   "/>
    <s v="S"/>
    <d v="2012-01-05T00:00:00"/>
    <m/>
    <s v="X"/>
    <x v="35"/>
    <n v="3.14"/>
    <n v="6375"/>
    <d v="2012-01-05T00:00:00"/>
    <d v="2011-12-01T00:00:00"/>
    <n v="3000"/>
    <d v="2012-01-01T00:00:00"/>
    <n v="3000"/>
    <m/>
    <d v="2011-12-01T00:00:00"/>
    <n v="3000"/>
    <d v="2012-02-05T00:00:00"/>
    <d v="2012-01-01T00:00:00"/>
    <n v="3000"/>
    <n v="3000"/>
    <x v="13"/>
    <d v="2012-02-05T00:00:00"/>
    <m/>
    <n v="9321638771"/>
    <n v="10"/>
    <s v="MAEU6219544"/>
    <s v="CMA CGM NERVAL/811W"/>
    <m/>
    <s v="YANTIAN"/>
    <s v="CONS-SHIPT/"/>
    <m/>
    <s v="KENUS WONG"/>
    <s v="FO9"/>
    <s v="PERSONAL CARE                 "/>
    <s v="CONFIRMED"/>
    <n v="1"/>
    <n v="52"/>
    <d v="2012-01-01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574/000170"/>
    <n v="1370144085"/>
    <n v="170"/>
    <x v="2"/>
    <x v="2"/>
    <s v="R1"/>
    <n v="8000033860"/>
    <n v="27"/>
    <s v="FG511831       "/>
    <s v="FG511831 FCM ACCESSIMO 6CUPS BLK ES               "/>
    <s v="S"/>
    <d v="2012-01-04T00:00:00"/>
    <m/>
    <s v="X"/>
    <x v="35"/>
    <n v="6.03"/>
    <n v="23"/>
    <d v="2012-02-13T00:00:00"/>
    <d v="2012-01-16T00:00:00"/>
    <n v="2250"/>
    <d v="2011-12-29T00:00:00"/>
    <n v="2250"/>
    <m/>
    <d v="2011-12-29T00:00:00"/>
    <n v="2250"/>
    <d v="2012-01-30T00:00:00"/>
    <d v="2012-01-02T00:00:00"/>
    <n v="2250"/>
    <n v="2250"/>
    <x v="3"/>
    <d v="2012-01-30T00:00:00"/>
    <m/>
    <n v="9321638935"/>
    <n v="10"/>
    <s v="HJCU4353020"/>
    <s v="HANJIN AMSTERDAM/007"/>
    <m/>
    <s v="YANTIAN"/>
    <s v="C-LCL-SHIPMENT/"/>
    <m/>
    <s v="JASON FAN"/>
    <s v="FO9"/>
    <s v="BEVERAGE                      "/>
    <s v="CONFIRMED"/>
    <n v="1"/>
    <n v="1"/>
    <d v="2012-01-02T00:00:00"/>
    <s v="KITCHEN ELECTRICS             "/>
    <s v="BREAKFAST &amp; BREVAGE PREP      "/>
    <x v="1"/>
    <x v="1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7325"/>
    <s v="Spedition Hendricks GmbH &amp; Co.KG                  "/>
    <n v="99007300"/>
    <x v="17"/>
    <s v="4500258817/000010"/>
    <n v="1370144289"/>
    <n v="10"/>
    <x v="28"/>
    <x v="28"/>
    <s v="R1"/>
    <n v="8000032029"/>
    <n v="55"/>
    <s v="BI662510       "/>
    <s v="BI662510 KET EXPRESS STAIN 1.7L                   "/>
    <s v="S"/>
    <d v="2012-01-12T00:00:00"/>
    <m/>
    <s v="X"/>
    <x v="35"/>
    <n v="16.14"/>
    <n v="14"/>
    <d v="2012-01-09T00:00:00"/>
    <d v="2011-12-05T00:00:00"/>
    <n v="3843"/>
    <d v="2012-01-09T00:00:00"/>
    <n v="3843"/>
    <m/>
    <d v="2011-12-05T00:00:00"/>
    <n v="3843"/>
    <d v="2012-02-13T00:00:00"/>
    <d v="2012-01-09T00:00:00"/>
    <n v="3843"/>
    <n v="3843"/>
    <x v="10"/>
    <d v="2012-02-16T00:00:00"/>
    <m/>
    <n v="9321639196"/>
    <n v="10"/>
    <s v="MOFU0635953"/>
    <s v="MOL MISSION/006W"/>
    <m/>
    <s v="YANTIAN"/>
    <s v="C-POST-CONF/"/>
    <m/>
    <s v="AGNES NUNES"/>
    <s v="FO9"/>
    <s v="BEVERAGE                      "/>
    <s v="CONFIRMED"/>
    <n v="1"/>
    <n v="2"/>
    <d v="2012-01-12T00:00:00"/>
    <s v="KITCHEN ELECTRICS             "/>
    <s v="BREAKFAST &amp; BREVAGE PREP      "/>
    <x v="2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58934/000010"/>
    <n v="1370144293"/>
    <n v="10"/>
    <x v="24"/>
    <x v="24"/>
    <s v="N1"/>
    <n v="2100062442"/>
    <n v="52"/>
    <s v="SW612545       "/>
    <s v="SW612545 MSDW BREAK TIME 3 PL WHT/RUBY G          "/>
    <s v="S"/>
    <d v="2012-01-11T00:00:00"/>
    <m/>
    <s v="X"/>
    <x v="35"/>
    <n v="17.3"/>
    <n v="15"/>
    <d v="2012-01-05T00:00:00"/>
    <d v="2011-12-01T00:00:00"/>
    <n v="1440"/>
    <d v="2011-12-01T00:00:00"/>
    <n v="1440"/>
    <m/>
    <d v="2011-12-10T00:00:00"/>
    <n v="1440"/>
    <d v="2012-02-11T00:00:00"/>
    <d v="2012-01-07T00:00:00"/>
    <n v="1440"/>
    <n v="1440"/>
    <x v="0"/>
    <d v="2012-02-13T00:00:00"/>
    <m/>
    <n v="9321639207"/>
    <n v="10"/>
    <s v="APZU3071331"/>
    <s v="MOL COMPETENCE/021W"/>
    <m/>
    <s v="NINGBO"/>
    <s v="SP-BOTTLENECK/"/>
    <m/>
    <s v="AGNES NUNES"/>
    <s v="FO9"/>
    <s v="ELECTRICAL COOKING            "/>
    <s v="CONFIRMED"/>
    <n v="1"/>
    <n v="2"/>
    <d v="2012-01-09T00:00:00"/>
    <s v="KITCHEN ELECTRICS             "/>
    <s v="ELECTRICAL COOKING            "/>
    <x v="1"/>
    <x v="1"/>
    <x v="6"/>
    <s v="SP-BOTTLENECK"/>
    <n v="1"/>
    <n v="1"/>
    <x v="16"/>
    <n v="1"/>
    <x v="0"/>
    <x v="0"/>
    <x v="0"/>
    <n v="1"/>
    <n v="0"/>
    <n v="0"/>
    <n v="0"/>
    <n v="0"/>
    <n v="0"/>
    <x v="0"/>
    <x v="1"/>
    <x v="1"/>
    <x v="0"/>
  </r>
  <r>
    <s v="Shipment"/>
    <n v="99005400"/>
    <s v="GROUPE SEB KOREA                                  "/>
    <n v="99005400"/>
    <x v="6"/>
    <s v="3131/000013"/>
    <n v="1370144523"/>
    <n v="50"/>
    <x v="47"/>
    <x v="47"/>
    <s v="P1"/>
    <n v="1500677882"/>
    <n v="36"/>
    <n v="677882"/>
    <s v="BL522DKR BLD SS BLK KR                            "/>
    <s v="S"/>
    <d v="2012-01-09T00:00:00"/>
    <m/>
    <s v="X"/>
    <x v="36"/>
    <n v="23.95"/>
    <n v="21"/>
    <d v="2011-12-16T00:00:00"/>
    <d v="2011-12-02T00:00:00"/>
    <n v="1080"/>
    <d v="2012-01-01T00:00:00"/>
    <n v="1080"/>
    <m/>
    <d v="2011-12-19T00:00:00"/>
    <n v="1080"/>
    <d v="2012-01-15T00:00:00"/>
    <d v="2012-01-01T00:00:00"/>
    <n v="1080"/>
    <n v="1080"/>
    <x v="12"/>
    <d v="2012-01-21T00:00:00"/>
    <m/>
    <n v="9321639790"/>
    <n v="10"/>
    <s v="PONU1828016"/>
    <s v="CONVENT/1202"/>
    <m/>
    <s v="YANTIAN"/>
    <s v="C-POST-CONF/SP-NO-FORECAST/"/>
    <m/>
    <s v="AGNES NUNES"/>
    <s v="FO9"/>
    <s v="FOOD PREPARATION              "/>
    <s v="CONFIRMED"/>
    <n v="1"/>
    <n v="1"/>
    <d v="2012-01-07T00:00:00"/>
    <s v="KITCHEN ELECTRICS             "/>
    <s v="FOOD PREPARATION              "/>
    <x v="2"/>
    <x v="1"/>
    <x v="3"/>
    <s v="C-POST-CONF"/>
    <n v="-3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31/000003"/>
    <n v="1370144523"/>
    <n v="110"/>
    <x v="48"/>
    <x v="48"/>
    <s v="A3"/>
    <n v="2100067085"/>
    <n v="235"/>
    <s v="K0180114       "/>
    <s v="K0180114 SPOON STD CHUTNEY SILIC ACCES T          "/>
    <s v="S"/>
    <d v="2012-01-10T00:00:00"/>
    <m/>
    <s v="X"/>
    <x v="36"/>
    <n v="2.5219999999999998"/>
    <n v="21"/>
    <d v="2012-01-05T00:00:00"/>
    <d v="2011-12-22T00:00:00"/>
    <n v="3040"/>
    <d v="2012-01-01T00:00:00"/>
    <n v="3040"/>
    <m/>
    <d v="2012-01-01T00:00:00"/>
    <n v="3040"/>
    <d v="2012-01-15T00:00:00"/>
    <d v="2012-01-01T00:00:00"/>
    <n v="3040"/>
    <n v="3040"/>
    <x v="12"/>
    <d v="2012-01-21T00:00:00"/>
    <m/>
    <n v="9321639792"/>
    <n v="10"/>
    <s v="APMU2836718"/>
    <s v="CONVENT/1202"/>
    <m/>
    <s v="HONG KONG"/>
    <s v="C-POST-CONF"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5"/>
    <x v="2"/>
    <x v="3"/>
    <s v="C-POST-CONF"/>
    <n v="-3"/>
    <n v="-3"/>
    <x v="0"/>
    <n v="1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31/000004"/>
    <n v="1370144523"/>
    <n v="120"/>
    <x v="48"/>
    <x v="48"/>
    <s v="A3"/>
    <n v="2100067086"/>
    <n v="235"/>
    <s v="K0181414       "/>
    <s v="K0181414 WHISK STD CHUTNEY SILIC ACCES T          "/>
    <s v="S"/>
    <d v="2012-01-10T00:00:00"/>
    <m/>
    <s v="X"/>
    <x v="36"/>
    <n v="2.6819999999999999"/>
    <n v="21"/>
    <d v="2012-01-05T00:00:00"/>
    <d v="2011-12-22T00:00:00"/>
    <n v="3040"/>
    <d v="2012-01-01T00:00:00"/>
    <n v="3040"/>
    <m/>
    <d v="2012-01-01T00:00:00"/>
    <n v="3040"/>
    <d v="2012-01-15T00:00:00"/>
    <d v="2012-01-01T00:00:00"/>
    <n v="3040"/>
    <n v="3040"/>
    <x v="12"/>
    <d v="2012-01-21T00:00:00"/>
    <m/>
    <n v="9321639792"/>
    <n v="20"/>
    <s v="APMU2836718"/>
    <s v="CONVENT/1202"/>
    <m/>
    <s v="HONG KONG"/>
    <s v="C-POST-CONF"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5"/>
    <x v="2"/>
    <x v="3"/>
    <s v="C-POST-CONF"/>
    <n v="-3"/>
    <n v="-3"/>
    <x v="0"/>
    <n v="1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31/000005"/>
    <n v="1370144523"/>
    <n v="130"/>
    <x v="48"/>
    <x v="48"/>
    <s v="A3"/>
    <n v="2100067087"/>
    <n v="235"/>
    <s v="K0180214       "/>
    <s v="K0180214 LADLE STD CHUTNEY SILIC ACCES T          "/>
    <s v="S"/>
    <d v="2012-01-10T00:00:00"/>
    <m/>
    <s v="X"/>
    <x v="36"/>
    <n v="2.54"/>
    <n v="21"/>
    <d v="2012-01-05T00:00:00"/>
    <d v="2011-12-22T00:00:00"/>
    <n v="3040"/>
    <d v="2012-01-01T00:00:00"/>
    <n v="3040"/>
    <m/>
    <d v="2012-01-01T00:00:00"/>
    <n v="3040"/>
    <d v="2012-01-15T00:00:00"/>
    <d v="2012-01-01T00:00:00"/>
    <n v="3040"/>
    <n v="3040"/>
    <x v="12"/>
    <d v="2012-01-21T00:00:00"/>
    <m/>
    <n v="9321639792"/>
    <n v="30"/>
    <s v="APMU2836718"/>
    <s v="CONVENT/1202"/>
    <m/>
    <s v="HONG KONG"/>
    <s v="C-POST-CONF"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5"/>
    <x v="2"/>
    <x v="3"/>
    <s v="C-POST-CONF"/>
    <n v="-3"/>
    <n v="-3"/>
    <x v="0"/>
    <n v="1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31/000006"/>
    <n v="1370144523"/>
    <n v="140"/>
    <x v="48"/>
    <x v="48"/>
    <s v="A3"/>
    <n v="2100067088"/>
    <n v="235"/>
    <s v="K0181214       "/>
    <s v="K0181214 FOOD TONGS CHUTNEY SILIC ACCES           "/>
    <s v="S"/>
    <d v="2012-01-10T00:00:00"/>
    <m/>
    <s v="X"/>
    <x v="36"/>
    <n v="3.3149999999999999"/>
    <n v="21"/>
    <d v="2012-01-05T00:00:00"/>
    <d v="2011-12-22T00:00:00"/>
    <n v="3060"/>
    <d v="2012-01-01T00:00:00"/>
    <n v="3060"/>
    <m/>
    <d v="2012-01-01T00:00:00"/>
    <n v="3060"/>
    <d v="2012-01-15T00:00:00"/>
    <d v="2012-01-01T00:00:00"/>
    <n v="3060"/>
    <n v="3060"/>
    <x v="12"/>
    <d v="2012-01-21T00:00:00"/>
    <m/>
    <n v="9321639792"/>
    <n v="40"/>
    <s v="APMU2836718"/>
    <s v="CONVENT/1202"/>
    <m/>
    <s v="HONG KONG"/>
    <s v="C-POST-CONF"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5"/>
    <x v="2"/>
    <x v="3"/>
    <s v="C-POST-CONF"/>
    <n v="-3"/>
    <n v="-3"/>
    <x v="0"/>
    <n v="1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31/000007"/>
    <n v="1370144523"/>
    <n v="150"/>
    <x v="48"/>
    <x v="48"/>
    <s v="A3"/>
    <n v="2100067089"/>
    <n v="235"/>
    <s v="K0180314       "/>
    <s v="K0180314 ANGLE SPATULA CHUTNEY SILIC ACC          "/>
    <s v="S"/>
    <d v="2012-01-10T00:00:00"/>
    <m/>
    <s v="X"/>
    <x v="36"/>
    <n v="2.4750000000000001"/>
    <n v="21"/>
    <d v="2012-01-05T00:00:00"/>
    <d v="2011-12-22T00:00:00"/>
    <n v="3040"/>
    <d v="2012-01-01T00:00:00"/>
    <n v="3040"/>
    <m/>
    <d v="2012-01-01T00:00:00"/>
    <n v="3040"/>
    <d v="2012-01-15T00:00:00"/>
    <d v="2012-01-01T00:00:00"/>
    <n v="3040"/>
    <n v="3040"/>
    <x v="12"/>
    <d v="2012-01-21T00:00:00"/>
    <m/>
    <n v="9321639792"/>
    <n v="50"/>
    <s v="APMU2836718"/>
    <s v="CONVENT/1202"/>
    <m/>
    <s v="HONG KONG"/>
    <s v="C-POST-CONF"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5"/>
    <x v="2"/>
    <x v="3"/>
    <s v="C-POST-CONF"/>
    <n v="-3"/>
    <n v="-3"/>
    <x v="0"/>
    <n v="1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31/000008"/>
    <n v="1370144523"/>
    <n v="160"/>
    <x v="48"/>
    <x v="48"/>
    <s v="A3"/>
    <n v="2100067090"/>
    <n v="235"/>
    <s v="K0180514       "/>
    <s v="K0180514 ICING SPATULA CHUTNEY SILIC ACC          "/>
    <s v="S"/>
    <d v="2012-01-10T00:00:00"/>
    <m/>
    <s v="X"/>
    <x v="36"/>
    <n v="2.319"/>
    <n v="21"/>
    <d v="2012-01-05T00:00:00"/>
    <d v="2011-12-22T00:00:00"/>
    <n v="3000"/>
    <d v="2012-01-01T00:00:00"/>
    <n v="3000"/>
    <m/>
    <d v="2012-01-01T00:00:00"/>
    <n v="3000"/>
    <d v="2012-01-15T00:00:00"/>
    <d v="2012-01-01T00:00:00"/>
    <n v="3000"/>
    <n v="3000"/>
    <x v="12"/>
    <d v="2012-01-21T00:00:00"/>
    <m/>
    <n v="9321639792"/>
    <n v="60"/>
    <s v="APMU2836718"/>
    <s v="CONVENT/1202"/>
    <m/>
    <s v="HONG KONG"/>
    <s v="C-POST-CONF"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5"/>
    <x v="2"/>
    <x v="3"/>
    <s v="C-POST-CONF"/>
    <n v="-3"/>
    <n v="-3"/>
    <x v="0"/>
    <n v="1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31/000001"/>
    <n v="1370144523"/>
    <n v="10"/>
    <x v="48"/>
    <x v="48"/>
    <s v="A3"/>
    <n v="2100057715"/>
    <n v="235"/>
    <s v="K0080312       "/>
    <s v="K0080312 ANGLE SPAT NEW INT BLACK/MER TE          "/>
    <s v="S"/>
    <d v="2012-01-10T00:00:00"/>
    <m/>
    <s v="X"/>
    <x v="36"/>
    <n v="1.3160000000000001"/>
    <n v="21"/>
    <d v="2012-01-05T00:00:00"/>
    <d v="2011-12-22T00:00:00"/>
    <n v="3360"/>
    <d v="2012-01-01T00:00:00"/>
    <n v="3360"/>
    <m/>
    <d v="2012-01-01T00:00:00"/>
    <n v="3360"/>
    <d v="2012-01-15T00:00:00"/>
    <d v="2012-01-01T00:00:00"/>
    <n v="3360"/>
    <n v="3360"/>
    <x v="12"/>
    <d v="2012-01-21T00:00:00"/>
    <m/>
    <n v="9321639792"/>
    <n v="70"/>
    <s v="APMU2836718"/>
    <s v="CONVENT/1202"/>
    <m/>
    <s v="SHENZHEN"/>
    <s v="C-POST-CONF"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5"/>
    <x v="2"/>
    <x v="3"/>
    <s v="C-POST-CONF"/>
    <n v="-3"/>
    <n v="-3"/>
    <x v="0"/>
    <n v="1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31/000002"/>
    <n v="1370144523"/>
    <n v="20"/>
    <x v="48"/>
    <x v="48"/>
    <s v="A3"/>
    <n v="2100067084"/>
    <n v="235"/>
    <s v="K0180614       "/>
    <s v="K0180614 SLOTTED SPOON CHUTNEY SILIC ACC          "/>
    <s v="S"/>
    <d v="2012-01-10T00:00:00"/>
    <m/>
    <s v="X"/>
    <x v="36"/>
    <n v="2.5219999999999998"/>
    <n v="21"/>
    <d v="2012-01-05T00:00:00"/>
    <d v="2011-12-22T00:00:00"/>
    <n v="3040"/>
    <d v="2012-01-01T00:00:00"/>
    <n v="3040"/>
    <m/>
    <d v="2012-01-01T00:00:00"/>
    <n v="3040"/>
    <d v="2012-01-15T00:00:00"/>
    <d v="2012-01-01T00:00:00"/>
    <n v="3040"/>
    <n v="3040"/>
    <x v="12"/>
    <d v="2012-01-21T00:00:00"/>
    <m/>
    <n v="9321639792"/>
    <n v="80"/>
    <s v="APMU2836718"/>
    <s v="CONVENT/1202"/>
    <m/>
    <s v="HONG KONG"/>
    <s v="C-POST-CONF"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5"/>
    <x v="2"/>
    <x v="3"/>
    <s v="C-POST-CONF"/>
    <n v="-3"/>
    <n v="-3"/>
    <x v="0"/>
    <n v="1"/>
    <x v="0"/>
    <x v="0"/>
    <x v="0"/>
    <n v="1"/>
    <n v="0"/>
    <n v="1"/>
    <n v="0"/>
    <n v="0"/>
    <n v="1"/>
    <x v="0"/>
    <x v="0"/>
    <x v="1"/>
    <x v="1"/>
  </r>
  <r>
    <s v="Shipment"/>
    <n v="99007325"/>
    <s v="Spedition Hendricks GmbH &amp; Co.KG                  "/>
    <n v="99007300"/>
    <x v="17"/>
    <s v="4500258818/000010"/>
    <n v="1370144288"/>
    <n v="10"/>
    <x v="28"/>
    <x v="28"/>
    <s v="R1"/>
    <n v="8000032029"/>
    <n v="55"/>
    <s v="BI662510       "/>
    <s v="BI662510 KET EXPRESS STAIN 1.7L                   "/>
    <s v="S"/>
    <d v="2012-01-06T00:00:00"/>
    <m/>
    <s v="X"/>
    <x v="36"/>
    <n v="16.14"/>
    <n v="14"/>
    <d v="2012-01-06T00:00:00"/>
    <d v="2011-12-02T00:00:00"/>
    <n v="3843"/>
    <d v="2012-01-09T00:00:00"/>
    <n v="3843"/>
    <m/>
    <d v="2011-12-02T00:00:00"/>
    <n v="3843"/>
    <d v="2012-02-13T00:00:00"/>
    <d v="2012-01-09T00:00:00"/>
    <n v="3843"/>
    <n v="3843"/>
    <x v="6"/>
    <d v="2012-02-09T00:00:00"/>
    <m/>
    <n v="9321639797"/>
    <n v="10"/>
    <s v="FSCU4754902"/>
    <s v="MOL MAXIM/010W"/>
    <m/>
    <s v="YANTIAN"/>
    <s v="C-POST-CONF/"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2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565/000190"/>
    <n v="1370144084"/>
    <n v="190"/>
    <x v="8"/>
    <x v="8"/>
    <s v="L4"/>
    <n v="1830003337"/>
    <n v="131"/>
    <s v="SF6150E4       "/>
    <s v="SF6150E4 LISS &amp; CURL PRO STRAIGHTENER             "/>
    <s v="S"/>
    <d v="2012-01-04T00:00:00"/>
    <m/>
    <s v="X"/>
    <x v="36"/>
    <n v="14.57"/>
    <n v="13"/>
    <d v="2012-01-23T00:00:00"/>
    <d v="2011-12-26T00:00:00"/>
    <n v="3222"/>
    <d v="2012-01-02T00:00:00"/>
    <n v="3222"/>
    <m/>
    <d v="2011-12-23T00:00:00"/>
    <n v="3222"/>
    <d v="2012-01-30T00:00:00"/>
    <d v="2012-01-02T00:00:00"/>
    <n v="3222"/>
    <n v="3222"/>
    <x v="3"/>
    <d v="2012-01-30T00:00:00"/>
    <m/>
    <n v="9321639809"/>
    <n v="20"/>
    <s v="TTNU4867981"/>
    <s v="HANJIN AMSTERDAM/007"/>
    <m/>
    <s v="YANTIAN"/>
    <s v="SP-OVERCAP/"/>
    <m/>
    <s v="JASON FAN"/>
    <s v="FO9"/>
    <s v="PERSONAL CARE                 "/>
    <s v="CONFIRMED"/>
    <n v="1"/>
    <n v="1"/>
    <d v="2012-01-02T00:00:00"/>
    <s v="LINEN PERS HOME CARE          "/>
    <s v="PERSONAL CARE                 "/>
    <x v="4"/>
    <x v="1"/>
    <x v="11"/>
    <s v="SP-OVERCAP"/>
    <n v="-3"/>
    <n v="-3"/>
    <x v="9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38112/000010"/>
    <n v="1370144345"/>
    <n v="10"/>
    <x v="49"/>
    <x v="49"/>
    <s v="R1"/>
    <n v="1500578130"/>
    <n v="23"/>
    <n v="578130"/>
    <s v="TJ802D50 TOAS PRO 2S SS US                        "/>
    <s v="S"/>
    <d v="2012-02-01T00:00:00"/>
    <m/>
    <s v="X"/>
    <x v="35"/>
    <n v="36"/>
    <n v="42"/>
    <d v="2012-03-01T00:00:00"/>
    <d v="2012-01-26T00:00:00"/>
    <n v="850"/>
    <d v="2012-01-26T00:00:00"/>
    <n v="850"/>
    <m/>
    <d v="2012-01-26T00:00:00"/>
    <n v="850"/>
    <d v="2012-03-26T00:00:00"/>
    <d v="2012-02-20T00:00:00"/>
    <n v="850"/>
    <n v="724"/>
    <x v="1"/>
    <d v="2012-02-27T00:00:00"/>
    <m/>
    <n v="9321639817"/>
    <n v="10"/>
    <s v="HLXU3107524"/>
    <s v="NYK RIGEL 16E03/"/>
    <m/>
    <s v="YANTIAN"/>
    <s v="SP-TECH/CONS-SHIPT/C-PULLIN-CONF/"/>
    <m/>
    <s v="TWEETY LEUNG"/>
    <s v="FO9"/>
    <s v="BEVERAGE                      "/>
    <s v="CONFIRMED"/>
    <n v="1"/>
    <n v="4"/>
    <d v="2012-01-23T00:00:00"/>
    <s v="KITCHEN ELECTRICS             "/>
    <s v="BREAKFAST &amp; BREVAGE PREP      "/>
    <x v="2"/>
    <x v="1"/>
    <x v="2"/>
    <s v="CONS-SHIPT"/>
    <n v="1"/>
    <n v="-3"/>
    <x v="8"/>
    <n v="3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38113/000010"/>
    <n v="1370144348"/>
    <n v="10"/>
    <x v="49"/>
    <x v="49"/>
    <s v="R1"/>
    <n v="1500578131"/>
    <n v="23"/>
    <n v="578131"/>
    <s v="TJ804D50 TOAS PRO 4S SS US                        "/>
    <s v="S"/>
    <d v="2012-02-01T00:00:00"/>
    <m/>
    <s v="X"/>
    <x v="35"/>
    <n v="51.92"/>
    <n v="60"/>
    <d v="2012-03-01T00:00:00"/>
    <d v="2012-01-26T00:00:00"/>
    <n v="600"/>
    <d v="2012-01-18T00:00:00"/>
    <n v="600"/>
    <m/>
    <d v="2012-01-26T00:00:00"/>
    <n v="1100"/>
    <d v="2012-03-26T00:00:00"/>
    <d v="2012-02-20T00:00:00"/>
    <n v="600"/>
    <n v="100"/>
    <x v="1"/>
    <d v="2012-02-27T00:00:00"/>
    <m/>
    <n v="9321639818"/>
    <n v="10"/>
    <s v="HLXU3107524"/>
    <s v="NYK RIGEL 16E03/"/>
    <m/>
    <s v="YANTIAN"/>
    <s v="SP-TECH/SP-TECH/C-PULLIN-CONF/C-PULLIN-CONF/"/>
    <m/>
    <s v="TWEETY LEUNG"/>
    <s v="FO9"/>
    <s v="BEVERAGE                      "/>
    <s v="CONFIRMED"/>
    <n v="1"/>
    <n v="4"/>
    <d v="2012-01-23T00:00:00"/>
    <s v="KITCHEN ELECTRICS             "/>
    <s v="BREAKFAST &amp; BREVAGE PREP      "/>
    <x v="2"/>
    <x v="1"/>
    <x v="2"/>
    <s v="SP-TECH"/>
    <n v="1"/>
    <n v="1"/>
    <x v="4"/>
    <n v="4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38098/000010"/>
    <n v="1370144349"/>
    <n v="10"/>
    <x v="13"/>
    <x v="13"/>
    <s v="A7"/>
    <n v="8701000885"/>
    <n v="235"/>
    <s v="T195           "/>
    <s v="T195 - LASAGNA SERVER 10.75 INCH                  "/>
    <s v="S"/>
    <d v="2012-01-10T00:00:00"/>
    <m/>
    <s v="X"/>
    <x v="35"/>
    <n v="2.3730000000000002"/>
    <n v="3"/>
    <d v="2012-02-08T00:00:00"/>
    <d v="2012-01-04T00:00:00"/>
    <n v="1008"/>
    <d v="2012-01-04T00:00:00"/>
    <n v="1008"/>
    <m/>
    <d v="2012-01-04T00:00:00"/>
    <n v="1008"/>
    <d v="2012-02-08T00:00:00"/>
    <d v="2012-01-04T00:00:00"/>
    <n v="1008"/>
    <n v="1008"/>
    <x v="7"/>
    <d v="2012-02-10T00:00:00"/>
    <m/>
    <n v="9321639819"/>
    <n v="10"/>
    <s v="IKSU8302473"/>
    <s v="CMA CGM DON PASCUALE"/>
    <m/>
    <s v="YANTI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34551/000010"/>
    <n v="1370144319"/>
    <n v="10"/>
    <x v="6"/>
    <x v="6"/>
    <s v="R1"/>
    <n v="8000033481"/>
    <n v="27"/>
    <s v="KM700552       "/>
    <s v="KM700552 GRIND/BREW COFFEE MAKER GLASS B          "/>
    <s v="S"/>
    <d v="2012-01-30T00:00:00"/>
    <m/>
    <s v="X"/>
    <x v="35"/>
    <n v="47.22"/>
    <n v="56"/>
    <d v="2012-02-16T00:00:00"/>
    <d v="2012-01-12T00:00:00"/>
    <n v="1106"/>
    <d v="2012-01-12T00:00:00"/>
    <n v="1106"/>
    <m/>
    <d v="2012-01-12T00:00:00"/>
    <n v="1106"/>
    <d v="2012-02-22T00:00:00"/>
    <d v="2012-01-18T00:00:00"/>
    <n v="1106"/>
    <n v="1106"/>
    <x v="8"/>
    <d v="2012-02-20T00:00:00"/>
    <m/>
    <n v="9321639820"/>
    <n v="10"/>
    <s v="CCLU4213285"/>
    <s v="CSCL FELIXSTOWE 0099"/>
    <m/>
    <s v="ZHUHAI"/>
    <s v="SP-MTL/LATE DOC"/>
    <m/>
    <s v="TWEETY LEUNG"/>
    <s v="FO9"/>
    <s v="BEVERAGE                      "/>
    <s v="CONFIRMED"/>
    <n v="1"/>
    <n v="3"/>
    <d v="2012-01-16T00:00:00"/>
    <s v="KITCHEN ELECTRICS             "/>
    <s v="BREAKFAST &amp; BREVAGE PREP      "/>
    <x v="2"/>
    <x v="1"/>
    <x v="9"/>
    <s v="SP-MTL"/>
    <n v="1"/>
    <n v="1"/>
    <x v="10"/>
    <n v="2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36301/000010"/>
    <n v="1370144312"/>
    <n v="10"/>
    <x v="39"/>
    <x v="39"/>
    <s v="R1"/>
    <n v="1500634613"/>
    <n v="27"/>
    <n v="634613"/>
    <s v="KM100050 FILTERED COFFEE MAKER                    "/>
    <s v="S"/>
    <d v="2012-01-19T00:00:00"/>
    <m/>
    <s v="X"/>
    <x v="35"/>
    <n v="19.670000000000002"/>
    <n v="22"/>
    <d v="2012-01-05T00:00:00"/>
    <d v="2011-12-01T00:00:00"/>
    <n v="1946"/>
    <d v="2012-01-17T00:00:00"/>
    <n v="1946"/>
    <m/>
    <m/>
    <m/>
    <d v="2012-02-21T00:00:00"/>
    <d v="2012-01-17T00:00:00"/>
    <n v="1946"/>
    <n v="218"/>
    <x v="21"/>
    <d v="2012-02-22T00:00:00"/>
    <m/>
    <n v="9321639827"/>
    <n v="10"/>
    <s v="CMAU1472599"/>
    <s v="CMA CGM TANCREDI"/>
    <m/>
    <s v="YANTIAN"/>
    <s v="CONS-SHIPT/CONS-SHIPT/SAILING-SCHED-UPDATE/"/>
    <m/>
    <s v="TWEETY LEUNG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0"/>
    <s v="CONS-SHIPT"/>
    <n v="-3"/>
    <n v="-3"/>
    <x v="8"/>
    <n v="3"/>
    <x v="0"/>
    <x v="0"/>
    <x v="0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8221/000010"/>
    <n v="1370144296"/>
    <n v="10"/>
    <x v="0"/>
    <x v="0"/>
    <s v="A1"/>
    <n v="2100056046"/>
    <n v="208"/>
    <n v="115002043"/>
    <s v="D9130764 T-FAL SIGNATURE HA 12&quot; FP                "/>
    <s v="S"/>
    <d v="2012-01-09T00:00:00"/>
    <m/>
    <s v="X"/>
    <x v="35"/>
    <n v="7.8284000000000002"/>
    <n v="8"/>
    <d v="2012-01-08T00:00:00"/>
    <d v="2011-12-04T00:00:00"/>
    <n v="1500"/>
    <d v="2012-01-06T00:00:00"/>
    <n v="1500"/>
    <m/>
    <d v="2011-12-30T00:00:00"/>
    <n v="1500"/>
    <d v="2012-02-10T00:00:00"/>
    <d v="2012-01-06T00:00:00"/>
    <n v="1500"/>
    <n v="1500"/>
    <x v="12"/>
    <d v="2012-02-11T00:00:00"/>
    <m/>
    <n v="9321639837"/>
    <n v="10"/>
    <s v="MSKU8201774"/>
    <s v="ARTHUR MAERSK/553S"/>
    <m/>
    <s v="NINGBO"/>
    <s v="C-POST-CONF/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3"/>
    <s v="C-POST-CONF"/>
    <n v="-3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8220/000010"/>
    <n v="1370144299"/>
    <n v="10"/>
    <x v="0"/>
    <x v="0"/>
    <s v="A1"/>
    <n v="2100055443"/>
    <n v="208"/>
    <n v="116000676"/>
    <s v="D913SC64 T-FAL SIGNATURE HA 12PC SET TS           "/>
    <s v="S"/>
    <d v="2012-01-11T00:00:00"/>
    <m/>
    <s v="X"/>
    <x v="35"/>
    <n v="47.5276"/>
    <n v="50"/>
    <d v="2011-12-28T00:00:00"/>
    <d v="2011-11-23T00:00:00"/>
    <n v="2000"/>
    <d v="2011-12-30T00:00:00"/>
    <n v="2000"/>
    <m/>
    <d v="2011-12-30T00:00:00"/>
    <n v="2000"/>
    <d v="2012-02-10T00:00:00"/>
    <d v="2012-01-06T00:00:00"/>
    <n v="2000"/>
    <n v="1080"/>
    <x v="12"/>
    <d v="2012-02-11T00:00:00"/>
    <m/>
    <n v="9321639839"/>
    <n v="10"/>
    <s v="PONU8096750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38220/000010"/>
    <n v="1370144299"/>
    <n v="10"/>
    <x v="0"/>
    <x v="0"/>
    <s v="A1"/>
    <n v="2100055443"/>
    <n v="208"/>
    <n v="116000676"/>
    <s v="D913SC64 T-FAL SIGNATURE HA 12PC SET TS           "/>
    <s v="S"/>
    <d v="2012-01-10T00:00:00"/>
    <m/>
    <s v="X"/>
    <x v="35"/>
    <n v="47.5276"/>
    <n v="50"/>
    <d v="2011-12-28T00:00:00"/>
    <d v="2011-11-23T00:00:00"/>
    <n v="2000"/>
    <d v="2011-12-30T00:00:00"/>
    <n v="2000"/>
    <m/>
    <d v="2011-12-30T00:00:00"/>
    <n v="2000"/>
    <d v="2012-02-10T00:00:00"/>
    <d v="2012-01-06T00:00:00"/>
    <n v="2000"/>
    <n v="920"/>
    <x v="7"/>
    <d v="2012-02-10T00:00:00"/>
    <m/>
    <n v="9321639839"/>
    <n v="10"/>
    <s v="MSKU6458207"/>
    <s v="ARTHUR MAERSK/553S"/>
    <m/>
    <s v="NINGBO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8222/000010"/>
    <n v="1370144321"/>
    <n v="10"/>
    <x v="0"/>
    <x v="0"/>
    <s v="A1"/>
    <n v="2100056048"/>
    <n v="208"/>
    <n v="115002681"/>
    <s v="D9133364 T-FAL SIGNATURE HA 10&quot; COV DEEP          "/>
    <s v="S"/>
    <d v="2012-01-09T00:00:00"/>
    <m/>
    <s v="X"/>
    <x v="35"/>
    <n v="12.4544"/>
    <n v="13"/>
    <d v="2012-01-08T00:00:00"/>
    <d v="2011-12-04T00:00:00"/>
    <n v="2000"/>
    <d v="2012-01-06T00:00:00"/>
    <n v="2000"/>
    <m/>
    <d v="2011-12-30T00:00:00"/>
    <n v="2000"/>
    <d v="2012-02-10T00:00:00"/>
    <d v="2012-01-06T00:00:00"/>
    <n v="2000"/>
    <n v="2000"/>
    <x v="7"/>
    <d v="2012-02-10T00:00:00"/>
    <m/>
    <n v="9321639840"/>
    <n v="10"/>
    <s v="ZCSU8670478"/>
    <s v="ZIM SAVANNAH/29E"/>
    <m/>
    <s v="NINGBO"/>
    <s v="C-POST-CONF/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7988/000010"/>
    <n v="1370144352"/>
    <n v="10"/>
    <x v="13"/>
    <x v="13"/>
    <s v="A7"/>
    <n v="8701000631"/>
    <n v="239"/>
    <n v="633"/>
    <s v="00633 - DISC MIXING BOWL SET - W/S                "/>
    <s v="S"/>
    <d v="2012-01-10T00:00:00"/>
    <m/>
    <s v="X"/>
    <x v="35"/>
    <n v="24.221"/>
    <n v="28"/>
    <d v="2011-12-31T00:00:00"/>
    <d v="2011-11-26T00:00:00"/>
    <n v="1000"/>
    <d v="2012-01-01T00:00:00"/>
    <n v="1000"/>
    <m/>
    <d v="2011-11-26T00:00:00"/>
    <n v="1000"/>
    <d v="2012-02-08T00:00:00"/>
    <d v="2012-01-04T00:00:00"/>
    <n v="1000"/>
    <n v="1000"/>
    <x v="7"/>
    <d v="2012-02-10T00:00:00"/>
    <m/>
    <n v="9321639842"/>
    <n v="10"/>
    <s v="IKSU8302473"/>
    <s v="CMA CGM DON PASCUALE"/>
    <m/>
    <s v="YANTIAN"/>
    <s v="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5"/>
    <x v="2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38205/000010"/>
    <n v="1370144341"/>
    <n v="10"/>
    <x v="31"/>
    <x v="31"/>
    <s v="A1"/>
    <n v="2100066402"/>
    <n v="201"/>
    <n v="115003257"/>
    <s v="A7668264 JUMB COOK 30+LID STR B GREY FA           "/>
    <s v="S"/>
    <d v="2012-01-16T00:00:00"/>
    <m/>
    <s v="X"/>
    <x v="36"/>
    <n v="9.2567000000000004"/>
    <n v="10"/>
    <d v="2011-12-28T00:00:00"/>
    <d v="2011-11-16T00:00:00"/>
    <n v="2000"/>
    <d v="2012-01-06T00:00:00"/>
    <n v="2000"/>
    <m/>
    <d v="2011-12-30T00:00:00"/>
    <n v="2000"/>
    <d v="2012-02-14T00:00:00"/>
    <d v="2012-01-03T00:00:00"/>
    <n v="2000"/>
    <n v="424"/>
    <x v="7"/>
    <d v="2012-02-17T00:00:00"/>
    <m/>
    <n v="9321639897"/>
    <n v="10"/>
    <s v="CATU4901297"/>
    <s v="XIN CHANG JIANG A094"/>
    <m/>
    <s v="WUHAN"/>
    <s v="C-POST-CONF/SP-TOOLING/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5"/>
    <s v="C-POST-CONF"/>
    <n v="1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8205/000010"/>
    <n v="1370144341"/>
    <n v="10"/>
    <x v="31"/>
    <x v="31"/>
    <s v="A1"/>
    <n v="2100066402"/>
    <n v="201"/>
    <n v="115003257"/>
    <s v="A7668264 JUMB COOK 30+LID STR B GREY FA           "/>
    <s v="S"/>
    <d v="2012-01-16T00:00:00"/>
    <m/>
    <s v="X"/>
    <x v="36"/>
    <n v="9.2567000000000004"/>
    <n v="10"/>
    <d v="2011-12-28T00:00:00"/>
    <d v="2011-11-16T00:00:00"/>
    <n v="2000"/>
    <d v="2012-01-06T00:00:00"/>
    <n v="2000"/>
    <m/>
    <d v="2011-12-30T00:00:00"/>
    <n v="2000"/>
    <d v="2012-02-14T00:00:00"/>
    <d v="2012-01-03T00:00:00"/>
    <n v="2000"/>
    <n v="1576"/>
    <x v="7"/>
    <d v="2012-02-17T00:00:00"/>
    <m/>
    <n v="9321639897"/>
    <n v="10"/>
    <s v="INKU6104616"/>
    <s v="XIN CHANG JIANG A094"/>
    <m/>
    <s v="WUHAN"/>
    <s v="C-POST-CONF/SP-TOOLING/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5"/>
    <s v="C-POST-CONF"/>
    <n v="1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38202/000010"/>
    <n v="1370144342"/>
    <n v="10"/>
    <x v="31"/>
    <x v="31"/>
    <s v="A1"/>
    <n v="2100066402"/>
    <n v="201"/>
    <n v="115003257"/>
    <s v="A7668264 JUMB COOK 30+LID STR B GREY FA           "/>
    <s v="S"/>
    <d v="2012-01-16T00:00:00"/>
    <m/>
    <s v="X"/>
    <x v="35"/>
    <n v="9.2567000000000004"/>
    <n v="10"/>
    <d v="2012-02-08T00:00:00"/>
    <d v="2011-12-28T00:00:00"/>
    <n v="4000"/>
    <d v="2012-01-06T00:00:00"/>
    <n v="4000"/>
    <m/>
    <d v="2011-12-30T00:00:00"/>
    <n v="4000"/>
    <d v="2012-02-14T00:00:00"/>
    <d v="2012-01-03T00:00:00"/>
    <n v="4000"/>
    <n v="1108"/>
    <x v="7"/>
    <d v="2012-02-17T00:00:00"/>
    <m/>
    <n v="9321639898"/>
    <n v="10"/>
    <s v="INKU6104616"/>
    <s v="XIN CHANG JIANG A094"/>
    <m/>
    <s v="WUHAN"/>
    <s v="C-POST-CONF/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38202/000010"/>
    <n v="1370144342"/>
    <n v="10"/>
    <x v="31"/>
    <x v="31"/>
    <s v="A1"/>
    <n v="2100066402"/>
    <n v="201"/>
    <n v="115003257"/>
    <s v="A7668264 JUMB COOK 30+LID STR B GREY FA           "/>
    <s v="S"/>
    <d v="2012-01-16T00:00:00"/>
    <m/>
    <s v="X"/>
    <x v="35"/>
    <n v="9.2567000000000004"/>
    <n v="10"/>
    <d v="2012-02-08T00:00:00"/>
    <d v="2011-12-28T00:00:00"/>
    <n v="4000"/>
    <d v="2012-01-06T00:00:00"/>
    <n v="4000"/>
    <m/>
    <d v="2011-12-30T00:00:00"/>
    <n v="4000"/>
    <d v="2012-02-14T00:00:00"/>
    <d v="2012-01-03T00:00:00"/>
    <n v="4000"/>
    <n v="2668"/>
    <x v="7"/>
    <d v="2012-02-17T00:00:00"/>
    <m/>
    <n v="9321639898"/>
    <n v="10"/>
    <s v="TGHU8628198"/>
    <s v="XIN CHANG JIANG A094"/>
    <m/>
    <s v="WUHAN"/>
    <s v="C-POST-CONF/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38202/000010"/>
    <n v="1370144342"/>
    <n v="10"/>
    <x v="31"/>
    <x v="31"/>
    <s v="A1"/>
    <n v="2100066402"/>
    <n v="201"/>
    <n v="115003257"/>
    <s v="A7668264 JUMB COOK 30+LID STR B GREY FA           "/>
    <s v="S"/>
    <d v="2012-01-16T00:00:00"/>
    <m/>
    <s v="X"/>
    <x v="35"/>
    <n v="9.2567000000000004"/>
    <n v="10"/>
    <d v="2012-02-08T00:00:00"/>
    <d v="2011-12-28T00:00:00"/>
    <n v="4000"/>
    <d v="2012-01-06T00:00:00"/>
    <n v="4000"/>
    <m/>
    <d v="2011-12-30T00:00:00"/>
    <n v="4000"/>
    <d v="2012-02-14T00:00:00"/>
    <d v="2012-01-03T00:00:00"/>
    <n v="4000"/>
    <n v="224"/>
    <x v="7"/>
    <d v="2012-02-17T00:00:00"/>
    <m/>
    <n v="9321639898"/>
    <n v="10"/>
    <s v="ECMU9812825"/>
    <s v="XIN CHANG JIANG A094"/>
    <m/>
    <s v="WUHAN"/>
    <s v="C-POST-CONF/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35346/000010"/>
    <n v="1370144141"/>
    <n v="10"/>
    <x v="27"/>
    <x v="27"/>
    <s v="K9"/>
    <n v="8000033521"/>
    <n v="29"/>
    <s v="XP5240FR       "/>
    <s v="XP5240FR ESP XP5200 SERIES BLK/SS FR              "/>
    <s v="S"/>
    <d v="2012-01-09T00:00:00"/>
    <m/>
    <s v="X"/>
    <x v="36"/>
    <n v="66.95"/>
    <n v="58"/>
    <d v="2011-12-30T00:00:00"/>
    <d v="2011-11-25T00:00:00"/>
    <n v="876"/>
    <d v="2012-01-03T00:00:00"/>
    <n v="876"/>
    <m/>
    <d v="2011-11-25T00:00:00"/>
    <n v="876"/>
    <d v="2012-02-07T00:00:00"/>
    <d v="2012-01-03T00:00:00"/>
    <n v="876"/>
    <n v="876"/>
    <x v="2"/>
    <d v="2012-02-08T00:00:00"/>
    <m/>
    <n v="9321640074"/>
    <n v="10"/>
    <s v="MRKU0274915"/>
    <s v="MAREN MAERSK 121W/"/>
    <m/>
    <s v="YANTIAN"/>
    <s v="C-POST-NEG/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2"/>
    <x v="1"/>
    <x v="1"/>
    <m/>
    <n v="0"/>
    <n v="0"/>
    <x v="1"/>
    <n v="1"/>
    <x v="0"/>
    <x v="0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34133/000010"/>
    <n v="1370143547"/>
    <n v="10"/>
    <x v="50"/>
    <x v="50"/>
    <s v="A3"/>
    <n v="2100067230"/>
    <n v="231"/>
    <s v="J0340114       "/>
    <s v="J0340114 BOX 18 MOULDS CARS FLASH MC QUE          "/>
    <s v="S"/>
    <d v="2012-01-09T00:00:00"/>
    <m/>
    <s v="X"/>
    <x v="36"/>
    <n v="49.77"/>
    <n v="47"/>
    <d v="2012-01-06T00:00:00"/>
    <d v="2011-12-02T00:00:00"/>
    <n v="600"/>
    <d v="2012-01-02T00:00:00"/>
    <n v="600"/>
    <m/>
    <d v="2011-12-05T00:00:00"/>
    <n v="600"/>
    <d v="2012-02-06T00:00:00"/>
    <d v="2012-01-02T00:00:00"/>
    <n v="600"/>
    <n v="600"/>
    <x v="13"/>
    <d v="2012-02-05T00:00:00"/>
    <m/>
    <n v="9321640376"/>
    <n v="10"/>
    <s v="MSKU6341720"/>
    <s v="CHARLOTTE MAERSK/120"/>
    <m/>
    <s v="YANTIAN"/>
    <s v="CONS-SHIPT/C-LCL-SHIPMENT/LATE DOC FROM FORWARDER"/>
    <m/>
    <s v="JASON FAN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0"/>
    <s v="CONS-SHIPT"/>
    <n v="-3"/>
    <n v="-3"/>
    <x v="8"/>
    <n v="3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36443/000010"/>
    <n v="1370144203"/>
    <n v="10"/>
    <x v="8"/>
    <x v="8"/>
    <s v="L4"/>
    <n v="1830003206"/>
    <n v="131"/>
    <s v="CF7322C4       "/>
    <s v="CF7322C4 HANDY W&amp;DRY LED STRAIGHTENER             "/>
    <s v="S"/>
    <d v="2012-01-10T00:00:00"/>
    <m/>
    <s v="X"/>
    <x v="36"/>
    <n v="10.71"/>
    <n v="10"/>
    <d v="2012-01-06T00:00:00"/>
    <d v="2011-12-02T00:00:00"/>
    <n v="2502"/>
    <d v="2012-01-03T00:00:00"/>
    <n v="2502"/>
    <m/>
    <d v="2011-12-02T00:00:00"/>
    <n v="2502"/>
    <d v="2012-02-08T00:00:00"/>
    <d v="2012-01-04T00:00:00"/>
    <n v="2502"/>
    <n v="2502"/>
    <x v="16"/>
    <d v="2012-02-07T00:00:00"/>
    <m/>
    <n v="9321640379"/>
    <n v="10"/>
    <s v="TTNU4741519"/>
    <s v="H VANCOUVER / 007W"/>
    <m/>
    <s v="SHEKOU"/>
    <s v="C-POST-CONF/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4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06552/000010"/>
    <n v="1370144760"/>
    <n v="10"/>
    <x v="12"/>
    <x v="12"/>
    <s v="A7"/>
    <n v="8701003878"/>
    <n v="235"/>
    <s v="T233           "/>
    <s v="T233 COOK SERVE SLOTTED SPOON 9.5&quot;                "/>
    <s v="S"/>
    <d v="2012-01-10T00:00:00"/>
    <m/>
    <s v="X"/>
    <x v="36"/>
    <n v="3.6"/>
    <n v="5"/>
    <d v="2012-03-06T00:00:00"/>
    <d v="2012-01-31T00:00:00"/>
    <n v="3072"/>
    <d v="2012-02-26T00:00:00"/>
    <n v="3072"/>
    <m/>
    <m/>
    <m/>
    <d v="2012-04-01T00:00:00"/>
    <d v="2012-02-26T00:00:00"/>
    <n v="3072"/>
    <n v="1536"/>
    <x v="12"/>
    <d v="2012-02-11T00:00:00"/>
    <m/>
    <n v="9321642635"/>
    <n v="10"/>
    <s v="GLDU3862334"/>
    <s v="UASC KHOR FAKKAN 000"/>
    <m/>
    <s v="YANTIAN"/>
    <s v="WRONG EDI(INTERNAL ISSUE)/C-PULLIN-CONF/CONS-SHIPT/CONS-SHIPT/SP-HOLIDAY /C-POST-CONF/C-PULLIN-CO NF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0"/>
    <s v="CONS-SHIPT"/>
    <n v="-3"/>
    <n v="-3"/>
    <x v="8"/>
    <n v="7"/>
    <x v="0"/>
    <x v="0"/>
    <x v="0"/>
    <n v="0"/>
    <n v="0"/>
    <n v="0"/>
    <n v="0"/>
    <n v="0"/>
    <n v="0"/>
    <x v="0"/>
    <x v="1"/>
    <x v="1"/>
    <x v="0"/>
  </r>
  <r>
    <s v="Shipment"/>
    <n v="99001800"/>
    <s v="GROUPE SEB COLOMBIA                               "/>
    <n v="99001800"/>
    <x v="26"/>
    <s v="22492/039641"/>
    <n v="1370144544"/>
    <n v="10"/>
    <x v="7"/>
    <x v="7"/>
    <s v="M1"/>
    <n v="1830003313"/>
    <n v="8"/>
    <s v="VU6550I0       "/>
    <s v="VU6550I0 TOWER FAN EOLE 2 LCD                     "/>
    <s v="S"/>
    <d v="2012-01-05T00:00:00"/>
    <m/>
    <s v="X"/>
    <x v="37"/>
    <n v="27.01"/>
    <n v="29678"/>
    <d v="2012-01-13T00:00:00"/>
    <d v="2011-12-09T00:00:00"/>
    <n v="1170"/>
    <d v="2012-01-02T00:00:00"/>
    <n v="1170"/>
    <m/>
    <d v="2011-12-09T00:00:00"/>
    <n v="1170"/>
    <d v="2012-02-06T00:00:00"/>
    <d v="2012-01-02T00:00:00"/>
    <n v="1170"/>
    <n v="1170"/>
    <x v="3"/>
    <d v="2012-02-06T00:00:00"/>
    <m/>
    <n v="9321642662"/>
    <n v="10"/>
    <s v="MSKU6939579"/>
    <s v="CARSTEN MAERSK 1203/"/>
    <m/>
    <s v="YANTIAN"/>
    <s v="SAILING-SCHED-UPDATE/SP-NO-FORECAST/"/>
    <m/>
    <s v="THOMAS HO"/>
    <s v="FO9"/>
    <s v="HOME COMFORT                  "/>
    <s v="CONFIRMED"/>
    <n v="1"/>
    <n v="1"/>
    <d v="2012-01-02T00:00:00"/>
    <s v="LINEN PERS HOME CARE          "/>
    <s v="HOME COMFORT                  "/>
    <x v="3"/>
    <x v="2"/>
    <x v="14"/>
    <s v="SP-NO-FORECAST"/>
    <n v="-3"/>
    <n v="-3"/>
    <x v="15"/>
    <n v="2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27909/000010"/>
    <n v="1370143242"/>
    <n v="10"/>
    <x v="17"/>
    <x v="17"/>
    <s v="L4"/>
    <n v="1830003806"/>
    <n v="131"/>
    <s v="SF1052B0       "/>
    <s v="SF1052B0 STRAIGHTENER INTERNATIONAL PROM          "/>
    <s v="S"/>
    <d v="2012-01-20T00:00:00"/>
    <m/>
    <s v="X"/>
    <x v="37"/>
    <n v="9.92"/>
    <n v="12"/>
    <d v="2012-01-09T00:00:00"/>
    <d v="2011-11-28T00:00:00"/>
    <n v="2600"/>
    <d v="2012-01-18T00:00:00"/>
    <n v="2600"/>
    <m/>
    <d v="2011-12-20T00:00:00"/>
    <n v="2600"/>
    <d v="2012-02-29T00:00:00"/>
    <d v="2012-01-18T00:00:00"/>
    <n v="2600"/>
    <n v="2600"/>
    <x v="19"/>
    <d v="2012-02-28T00:00:00"/>
    <m/>
    <n v="9321642696"/>
    <n v="10"/>
    <s v="SEAU2284240"/>
    <s v="MAERSK LUZ 202W/"/>
    <m/>
    <s v="HONG KONG"/>
    <s v="NEWREQ-CUSTOMS/SP-NO-FORECAST/"/>
    <m/>
    <s v="THOMAS HO"/>
    <s v="FO9"/>
    <s v="PERSONAL CARE                 "/>
    <s v="CONFIRMED"/>
    <n v="1"/>
    <n v="3"/>
    <d v="2012-01-17T00:00:00"/>
    <s v="LINEN PERS HOME CARE          "/>
    <s v="PERSONAL CARE                 "/>
    <x v="3"/>
    <x v="2"/>
    <x v="8"/>
    <s v="SP-NO-FORECAST"/>
    <n v="1"/>
    <n v="-3"/>
    <x v="15"/>
    <n v="2"/>
    <x v="0"/>
    <x v="0"/>
    <x v="1"/>
    <n v="1"/>
    <n v="0"/>
    <n v="1"/>
    <n v="0"/>
    <n v="0"/>
    <n v="1"/>
    <x v="0"/>
    <x v="0"/>
    <x v="1"/>
    <x v="1"/>
  </r>
  <r>
    <s v="Shipment"/>
    <n v="99003221"/>
    <s v="GROUPE SEB CANADA INC                             "/>
    <n v="99003200"/>
    <x v="27"/>
    <s v="22530/039683"/>
    <n v="1370145153"/>
    <n v="10"/>
    <x v="5"/>
    <x v="5"/>
    <s v="R1"/>
    <n v="1500572634"/>
    <n v="23"/>
    <n v="572634"/>
    <s v="TT710150 TOASTER AVANTE DELUXE BLACKNBSS          "/>
    <s v="S"/>
    <d v="2012-01-31T00:00:00"/>
    <m/>
    <s v="X"/>
    <x v="37"/>
    <n v="15.21"/>
    <n v="18"/>
    <d v="2012-02-07T00:00:00"/>
    <d v="2012-01-10T00:00:00"/>
    <n v="2496"/>
    <d v="2012-01-10T00:00:00"/>
    <n v="2496"/>
    <m/>
    <d v="2012-01-10T00:00:00"/>
    <n v="2496"/>
    <d v="2012-02-08T00:00:00"/>
    <d v="2012-01-11T00:00:00"/>
    <n v="2496"/>
    <n v="2496"/>
    <x v="17"/>
    <d v="2012-02-08T00:00:00"/>
    <m/>
    <n v="9321642920"/>
    <n v="10"/>
    <s v="OOLU7774639"/>
    <s v="BERLIN EXPRESS 58E01"/>
    <m/>
    <s v="YANTIAN"/>
    <m/>
    <m/>
    <s v="TWEETY LEUNG"/>
    <s v="FO9"/>
    <s v="BEVERAGE                      "/>
    <s v="CONFIRMED"/>
    <n v="1"/>
    <n v="2"/>
    <d v="2012-01-11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1/039684"/>
    <n v="1370145152"/>
    <n v="10"/>
    <x v="5"/>
    <x v="5"/>
    <s v="R1"/>
    <n v="1500572727"/>
    <n v="23"/>
    <n v="572727"/>
    <s v="TT750150 TOASTER AVANTE DELUXE BLKNBSS 4          "/>
    <s v="S"/>
    <d v="2012-01-31T00:00:00"/>
    <m/>
    <s v="X"/>
    <x v="37"/>
    <n v="22.44"/>
    <n v="27"/>
    <d v="2012-02-07T00:00:00"/>
    <d v="2012-01-10T00:00:00"/>
    <n v="1688"/>
    <d v="2012-01-10T00:00:00"/>
    <n v="1688"/>
    <m/>
    <d v="2012-01-10T00:00:00"/>
    <n v="1688"/>
    <d v="2012-02-15T00:00:00"/>
    <d v="2012-01-18T00:00:00"/>
    <n v="1688"/>
    <n v="1688"/>
    <x v="21"/>
    <d v="2012-02-15T00:00:00"/>
    <m/>
    <n v="9321642923"/>
    <n v="10"/>
    <s v="TTNU4337404"/>
    <s v="ZIM LOS ANGELES 21E"/>
    <m/>
    <s v="YANTIAN"/>
    <s v="SP-PROD-ISSUE/"/>
    <m/>
    <s v="TWEETY LEUNG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3221"/>
    <s v="GROUPE SEB CANADA INC                             "/>
    <n v="99003200"/>
    <x v="27"/>
    <s v="22523/039676"/>
    <n v="1370145174"/>
    <n v="10"/>
    <x v="35"/>
    <x v="35"/>
    <s v="N3"/>
    <n v="1500633142"/>
    <n v="177"/>
    <n v="633142"/>
    <s v="FF103050 FRY.SIMPLY SMART/CA                      "/>
    <s v="S"/>
    <d v="2012-01-31T00:00:00"/>
    <m/>
    <s v="X"/>
    <x v="37"/>
    <n v="24.66"/>
    <n v="28"/>
    <d v="2012-02-07T00:00:00"/>
    <d v="2012-01-10T00:00:00"/>
    <n v="1320"/>
    <d v="2012-01-10T00:00:00"/>
    <n v="1320"/>
    <m/>
    <d v="2012-01-10T00:00:00"/>
    <n v="1320"/>
    <d v="2012-02-08T00:00:00"/>
    <d v="2012-01-11T00:00:00"/>
    <n v="1320"/>
    <n v="1320"/>
    <x v="17"/>
    <d v="2012-02-08T00:00:00"/>
    <m/>
    <n v="9321642926"/>
    <n v="10"/>
    <s v="OOLU8077813"/>
    <s v="BERLIN EXPRESS 58E01"/>
    <m/>
    <s v="HONG KONG"/>
    <s v="SAILING-SCHED-UPDATE/"/>
    <m/>
    <s v="TWEETY LEUNG"/>
    <s v="FO9"/>
    <s v="ELECTRICAL COOKING            "/>
    <s v="CONFIRMED"/>
    <n v="1"/>
    <n v="2"/>
    <d v="2012-01-11T00:00:00"/>
    <s v="KITCHEN ELECTRICS             "/>
    <s v="ELECTRICAL COOKING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25/039678"/>
    <n v="1370145172"/>
    <n v="10"/>
    <x v="37"/>
    <x v="37"/>
    <s v="N3"/>
    <n v="1500632002"/>
    <n v="177"/>
    <n v="632002"/>
    <s v="FR700851 ULTIMATE.EZ.C.PF.MECA                    "/>
    <s v="S"/>
    <d v="2012-01-07T00:00:00"/>
    <m/>
    <s v="X"/>
    <x v="37"/>
    <n v="38.340000000000003"/>
    <n v="47"/>
    <d v="2012-02-07T00:00:00"/>
    <d v="2012-01-10T00:00:00"/>
    <n v="4400"/>
    <d v="2012-01-10T00:00:00"/>
    <n v="4400"/>
    <m/>
    <d v="2012-01-15T00:00:00"/>
    <n v="6600"/>
    <d v="2012-03-14T00:00:00"/>
    <d v="2012-02-15T00:00:00"/>
    <n v="4400"/>
    <n v="1100"/>
    <x v="2"/>
    <d v="2012-02-01T00:00:00"/>
    <m/>
    <n v="9321642928"/>
    <n v="10"/>
    <s v="OOLU8595920"/>
    <s v="ZIM CHICAGO 10E/"/>
    <m/>
    <s v="YANTIAN"/>
    <s v="SP-MTL/"/>
    <m/>
    <s v="TWEETY LEUNG"/>
    <s v="FO9"/>
    <s v="ELECTRICAL COOKING            "/>
    <s v="CONFIRMED"/>
    <n v="1"/>
    <n v="1"/>
    <d v="2012-01-04T00:00:00"/>
    <s v="KITCHEN ELECTRICS             "/>
    <s v="ELECTRICAL COOKING            "/>
    <x v="1"/>
    <x v="1"/>
    <x v="9"/>
    <s v="SP-MTL"/>
    <n v="1"/>
    <n v="1"/>
    <x v="10"/>
    <n v="1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25/039678"/>
    <n v="1370145172"/>
    <n v="10"/>
    <x v="37"/>
    <x v="37"/>
    <s v="N3"/>
    <n v="1500632002"/>
    <n v="177"/>
    <n v="632002"/>
    <s v="FR700851 ULTIMATE.EZ.C.PF.MECA                    "/>
    <s v="S"/>
    <d v="2012-01-09T00:00:00"/>
    <m/>
    <s v="X"/>
    <x v="37"/>
    <n v="38.340000000000003"/>
    <n v="47"/>
    <d v="2012-02-07T00:00:00"/>
    <d v="2012-01-10T00:00:00"/>
    <n v="4400"/>
    <d v="2012-01-10T00:00:00"/>
    <n v="4400"/>
    <m/>
    <d v="2012-01-15T00:00:00"/>
    <n v="6600"/>
    <d v="2012-03-14T00:00:00"/>
    <d v="2012-02-15T00:00:00"/>
    <n v="4400"/>
    <n v="1100"/>
    <x v="2"/>
    <d v="2012-02-01T00:00:00"/>
    <m/>
    <n v="9321642928"/>
    <n v="10"/>
    <s v="OOLU8660374"/>
    <s v="ZIM CHICAGO 10E"/>
    <m/>
    <s v="YANTIAN"/>
    <s v="SP-MTL/"/>
    <m/>
    <s v="TWEETY LEUNG"/>
    <s v="FO9"/>
    <s v="ELECTRICAL COOKING            "/>
    <s v="CONFIRMED"/>
    <n v="1"/>
    <n v="1"/>
    <d v="2012-01-04T00:00:00"/>
    <s v="KITCHEN ELECTRICS             "/>
    <s v="ELECTRICAL COOKING            "/>
    <x v="1"/>
    <x v="1"/>
    <x v="9"/>
    <s v="SP-MTL"/>
    <n v="1"/>
    <n v="1"/>
    <x v="10"/>
    <n v="1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26/039679"/>
    <n v="1370145171"/>
    <n v="10"/>
    <x v="37"/>
    <x v="37"/>
    <s v="N3"/>
    <n v="1500632019"/>
    <n v="177"/>
    <n v="632019"/>
    <s v="FR701350 EZ CLEAN  INOX &amp; DESIGN                  "/>
    <s v="S"/>
    <d v="2012-01-07T00:00:00"/>
    <m/>
    <s v="X"/>
    <x v="37"/>
    <n v="38.79"/>
    <n v="47"/>
    <d v="2012-02-07T00:00:00"/>
    <d v="2012-01-10T00:00:00"/>
    <n v="2200"/>
    <d v="2012-01-10T00:00:00"/>
    <n v="2200"/>
    <m/>
    <d v="2012-01-03T00:00:00"/>
    <n v="2200"/>
    <d v="2012-01-31T00:00:00"/>
    <d v="2012-01-03T00:00:00"/>
    <n v="2200"/>
    <n v="1100"/>
    <x v="2"/>
    <d v="2012-02-01T00:00:00"/>
    <m/>
    <n v="9321642930"/>
    <n v="10"/>
    <s v="OOLU8584309"/>
    <s v="ZIM CHICAGO 10E/"/>
    <m/>
    <s v="SHENZHEN"/>
    <m/>
    <m/>
    <s v="TWEETY LEUNG"/>
    <s v="FO9"/>
    <s v="ELECTRICAL COOKING            "/>
    <s v="CONFIRMED"/>
    <n v="1"/>
    <n v="1"/>
    <d v="2012-01-04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26/039679"/>
    <n v="1370145171"/>
    <n v="10"/>
    <x v="37"/>
    <x v="37"/>
    <s v="N3"/>
    <n v="1500632019"/>
    <n v="177"/>
    <n v="632019"/>
    <s v="FR701350 EZ CLEAN  INOX &amp; DESIGN                  "/>
    <s v="S"/>
    <d v="2012-01-07T00:00:00"/>
    <m/>
    <s v="X"/>
    <x v="37"/>
    <n v="38.79"/>
    <n v="47"/>
    <d v="2012-02-07T00:00:00"/>
    <d v="2012-01-10T00:00:00"/>
    <n v="2200"/>
    <d v="2012-01-10T00:00:00"/>
    <n v="2200"/>
    <m/>
    <d v="2012-01-03T00:00:00"/>
    <n v="2200"/>
    <d v="2012-01-31T00:00:00"/>
    <d v="2012-01-03T00:00:00"/>
    <n v="2200"/>
    <n v="1100"/>
    <x v="2"/>
    <d v="2012-02-01T00:00:00"/>
    <m/>
    <n v="9321642930"/>
    <n v="10"/>
    <s v="OOLU8642025"/>
    <s v="ZIM CHICAGO 10E/"/>
    <m/>
    <s v="SHENZHEN"/>
    <m/>
    <m/>
    <s v="TWEETY LEUNG"/>
    <s v="FO9"/>
    <s v="ELECTRICAL COOKING            "/>
    <s v="CONFIRMED"/>
    <n v="1"/>
    <n v="1"/>
    <d v="2012-01-04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17/039670"/>
    <n v="1370145179"/>
    <n v="10"/>
    <x v="14"/>
    <x v="14"/>
    <s v="J2"/>
    <n v="1110019215"/>
    <n v="64"/>
    <s v="               "/>
    <s v="DR5020Q1 STEAM BRUSH                              "/>
    <s v="S"/>
    <d v="2012-02-02T00:00:00"/>
    <m/>
    <s v="X"/>
    <x v="37"/>
    <n v="10.68"/>
    <n v="12"/>
    <d v="2012-02-07T00:00:00"/>
    <d v="2012-01-10T00:00:00"/>
    <n v="3000"/>
    <d v="2012-01-10T00:00:00"/>
    <n v="3000"/>
    <m/>
    <d v="2012-01-05T00:00:00"/>
    <n v="3000"/>
    <d v="2012-02-23T00:00:00"/>
    <d v="2012-01-26T00:00:00"/>
    <n v="3000"/>
    <n v="3000"/>
    <x v="15"/>
    <d v="2012-02-23T00:00:00"/>
    <m/>
    <n v="9321642931"/>
    <n v="10"/>
    <s v="OOLU7787512"/>
    <s v="VANCOUVER EXPRESS 16"/>
    <m/>
    <s v="NINGBO"/>
    <s v="SP-INSP-FAILED/SP-MTL/"/>
    <m/>
    <s v="TWEETY LEUNG"/>
    <s v="FO9"/>
    <s v="LINEN CARE                    "/>
    <s v="CONFIRMED"/>
    <n v="1"/>
    <n v="4"/>
    <d v="2012-01-26T00:00:00"/>
    <s v="LINEN PERS HOME CARE          "/>
    <s v="LINEN CARE                    "/>
    <x v="6"/>
    <x v="2"/>
    <x v="12"/>
    <s v="SP-INSP-FAILED"/>
    <n v="1"/>
    <n v="1"/>
    <x v="12"/>
    <n v="2"/>
    <x v="0"/>
    <x v="0"/>
    <x v="0"/>
    <n v="0"/>
    <n v="0"/>
    <n v="0"/>
    <n v="0"/>
    <n v="0"/>
    <n v="0"/>
    <x v="1"/>
    <x v="0"/>
    <x v="1"/>
    <x v="0"/>
  </r>
  <r>
    <s v="Shipment"/>
    <n v="99003221"/>
    <s v="GROUPE SEB CANADA INC                             "/>
    <n v="99003200"/>
    <x v="27"/>
    <s v="22519/039672"/>
    <n v="1370145178"/>
    <n v="10"/>
    <x v="51"/>
    <x v="51"/>
    <s v="J2"/>
    <n v="1110030054"/>
    <n v="64"/>
    <s v="$IS9100Q1      "/>
    <s v="IS9100Q1 STEAMER                                  "/>
    <s v="S"/>
    <d v="2012-01-09T00:00:00"/>
    <m/>
    <s v="X"/>
    <x v="37"/>
    <n v="35.71"/>
    <n v="42"/>
    <d v="2012-02-07T00:00:00"/>
    <d v="2012-01-10T00:00:00"/>
    <n v="890"/>
    <d v="2012-01-10T00:00:00"/>
    <n v="1786"/>
    <m/>
    <d v="2012-01-04T00:00:00"/>
    <n v="890"/>
    <d v="2012-02-01T00:00:00"/>
    <d v="2012-01-04T00:00:00"/>
    <n v="1786"/>
    <n v="894"/>
    <x v="2"/>
    <d v="2012-02-01T00:00:00"/>
    <m/>
    <n v="9321642933"/>
    <n v="10"/>
    <s v="OOLU8347349"/>
    <s v="ZIM CHICAGO 10E/"/>
    <m/>
    <s v="YANTIAN"/>
    <m/>
    <m/>
    <s v="TWEETY LEUNG"/>
    <s v="FO9"/>
    <s v="LINEN CARE                    "/>
    <s v="CONFIRMED"/>
    <n v="1"/>
    <n v="1"/>
    <d v="2012-01-04T00:00:00"/>
    <s v="LINEN PERS HOME CARE          "/>
    <s v="LINEN CARE  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19/039672"/>
    <n v="1370145178"/>
    <n v="10"/>
    <x v="51"/>
    <x v="51"/>
    <s v="J2"/>
    <n v="1110030054"/>
    <n v="64"/>
    <s v="$IS9100Q1      "/>
    <s v="IS9100Q1 STEAMER                                  "/>
    <s v="S"/>
    <d v="2012-01-10T00:00:00"/>
    <m/>
    <s v="X"/>
    <x v="37"/>
    <n v="35.71"/>
    <n v="42"/>
    <d v="2012-02-07T00:00:00"/>
    <d v="2012-01-10T00:00:00"/>
    <n v="890"/>
    <d v="2012-01-10T00:00:00"/>
    <n v="1786"/>
    <m/>
    <d v="2012-01-04T00:00:00"/>
    <n v="890"/>
    <d v="2012-02-01T00:00:00"/>
    <d v="2012-01-04T00:00:00"/>
    <n v="1786"/>
    <n v="892"/>
    <x v="2"/>
    <d v="2012-02-01T00:00:00"/>
    <m/>
    <n v="9321642933"/>
    <n v="10"/>
    <s v="OOLU8807681"/>
    <s v="ZIM CHICAGO 10E/"/>
    <m/>
    <s v="YANTIAN"/>
    <m/>
    <m/>
    <s v="TWEETY LEUNG"/>
    <s v="FO9"/>
    <s v="LINEN CARE                    "/>
    <s v="CONFIRMED"/>
    <n v="1"/>
    <n v="1"/>
    <d v="2012-01-04T00:00:00"/>
    <s v="LINEN PERS HOME CARE          "/>
    <s v="LINEN CARE  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29/039682"/>
    <n v="1370145168"/>
    <n v="10"/>
    <x v="23"/>
    <x v="23"/>
    <s v="J3"/>
    <n v="2820447900"/>
    <n v="1"/>
    <s v="FV4479Q0       "/>
    <s v="FV4479Q0 STEAM IRON ULTRAGLIDE EASYCORD           "/>
    <s v="S"/>
    <d v="2012-01-18T00:00:00"/>
    <m/>
    <s v="X"/>
    <x v="37"/>
    <n v="18.928699999999999"/>
    <n v="21"/>
    <d v="2012-02-07T00:00:00"/>
    <d v="2012-01-10T00:00:00"/>
    <n v="2502"/>
    <d v="2012-01-10T00:00:00"/>
    <n v="2592"/>
    <m/>
    <d v="2012-01-16T00:00:00"/>
    <n v="2592"/>
    <d v="2012-02-13T00:00:00"/>
    <d v="2012-01-16T00:00:00"/>
    <n v="2592"/>
    <n v="2592"/>
    <x v="19"/>
    <d v="2012-02-14T00:00:00"/>
    <m/>
    <n v="9321642934"/>
    <n v="10"/>
    <s v="OOLU7643346"/>
    <s v="HANOVER EXPRESS 27E0"/>
    <m/>
    <s v="SHANGHAI"/>
    <m/>
    <m/>
    <s v="TWEETY LEUNG"/>
    <s v="FO9"/>
    <s v="LINEN CARE                    "/>
    <s v="CONFIRMED"/>
    <n v="1"/>
    <n v="3"/>
    <d v="2012-01-17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8/039702"/>
    <n v="1370145145"/>
    <n v="10"/>
    <x v="0"/>
    <x v="0"/>
    <s v="A1"/>
    <n v="2100057349"/>
    <n v="206"/>
    <n v="115002294"/>
    <s v="E9380554 FP26 B LY STAIN ST BASE TP3 TC           "/>
    <s v="S"/>
    <d v="2012-01-11T00:00:00"/>
    <m/>
    <s v="X"/>
    <x v="37"/>
    <n v="7.7701000000000002"/>
    <n v="8"/>
    <d v="2012-02-07T00:00:00"/>
    <d v="2012-01-10T00:00:00"/>
    <n v="2004"/>
    <d v="2012-01-10T00:00:00"/>
    <n v="2004"/>
    <m/>
    <d v="2012-01-05T00:00:00"/>
    <n v="2004"/>
    <d v="2012-02-02T00:00:00"/>
    <d v="2012-01-05T00:00:00"/>
    <n v="2004"/>
    <n v="2004"/>
    <x v="23"/>
    <d v="2012-02-05T00:00:00"/>
    <m/>
    <n v="9321642937"/>
    <n v="10"/>
    <s v="TGHU9783624"/>
    <s v="HOUSTON EXPRESS 40E0"/>
    <m/>
    <s v="NINGBO"/>
    <m/>
    <m/>
    <s v="TWEETY LEU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8/039703"/>
    <n v="1370145145"/>
    <n v="20"/>
    <x v="0"/>
    <x v="0"/>
    <s v="A1"/>
    <n v="2100057350"/>
    <n v="206"/>
    <n v="115002295"/>
    <s v="E9380854 FP32 B LY STAIN ST BASE TP3 TC           "/>
    <s v="S"/>
    <d v="2012-01-12T00:00:00"/>
    <m/>
    <s v="X"/>
    <x v="37"/>
    <n v="9.1522000000000006"/>
    <n v="8"/>
    <d v="2012-02-07T00:00:00"/>
    <d v="2012-01-10T00:00:00"/>
    <n v="1002"/>
    <d v="2012-01-10T00:00:00"/>
    <n v="1002"/>
    <m/>
    <d v="2012-01-05T00:00:00"/>
    <n v="1002"/>
    <d v="2012-02-02T00:00:00"/>
    <d v="2012-01-05T00:00:00"/>
    <n v="1002"/>
    <n v="1002"/>
    <x v="23"/>
    <d v="2012-02-05T00:00:00"/>
    <m/>
    <n v="9321642937"/>
    <n v="20"/>
    <s v="CAIU4145452"/>
    <s v="HOUSTON EXPRESS 40E0"/>
    <m/>
    <s v="NINGBO"/>
    <m/>
    <m/>
    <s v="TWEETY LEU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28/039681"/>
    <n v="1370145169"/>
    <n v="10"/>
    <x v="23"/>
    <x v="23"/>
    <s v="J3"/>
    <n v="2820445620"/>
    <n v="1"/>
    <s v="FV4456Q0       "/>
    <s v="FV4456Q0 ST.IRON ULTRAGLIDE EASYCORD 2 F          "/>
    <s v="S"/>
    <d v="2012-01-18T00:00:00"/>
    <m/>
    <s v="X"/>
    <x v="37"/>
    <n v="17.327100000000002"/>
    <n v="19"/>
    <d v="2012-02-07T00:00:00"/>
    <d v="2012-01-10T00:00:00"/>
    <n v="2592"/>
    <d v="2012-01-10T00:00:00"/>
    <n v="2592"/>
    <m/>
    <d v="2012-01-16T00:00:00"/>
    <n v="2592"/>
    <d v="2012-02-13T00:00:00"/>
    <d v="2012-01-16T00:00:00"/>
    <n v="2592"/>
    <n v="2592"/>
    <x v="19"/>
    <d v="2012-02-14T00:00:00"/>
    <m/>
    <n v="9321642948"/>
    <n v="10"/>
    <s v="OOLU7643346"/>
    <s v="HANOVER EXPRESS 27E0"/>
    <m/>
    <s v="SHANGHAI"/>
    <m/>
    <m/>
    <s v="TWEETY LEUNG"/>
    <s v="FO9"/>
    <s v="LINEN CARE                    "/>
    <s v="CONFIRMED"/>
    <n v="1"/>
    <n v="3"/>
    <d v="2012-01-17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27/039680"/>
    <n v="1370145170"/>
    <n v="10"/>
    <x v="23"/>
    <x v="23"/>
    <s v="J3"/>
    <n v="2820345670"/>
    <n v="1"/>
    <s v="FV3456Q0       "/>
    <s v="FV3456Q0 STEAM IRON ULTRAGLIDE 3 FTK              "/>
    <s v="S"/>
    <d v="2012-01-10T00:00:00"/>
    <m/>
    <s v="X"/>
    <x v="37"/>
    <n v="16.052299999999999"/>
    <n v="18"/>
    <d v="2012-02-07T00:00:00"/>
    <d v="2012-01-10T00:00:00"/>
    <n v="5616"/>
    <d v="2012-01-10T00:00:00"/>
    <n v="5616"/>
    <m/>
    <d v="2012-01-03T00:00:00"/>
    <n v="5616"/>
    <d v="2012-01-31T00:00:00"/>
    <d v="2012-01-03T00:00:00"/>
    <n v="5616"/>
    <n v="5616"/>
    <x v="0"/>
    <d v="2012-02-06T00:00:00"/>
    <m/>
    <n v="9321642949"/>
    <n v="10"/>
    <s v="OOLU7288853"/>
    <s v="HOUSTON EXPRESS 40E0"/>
    <m/>
    <s v="SHANGHAI"/>
    <m/>
    <m/>
    <s v="TWEETY LEUNG"/>
    <s v="FO9"/>
    <s v="LINEN CARE                    "/>
    <s v="CONFIRMED"/>
    <n v="1"/>
    <n v="2"/>
    <d v="2012-01-09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7/039701"/>
    <n v="1370145146"/>
    <n v="10"/>
    <x v="0"/>
    <x v="0"/>
    <s v="A1"/>
    <n v="2100066468"/>
    <n v="204"/>
    <n v="115003342"/>
    <s v="E6160754 FP30 B MB JO MAINSTREAM BLACK T          "/>
    <s v="S"/>
    <d v="2012-01-11T00:00:00"/>
    <m/>
    <s v="X"/>
    <x v="37"/>
    <n v="10.6821"/>
    <n v="11"/>
    <d v="2012-02-07T00:00:00"/>
    <d v="2012-01-10T00:00:00"/>
    <n v="1002"/>
    <d v="2012-01-10T00:00:00"/>
    <n v="1002"/>
    <m/>
    <d v="2012-01-05T00:00:00"/>
    <n v="1002"/>
    <d v="2012-02-02T00:00:00"/>
    <d v="2012-01-05T00:00:00"/>
    <n v="1002"/>
    <n v="1002"/>
    <x v="23"/>
    <d v="2012-02-05T00:00:00"/>
    <m/>
    <n v="9321642951"/>
    <n v="10"/>
    <s v="TGHU9783624"/>
    <s v="HOUSTON EXPRESS 40E0"/>
    <m/>
    <s v="NINGBO"/>
    <m/>
    <m/>
    <s v="TWEETY LEU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7/039699"/>
    <n v="1370145146"/>
    <n v="20"/>
    <x v="0"/>
    <x v="0"/>
    <s v="A1"/>
    <n v="2100066467"/>
    <n v="204"/>
    <n v="115003341"/>
    <s v="E6160554 FP26 B MB JO MAINSTREAM BLACK T          "/>
    <s v="S"/>
    <d v="2012-01-11T00:00:00"/>
    <m/>
    <s v="X"/>
    <x v="37"/>
    <n v="9.3663000000000007"/>
    <n v="11"/>
    <d v="2012-02-07T00:00:00"/>
    <d v="2012-01-10T00:00:00"/>
    <n v="1002"/>
    <d v="2012-01-10T00:00:00"/>
    <n v="1002"/>
    <m/>
    <d v="2012-01-05T00:00:00"/>
    <n v="1002"/>
    <d v="2012-02-02T00:00:00"/>
    <d v="2012-01-05T00:00:00"/>
    <n v="1002"/>
    <n v="1002"/>
    <x v="23"/>
    <d v="2012-02-05T00:00:00"/>
    <m/>
    <n v="9321642951"/>
    <n v="20"/>
    <s v="TGHU9783624"/>
    <s v="HOUSTON EXPRESS 40E0"/>
    <m/>
    <s v="NINGBO"/>
    <m/>
    <m/>
    <s v="TWEETY LEU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7/039700"/>
    <n v="1370145146"/>
    <n v="30"/>
    <x v="0"/>
    <x v="0"/>
    <s v="A1"/>
    <n v="2100066466"/>
    <n v="204"/>
    <n v="115003340"/>
    <s v="E6160254 FP20 B MB JO MAINSTREAM BLACK T          "/>
    <s v="S"/>
    <d v="2012-01-11T00:00:00"/>
    <m/>
    <s v="X"/>
    <x v="37"/>
    <n v="7.0949999999999998"/>
    <n v="11"/>
    <d v="2012-02-07T00:00:00"/>
    <d v="2012-01-10T00:00:00"/>
    <n v="1002"/>
    <d v="2012-01-10T00:00:00"/>
    <n v="1002"/>
    <m/>
    <d v="2012-01-05T00:00:00"/>
    <n v="1002"/>
    <d v="2012-02-02T00:00:00"/>
    <d v="2012-01-05T00:00:00"/>
    <n v="1002"/>
    <n v="1002"/>
    <x v="23"/>
    <d v="2012-02-05T00:00:00"/>
    <m/>
    <n v="9321642951"/>
    <n v="30"/>
    <s v="TGHU9783624"/>
    <s v="HOUSTON EXPRESS 40E0"/>
    <m/>
    <s v="NINGBO"/>
    <m/>
    <m/>
    <s v="TWEETY LEU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24/039677"/>
    <n v="1370145173"/>
    <n v="10"/>
    <x v="22"/>
    <x v="22"/>
    <s v="N4"/>
    <n v="7211000428"/>
    <n v="177"/>
    <n v="211000428"/>
    <s v="FR404652 FRY FILTRA PRO I&amp;D 3L ENA S/S C          "/>
    <s v="S"/>
    <d v="2012-01-17T00:00:00"/>
    <m/>
    <s v="X"/>
    <x v="37"/>
    <n v="35.283099999999997"/>
    <n v="37"/>
    <d v="2012-02-07T00:00:00"/>
    <d v="2012-01-10T00:00:00"/>
    <n v="1152"/>
    <d v="2012-01-10T00:00:00"/>
    <n v="1152"/>
    <m/>
    <d v="2012-01-12T00:00:00"/>
    <n v="1152"/>
    <d v="2012-02-09T00:00:00"/>
    <d v="2012-01-12T00:00:00"/>
    <n v="1152"/>
    <n v="1152"/>
    <x v="11"/>
    <d v="2012-02-12T00:00:00"/>
    <m/>
    <n v="9321642955"/>
    <n v="10"/>
    <s v="OOLU7803357"/>
    <s v="HANOVER EXPRESS 27E0"/>
    <m/>
    <s v="NINGBO"/>
    <m/>
    <m/>
    <s v="TWEETY LEUNG"/>
    <s v="FO9"/>
    <s v="ELECTRICAL COOKING            "/>
    <s v="CONFIRMED"/>
    <n v="1"/>
    <n v="2"/>
    <d v="2012-01-15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4/039692"/>
    <n v="1370145149"/>
    <n v="10"/>
    <x v="31"/>
    <x v="31"/>
    <s v="A1"/>
    <n v="2100058558"/>
    <n v="201"/>
    <n v="115002470"/>
    <s v="A1480254 FP20 B GOUR VIVA2 BLACK TC TP3           "/>
    <s v="S"/>
    <d v="2012-01-18T00:00:00"/>
    <m/>
    <s v="X"/>
    <x v="37"/>
    <n v="3.5314000000000001"/>
    <n v="4"/>
    <d v="2012-02-07T00:00:00"/>
    <d v="2012-01-10T00:00:00"/>
    <n v="6000"/>
    <d v="2012-01-13T00:00:00"/>
    <n v="6000"/>
    <m/>
    <d v="2012-01-13T00:00:00"/>
    <n v="6000"/>
    <d v="2012-02-10T00:00:00"/>
    <d v="2012-01-13T00:00:00"/>
    <n v="6000"/>
    <n v="6000"/>
    <x v="24"/>
    <d v="2012-02-10T00:00:00"/>
    <m/>
    <n v="9321642987"/>
    <n v="10"/>
    <s v="TRLU6678395"/>
    <s v="AN XIN JI 3 521/"/>
    <m/>
    <s v="WUHAN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4/039693"/>
    <n v="1370145149"/>
    <n v="20"/>
    <x v="31"/>
    <x v="31"/>
    <s v="A1"/>
    <n v="2100058559"/>
    <n v="201"/>
    <n v="115002471"/>
    <s v="A1480554 FP26 B GOUR VIVA 2 BLACK TC TP3          "/>
    <s v="S"/>
    <d v="2012-01-18T00:00:00"/>
    <m/>
    <s v="X"/>
    <x v="37"/>
    <n v="4.7195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10104"/>
    <x v="24"/>
    <d v="2012-02-10T00:00:00"/>
    <m/>
    <n v="9321642987"/>
    <n v="20"/>
    <s v="TCKU9475796"/>
    <s v="AN XIN JI 3 521/"/>
    <m/>
    <s v="WUHAN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4/039693"/>
    <n v="1370145149"/>
    <n v="20"/>
    <x v="31"/>
    <x v="31"/>
    <s v="A1"/>
    <n v="2100058559"/>
    <n v="201"/>
    <n v="115002471"/>
    <s v="A1480554 FP26 B GOUR VIVA 2 BLACK TC TP3          "/>
    <s v="S"/>
    <d v="2012-01-18T00:00:00"/>
    <m/>
    <s v="X"/>
    <x v="37"/>
    <n v="4.7195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6162"/>
    <x v="24"/>
    <d v="2012-02-10T00:00:00"/>
    <m/>
    <n v="9321642987"/>
    <n v="20"/>
    <s v="CAIU8334583"/>
    <s v="AN XIN JI 3 521/"/>
    <m/>
    <s v="WUHAN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4/039693"/>
    <n v="1370145149"/>
    <n v="20"/>
    <x v="31"/>
    <x v="31"/>
    <s v="A1"/>
    <n v="2100058559"/>
    <n v="201"/>
    <n v="115002471"/>
    <s v="A1480554 FP26 B GOUR VIVA 2 BLACK TC TP3          "/>
    <s v="S"/>
    <d v="2012-01-18T00:00:00"/>
    <m/>
    <s v="X"/>
    <x v="37"/>
    <n v="4.7195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1224"/>
    <x v="24"/>
    <d v="2012-02-10T00:00:00"/>
    <m/>
    <n v="9321642987"/>
    <n v="20"/>
    <s v="OOLU8481743"/>
    <s v="AN XIN JI 3 521/"/>
    <m/>
    <s v="WUHAN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4/039693"/>
    <n v="1370145149"/>
    <n v="20"/>
    <x v="31"/>
    <x v="31"/>
    <s v="A1"/>
    <n v="2100058559"/>
    <n v="201"/>
    <n v="115002471"/>
    <s v="A1480554 FP26 B GOUR VIVA 2 BLACK TC TP3          "/>
    <s v="S"/>
    <d v="2012-01-18T00:00:00"/>
    <m/>
    <s v="X"/>
    <x v="37"/>
    <n v="4.7195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10206"/>
    <x v="24"/>
    <d v="2012-02-10T00:00:00"/>
    <m/>
    <n v="9321642987"/>
    <n v="20"/>
    <s v="OOLU8644579"/>
    <s v="AN XIN JI 3 521/"/>
    <m/>
    <s v="WUHAN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4/039693"/>
    <n v="1370145149"/>
    <n v="20"/>
    <x v="31"/>
    <x v="31"/>
    <s v="A1"/>
    <n v="2100058559"/>
    <n v="201"/>
    <n v="115002471"/>
    <s v="A1480554 FP26 B GOUR VIVA 2 BLACK TC TP3          "/>
    <s v="S"/>
    <d v="2012-01-18T00:00:00"/>
    <m/>
    <s v="X"/>
    <x v="37"/>
    <n v="4.7195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10152"/>
    <x v="24"/>
    <d v="2012-02-10T00:00:00"/>
    <m/>
    <n v="9321642987"/>
    <n v="20"/>
    <s v="OOLU8442449"/>
    <s v="AN XIN JI 3 521/"/>
    <m/>
    <s v="WUHAN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4/039693"/>
    <n v="1370145149"/>
    <n v="20"/>
    <x v="31"/>
    <x v="31"/>
    <s v="A1"/>
    <n v="2100058559"/>
    <n v="201"/>
    <n v="115002471"/>
    <s v="A1480554 FP26 B GOUR VIVA 2 BLACK TC TP3          "/>
    <s v="S"/>
    <d v="2012-01-18T00:00:00"/>
    <m/>
    <s v="X"/>
    <x v="37"/>
    <n v="4.7195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10104"/>
    <x v="24"/>
    <d v="2012-02-10T00:00:00"/>
    <m/>
    <n v="9321642987"/>
    <n v="20"/>
    <s v="OOLU8841515"/>
    <s v="AN XIN JI 3 521/"/>
    <m/>
    <s v="WUHAN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4/039693"/>
    <n v="1370145149"/>
    <n v="20"/>
    <x v="31"/>
    <x v="31"/>
    <s v="A1"/>
    <n v="2100058559"/>
    <n v="201"/>
    <n v="115002471"/>
    <s v="A1480554 FP26 B GOUR VIVA 2 BLACK TC TP3          "/>
    <s v="S"/>
    <d v="2012-01-18T00:00:00"/>
    <m/>
    <s v="X"/>
    <x v="37"/>
    <n v="4.7195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10170"/>
    <x v="24"/>
    <d v="2012-02-10T00:00:00"/>
    <m/>
    <n v="9321642987"/>
    <n v="20"/>
    <s v="TGHU9795899"/>
    <s v="AN XIN JI 3 521/"/>
    <m/>
    <s v="WUHAN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4/039693"/>
    <n v="1370145149"/>
    <n v="20"/>
    <x v="31"/>
    <x v="31"/>
    <s v="A1"/>
    <n v="2100058559"/>
    <n v="201"/>
    <n v="115002471"/>
    <s v="A1480554 FP26 B GOUR VIVA 2 BLACK TC TP3          "/>
    <s v="S"/>
    <d v="2012-01-18T00:00:00"/>
    <m/>
    <s v="X"/>
    <x v="37"/>
    <n v="4.7195"/>
    <n v="4"/>
    <d v="2012-02-07T00:00:00"/>
    <d v="2012-01-10T00:00:00"/>
    <n v="65004"/>
    <d v="2012-01-13T00:00:00"/>
    <n v="65004"/>
    <m/>
    <d v="2012-01-13T00:00:00"/>
    <n v="65004"/>
    <d v="2012-02-10T00:00:00"/>
    <d v="2012-01-13T00:00:00"/>
    <n v="65004"/>
    <n v="6882"/>
    <x v="24"/>
    <d v="2012-02-10T00:00:00"/>
    <m/>
    <n v="9321642987"/>
    <n v="20"/>
    <s v="TRLU6678395"/>
    <s v="AN XIN JI 3 521/"/>
    <m/>
    <s v="WUHAN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4/039694"/>
    <n v="1370145149"/>
    <n v="30"/>
    <x v="31"/>
    <x v="31"/>
    <s v="A1"/>
    <n v="2100058560"/>
    <n v="201"/>
    <n v="115002472"/>
    <s v="A1480754 FP30 B GOUR VIVA 2 BLACK TC TP3          "/>
    <s v="S"/>
    <d v="2012-01-18T00:00:00"/>
    <m/>
    <s v="X"/>
    <x v="37"/>
    <n v="5.8109000000000002"/>
    <n v="4"/>
    <d v="2012-02-07T00:00:00"/>
    <d v="2012-01-10T00:00:00"/>
    <n v="2004"/>
    <d v="2012-01-13T00:00:00"/>
    <n v="2004"/>
    <m/>
    <d v="2012-01-13T00:00:00"/>
    <n v="2004"/>
    <d v="2012-02-10T00:00:00"/>
    <d v="2012-01-13T00:00:00"/>
    <n v="2004"/>
    <n v="2004"/>
    <x v="24"/>
    <d v="2012-02-10T00:00:00"/>
    <m/>
    <n v="9321642987"/>
    <n v="30"/>
    <s v="OOLU8481743"/>
    <s v="AN XIN JI 3 521/"/>
    <m/>
    <s v="WUHAN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34/039695"/>
    <n v="1370145149"/>
    <n v="40"/>
    <x v="31"/>
    <x v="31"/>
    <s v="A1"/>
    <n v="2100058213"/>
    <n v="201"/>
    <n v="116000699"/>
    <s v="A148S854 SET 8P VIVA 2 BLACK TC TP3 T-FA          "/>
    <s v="S"/>
    <d v="2012-01-18T00:00:00"/>
    <m/>
    <s v="X"/>
    <x v="37"/>
    <n v="28.1892"/>
    <n v="4"/>
    <d v="2011-12-24T00:00:00"/>
    <d v="2011-11-26T00:00:00"/>
    <n v="1000"/>
    <d v="2012-01-13T00:00:00"/>
    <n v="1000"/>
    <m/>
    <d v="2011-12-16T00:00:00"/>
    <n v="1000"/>
    <d v="2012-02-10T00:00:00"/>
    <d v="2012-01-13T00:00:00"/>
    <n v="1000"/>
    <n v="936"/>
    <x v="24"/>
    <d v="2012-02-10T00:00:00"/>
    <m/>
    <n v="9321642987"/>
    <n v="40"/>
    <s v="OOLU8481743"/>
    <s v="AN XIN JI 3 521/"/>
    <m/>
    <s v="WUHAN"/>
    <s v="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3221"/>
    <s v="GROUPE SEB CANADA INC                             "/>
    <n v="99003200"/>
    <x v="27"/>
    <s v="22534/039695"/>
    <n v="1370145149"/>
    <n v="40"/>
    <x v="31"/>
    <x v="31"/>
    <s v="A1"/>
    <n v="2100058213"/>
    <n v="201"/>
    <n v="116000699"/>
    <s v="A148S854 SET 8P VIVA 2 BLACK TC TP3 T-FA          "/>
    <s v="S"/>
    <d v="2012-01-18T00:00:00"/>
    <m/>
    <s v="X"/>
    <x v="37"/>
    <n v="28.1892"/>
    <n v="4"/>
    <d v="2011-12-24T00:00:00"/>
    <d v="2011-11-26T00:00:00"/>
    <n v="1000"/>
    <d v="2012-01-13T00:00:00"/>
    <n v="1000"/>
    <m/>
    <d v="2011-12-16T00:00:00"/>
    <n v="1000"/>
    <d v="2012-02-10T00:00:00"/>
    <d v="2012-01-13T00:00:00"/>
    <n v="1000"/>
    <n v="64"/>
    <x v="24"/>
    <d v="2012-02-10T00:00:00"/>
    <m/>
    <n v="9321642987"/>
    <n v="40"/>
    <s v="CAIU8334583"/>
    <s v="AN XIN JI 3 521/"/>
    <m/>
    <s v="WUHAN"/>
    <s v="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3221"/>
    <s v="GROUPE SEB CANADA INC                             "/>
    <n v="99003200"/>
    <x v="27"/>
    <s v="22506/039655"/>
    <n v="1370145159"/>
    <n v="10"/>
    <x v="5"/>
    <x v="5"/>
    <s v="R1"/>
    <n v="1500572610"/>
    <n v="23"/>
    <n v="572610"/>
    <s v="TT709551 TOAS SUCCESSOR V3 2T MET CA              "/>
    <s v="S"/>
    <d v="2012-01-06T00:00:00"/>
    <m/>
    <s v="X"/>
    <x v="37"/>
    <n v="21.36"/>
    <n v="27786"/>
    <d v="2012-01-07T00:00:00"/>
    <d v="2011-12-10T00:00:00"/>
    <n v="2496"/>
    <d v="2011-12-20T00:00:00"/>
    <n v="2496"/>
    <m/>
    <d v="2011-12-10T00:00:00"/>
    <n v="2496"/>
    <d v="2012-02-01T00:00:00"/>
    <d v="2012-01-04T00:00:00"/>
    <n v="2496"/>
    <n v="2496"/>
    <x v="2"/>
    <d v="2012-02-01T00:00:00"/>
    <m/>
    <n v="9321643018"/>
    <n v="10"/>
    <s v="OOLU7291991"/>
    <s v="ZIM CHICAGO 10E/"/>
    <m/>
    <s v="YANTIAN"/>
    <s v="SP-PROD-ISSUE/ ZIM CHICAGO 10E 04/01/12 23/01/12"/>
    <m/>
    <s v="TWEETY LEUNG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6"/>
    <x v="0"/>
    <x v="0"/>
    <x v="0"/>
    <n v="0"/>
    <n v="0"/>
    <n v="0"/>
    <n v="0"/>
    <n v="0"/>
    <n v="0"/>
    <x v="1"/>
    <x v="0"/>
    <x v="1"/>
    <x v="0"/>
  </r>
  <r>
    <s v="Shipment"/>
    <n v="99003221"/>
    <s v="GROUPE SEB CANADA INC                             "/>
    <n v="99003200"/>
    <x v="27"/>
    <s v="22507/039656"/>
    <n v="1370145158"/>
    <n v="10"/>
    <x v="5"/>
    <x v="5"/>
    <s v="R1"/>
    <n v="1500572634"/>
    <n v="23"/>
    <n v="572634"/>
    <s v="TT710150 TOASTER AVANTE DELUXE BLACKNBSS          "/>
    <s v="S"/>
    <d v="2012-01-06T00:00:00"/>
    <m/>
    <s v="X"/>
    <x v="37"/>
    <n v="15.21"/>
    <n v="18469"/>
    <d v="2012-01-07T00:00:00"/>
    <d v="2011-12-10T00:00:00"/>
    <n v="2496"/>
    <d v="2012-01-05T00:00:00"/>
    <n v="2496"/>
    <m/>
    <d v="2011-12-10T00:00:00"/>
    <n v="2496"/>
    <d v="2012-02-01T00:00:00"/>
    <d v="2012-01-04T00:00:00"/>
    <n v="2496"/>
    <n v="2496"/>
    <x v="2"/>
    <d v="2012-02-01T00:00:00"/>
    <m/>
    <n v="9321643019"/>
    <n v="10"/>
    <s v="OOLU7859973"/>
    <s v="ZIM CHICAGO 10E/"/>
    <m/>
    <s v="YANTIAN"/>
    <s v="C-post-conf ( wk52 to wk 01) /c-clx-neg/SAILING-SCHED-UPDATE"/>
    <m/>
    <s v="TWEETY LEUNG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3"/>
    <x v="0"/>
    <x v="0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08/039657"/>
    <n v="1370145157"/>
    <n v="10"/>
    <x v="5"/>
    <x v="5"/>
    <s v="R1"/>
    <n v="1500572716"/>
    <n v="23"/>
    <n v="572716"/>
    <s v="TT749551 TOAS SUC V3 4T MET CA                    "/>
    <s v="S"/>
    <d v="2012-01-07T00:00:00"/>
    <m/>
    <s v="X"/>
    <x v="37"/>
    <n v="30.78"/>
    <n v="37268"/>
    <d v="2012-01-07T00:00:00"/>
    <d v="2011-12-10T00:00:00"/>
    <n v="1688"/>
    <d v="2012-01-04T00:00:00"/>
    <n v="1688"/>
    <m/>
    <d v="2011-12-13T00:00:00"/>
    <n v="1688"/>
    <d v="2012-02-01T00:00:00"/>
    <d v="2012-01-04T00:00:00"/>
    <n v="1688"/>
    <n v="1688"/>
    <x v="2"/>
    <d v="2012-02-01T00:00:00"/>
    <m/>
    <n v="9321643020"/>
    <n v="10"/>
    <s v="TRLU8745574"/>
    <s v="ZIM CHICAGO 10E/"/>
    <m/>
    <s v="YANTIAN"/>
    <s v="C-POST-CONF(wk52 to wk01) ZIM CHICAGO 10E 04/01/12 23/01/12/C-SHORTL/T/"/>
    <m/>
    <s v="TWEETY LEUNG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7"/>
    <x v="0"/>
    <x v="0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499/039648"/>
    <n v="1370145142"/>
    <n v="10"/>
    <x v="35"/>
    <x v="35"/>
    <s v="N3"/>
    <n v="1500633142"/>
    <n v="177"/>
    <n v="633142"/>
    <s v="FF103050 FRY.SIMPLY SMART/CA                      "/>
    <s v="S"/>
    <d v="2012-01-06T00:00:00"/>
    <m/>
    <s v="X"/>
    <x v="37"/>
    <n v="24.66"/>
    <n v="28083"/>
    <d v="2012-01-07T00:00:00"/>
    <d v="2011-12-10T00:00:00"/>
    <n v="2640"/>
    <d v="2012-01-11T00:00:00"/>
    <n v="2640"/>
    <m/>
    <d v="2011-12-10T00:00:00"/>
    <n v="2640"/>
    <d v="2012-02-01T00:00:00"/>
    <d v="2012-01-04T00:00:00"/>
    <n v="2640"/>
    <n v="1320"/>
    <x v="2"/>
    <d v="2012-02-01T00:00:00"/>
    <m/>
    <n v="9321643022"/>
    <n v="10"/>
    <s v="OOLU8256927"/>
    <s v="ZIM CHICAGO/10E/"/>
    <m/>
    <s v="HONG KONG"/>
    <s v="SAILING-SCHED-UPDATE/MATSPEC-CHG/SP-MTL/"/>
    <m/>
    <s v="TWEETY LEUNG"/>
    <s v="FO9"/>
    <s v="ELECTRICAL COOKING            "/>
    <s v="CONFIRMED"/>
    <n v="1"/>
    <n v="1"/>
    <d v="2012-01-04T00:00:00"/>
    <s v="KITCHEN ELECTRICS             "/>
    <s v="ELECTRICAL COOKING            "/>
    <x v="2"/>
    <x v="1"/>
    <x v="9"/>
    <s v="MATSPEC-CHG"/>
    <n v="1"/>
    <n v="-3"/>
    <x v="5"/>
    <n v="3"/>
    <x v="0"/>
    <x v="0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499/039648"/>
    <n v="1370145142"/>
    <n v="10"/>
    <x v="35"/>
    <x v="35"/>
    <s v="N3"/>
    <n v="1500633142"/>
    <n v="177"/>
    <n v="633142"/>
    <s v="FF103050 FRY.SIMPLY SMART/CA                      "/>
    <s v="S"/>
    <d v="2012-01-06T00:00:00"/>
    <m/>
    <s v="X"/>
    <x v="37"/>
    <n v="24.66"/>
    <n v="28083"/>
    <d v="2012-01-07T00:00:00"/>
    <d v="2011-12-10T00:00:00"/>
    <n v="2640"/>
    <d v="2012-01-11T00:00:00"/>
    <n v="2640"/>
    <m/>
    <d v="2011-12-10T00:00:00"/>
    <n v="2640"/>
    <d v="2012-02-01T00:00:00"/>
    <d v="2012-01-04T00:00:00"/>
    <n v="2640"/>
    <n v="1320"/>
    <x v="2"/>
    <d v="2012-02-01T00:00:00"/>
    <m/>
    <n v="9321643022"/>
    <n v="10"/>
    <s v="OOLU8334742"/>
    <s v="ZIM CHICAGO/10E/"/>
    <m/>
    <s v="HONG KONG"/>
    <s v="SAILING-SCHED-UPDATE/MATSPEC-CHG/SP-MTL/"/>
    <m/>
    <s v="TWEETY LEUNG"/>
    <s v="FO9"/>
    <s v="ELECTRICAL COOKING            "/>
    <s v="CONFIRMED"/>
    <n v="1"/>
    <n v="1"/>
    <d v="2012-01-04T00:00:00"/>
    <s v="KITCHEN ELECTRICS             "/>
    <s v="ELECTRICAL COOKING            "/>
    <x v="2"/>
    <x v="1"/>
    <x v="9"/>
    <s v="MATSPEC-CHG"/>
    <n v="1"/>
    <n v="-3"/>
    <x v="5"/>
    <n v="3"/>
    <x v="0"/>
    <x v="0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04/039653"/>
    <n v="1370145161"/>
    <n v="10"/>
    <x v="23"/>
    <x v="23"/>
    <s v="J3"/>
    <n v="2820445620"/>
    <n v="1"/>
    <s v="FV4456Q0       "/>
    <s v="FV4456Q0 ST.IRON ULTRAGLIDE EASYCORD 2 F          "/>
    <s v="S"/>
    <d v="2012-01-18T00:00:00"/>
    <m/>
    <s v="X"/>
    <x v="37"/>
    <n v="17.327100000000002"/>
    <n v="19"/>
    <d v="2012-01-07T00:00:00"/>
    <d v="2011-12-10T00:00:00"/>
    <n v="2592"/>
    <d v="2012-01-10T00:00:00"/>
    <n v="2592"/>
    <m/>
    <d v="2011-12-17T00:00:00"/>
    <n v="2592"/>
    <d v="2012-02-07T00:00:00"/>
    <d v="2012-01-10T00:00:00"/>
    <n v="2592"/>
    <n v="2592"/>
    <x v="19"/>
    <d v="2012-02-14T00:00:00"/>
    <m/>
    <n v="9321643027"/>
    <n v="10"/>
    <s v="TGHU5013522"/>
    <s v="HANOVER EXPRESS 27E0"/>
    <m/>
    <s v="SHANGHAI"/>
    <s v="C-POST-CONF"/>
    <m/>
    <s v="TWEETY LEUNG"/>
    <s v="FO9"/>
    <s v="LINEN CARE                    "/>
    <s v="CONFIRMED"/>
    <n v="1"/>
    <n v="3"/>
    <d v="2012-01-17T00:00:00"/>
    <s v="LINEN PERS HOME CARE          "/>
    <s v="LINEN CARE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03/039652"/>
    <n v="1370145162"/>
    <n v="10"/>
    <x v="23"/>
    <x v="23"/>
    <s v="J3"/>
    <n v="2820347620"/>
    <n v="1"/>
    <s v="FV3476Q0       "/>
    <s v="FV3476Q0 STEAM IRON ULTRAGLIDE 3 FTK              "/>
    <s v="S"/>
    <d v="2012-01-18T00:00:00"/>
    <m/>
    <s v="X"/>
    <x v="37"/>
    <n v="16.158200000000001"/>
    <n v="18"/>
    <d v="2012-01-07T00:00:00"/>
    <d v="2011-12-10T00:00:00"/>
    <n v="2808"/>
    <d v="2012-01-04T00:00:00"/>
    <n v="2808"/>
    <m/>
    <d v="2011-12-10T00:00:00"/>
    <n v="2808"/>
    <d v="2012-02-07T00:00:00"/>
    <d v="2012-01-10T00:00:00"/>
    <n v="2808"/>
    <n v="2808"/>
    <x v="19"/>
    <d v="2012-02-14T00:00:00"/>
    <m/>
    <n v="9321643028"/>
    <n v="10"/>
    <s v="TGHU5013522"/>
    <s v="HANOVER EXPRESS 27E0"/>
    <m/>
    <s v="SHANGHAI"/>
    <s v="C-POST-CONF/SP-HOLIDAY"/>
    <m/>
    <s v="TWEETY LEUNG"/>
    <s v="FO9"/>
    <s v="LINEN CARE                    "/>
    <s v="CONFIRMED"/>
    <n v="1"/>
    <n v="3"/>
    <d v="2012-01-17T00:00:00"/>
    <s v="LINEN PERS HOME CARE          "/>
    <s v="LINEN CARE                    "/>
    <x v="0"/>
    <x v="0"/>
    <x v="3"/>
    <s v="C-POST-CONF"/>
    <n v="-3"/>
    <n v="-3"/>
    <x v="0"/>
    <n v="2"/>
    <x v="0"/>
    <x v="0"/>
    <x v="0"/>
    <n v="0"/>
    <n v="0"/>
    <n v="0"/>
    <n v="0"/>
    <n v="0"/>
    <n v="0"/>
    <x v="1"/>
    <x v="0"/>
    <x v="1"/>
    <x v="0"/>
  </r>
  <r>
    <s v="Shipment"/>
    <n v="99002601"/>
    <s v="GROUPE SEB UK LTD                                 "/>
    <n v="99002601"/>
    <x v="10"/>
    <s v="9321642246/000010"/>
    <n v="1370145083"/>
    <n v="10"/>
    <x v="5"/>
    <x v="5"/>
    <s v="R1"/>
    <n v="1500532718"/>
    <n v="23"/>
    <n v="532718"/>
    <s v="532718 TOAS AVANTI CLASSIC 4S PLAST BLK           "/>
    <s v="S"/>
    <d v="2012-02-01T00:00:00"/>
    <m/>
    <s v="X"/>
    <x v="38"/>
    <n v="18.59"/>
    <n v="14"/>
    <d v="2012-01-23T00:00:00"/>
    <d v="2011-12-19T00:00:00"/>
    <n v="920"/>
    <d v="2012-01-16T00:00:00"/>
    <n v="920"/>
    <m/>
    <d v="2011-12-21T00:00:00"/>
    <n v="920"/>
    <d v="2012-02-27T00:00:00"/>
    <d v="2012-01-23T00:00:00"/>
    <n v="920"/>
    <n v="920"/>
    <x v="4"/>
    <d v="2012-02-26T00:00:00"/>
    <m/>
    <n v="9321643761"/>
    <n v="10"/>
    <s v="MRKU7033099"/>
    <s v="MAERSK SAIGON 1204/"/>
    <m/>
    <s v="YANTIAN"/>
    <s v="C-PULLIN-CONF/"/>
    <m/>
    <s v="KENUS WONG"/>
    <s v="FO9"/>
    <s v="BEVERAGE                      "/>
    <s v="CONFIRMED"/>
    <n v="1"/>
    <n v="3"/>
    <d v="2012-01-22T00:00:00"/>
    <s v="KITCHEN ELECTRICS             "/>
    <s v="BREAKFAST &amp; BREVAGE PREP      "/>
    <x v="4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1025/000010"/>
    <n v="1370145562"/>
    <n v="10"/>
    <x v="27"/>
    <x v="27"/>
    <s v="R1"/>
    <n v="8000032481"/>
    <n v="27"/>
    <s v="FMF514S        "/>
    <s v="FMF514 METAL 10 CUP SS THERMAL CARAFE TI          "/>
    <s v="S"/>
    <d v="2012-01-19T00:00:00"/>
    <m/>
    <s v="X"/>
    <x v="38"/>
    <n v="32.15"/>
    <n v="38"/>
    <d v="2012-01-23T00:00:00"/>
    <d v="2011-12-19T00:00:00"/>
    <n v="5712"/>
    <d v="2012-01-15T00:00:00"/>
    <n v="5712"/>
    <m/>
    <d v="2012-02-15T00:00:00"/>
    <n v="5712"/>
    <d v="2012-02-19T00:00:00"/>
    <d v="2012-01-15T00:00:00"/>
    <n v="5712"/>
    <n v="1752"/>
    <x v="8"/>
    <d v="2012-02-20T00:00:00"/>
    <m/>
    <n v="9321643789"/>
    <n v="10"/>
    <s v="HLXU5208112"/>
    <s v="NYK NEBULA 25E02/"/>
    <m/>
    <s v="YANTIAN"/>
    <m/>
    <m/>
    <s v="TWEETY LEUNG"/>
    <s v="FO9"/>
    <s v="BEVERAGE                      "/>
    <s v="CONFIRMED"/>
    <n v="1"/>
    <n v="3"/>
    <d v="2012-01-16T00:00:00"/>
    <s v="KITCHEN ELECTRICS             "/>
    <s v="BREAKFAST &amp; BREVAGE PREP      "/>
    <x v="2"/>
    <x v="1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41025/000010"/>
    <n v="1370145562"/>
    <n v="10"/>
    <x v="27"/>
    <x v="27"/>
    <s v="R1"/>
    <n v="8000032481"/>
    <n v="27"/>
    <s v="FMF514S        "/>
    <s v="FMF514 METAL 10 CUP SS THERMAL CARAFE TI          "/>
    <s v="S"/>
    <d v="2012-01-19T00:00:00"/>
    <m/>
    <s v="X"/>
    <x v="38"/>
    <n v="32.15"/>
    <n v="38"/>
    <d v="2012-01-23T00:00:00"/>
    <d v="2011-12-19T00:00:00"/>
    <n v="5712"/>
    <d v="2012-01-15T00:00:00"/>
    <n v="5712"/>
    <m/>
    <d v="2012-02-15T00:00:00"/>
    <n v="5712"/>
    <d v="2012-02-19T00:00:00"/>
    <d v="2012-01-15T00:00:00"/>
    <n v="5712"/>
    <n v="1980"/>
    <x v="8"/>
    <d v="2012-02-20T00:00:00"/>
    <m/>
    <n v="9321643789"/>
    <n v="10"/>
    <s v="HLXU4163986"/>
    <s v="NYK NEBULA 25E02/"/>
    <m/>
    <s v="YANTIAN"/>
    <m/>
    <m/>
    <s v="TWEETY LEUNG"/>
    <s v="FO9"/>
    <s v="BEVERAGE                      "/>
    <s v="CONFIRMED"/>
    <n v="1"/>
    <n v="3"/>
    <d v="2012-01-16T00:00:00"/>
    <s v="KITCHEN ELECTRICS             "/>
    <s v="BREAKFAST &amp; BREVAGE PREP      "/>
    <x v="2"/>
    <x v="1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8000"/>
    <s v="GROUPE SEB MOULINEX SAS                           "/>
    <n v="99008000"/>
    <x v="23"/>
    <s v="9321636364/000010"/>
    <n v="1370144579"/>
    <n v="10"/>
    <x v="52"/>
    <x v="52"/>
    <s v="P1"/>
    <n v="1500813230"/>
    <n v="104"/>
    <n v="813230"/>
    <s v="GVX242 CFG BURR 220V BLK/MET EUR/CL               "/>
    <s v="S"/>
    <d v="2012-01-05T00:00:00"/>
    <m/>
    <s v="X"/>
    <x v="38"/>
    <n v="15.34"/>
    <n v="13249"/>
    <d v="2012-01-15T00:00:00"/>
    <d v="2011-12-11T00:00:00"/>
    <n v="2880"/>
    <d v="2012-01-03T00:00:00"/>
    <n v="2880"/>
    <m/>
    <d v="2011-12-16T00:00:00"/>
    <n v="2880"/>
    <d v="2012-02-07T00:00:00"/>
    <d v="2012-01-03T00:00:00"/>
    <n v="2880"/>
    <n v="2880"/>
    <x v="2"/>
    <d v="2012-02-08T00:00:00"/>
    <m/>
    <n v="9321643794"/>
    <n v="10"/>
    <s v="OOLU7495378"/>
    <s v="CHINA EXPRESS/08W52"/>
    <m/>
    <s v="YANTIAN"/>
    <s v="C-POST-CONF/CONS-SHIPT/"/>
    <m/>
    <s v="JASON FAN"/>
    <s v="FO9"/>
    <s v="FOOD PREPARATION              "/>
    <s v="CONFIRMED"/>
    <n v="1"/>
    <n v="1"/>
    <d v="2012-01-04T00:00:00"/>
    <s v="KITCHEN ELECTRICS             "/>
    <s v="FOOD PREPARATION              "/>
    <x v="1"/>
    <x v="1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37476/000010"/>
    <n v="1370144202"/>
    <n v="10"/>
    <x v="40"/>
    <x v="40"/>
    <s v="L4"/>
    <n v="1830003110"/>
    <n v="131"/>
    <s v="SF7225C4       "/>
    <s v="SF7225C4 DOUBLE LISS STRAIGHTENER                 "/>
    <s v="S"/>
    <d v="2012-01-18T00:00:00"/>
    <m/>
    <s v="X"/>
    <x v="38"/>
    <n v="19.3"/>
    <n v="15"/>
    <d v="2012-01-06T00:00:00"/>
    <d v="2011-12-02T00:00:00"/>
    <n v="3000"/>
    <d v="2012-01-16T00:00:00"/>
    <n v="3000"/>
    <m/>
    <d v="2011-12-02T00:00:00"/>
    <n v="3000"/>
    <d v="2012-02-21T00:00:00"/>
    <d v="2012-01-17T00:00:00"/>
    <n v="3000"/>
    <n v="3000"/>
    <x v="19"/>
    <d v="2012-02-21T00:00:00"/>
    <m/>
    <n v="9321643805"/>
    <n v="10"/>
    <s v="APHU6841264"/>
    <s v="APL DHAKA/002W"/>
    <m/>
    <s v="YANTIAN"/>
    <s v="C-POST-CONF/"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29/000009"/>
    <n v="1370145086"/>
    <n v="200"/>
    <x v="18"/>
    <x v="18"/>
    <s v="M5"/>
    <n v="2210016749"/>
    <n v="161"/>
    <s v="TW332188       "/>
    <s v="TW332188 VAC CLEANER MINISPACE CYCLONIC           "/>
    <s v="S"/>
    <d v="2012-01-04T00:00:00"/>
    <m/>
    <s v="X"/>
    <x v="38"/>
    <n v="23.47"/>
    <n v="11"/>
    <d v="2012-01-15T00:00:00"/>
    <d v="2012-01-01T00:00:00"/>
    <n v="800"/>
    <d v="2012-01-01T00:00:00"/>
    <n v="800"/>
    <m/>
    <d v="2012-01-01T00:00:00"/>
    <n v="800"/>
    <d v="2012-01-18T00:00:00"/>
    <d v="2012-01-04T00:00:00"/>
    <n v="800"/>
    <n v="800"/>
    <x v="2"/>
    <d v="2012-01-18T00:00:00"/>
    <m/>
    <n v="9321643820"/>
    <n v="10"/>
    <s v="BMOU2320068"/>
    <s v="HYUNDAI CONCORD 162S"/>
    <m/>
    <s v="SHANGHAI"/>
    <m/>
    <m/>
    <s v="TWEETY LEUNG"/>
    <s v="FO9"/>
    <s v="HOME CLEANING                 "/>
    <s v="CONFIRMED"/>
    <n v="1"/>
    <n v="1"/>
    <d v="2012-01-04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656/000010"/>
    <n v="1370145432"/>
    <n v="10"/>
    <x v="18"/>
    <x v="18"/>
    <s v="M5"/>
    <n v="2210016546"/>
    <n v="160"/>
    <s v="RO214501       "/>
    <s v="RO214501 VACUUM CLEANER POWER SPACE RO21          "/>
    <s v="S"/>
    <d v="2012-01-11T00:00:00"/>
    <m/>
    <s v="X"/>
    <x v="38"/>
    <n v="36.97"/>
    <n v="32"/>
    <d v="2012-01-23T00:00:00"/>
    <d v="2011-12-26T00:00:00"/>
    <n v="640"/>
    <d v="2011-12-30T00:00:00"/>
    <n v="640"/>
    <m/>
    <d v="2011-12-30T00:00:00"/>
    <n v="640"/>
    <d v="2012-02-03T00:00:00"/>
    <d v="2012-01-06T00:00:00"/>
    <n v="640"/>
    <n v="640"/>
    <x v="5"/>
    <d v="2012-02-07T00:00:00"/>
    <m/>
    <n v="9321643822"/>
    <n v="10"/>
    <s v="OOLU1360842"/>
    <s v="BUSAN EXPRESS/04W01"/>
    <m/>
    <s v="SHANGHAI"/>
    <s v="FORWARDER-PROB"/>
    <m/>
    <s v="JASON FAN"/>
    <s v="FO9"/>
    <s v="HOME CLEANING                 "/>
    <s v="CONFIRMED"/>
    <n v="1"/>
    <n v="2"/>
    <d v="2012-01-10T00:00:00"/>
    <s v="HOME CLEANING                 "/>
    <s v="HOME CLEANING                 "/>
    <x v="6"/>
    <x v="2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3800"/>
    <s v="GROUPE SEB POLSKA SP. ZO.O                        "/>
    <n v="99003800"/>
    <x v="20"/>
    <s v="4500259505/000010"/>
    <n v="1370145013"/>
    <n v="10"/>
    <x v="11"/>
    <x v="11"/>
    <s v="R1"/>
    <n v="8000003456"/>
    <n v="27"/>
    <s v="BCA145         "/>
    <s v="BCA145 FCM LITTLE SOLEA 6C WHT CE                 "/>
    <s v="S"/>
    <d v="2012-01-10T00:00:00"/>
    <m/>
    <s v="X"/>
    <x v="38"/>
    <n v="8.85"/>
    <n v="31"/>
    <d v="2012-02-06T00:00:00"/>
    <d v="2011-12-26T00:00:00"/>
    <n v="504"/>
    <d v="2011-12-26T00:00:00"/>
    <n v="504"/>
    <m/>
    <d v="2011-12-28T00:00:00"/>
    <n v="504"/>
    <d v="2012-02-08T00:00:00"/>
    <d v="2011-12-28T00:00:00"/>
    <n v="504"/>
    <n v="504"/>
    <x v="7"/>
    <d v="2012-02-17T00:00:00"/>
    <m/>
    <n v="9321643825"/>
    <n v="10"/>
    <s v="HLXU5279097"/>
    <s v="APL RUSSIA 020/"/>
    <m/>
    <s v="XIAMEN"/>
    <s v="CONS-SHIPT"/>
    <m/>
    <s v="KENUS WONG"/>
    <s v="FO9"/>
    <s v="BEVERAGE                      "/>
    <s v="CONFIRMED"/>
    <n v="1"/>
    <n v="1"/>
    <d v="2012-01-06T00:00:00"/>
    <s v="KITCHEN ELECTRICS             "/>
    <s v="BREAKFAST &amp; BREVAGE PREP      "/>
    <x v="1"/>
    <x v="1"/>
    <x v="10"/>
    <s v="CONS-SHIPT"/>
    <n v="-3"/>
    <n v="-3"/>
    <x v="8"/>
    <n v="1"/>
    <x v="0"/>
    <x v="0"/>
    <x v="0"/>
    <n v="0"/>
    <n v="0"/>
    <n v="0"/>
    <n v="0"/>
    <n v="0"/>
    <n v="0"/>
    <x v="1"/>
    <x v="0"/>
    <x v="1"/>
    <x v="0"/>
  </r>
  <r>
    <s v="Shipment"/>
    <n v="99006402"/>
    <s v="GROUPE SEB (Thailand) Ltd                         "/>
    <n v="99006402"/>
    <x v="8"/>
    <s v="529/000006"/>
    <n v="1370145086"/>
    <n v="170"/>
    <x v="11"/>
    <x v="11"/>
    <s v="J4"/>
    <n v="1830003601"/>
    <n v="1"/>
    <s v="FV1205T0       "/>
    <s v="FV1205T0 STEAM IRON INICIO SUCCESSOR              "/>
    <s v="S"/>
    <d v="2012-01-18T00:00:00"/>
    <m/>
    <s v="X"/>
    <x v="38"/>
    <n v="7.5"/>
    <n v="11"/>
    <d v="2012-01-23T00:00:00"/>
    <d v="2012-01-09T00:00:00"/>
    <n v="4320"/>
    <d v="2012-01-09T00:00:00"/>
    <n v="4320"/>
    <m/>
    <m/>
    <m/>
    <d v="2012-01-30T00:00:00"/>
    <d v="2012-01-16T00:00:00"/>
    <n v="4320"/>
    <n v="4320"/>
    <x v="8"/>
    <d v="2012-01-30T00:00:00"/>
    <m/>
    <n v="9321643827"/>
    <n v="20"/>
    <s v="ECMU1279330"/>
    <s v="CSAV PETORCA 1201E"/>
    <m/>
    <s v="XIAMEN"/>
    <m/>
    <m/>
    <s v="TWEETY LEUNG"/>
    <s v="FO9"/>
    <s v="LINEN CARE                    "/>
    <s v="CONFIRMED"/>
    <n v="1"/>
    <n v="3"/>
    <d v="2012-01-16T00:00:00"/>
    <s v="LINEN PERS HOME CARE          "/>
    <s v="LINEN CARE                    "/>
    <x v="5"/>
    <x v="2"/>
    <x v="1"/>
    <m/>
    <n v="0"/>
    <n v="0"/>
    <x v="1"/>
    <n v="0"/>
    <x v="0"/>
    <x v="1"/>
    <x v="0"/>
    <n v="0"/>
    <n v="0"/>
    <n v="1"/>
    <n v="0"/>
    <n v="0"/>
    <n v="1"/>
    <x v="0"/>
    <x v="0"/>
    <x v="1"/>
    <x v="1"/>
  </r>
  <r>
    <s v="Shipment"/>
    <n v="99002601"/>
    <s v="GROUPE SEB UK LTD                                 "/>
    <n v="99002601"/>
    <x v="10"/>
    <s v="9321642311/000010"/>
    <n v="1370145208"/>
    <n v="10"/>
    <x v="53"/>
    <x v="53"/>
    <s v="R1"/>
    <n v="1500578141"/>
    <n v="23"/>
    <n v="578141"/>
    <s v="TT384E15 TOAS REMINISCE 4S SS GB                  "/>
    <s v="S"/>
    <d v="2012-01-18T00:00:00"/>
    <m/>
    <s v="X"/>
    <x v="38"/>
    <n v="16.91"/>
    <n v="12"/>
    <d v="2012-01-09T00:00:00"/>
    <d v="2011-12-05T00:00:00"/>
    <n v="812"/>
    <d v="2012-01-09T00:00:00"/>
    <n v="1980"/>
    <m/>
    <d v="2011-12-05T00:00:00"/>
    <n v="1980"/>
    <d v="2012-02-20T00:00:00"/>
    <d v="2012-01-16T00:00:00"/>
    <n v="1980"/>
    <n v="1980"/>
    <x v="8"/>
    <d v="2012-02-20T00:00:00"/>
    <m/>
    <n v="9321643830"/>
    <n v="10"/>
    <s v="MRKU3397148"/>
    <s v="MAERSK TUKANG 1202/"/>
    <m/>
    <s v="YANTIAN"/>
    <s v="SP-INSP-FAILED/"/>
    <m/>
    <s v="KENUS WONG"/>
    <s v="FO9"/>
    <s v="BEVERAGE                      "/>
    <s v="CONFIRMED"/>
    <n v="1"/>
    <n v="3"/>
    <d v="2012-01-16T00:00:00"/>
    <s v="KITCHEN ELECTRICS             "/>
    <s v="BREAKFAST &amp; BREVAGE PREP      "/>
    <x v="4"/>
    <x v="1"/>
    <x v="12"/>
    <s v="SP-INSP-FAILED"/>
    <n v="1"/>
    <n v="1"/>
    <x v="12"/>
    <n v="1"/>
    <x v="0"/>
    <x v="0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43298/000010"/>
    <n v="1370145445"/>
    <n v="10"/>
    <x v="54"/>
    <x v="54"/>
    <s v="L4"/>
    <n v="1830002959"/>
    <n v="15"/>
    <s v="MR4011F0       "/>
    <s v="MR4011F0 COMPACT MIRROR                           "/>
    <s v="S"/>
    <d v="2012-01-09T00:00:00"/>
    <m/>
    <s v="X"/>
    <x v="38"/>
    <n v="7.14"/>
    <n v="270"/>
    <d v="2012-01-23T00:00:00"/>
    <d v="2011-12-05T00:00:00"/>
    <n v="2004"/>
    <d v="2012-01-07T00:00:00"/>
    <n v="2004"/>
    <m/>
    <d v="2011-12-30T00:00:00"/>
    <n v="2004"/>
    <d v="2012-02-25T00:00:00"/>
    <d v="2012-01-07T00:00:00"/>
    <n v="2004"/>
    <n v="2004"/>
    <x v="23"/>
    <d v="2012-02-26T00:00:00"/>
    <m/>
    <n v="9321643836"/>
    <n v="10"/>
    <s v="GLDU7006700"/>
    <s v="APL RUSSIA/020W"/>
    <m/>
    <s v="YANTIAN"/>
    <s v="SP-MTL/"/>
    <m/>
    <s v="KENUS WONG"/>
    <s v="FO9"/>
    <s v="PERSONAL CARE                 "/>
    <s v="CONFIRMED"/>
    <n v="1"/>
    <n v="1"/>
    <d v="2012-01-08T00:00:00"/>
    <s v="LINEN PERS HOME CARE          "/>
    <s v="PERSONAL CARE                 "/>
    <x v="3"/>
    <x v="2"/>
    <x v="9"/>
    <s v="SP-MTL"/>
    <n v="1"/>
    <n v="1"/>
    <x v="10"/>
    <n v="1"/>
    <x v="0"/>
    <x v="0"/>
    <x v="1"/>
    <n v="1"/>
    <n v="0"/>
    <n v="1"/>
    <n v="0"/>
    <n v="0"/>
    <n v="1"/>
    <x v="0"/>
    <x v="0"/>
    <x v="1"/>
    <x v="1"/>
  </r>
  <r>
    <s v="Shipment"/>
    <n v="99007325"/>
    <s v="Spedition Hendricks GmbH &amp; Co.KG                  "/>
    <n v="99007300"/>
    <x v="17"/>
    <s v="4500259222/000010"/>
    <n v="1370144545"/>
    <n v="10"/>
    <x v="17"/>
    <x v="17"/>
    <s v="L4"/>
    <n v="1830003080"/>
    <n v="131"/>
    <s v="SF3012F4       "/>
    <s v="SF3012F4 ECO ELITE STRAIGHTENER                   "/>
    <s v="S"/>
    <d v="2012-01-12T00:00:00"/>
    <m/>
    <s v="X"/>
    <x v="38"/>
    <n v="7.42"/>
    <n v="6"/>
    <d v="2012-02-13T00:00:00"/>
    <d v="2012-01-09T00:00:00"/>
    <n v="3000"/>
    <d v="2012-01-12T00:00:00"/>
    <n v="3000"/>
    <m/>
    <d v="2012-01-09T00:00:00"/>
    <n v="3000"/>
    <d v="2012-02-16T00:00:00"/>
    <d v="2012-01-12T00:00:00"/>
    <n v="3000"/>
    <n v="3000"/>
    <x v="10"/>
    <d v="2012-02-16T00:00:00"/>
    <m/>
    <n v="9321643846"/>
    <n v="10"/>
    <s v="MOFU5880470"/>
    <s v="MOL MISSION/006W"/>
    <m/>
    <s v="YANTIAN"/>
    <s v="CONS-SHIPT/"/>
    <m/>
    <s v="AGNES NUNES"/>
    <s v="FO9"/>
    <s v="PERSONAL CARE                 "/>
    <s v="CONFIRMED"/>
    <n v="1"/>
    <n v="2"/>
    <d v="2012-01-12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29/000008"/>
    <n v="1370145086"/>
    <n v="190"/>
    <x v="14"/>
    <x v="14"/>
    <s v="J4"/>
    <n v="1830003926"/>
    <n v="1"/>
    <s v="FV1140T0       "/>
    <s v="FV1140T0 STEAM IRON  CALORE 1                     "/>
    <s v="S"/>
    <d v="2012-01-11T00:00:00"/>
    <m/>
    <s v="X"/>
    <x v="38"/>
    <n v="5.0599999999999996"/>
    <n v="11"/>
    <d v="2012-01-20T00:00:00"/>
    <d v="2012-01-06T00:00:00"/>
    <n v="2610"/>
    <d v="2012-01-06T00:00:00"/>
    <n v="2610"/>
    <m/>
    <d v="2012-01-06T00:00:00"/>
    <n v="2610"/>
    <d v="2012-01-19T00:00:00"/>
    <d v="2012-01-05T00:00:00"/>
    <n v="2610"/>
    <n v="2610"/>
    <x v="12"/>
    <d v="2012-01-21T00:00:00"/>
    <m/>
    <n v="9321643861"/>
    <n v="10"/>
    <s v="ZCSU2522724"/>
    <s v="NINOS 121S"/>
    <m/>
    <s v="NINGBO"/>
    <s v="C-ETD-TEMP/"/>
    <m/>
    <s v="TWEETY LEUNG"/>
    <s v="FO9"/>
    <s v="LINEN CARE                    "/>
    <s v="CONFIRMED"/>
    <n v="1"/>
    <n v="1"/>
    <d v="2012-01-07T00:00:00"/>
    <s v="LINEN PERS HOME CARE          "/>
    <s v="LINEN CARE                    "/>
    <x v="6"/>
    <x v="2"/>
    <x v="16"/>
    <s v="C-ETD-TEMP"/>
    <n v="-3"/>
    <n v="-3"/>
    <x v="7"/>
    <n v="1"/>
    <x v="0"/>
    <x v="1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29/000007"/>
    <n v="1370145086"/>
    <n v="180"/>
    <x v="14"/>
    <x v="14"/>
    <s v="J4"/>
    <n v="1830003811"/>
    <n v="2"/>
    <s v="FS1520T0*      "/>
    <s v="FS1520T0 DRY IRON PLASTIC PTFE                    "/>
    <s v="S"/>
    <d v="2012-01-11T00:00:00"/>
    <m/>
    <s v="X"/>
    <x v="38"/>
    <n v="4.9000000000000004"/>
    <n v="11"/>
    <d v="2012-01-25T00:00:00"/>
    <d v="2012-01-11T00:00:00"/>
    <n v="5946"/>
    <d v="2012-01-11T00:00:00"/>
    <n v="5946"/>
    <m/>
    <d v="2012-01-11T00:00:00"/>
    <n v="5946"/>
    <d v="2012-01-19T00:00:00"/>
    <d v="2012-01-05T00:00:00"/>
    <n v="5946"/>
    <n v="5946"/>
    <x v="12"/>
    <d v="2012-01-21T00:00:00"/>
    <m/>
    <n v="9321643861"/>
    <n v="20"/>
    <s v="ZCSU2522724"/>
    <s v="NINOS 121S"/>
    <m/>
    <s v="NINGBO"/>
    <m/>
    <m/>
    <s v="TWEETY LEUNG"/>
    <s v="FO9"/>
    <s v="LINEN CARE                    "/>
    <s v="CONFIRMED"/>
    <n v="1"/>
    <n v="1"/>
    <d v="2012-01-07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2437/000010"/>
    <n v="1370145085"/>
    <n v="10"/>
    <x v="43"/>
    <x v="43"/>
    <s v="R1"/>
    <n v="1500634518"/>
    <n v="55"/>
    <n v="634518"/>
    <s v="KI210015 KET EVOLUTIVE 1.5L SS                    "/>
    <s v="S"/>
    <d v="2012-01-09T00:00:00"/>
    <m/>
    <s v="X"/>
    <x v="38"/>
    <n v="14.74"/>
    <n v="11"/>
    <d v="2012-01-30T00:00:00"/>
    <d v="2011-12-26T00:00:00"/>
    <n v="2100"/>
    <d v="2011-12-26T00:00:00"/>
    <n v="2100"/>
    <m/>
    <d v="2011-12-26T00:00:00"/>
    <n v="2100"/>
    <d v="2012-02-06T00:00:00"/>
    <d v="2012-01-02T00:00:00"/>
    <n v="2100"/>
    <n v="2100"/>
    <x v="13"/>
    <d v="2012-02-05T00:00:00"/>
    <m/>
    <n v="9321643866"/>
    <n v="10"/>
    <s v="MRKU6837826"/>
    <s v="CHARLOTTE MAERSK 120"/>
    <m/>
    <s v="YANTIAN"/>
    <s v="C-POST-CONF/LATE EDI"/>
    <m/>
    <s v="KENUS WONG"/>
    <s v="FO9"/>
    <s v="BEVERAGE                      "/>
    <s v="CONFIRMED"/>
    <n v="1"/>
    <n v="52"/>
    <d v="2012-01-01T00:00:00"/>
    <s v="KITCHEN ELECTRICS             "/>
    <s v="BREAKFAST &amp; BREVAGE PREP      "/>
    <x v="1"/>
    <x v="1"/>
    <x v="3"/>
    <s v="C-POST-CONF"/>
    <n v="-3"/>
    <n v="-3"/>
    <x v="0"/>
    <n v="2"/>
    <x v="0"/>
    <x v="1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29/000004"/>
    <n v="1370145086"/>
    <n v="150"/>
    <x v="44"/>
    <x v="44"/>
    <s v="P1"/>
    <n v="1500831373"/>
    <n v="105"/>
    <n v="831373"/>
    <s v="ZN350C70 JUI ELEA MET/BLK SG                      "/>
    <s v="S"/>
    <d v="2012-01-18T00:00:00"/>
    <m/>
    <s v="X"/>
    <x v="38"/>
    <n v="21.06"/>
    <n v="11"/>
    <d v="2012-01-30T00:00:00"/>
    <d v="2012-01-16T00:00:00"/>
    <n v="500"/>
    <d v="2012-01-16T00:00:00"/>
    <n v="500"/>
    <m/>
    <d v="2012-01-14T00:00:00"/>
    <n v="500"/>
    <d v="2012-01-31T00:00:00"/>
    <d v="2012-01-17T00:00:00"/>
    <n v="500"/>
    <n v="500"/>
    <x v="21"/>
    <d v="2012-02-01T00:00:00"/>
    <m/>
    <n v="9321643869"/>
    <n v="10"/>
    <s v="CMAU0298902"/>
    <s v="HAI BANG DA 288"/>
    <m/>
    <s v="YANTIAN"/>
    <s v="CONS-SHIPT/"/>
    <m/>
    <s v="TWEETY LEUNG"/>
    <s v="FO9"/>
    <s v="FOOD PREPARATION              "/>
    <s v="CONFIRMED"/>
    <n v="1"/>
    <n v="3"/>
    <d v="2012-01-18T00:00:00"/>
    <s v="KITCHEN ELECTRICS             "/>
    <s v="FOOD PREPARATION              "/>
    <x v="2"/>
    <x v="1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59309/000010"/>
    <n v="1370145028"/>
    <n v="10"/>
    <x v="32"/>
    <x v="32"/>
    <s v="R1"/>
    <n v="1500578142"/>
    <n v="23"/>
    <n v="578142"/>
    <s v="TL600830 TOAS TOAST N'GRILL BLK EUR               "/>
    <s v="S"/>
    <d v="2012-01-04T00:00:00"/>
    <m/>
    <s v="X"/>
    <x v="38"/>
    <n v="25.94"/>
    <n v="22538"/>
    <d v="2012-01-12T00:00:00"/>
    <d v="2011-12-08T00:00:00"/>
    <n v="1990"/>
    <d v="2011-12-08T00:00:00"/>
    <n v="1990"/>
    <m/>
    <d v="2011-12-08T00:00:00"/>
    <n v="1990"/>
    <d v="2012-02-06T00:00:00"/>
    <d v="2012-01-02T00:00:00"/>
    <n v="1990"/>
    <n v="1990"/>
    <x v="13"/>
    <d v="2012-02-05T00:00:00"/>
    <m/>
    <n v="9321643877"/>
    <n v="10"/>
    <s v="MOTU6723470"/>
    <s v="HYUNDAI SPLENDOR/016"/>
    <m/>
    <s v="YANTIAN"/>
    <s v="CONS-SHIPT/SP-QLY/CONS-SHIPT/SP-QLY/SP-MTL/"/>
    <m/>
    <s v="AGNES NUNES"/>
    <s v="FO9"/>
    <s v="BEVERAGE                      "/>
    <s v="CONFIRMED"/>
    <n v="1"/>
    <n v="52"/>
    <d v="2012-01-01T00:00:00"/>
    <s v="KITCHEN ELECTRICS             "/>
    <s v="BREAKFAST &amp; BREVAGE PREP      "/>
    <x v="2"/>
    <x v="1"/>
    <x v="13"/>
    <s v="CONS-SHIPT"/>
    <n v="1"/>
    <n v="-3"/>
    <x v="8"/>
    <n v="5"/>
    <x v="0"/>
    <x v="0"/>
    <x v="0"/>
    <n v="0"/>
    <n v="0"/>
    <n v="0"/>
    <n v="0"/>
    <n v="0"/>
    <n v="0"/>
    <x v="1"/>
    <x v="0"/>
    <x v="1"/>
    <x v="0"/>
  </r>
  <r>
    <s v="Shipment"/>
    <n v="99003800"/>
    <s v="GROUPE SEB POLSKA SP. ZO.O                        "/>
    <n v="99003800"/>
    <x v="20"/>
    <s v="4500259453/000010"/>
    <n v="1370145019"/>
    <n v="10"/>
    <x v="23"/>
    <x v="23"/>
    <s v="N4"/>
    <n v="2820400332"/>
    <n v="32"/>
    <n v="632725"/>
    <s v="VS400332 STMC VITACUISINE COMPACT 3B PL           "/>
    <s v="S"/>
    <d v="2012-01-17T00:00:00"/>
    <m/>
    <s v="X"/>
    <x v="38"/>
    <n v="40.462200000000003"/>
    <n v="143"/>
    <d v="2012-02-06T00:00:00"/>
    <d v="2011-12-26T00:00:00"/>
    <n v="648"/>
    <d v="2011-12-26T00:00:00"/>
    <n v="648"/>
    <m/>
    <d v="2011-12-26T00:00:00"/>
    <n v="648"/>
    <d v="2012-02-26T00:00:00"/>
    <d v="2012-01-15T00:00:00"/>
    <n v="648"/>
    <n v="648"/>
    <x v="11"/>
    <d v="2012-02-26T00:00:00"/>
    <m/>
    <n v="9321643888"/>
    <n v="10"/>
    <s v="PONU1808806"/>
    <s v="EMMA MAERSK 1202/"/>
    <m/>
    <s v="SHANGHAI"/>
    <s v="SP-QLY"/>
    <m/>
    <s v="KENUS WONG"/>
    <s v="FO9"/>
    <s v="ELECTRICAL COOKING            "/>
    <s v="CONFIRMED"/>
    <n v="1"/>
    <n v="2"/>
    <d v="2012-01-15T00:00:00"/>
    <s v="KITCHEN ELECTRICS             "/>
    <s v="ELECTRICAL COOKING            "/>
    <x v="0"/>
    <x v="0"/>
    <x v="13"/>
    <s v="SP-QLY"/>
    <n v="1"/>
    <n v="1"/>
    <x v="13"/>
    <n v="1"/>
    <x v="0"/>
    <x v="0"/>
    <x v="0"/>
    <n v="0"/>
    <n v="0"/>
    <n v="0"/>
    <n v="0"/>
    <n v="0"/>
    <n v="0"/>
    <x v="1"/>
    <x v="0"/>
    <x v="1"/>
    <x v="0"/>
  </r>
  <r>
    <s v="Shipment"/>
    <n v="99006402"/>
    <s v="GROUPE SEB (Thailand) Ltd                         "/>
    <n v="99006402"/>
    <x v="8"/>
    <s v="529/000012"/>
    <n v="1370145086"/>
    <n v="40"/>
    <x v="23"/>
    <x v="23"/>
    <s v="J3"/>
    <n v="2820448320"/>
    <n v="1"/>
    <s v="FV4483T0       "/>
    <s v="FV4483T0 ST.IRON ULTRAGLISS EASYCORD 2 F          "/>
    <s v="S"/>
    <d v="2012-01-30T00:00:00"/>
    <m/>
    <s v="X"/>
    <x v="38"/>
    <n v="16.215199999999999"/>
    <n v="11"/>
    <d v="2012-01-30T00:00:00"/>
    <d v="2012-01-16T00:00:00"/>
    <n v="4752"/>
    <d v="2012-01-27T00:00:00"/>
    <n v="4752"/>
    <m/>
    <d v="2012-01-21T00:00:00"/>
    <n v="4752"/>
    <d v="2012-02-07T00:00:00"/>
    <d v="2012-01-24T00:00:00"/>
    <n v="4752"/>
    <n v="4752"/>
    <x v="25"/>
    <d v="2012-02-07T00:00:00"/>
    <m/>
    <n v="9321643889"/>
    <n v="20"/>
    <s v="GESU6522917"/>
    <s v="HYUNDAI CONCORD 163S"/>
    <m/>
    <s v="SHANGHAI"/>
    <m/>
    <m/>
    <s v="TWEETY LEUNG"/>
    <s v="FO9"/>
    <s v="LINEN CARE                    "/>
    <s v="CONFIRMED"/>
    <n v="1"/>
    <n v="4"/>
    <d v="2012-01-24T00:00:00"/>
    <s v="LINEN PERS HOME CARE          "/>
    <s v="LINEN CARE                    "/>
    <x v="0"/>
    <x v="0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1547/000010"/>
    <n v="1370144975"/>
    <n v="10"/>
    <x v="0"/>
    <x v="0"/>
    <s v="A1"/>
    <n v="2100065829"/>
    <n v="205"/>
    <n v="115003233"/>
    <s v="E4362444 SCP20LID TEFAL BY JO SS CLASSIC          "/>
    <s v="S"/>
    <d v="2012-01-12T00:00:00"/>
    <m/>
    <s v="X"/>
    <x v="38"/>
    <n v="12.325699999999999"/>
    <n v="8"/>
    <d v="2012-01-09T00:00:00"/>
    <d v="2011-12-05T00:00:00"/>
    <n v="1000"/>
    <d v="2012-01-06T00:00:00"/>
    <n v="1000"/>
    <m/>
    <d v="2011-12-31T00:00:00"/>
    <n v="1100"/>
    <d v="2012-02-11T00:00:00"/>
    <d v="2012-01-07T00:00:00"/>
    <n v="1000"/>
    <n v="1000"/>
    <x v="23"/>
    <d v="2012-02-12T00:00:00"/>
    <m/>
    <n v="9321643904"/>
    <n v="10"/>
    <s v="GESU4596778"/>
    <s v="XIN SHANGHAI 0063W"/>
    <m/>
    <s v="NINGBO"/>
    <s v="C-POST-CONF/C-POST-CONF/CONS-SHIPT/SP-OVERCAP/"/>
    <m/>
    <s v="KENUS WO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3"/>
    <s v="C-POST-CONF"/>
    <n v="-3"/>
    <n v="-3"/>
    <x v="0"/>
    <n v="4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42511/000010"/>
    <n v="1370145555"/>
    <n v="10"/>
    <x v="0"/>
    <x v="0"/>
    <s v="A1"/>
    <n v="2100059439"/>
    <n v="208"/>
    <n v="116000708"/>
    <s v="E918SC64 ULTIMATE HA GREY 12PC SET                "/>
    <s v="S"/>
    <d v="2012-01-09T00:00:00"/>
    <m/>
    <s v="X"/>
    <x v="38"/>
    <n v="49.742100000000001"/>
    <n v="52"/>
    <d v="2012-01-18T00:00:00"/>
    <d v="2011-12-14T00:00:00"/>
    <n v="3000"/>
    <d v="2012-01-06T00:00:00"/>
    <n v="3000"/>
    <m/>
    <d v="2011-12-09T00:00:00"/>
    <n v="3000"/>
    <d v="2012-02-10T00:00:00"/>
    <d v="2012-01-06T00:00:00"/>
    <n v="3000"/>
    <n v="1000"/>
    <x v="7"/>
    <d v="2012-02-10T00:00:00"/>
    <m/>
    <n v="9321643916"/>
    <n v="10"/>
    <s v="AMFU8653704"/>
    <s v="HYUNDAI VOYAGER/026E"/>
    <m/>
    <s v="NINGBO"/>
    <s v="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2511/000010"/>
    <n v="1370145555"/>
    <n v="10"/>
    <x v="0"/>
    <x v="0"/>
    <s v="A1"/>
    <n v="2100059439"/>
    <n v="208"/>
    <n v="116000708"/>
    <s v="E918SC64 ULTIMATE HA GREY 12PC SET                "/>
    <s v="S"/>
    <d v="2012-01-09T00:00:00"/>
    <m/>
    <s v="X"/>
    <x v="38"/>
    <n v="49.742100000000001"/>
    <n v="52"/>
    <d v="2012-01-18T00:00:00"/>
    <d v="2011-12-14T00:00:00"/>
    <n v="3000"/>
    <d v="2012-01-06T00:00:00"/>
    <n v="3000"/>
    <m/>
    <d v="2011-12-09T00:00:00"/>
    <n v="3000"/>
    <d v="2012-02-10T00:00:00"/>
    <d v="2012-01-06T00:00:00"/>
    <n v="3000"/>
    <n v="1000"/>
    <x v="7"/>
    <d v="2012-02-10T00:00:00"/>
    <m/>
    <n v="9321643916"/>
    <n v="10"/>
    <s v="HDMU6182368"/>
    <s v="HYUNDAI VOYAGER/026E"/>
    <m/>
    <s v="NINGBO"/>
    <s v="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2511/000010"/>
    <n v="1370145555"/>
    <n v="10"/>
    <x v="0"/>
    <x v="0"/>
    <s v="A1"/>
    <n v="2100059439"/>
    <n v="208"/>
    <n v="116000708"/>
    <s v="E918SC64 ULTIMATE HA GREY 12PC SET                "/>
    <s v="S"/>
    <d v="2012-01-09T00:00:00"/>
    <m/>
    <s v="X"/>
    <x v="38"/>
    <n v="49.742100000000001"/>
    <n v="52"/>
    <d v="2012-01-18T00:00:00"/>
    <d v="2011-12-14T00:00:00"/>
    <n v="3000"/>
    <d v="2012-01-06T00:00:00"/>
    <n v="3000"/>
    <m/>
    <d v="2011-12-09T00:00:00"/>
    <n v="3000"/>
    <d v="2012-02-10T00:00:00"/>
    <d v="2012-01-06T00:00:00"/>
    <n v="3000"/>
    <n v="1000"/>
    <x v="7"/>
    <d v="2012-02-10T00:00:00"/>
    <m/>
    <n v="9321643916"/>
    <n v="10"/>
    <s v="BMOU4130600"/>
    <s v="HYUNDAI VOYAGER/026E"/>
    <m/>
    <s v="NINGBO"/>
    <s v="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29/000021"/>
    <n v="1370145086"/>
    <n v="140"/>
    <x v="22"/>
    <x v="22"/>
    <s v="P3"/>
    <n v="7211000743"/>
    <n v="36"/>
    <n v="211000743"/>
    <s v="BL3071AD BLD BLENDFORCE +W&amp;D MILL WHT TH          "/>
    <s v="S"/>
    <d v="2012-01-10T00:00:00"/>
    <m/>
    <s v="X"/>
    <x v="38"/>
    <n v="16.3005"/>
    <n v="11"/>
    <d v="2012-01-23T00:00:00"/>
    <d v="2012-01-09T00:00:00"/>
    <n v="2805"/>
    <d v="2012-01-09T00:00:00"/>
    <n v="2805"/>
    <m/>
    <d v="2012-01-05T00:00:00"/>
    <n v="2805"/>
    <d v="2012-01-19T00:00:00"/>
    <d v="2012-01-05T00:00:00"/>
    <n v="2805"/>
    <n v="2805"/>
    <x v="12"/>
    <d v="2012-01-21T00:00:00"/>
    <m/>
    <n v="9321643927"/>
    <n v="20"/>
    <s v="ZCSU2626570"/>
    <s v="NINOS 121S"/>
    <m/>
    <s v="NINGBO"/>
    <m/>
    <m/>
    <s v="TWEETY LEUNG"/>
    <s v="FO9"/>
    <s v="FOOD PREPARATION              "/>
    <s v="CONFIRMED"/>
    <n v="1"/>
    <n v="1"/>
    <d v="2012-01-07T00:00:00"/>
    <s v="KITCHEN ELECTRICS             "/>
    <s v="FOOD PREPARATION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29/000018"/>
    <n v="1370145086"/>
    <n v="100"/>
    <x v="30"/>
    <x v="30"/>
    <s v="N4"/>
    <n v="7211000647"/>
    <n v="39"/>
    <n v="211000647"/>
    <s v="RK105671 RC MECHA CONGEE 10C 1.8L LIL TH          "/>
    <s v="S"/>
    <d v="2012-01-18T00:00:00"/>
    <m/>
    <s v="X"/>
    <x v="38"/>
    <n v="21.897600000000001"/>
    <n v="11"/>
    <d v="2012-01-30T00:00:00"/>
    <d v="2012-01-16T00:00:00"/>
    <n v="756"/>
    <d v="2012-01-16T00:00:00"/>
    <n v="756"/>
    <m/>
    <d v="2012-01-12T00:00:00"/>
    <n v="756"/>
    <d v="2012-01-26T00:00:00"/>
    <d v="2012-01-12T00:00:00"/>
    <n v="756"/>
    <n v="756"/>
    <x v="9"/>
    <d v="2012-01-28T00:00:00"/>
    <m/>
    <n v="9321643932"/>
    <n v="10"/>
    <s v="ZCSU2708468"/>
    <s v="KUO FU 7S"/>
    <m/>
    <s v="NINGBO"/>
    <m/>
    <m/>
    <s v="TWEETY LEUNG"/>
    <s v="FO9"/>
    <s v="ELECTRICAL COOKING            "/>
    <s v="CONFIRMED"/>
    <n v="1"/>
    <n v="2"/>
    <d v="2012-01-14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29/000019"/>
    <n v="1370145086"/>
    <n v="110"/>
    <x v="30"/>
    <x v="30"/>
    <s v="N4"/>
    <n v="7211000678"/>
    <n v="39"/>
    <n v="211000678"/>
    <s v="RK104671 RC MECHA CONGEE 5.5C 1L LIL TH           "/>
    <s v="S"/>
    <d v="2012-01-18T00:00:00"/>
    <m/>
    <s v="X"/>
    <x v="38"/>
    <n v="19.220700000000001"/>
    <n v="11"/>
    <d v="2012-01-20T00:00:00"/>
    <d v="2012-01-06T00:00:00"/>
    <n v="1280"/>
    <d v="2012-01-06T00:00:00"/>
    <n v="1280"/>
    <m/>
    <d v="2012-01-12T00:00:00"/>
    <n v="1280"/>
    <d v="2012-01-26T00:00:00"/>
    <d v="2012-01-12T00:00:00"/>
    <n v="1280"/>
    <n v="1280"/>
    <x v="9"/>
    <d v="2012-01-28T00:00:00"/>
    <m/>
    <n v="9321643932"/>
    <n v="20"/>
    <s v="ZCSU2708468"/>
    <s v="KUO FU 7S"/>
    <m/>
    <s v="NINGBO"/>
    <m/>
    <m/>
    <s v="TWEETY LEUNG"/>
    <s v="FO9"/>
    <s v="ELECTRICAL COOKING            "/>
    <s v="CONFIRMED"/>
    <n v="1"/>
    <n v="2"/>
    <d v="2012-01-14T00:00:00"/>
    <s v="KITCHEN ELECTRICS             "/>
    <s v="ELECTRICAL COOKING            "/>
    <x v="0"/>
    <x v="0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003221"/>
    <s v="GROUPE SEB CANADA INC                             "/>
    <n v="99003200"/>
    <x v="27"/>
    <s v="22518/039671"/>
    <n v="1370145166"/>
    <n v="10"/>
    <x v="14"/>
    <x v="14"/>
    <s v="J2"/>
    <n v="1110020253"/>
    <n v="64"/>
    <s v="               "/>
    <s v="IS1430Q1 STEAMER/BUDGET ONLY                      "/>
    <s v="S"/>
    <d v="2012-02-02T00:00:00"/>
    <m/>
    <s v="X"/>
    <x v="38"/>
    <n v="15.57"/>
    <n v="17"/>
    <d v="2012-02-07T00:00:00"/>
    <d v="2012-01-10T00:00:00"/>
    <n v="900"/>
    <d v="2012-01-19T00:00:00"/>
    <n v="900"/>
    <m/>
    <d v="2012-01-05T00:00:00"/>
    <n v="900"/>
    <d v="2012-02-23T00:00:00"/>
    <d v="2012-01-26T00:00:00"/>
    <n v="900"/>
    <n v="900"/>
    <x v="15"/>
    <d v="2012-02-23T00:00:00"/>
    <m/>
    <n v="9321643955"/>
    <n v="10"/>
    <s v="OOLU7787512"/>
    <s v="VANCOUVER EXPRESS 16"/>
    <m/>
    <s v="NINGBO"/>
    <s v="CONS-SHIPT/C-POST-CONF/"/>
    <m/>
    <s v="TWEETY LEUNG"/>
    <s v="FO9"/>
    <s v="LINEN CARE                    "/>
    <s v="CONFIRMED"/>
    <n v="1"/>
    <n v="4"/>
    <d v="2012-01-26T00:00:00"/>
    <s v="LINEN PERS HOME CARE          "/>
    <s v="LINEN CARE                    "/>
    <x v="6"/>
    <x v="2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1790/000010"/>
    <n v="1370144962"/>
    <n v="10"/>
    <x v="8"/>
    <x v="8"/>
    <s v="K9"/>
    <n v="8000033725"/>
    <n v="38"/>
    <s v="KP210040B      "/>
    <s v="KP210040 NDG MELODY 2 BLK UK                      "/>
    <s v="S"/>
    <d v="2012-01-10T00:00:00"/>
    <m/>
    <s v="X"/>
    <x v="38"/>
    <n v="44.86"/>
    <n v="32"/>
    <d v="2012-01-16T00:00:00"/>
    <d v="2011-12-12T00:00:00"/>
    <n v="1240"/>
    <d v="2012-01-09T00:00:00"/>
    <n v="1240"/>
    <m/>
    <d v="2011-12-09T00:00:00"/>
    <n v="1240"/>
    <d v="2012-02-17T00:00:00"/>
    <d v="2012-01-13T00:00:00"/>
    <n v="1240"/>
    <n v="1240"/>
    <x v="23"/>
    <d v="2012-02-12T00:00:00"/>
    <m/>
    <n v="9321643969"/>
    <n v="10"/>
    <s v="PONU1255172"/>
    <s v="SVENDBORG MAERSK 120"/>
    <m/>
    <s v="YANTIAN"/>
    <s v="C-POST-CONF"/>
    <m/>
    <s v="KENUS WONG"/>
    <s v="FO9"/>
    <s v="BEVERAGE                      "/>
    <s v="CONFIRMED"/>
    <n v="1"/>
    <n v="1"/>
    <d v="2012-01-08T00:00:00"/>
    <s v="KITCHEN ELECTRICS             "/>
    <s v="BREAKFAST &amp; BREVAGE PREP      "/>
    <x v="4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100708"/>
    <s v="SARAFI HASSANALY MOMODE RAFIK                     "/>
    <n v="99005151"/>
    <x v="18"/>
    <s v="9321644514/000010"/>
    <n v="1370145724"/>
    <n v="10"/>
    <x v="7"/>
    <x v="7"/>
    <s v="M1"/>
    <n v="1830002835"/>
    <n v="8"/>
    <s v="VU6555F0       "/>
    <s v="VU6555F0 TOWER FAN EOLE 2 CRYSTAL LCD             "/>
    <s v="S"/>
    <d v="2012-01-11T00:00:00"/>
    <m/>
    <s v="X"/>
    <x v="39"/>
    <n v="28.25"/>
    <n v="31"/>
    <d v="2012-01-03T00:00:00"/>
    <d v="2012-01-03T00:00:00"/>
    <n v="90"/>
    <d v="2012-01-17T00:00:00"/>
    <n v="90"/>
    <m/>
    <d v="2012-01-03T00:00:00"/>
    <n v="90"/>
    <d v="2012-01-17T00:00:00"/>
    <d v="2012-01-17T00:00:00"/>
    <n v="90"/>
    <n v="90"/>
    <x v="19"/>
    <d v="2012-01-17T00:00:00"/>
    <m/>
    <n v="9321644851"/>
    <n v="10"/>
    <s v="MSKU381175 / CN"/>
    <s v="MAERSK KENDAL V.1202"/>
    <m/>
    <s v="YANTIAN"/>
    <s v="C-POST-CONF/SAILING-SCHED-UPDATE/"/>
    <m/>
    <m/>
    <s v="FO9"/>
    <s v="HOME COMFORT                  "/>
    <s v="CONFIRMED"/>
    <n v="1"/>
    <n v="3"/>
    <d v="2012-01-17T00:00:00"/>
    <s v="LINEN PERS HOME CARE          "/>
    <s v="HOME COMFORT                  "/>
    <x v="3"/>
    <x v="2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100708"/>
    <s v="SARAFI HASSANALY MOMODE RAFIK                     "/>
    <n v="99005151"/>
    <x v="18"/>
    <s v="9321644514/000020"/>
    <n v="1370145724"/>
    <n v="20"/>
    <x v="7"/>
    <x v="7"/>
    <s v="M1"/>
    <n v="1830003459"/>
    <n v="8"/>
    <s v="VU5560F0       "/>
    <s v="VU5560F0 STAND FAN SILENCE PROT.ANTI-MOS          "/>
    <s v="S"/>
    <d v="2012-01-11T00:00:00"/>
    <m/>
    <s v="X"/>
    <x v="39"/>
    <n v="26.11"/>
    <n v="31"/>
    <d v="2012-01-03T00:00:00"/>
    <d v="2012-01-03T00:00:00"/>
    <n v="230"/>
    <d v="2012-01-17T00:00:00"/>
    <n v="230"/>
    <m/>
    <d v="2012-01-03T00:00:00"/>
    <n v="230"/>
    <d v="2012-01-17T00:00:00"/>
    <d v="2012-01-17T00:00:00"/>
    <n v="230"/>
    <n v="230"/>
    <x v="19"/>
    <d v="2012-01-17T00:00:00"/>
    <m/>
    <n v="9321644854"/>
    <n v="10"/>
    <s v="MSKU381175 / CN"/>
    <s v="MAERSK KENDAL V.1202"/>
    <m/>
    <s v="YANTIAN"/>
    <s v="C-POST-CONF/SAILING-SCHED-UPDATE/"/>
    <m/>
    <m/>
    <s v="FO9"/>
    <s v="HOME COMFORT                  "/>
    <s v="CONFIRMED"/>
    <n v="1"/>
    <n v="3"/>
    <d v="2012-01-17T00:00:00"/>
    <s v="LINEN PERS HOME CARE          "/>
    <s v="HOME COMFORT                  "/>
    <x v="3"/>
    <x v="2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100708"/>
    <s v="SARAFI HASSANALY MOMODE RAFIK                     "/>
    <n v="99005151"/>
    <x v="18"/>
    <s v="9321644514/000030"/>
    <n v="1370145724"/>
    <n v="30"/>
    <x v="7"/>
    <x v="7"/>
    <s v="M1"/>
    <n v="1830003458"/>
    <n v="8"/>
    <s v="VU5540F0       "/>
    <s v="VU5540F0 STAND FAN TURBO SILENCE                  "/>
    <s v="S"/>
    <d v="2012-01-11T00:00:00"/>
    <m/>
    <s v="X"/>
    <x v="39"/>
    <n v="23.29"/>
    <n v="31"/>
    <d v="2012-01-03T00:00:00"/>
    <d v="2012-01-03T00:00:00"/>
    <n v="140"/>
    <d v="2012-01-17T00:00:00"/>
    <n v="140"/>
    <m/>
    <d v="2012-01-03T00:00:00"/>
    <n v="140"/>
    <d v="2012-01-17T00:00:00"/>
    <d v="2012-01-17T00:00:00"/>
    <n v="140"/>
    <n v="140"/>
    <x v="19"/>
    <d v="2012-01-17T00:00:00"/>
    <m/>
    <n v="9321644854"/>
    <n v="20"/>
    <s v="MSKU381175 / CN"/>
    <s v="MAERSK KENDAL V.1202"/>
    <m/>
    <s v="YANTIAN"/>
    <s v="C-POST-CONF/SAILING-SCHED-UPDATE/"/>
    <m/>
    <m/>
    <s v="FO9"/>
    <s v="HOME COMFORT                  "/>
    <s v="CONFIRMED"/>
    <n v="1"/>
    <n v="3"/>
    <d v="2012-01-17T00:00:00"/>
    <s v="LINEN PERS HOME CARE          "/>
    <s v="HOME COMFORT                  "/>
    <x v="3"/>
    <x v="2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1768/000010"/>
    <n v="1370144964"/>
    <n v="10"/>
    <x v="8"/>
    <x v="8"/>
    <s v="K9"/>
    <n v="8000033701"/>
    <n v="38"/>
    <s v="KP500540       "/>
    <s v="KP500540 NDG CIRCOLO MET UK                       "/>
    <s v="S"/>
    <d v="2012-01-18T00:00:00"/>
    <m/>
    <s v="X"/>
    <x v="40"/>
    <n v="51.48"/>
    <n v="37"/>
    <d v="2012-01-14T00:00:00"/>
    <d v="2011-12-10T00:00:00"/>
    <n v="600"/>
    <d v="2012-01-09T00:00:00"/>
    <n v="600"/>
    <m/>
    <d v="2011-12-09T00:00:00"/>
    <n v="600"/>
    <d v="2012-02-17T00:00:00"/>
    <d v="2012-01-13T00:00:00"/>
    <n v="600"/>
    <n v="600"/>
    <x v="8"/>
    <d v="2012-02-20T00:00:00"/>
    <m/>
    <n v="9321645505"/>
    <n v="10"/>
    <s v="MRKU8225394"/>
    <s v="MAERSK TUKANG 1202/"/>
    <m/>
    <s v="YANTIAN"/>
    <s v="C-POST-CONF"/>
    <m/>
    <s v="KENUS WONG"/>
    <s v="FO9"/>
    <s v="BEVERAGE                      "/>
    <s v="CONFIRMED"/>
    <n v="1"/>
    <n v="3"/>
    <d v="2012-01-16T00:00:00"/>
    <s v="KITCHEN ELECTRICS             "/>
    <s v="BREAKFAST &amp; BREVAGE PREP      "/>
    <x v="4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20/000010"/>
    <n v="1370145914"/>
    <n v="10"/>
    <x v="0"/>
    <x v="0"/>
    <s v="A5"/>
    <n v="8900242326"/>
    <n v="205"/>
    <n v="116000484"/>
    <s v="010700600008 BATTERIA GOURMET PZ.8                "/>
    <s v="S"/>
    <d v="2012-01-11T00:00:00"/>
    <m/>
    <s v="X"/>
    <x v="40"/>
    <n v="44.108899999999998"/>
    <n v="33"/>
    <d v="2012-02-04T00:00:00"/>
    <d v="2012-01-07T00:00:00"/>
    <n v="959"/>
    <d v="2012-01-07T00:00:00"/>
    <n v="960"/>
    <m/>
    <d v="2012-01-07T00:00:00"/>
    <n v="959"/>
    <d v="2012-02-07T00:00:00"/>
    <d v="2012-01-10T00:00:00"/>
    <n v="960"/>
    <n v="960"/>
    <x v="0"/>
    <d v="2012-02-06T00:00:00"/>
    <m/>
    <n v="9321645507"/>
    <n v="10"/>
    <s v="UACU5590503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66/000002"/>
    <n v="1370145840"/>
    <n v="20"/>
    <x v="4"/>
    <x v="4"/>
    <s v="M5"/>
    <n v="2210016487"/>
    <n v="68"/>
    <s v="RH855383       "/>
    <s v="RH855383 BAGLESS STICKCLEANER AIR FORCE-          "/>
    <s v="S"/>
    <d v="2012-01-29T00:00:00"/>
    <m/>
    <s v="X"/>
    <x v="40"/>
    <n v="50.96"/>
    <n v="46"/>
    <d v="2012-01-09T00:00:00"/>
    <d v="2011-12-19T00:00:00"/>
    <n v="826"/>
    <d v="2012-01-16T00:00:00"/>
    <n v="826"/>
    <m/>
    <d v="2011-12-19T00:00:00"/>
    <n v="826"/>
    <d v="2012-02-06T00:00:00"/>
    <d v="2012-01-16T00:00:00"/>
    <n v="826"/>
    <n v="826"/>
    <x v="1"/>
    <d v="2012-02-13T00:00:00"/>
    <m/>
    <n v="9321645509"/>
    <n v="10"/>
    <s v="TEMU2654109"/>
    <s v="CSCL QINGDAO/0170S"/>
    <m/>
    <s v="YANTIAN"/>
    <s v="C-POST-CONF/"/>
    <m/>
    <s v="AGNES NUNES"/>
    <s v="FO9"/>
    <s v="HOME CLEANING                 "/>
    <s v="CONFIRMED"/>
    <n v="1"/>
    <n v="4"/>
    <d v="2012-01-23T00:00:00"/>
    <s v="HOME CLEANING                 "/>
    <s v="HOME CLEANING                 "/>
    <x v="3"/>
    <x v="2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60/000003"/>
    <n v="1370145841"/>
    <n v="30"/>
    <x v="0"/>
    <x v="0"/>
    <s v="A1"/>
    <n v="2100061383"/>
    <n v="208"/>
    <n v="115002711"/>
    <s v="E9050744 JO FP30 ALU ANODIZED INDUC GREY          "/>
    <s v="S"/>
    <d v="2012-01-09T00:00:00"/>
    <m/>
    <s v="X"/>
    <x v="40"/>
    <n v="16.780899999999999"/>
    <n v="12"/>
    <d v="2011-12-26T00:00:00"/>
    <d v="2011-12-05T00:00:00"/>
    <n v="1000"/>
    <d v="2012-01-03T00:00:00"/>
    <n v="1000"/>
    <m/>
    <d v="2012-01-03T00:00:00"/>
    <n v="1000"/>
    <d v="2012-01-26T00:00:00"/>
    <d v="2012-01-05T00:00:00"/>
    <n v="1000"/>
    <n v="1000"/>
    <x v="12"/>
    <d v="2012-01-28T00:00:00"/>
    <m/>
    <n v="9321645510"/>
    <n v="30"/>
    <s v="TRLU4867281"/>
    <s v="MAERSK DIADEMA/202W"/>
    <m/>
    <s v="NINGBO"/>
    <s v="SP-OVERCAP/"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4200"/>
    <s v="GROUP SEB AUSTRALIA PTY LTD                       "/>
    <n v="99004200"/>
    <x v="4"/>
    <s v="2260/000005"/>
    <n v="1370145841"/>
    <n v="50"/>
    <x v="0"/>
    <x v="0"/>
    <s v="A1"/>
    <n v="2100062079"/>
    <n v="208"/>
    <n v="116000840"/>
    <s v="E905A544 JO SET 5P ALU ANODIZED INDUC GR          "/>
    <s v="S"/>
    <d v="2012-01-09T00:00:00"/>
    <m/>
    <s v="X"/>
    <x v="40"/>
    <n v="81.197699999999998"/>
    <n v="12"/>
    <d v="2011-12-26T00:00:00"/>
    <d v="2011-12-05T00:00:00"/>
    <n v="500"/>
    <d v="2012-01-03T00:00:00"/>
    <n v="500"/>
    <m/>
    <d v="2012-01-05T00:00:00"/>
    <n v="1000"/>
    <d v="2012-01-26T00:00:00"/>
    <d v="2012-01-05T00:00:00"/>
    <n v="500"/>
    <n v="200"/>
    <x v="12"/>
    <d v="2012-01-28T00:00:00"/>
    <m/>
    <n v="9321645510"/>
    <n v="50"/>
    <s v="APZU4644314"/>
    <s v="MAERSK DIADEMA/202W"/>
    <m/>
    <s v="NINGBO"/>
    <s v="SP-OVERCAP/"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4200"/>
    <s v="GROUP SEB AUSTRALIA PTY LTD                       "/>
    <n v="99004200"/>
    <x v="4"/>
    <s v="2260/000005"/>
    <n v="1370145841"/>
    <n v="50"/>
    <x v="0"/>
    <x v="0"/>
    <s v="A1"/>
    <n v="2100062079"/>
    <n v="208"/>
    <n v="116000840"/>
    <s v="E905A544 JO SET 5P ALU ANODIZED INDUC GR          "/>
    <s v="S"/>
    <d v="2012-01-09T00:00:00"/>
    <m/>
    <s v="X"/>
    <x v="40"/>
    <n v="81.197699999999998"/>
    <n v="12"/>
    <d v="2011-12-26T00:00:00"/>
    <d v="2011-12-05T00:00:00"/>
    <n v="500"/>
    <d v="2012-01-03T00:00:00"/>
    <n v="500"/>
    <m/>
    <d v="2012-01-05T00:00:00"/>
    <n v="1000"/>
    <d v="2012-01-26T00:00:00"/>
    <d v="2012-01-05T00:00:00"/>
    <n v="500"/>
    <n v="300"/>
    <x v="12"/>
    <d v="2012-01-28T00:00:00"/>
    <m/>
    <n v="9321645510"/>
    <n v="50"/>
    <s v="TRLU4867281"/>
    <s v="MAERSK DIADEMA/202W"/>
    <m/>
    <s v="NINGBO"/>
    <s v="SP-OVERCAP/"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2066"/>
    <s v="TARGETDIRECT 3891/APL LOGISTICS LTD               "/>
    <n v="99008400"/>
    <x v="12"/>
    <s v="9321643744/000110"/>
    <n v="1370145662"/>
    <n v="110"/>
    <x v="0"/>
    <x v="0"/>
    <s v="A1"/>
    <n v="2100067496"/>
    <n v="201"/>
    <n v="115003354"/>
    <s v="A85700FT FP BLINIS 12 SPECIALTY ONE EGG           "/>
    <s v="S"/>
    <d v="2012-01-10T00:00:00"/>
    <m/>
    <s v="X"/>
    <x v="40"/>
    <n v="2.2189999999999999"/>
    <n v="2"/>
    <d v="2012-01-24T00:00:00"/>
    <d v="2012-01-10T00:00:00"/>
    <n v="1050"/>
    <d v="2012-01-10T00:00:00"/>
    <n v="1050"/>
    <m/>
    <d v="2012-01-16T00:00:00"/>
    <n v="1050"/>
    <d v="2012-01-28T00:00:00"/>
    <d v="2012-01-14T00:00:00"/>
    <n v="1050"/>
    <n v="1050"/>
    <x v="9"/>
    <d v="2012-01-28T00:00:00"/>
    <m/>
    <n v="9321645594"/>
    <n v="10"/>
    <s v="TBC"/>
    <s v="HANJIN SHANGHAI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44/000040"/>
    <n v="1370145662"/>
    <n v="40"/>
    <x v="0"/>
    <x v="0"/>
    <s v="A1"/>
    <n v="2100067449"/>
    <n v="204"/>
    <n v="115003373"/>
    <s v="D19207FT FP30 B GAS PRO GR EN MET BLACK           "/>
    <s v="S"/>
    <d v="2012-01-09T00:00:00"/>
    <m/>
    <s v="X"/>
    <x v="40"/>
    <n v="9.3571000000000009"/>
    <n v="2"/>
    <d v="2012-01-24T00:00:00"/>
    <d v="2012-01-10T00:00:00"/>
    <n v="166"/>
    <d v="2012-01-10T00:00:00"/>
    <n v="166"/>
    <m/>
    <d v="2012-01-16T00:00:00"/>
    <n v="166"/>
    <d v="2012-01-27T00:00:00"/>
    <d v="2012-01-13T00:00:00"/>
    <n v="166"/>
    <n v="166"/>
    <x v="24"/>
    <d v="2012-01-27T00:00:00"/>
    <m/>
    <n v="9321645594"/>
    <n v="20"/>
    <s v="UESU4848683"/>
    <s v="COSCO NEW YORK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44/000050"/>
    <n v="1370145662"/>
    <n v="50"/>
    <x v="0"/>
    <x v="0"/>
    <s v="A1"/>
    <n v="2100068155"/>
    <n v="201"/>
    <n v="115003438"/>
    <s v="A76379FT DEEP S.POT22LID B STR SPECIALTY          "/>
    <s v="S"/>
    <d v="2012-01-09T00:00:00"/>
    <m/>
    <s v="X"/>
    <x v="40"/>
    <n v="10.6791"/>
    <n v="2"/>
    <d v="2012-01-24T00:00:00"/>
    <d v="2012-01-10T00:00:00"/>
    <n v="380"/>
    <d v="2012-01-10T00:00:00"/>
    <n v="380"/>
    <m/>
    <d v="2012-01-16T00:00:00"/>
    <n v="380"/>
    <d v="2012-01-27T00:00:00"/>
    <d v="2012-01-13T00:00:00"/>
    <n v="380"/>
    <n v="380"/>
    <x v="24"/>
    <d v="2012-01-27T00:00:00"/>
    <m/>
    <n v="9321645594"/>
    <n v="30"/>
    <s v="UESU4848683"/>
    <s v="COSCO NEW YORK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44/000060"/>
    <n v="1370145662"/>
    <n v="60"/>
    <x v="0"/>
    <x v="0"/>
    <s v="A1"/>
    <n v="2100068157"/>
    <n v="201"/>
    <n v="115003444"/>
    <s v="A76380FT DEEP S.POT24LID B STR SPECIALTY          "/>
    <s v="S"/>
    <d v="2012-01-09T00:00:00"/>
    <m/>
    <s v="X"/>
    <x v="40"/>
    <n v="13.0364"/>
    <n v="2"/>
    <d v="2012-01-24T00:00:00"/>
    <d v="2012-01-10T00:00:00"/>
    <n v="225"/>
    <d v="2012-01-10T00:00:00"/>
    <n v="225"/>
    <m/>
    <d v="2012-01-16T00:00:00"/>
    <n v="225"/>
    <d v="2012-01-27T00:00:00"/>
    <d v="2012-01-13T00:00:00"/>
    <n v="225"/>
    <n v="225"/>
    <x v="24"/>
    <d v="2012-01-27T00:00:00"/>
    <m/>
    <n v="9321645594"/>
    <n v="40"/>
    <s v="UESU4848683"/>
    <s v="COSCO NEW YORK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44/000070"/>
    <n v="1370145662"/>
    <n v="70"/>
    <x v="0"/>
    <x v="0"/>
    <s v="A1"/>
    <n v="2100067443"/>
    <n v="208"/>
    <n v="115003361"/>
    <s v="D92219FT W28 B STD PRO CK HARD ANOD TP4           "/>
    <s v="S"/>
    <d v="2012-01-09T00:00:00"/>
    <m/>
    <s v="X"/>
    <x v="40"/>
    <n v="8.2102000000000004"/>
    <n v="2"/>
    <d v="2012-01-24T00:00:00"/>
    <d v="2012-01-10T00:00:00"/>
    <n v="546"/>
    <d v="2012-01-10T00:00:00"/>
    <n v="546"/>
    <m/>
    <d v="2012-01-16T00:00:00"/>
    <n v="546"/>
    <d v="2012-01-27T00:00:00"/>
    <d v="2012-01-13T00:00:00"/>
    <n v="546"/>
    <n v="546"/>
    <x v="24"/>
    <d v="2012-01-27T00:00:00"/>
    <m/>
    <n v="9321645594"/>
    <n v="50"/>
    <s v="UESU4848683"/>
    <s v="COSCO NEW YORK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44/000080"/>
    <n v="1370145662"/>
    <n v="80"/>
    <x v="0"/>
    <x v="0"/>
    <s v="A1"/>
    <n v="2100067439"/>
    <n v="208"/>
    <n v="115003363"/>
    <s v="D92284FT JR GRIL 32 B PRO CK HARD ANOD T          "/>
    <s v="S"/>
    <d v="2012-01-09T00:00:00"/>
    <m/>
    <s v="X"/>
    <x v="40"/>
    <n v="10.915100000000001"/>
    <n v="2"/>
    <d v="2012-01-24T00:00:00"/>
    <d v="2012-01-10T00:00:00"/>
    <n v="170"/>
    <d v="2012-01-10T00:00:00"/>
    <n v="170"/>
    <m/>
    <d v="2012-01-16T00:00:00"/>
    <n v="170"/>
    <d v="2012-01-27T00:00:00"/>
    <d v="2012-01-13T00:00:00"/>
    <n v="170"/>
    <n v="170"/>
    <x v="24"/>
    <d v="2012-01-27T00:00:00"/>
    <m/>
    <n v="9321645594"/>
    <n v="60"/>
    <s v="UESU4848683"/>
    <s v="COSCO NEW YORK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44/000090"/>
    <n v="1370145662"/>
    <n v="90"/>
    <x v="0"/>
    <x v="0"/>
    <s v="A1"/>
    <n v="2100067441"/>
    <n v="208"/>
    <n v="115003365"/>
    <s v="D92297FT DEEP FP26+LID B PRO CK H ANOD T          "/>
    <s v="S"/>
    <d v="2012-01-09T00:00:00"/>
    <m/>
    <s v="X"/>
    <x v="40"/>
    <n v="10.532999999999999"/>
    <n v="2"/>
    <d v="2012-01-24T00:00:00"/>
    <d v="2012-01-10T00:00:00"/>
    <n v="334"/>
    <d v="2012-01-10T00:00:00"/>
    <n v="334"/>
    <m/>
    <d v="2012-01-16T00:00:00"/>
    <n v="334"/>
    <d v="2012-01-27T00:00:00"/>
    <d v="2012-01-13T00:00:00"/>
    <n v="334"/>
    <n v="334"/>
    <x v="24"/>
    <d v="2012-01-27T00:00:00"/>
    <m/>
    <n v="9321645594"/>
    <n v="70"/>
    <s v="UESU4848683"/>
    <s v="COSCO NEW YORK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44/000100"/>
    <n v="1370145662"/>
    <n v="100"/>
    <x v="0"/>
    <x v="0"/>
    <s v="AA"/>
    <n v="7114000314"/>
    <n v="253"/>
    <n v="114000314"/>
    <s v="92160FTA 6QT PRESSURE COOKER                      "/>
    <s v="S"/>
    <d v="2012-01-09T00:00:00"/>
    <m/>
    <s v="X"/>
    <x v="40"/>
    <n v="13.264099999999999"/>
    <n v="2"/>
    <d v="2012-01-24T00:00:00"/>
    <d v="2012-01-10T00:00:00"/>
    <n v="186"/>
    <d v="2012-01-10T00:00:00"/>
    <n v="186"/>
    <m/>
    <d v="2012-01-16T00:00:00"/>
    <n v="186"/>
    <d v="2012-01-27T00:00:00"/>
    <d v="2012-01-13T00:00:00"/>
    <n v="186"/>
    <n v="186"/>
    <x v="24"/>
    <d v="2012-01-27T00:00:00"/>
    <m/>
    <n v="9321645594"/>
    <n v="80"/>
    <s v="UESU4848683"/>
    <s v="COSCO NEW YORK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44/000120"/>
    <n v="1370145662"/>
    <n v="120"/>
    <x v="0"/>
    <x v="0"/>
    <s v="A1"/>
    <n v="2100067459"/>
    <n v="201"/>
    <n v="116001092"/>
    <s v="D193S2FT T-FAL TNS SIMPLY COOK 2 PCS COM          "/>
    <s v="S"/>
    <d v="2012-01-09T00:00:00"/>
    <m/>
    <s v="X"/>
    <x v="40"/>
    <n v="8.4417000000000009"/>
    <n v="2"/>
    <d v="2012-01-24T00:00:00"/>
    <d v="2012-01-10T00:00:00"/>
    <n v="544"/>
    <d v="2012-01-10T00:00:00"/>
    <n v="544"/>
    <m/>
    <d v="2012-01-16T00:00:00"/>
    <n v="544"/>
    <d v="2012-01-27T00:00:00"/>
    <d v="2012-01-13T00:00:00"/>
    <n v="544"/>
    <n v="544"/>
    <x v="24"/>
    <d v="2012-01-27T00:00:00"/>
    <m/>
    <n v="9321645594"/>
    <n v="90"/>
    <s v="UESU4848683"/>
    <s v="COSCO NEW YORK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44/000130"/>
    <n v="1370145662"/>
    <n v="130"/>
    <x v="0"/>
    <x v="0"/>
    <s v="A1"/>
    <n v="2100067455"/>
    <n v="201"/>
    <n v="115003369"/>
    <s v="D19382FTA JC30LID B STR SIMP CLEAN TC TP          "/>
    <s v="S"/>
    <d v="2012-01-10T00:00:00"/>
    <m/>
    <s v="X"/>
    <x v="40"/>
    <n v="9.8147000000000002"/>
    <n v="2"/>
    <d v="2012-01-24T00:00:00"/>
    <d v="2012-01-10T00:00:00"/>
    <n v="572"/>
    <d v="2012-01-10T00:00:00"/>
    <n v="572"/>
    <m/>
    <d v="2012-01-16T00:00:00"/>
    <n v="572"/>
    <d v="2012-01-28T00:00:00"/>
    <d v="2012-01-14T00:00:00"/>
    <n v="572"/>
    <n v="572"/>
    <x v="9"/>
    <d v="2012-01-28T00:00:00"/>
    <m/>
    <n v="9321645594"/>
    <n v="100"/>
    <s v="TBC"/>
    <s v="HANJIN SHANGHAI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44/000010"/>
    <n v="1370145662"/>
    <n v="10"/>
    <x v="0"/>
    <x v="0"/>
    <s v="A1"/>
    <n v="2100067461"/>
    <n v="201"/>
    <n v="116001091"/>
    <s v="D193SFFT T-FAL TNS SIMPLY COOK 15PC SET           "/>
    <s v="S"/>
    <d v="2012-01-09T00:00:00"/>
    <m/>
    <s v="X"/>
    <x v="40"/>
    <n v="40.761099999999999"/>
    <n v="2"/>
    <d v="2012-01-24T00:00:00"/>
    <d v="2012-01-10T00:00:00"/>
    <n v="73"/>
    <d v="2012-01-10T00:00:00"/>
    <n v="73"/>
    <m/>
    <d v="2012-01-16T00:00:00"/>
    <n v="73"/>
    <d v="2012-01-27T00:00:00"/>
    <d v="2012-01-13T00:00:00"/>
    <n v="73"/>
    <n v="73"/>
    <x v="24"/>
    <d v="2012-01-27T00:00:00"/>
    <m/>
    <n v="9321645594"/>
    <n v="110"/>
    <s v="UESU4848683"/>
    <s v="COSCO NEW YORK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44/000020"/>
    <n v="1370145662"/>
    <n v="20"/>
    <x v="0"/>
    <x v="0"/>
    <s v="A1"/>
    <n v="2100067447"/>
    <n v="204"/>
    <n v="115003371"/>
    <s v="D03914FT DOUB BURN 45X31 PRO GR EN MET B          "/>
    <s v="S"/>
    <d v="2012-01-09T00:00:00"/>
    <m/>
    <s v="X"/>
    <x v="40"/>
    <n v="13.340400000000001"/>
    <n v="2"/>
    <d v="2012-01-24T00:00:00"/>
    <d v="2012-01-10T00:00:00"/>
    <n v="372"/>
    <d v="2012-01-10T00:00:00"/>
    <n v="372"/>
    <m/>
    <d v="2012-01-16T00:00:00"/>
    <n v="372"/>
    <d v="2012-01-27T00:00:00"/>
    <d v="2012-01-13T00:00:00"/>
    <n v="372"/>
    <n v="372"/>
    <x v="24"/>
    <d v="2012-01-27T00:00:00"/>
    <m/>
    <n v="9321645594"/>
    <n v="120"/>
    <s v="UESU4848683"/>
    <s v="COSCO NEW YORK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44/000030"/>
    <n v="1370145662"/>
    <n v="30"/>
    <x v="0"/>
    <x v="0"/>
    <s v="A1"/>
    <n v="2100067457"/>
    <n v="201"/>
    <n v="115003367"/>
    <s v="D19308FT &quot;TNS SIMPLY COOK 12.5&quot;&quot; SAUTE&quot;           "/>
    <s v="S"/>
    <d v="2012-01-09T00:00:00"/>
    <m/>
    <s v="X"/>
    <x v="40"/>
    <n v="6.6738999999999997"/>
    <n v="2"/>
    <d v="2012-01-24T00:00:00"/>
    <d v="2012-01-10T00:00:00"/>
    <n v="962"/>
    <d v="2012-01-10T00:00:00"/>
    <n v="962"/>
    <m/>
    <d v="2012-01-16T00:00:00"/>
    <n v="962"/>
    <d v="2012-01-27T00:00:00"/>
    <d v="2012-01-13T00:00:00"/>
    <n v="962"/>
    <n v="962"/>
    <x v="24"/>
    <d v="2012-01-27T00:00:00"/>
    <m/>
    <n v="9321645594"/>
    <n v="130"/>
    <s v="UESU4848683"/>
    <s v="COSCO NEW YORK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700"/>
    <s v="GROUPE SEB MALAYSIA SDN BDH                       "/>
    <n v="99006700"/>
    <x v="28"/>
    <s v="598/"/>
    <n v="1370145956"/>
    <n v="60"/>
    <x v="10"/>
    <x v="10"/>
    <s v="P7"/>
    <n v="8000034442"/>
    <n v="36"/>
    <s v="BL1111AD       "/>
    <s v="BL1111AD BLD MAXIBLEND BUILTIN WHT SEA            "/>
    <s v="S"/>
    <d v="2012-01-18T00:00:00"/>
    <m/>
    <s v="X"/>
    <x v="40"/>
    <n v="13.21"/>
    <n v="18"/>
    <d v="2011-12-17T00:00:00"/>
    <d v="2011-12-10T00:00:00"/>
    <n v="1344"/>
    <d v="2011-12-10T00:00:00"/>
    <n v="1428"/>
    <m/>
    <d v="2011-12-19T00:00:00"/>
    <n v="1344"/>
    <d v="2012-01-23T00:00:00"/>
    <d v="2012-01-16T00:00:00"/>
    <n v="1428"/>
    <n v="1428"/>
    <x v="8"/>
    <d v="2012-01-23T00:00:00"/>
    <m/>
    <n v="9321645644"/>
    <n v="10"/>
    <s v="IPXU3396467"/>
    <s v="CMACGM KAILAS DB124R"/>
    <m/>
    <s v="SURABAYA"/>
    <s v="SP-TECH/C-ETD-TEMP/BU-ETD-TEMP/"/>
    <m/>
    <s v="AGNES NUNES"/>
    <s v="FO9"/>
    <s v="FOOD PREPARATION              "/>
    <s v="CONFIRMED"/>
    <n v="1"/>
    <n v="3"/>
    <d v="2012-01-16T00:00:00"/>
    <s v="KITCHEN ELECTRICS             "/>
    <s v="FOOD PREPARATION              "/>
    <x v="2"/>
    <x v="1"/>
    <x v="2"/>
    <s v="C-ETD-TEMP"/>
    <n v="1"/>
    <n v="-3"/>
    <x v="7"/>
    <n v="3"/>
    <x v="0"/>
    <x v="0"/>
    <x v="0"/>
    <n v="1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38017/000010"/>
    <n v="1370144351"/>
    <n v="10"/>
    <x v="12"/>
    <x v="12"/>
    <s v="A7"/>
    <n v="8701003917"/>
    <n v="235"/>
    <s v="T236           "/>
    <s v="T236 COOK SERVE 6 PCE SET                         "/>
    <s v="S"/>
    <d v="2012-01-10T00:00:00"/>
    <m/>
    <s v="X"/>
    <x v="40"/>
    <n v="25.72"/>
    <n v="33"/>
    <d v="2012-03-03T00:00:00"/>
    <d v="2012-01-28T00:00:00"/>
    <n v="1504"/>
    <d v="2012-01-07T00:00:00"/>
    <n v="1504"/>
    <m/>
    <d v="2012-01-28T00:00:00"/>
    <n v="1504"/>
    <d v="2012-02-08T00:00:00"/>
    <d v="2012-01-04T00:00:00"/>
    <n v="1504"/>
    <n v="1504"/>
    <x v="12"/>
    <d v="2012-02-11T00:00:00"/>
    <m/>
    <n v="9321645784"/>
    <n v="10"/>
    <s v="GLDU3862334"/>
    <s v="UASC KHOR FAKKAN 000"/>
    <m/>
    <s v="YANTIAN"/>
    <s v="C-PULLIN-CONF(WK01)/C-POST-CONF/SP-PROD-ISSUE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3"/>
    <s v="C-POST-CONF"/>
    <n v="-3"/>
    <n v="-3"/>
    <x v="0"/>
    <n v="3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38007/000010"/>
    <n v="1370145545"/>
    <n v="10"/>
    <x v="12"/>
    <x v="12"/>
    <s v="A7"/>
    <n v="8701003880"/>
    <n v="235"/>
    <s v="T235           "/>
    <s v="T235 PIE SERVER                                   "/>
    <s v="S"/>
    <d v="2012-01-10T00:00:00"/>
    <m/>
    <s v="X"/>
    <x v="40"/>
    <n v="4.0999999999999996"/>
    <n v="5"/>
    <d v="2012-03-03T00:00:00"/>
    <d v="2012-01-28T00:00:00"/>
    <n v="2016"/>
    <d v="2012-01-07T00:00:00"/>
    <n v="2016"/>
    <m/>
    <d v="2012-01-28T00:00:00"/>
    <n v="2016"/>
    <d v="2012-02-08T00:00:00"/>
    <d v="2012-01-04T00:00:00"/>
    <n v="2016"/>
    <n v="2016"/>
    <x v="12"/>
    <d v="2012-02-11T00:00:00"/>
    <m/>
    <n v="9321645785"/>
    <n v="10"/>
    <s v="GLDU3862334"/>
    <s v="UASC KHOR FAKKAN 000"/>
    <m/>
    <s v="YANTIAN"/>
    <s v="C-PULLIN-CONF/C-POST-CONF/SP-PROD-ISSUE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3"/>
    <s v="C-POST-CONF"/>
    <n v="-3"/>
    <n v="-3"/>
    <x v="0"/>
    <n v="3"/>
    <x v="0"/>
    <x v="0"/>
    <x v="0"/>
    <n v="0"/>
    <n v="1"/>
    <n v="0"/>
    <n v="0"/>
    <n v="0"/>
    <n v="1"/>
    <x v="0"/>
    <x v="0"/>
    <x v="0"/>
    <x v="0"/>
  </r>
  <r>
    <s v="Shipment"/>
    <n v="99005700"/>
    <s v="SEB GROUPE HELLADOS S.A.                          "/>
    <n v="99005700"/>
    <x v="24"/>
    <s v="000006185/000002"/>
    <n v="1370146008"/>
    <n v="20"/>
    <x v="27"/>
    <x v="27"/>
    <s v="N1"/>
    <n v="2100032649"/>
    <n v="52"/>
    <s v="SM150211       "/>
    <s v="SM150211 SAND MAKER CP30 GREY ITALIA              "/>
    <s v="S"/>
    <d v="2012-01-09T00:00:00"/>
    <m/>
    <s v="X"/>
    <x v="41"/>
    <n v="9.9"/>
    <n v="8"/>
    <d v="2012-01-16T00:00:00"/>
    <d v="2011-12-12T00:00:00"/>
    <n v="2352"/>
    <d v="2012-01-03T00:00:00"/>
    <n v="2352"/>
    <m/>
    <d v="2011-12-12T00:00:00"/>
    <n v="2352"/>
    <d v="2012-02-07T00:00:00"/>
    <d v="2012-01-03T00:00:00"/>
    <n v="2352"/>
    <n v="2352"/>
    <x v="13"/>
    <d v="2012-02-05T00:00:00"/>
    <m/>
    <n v="9321646238"/>
    <n v="10"/>
    <s v="CICU9664877"/>
    <s v="NEDLLOYD HUDSON/1202"/>
    <m/>
    <s v="YANTIAN"/>
    <s v="C-POST-CONF( ETA 10.FEB .2012)/LATE DOC"/>
    <m/>
    <s v="JASON FAN"/>
    <s v="FO9"/>
    <s v="ELECTRICAL COOKING            "/>
    <s v="CONFIRMED"/>
    <n v="1"/>
    <n v="52"/>
    <d v="2012-01-01T00:00:00"/>
    <s v="KITCHEN ELECTRICS             "/>
    <s v="ELECTRICAL COOKING            "/>
    <x v="2"/>
    <x v="1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5700"/>
    <s v="SEB GROUPE HELLADOS S.A.                          "/>
    <n v="99005700"/>
    <x v="24"/>
    <s v="000006185/000001"/>
    <n v="1370146008"/>
    <n v="10"/>
    <x v="42"/>
    <x v="42"/>
    <s v="N1"/>
    <n v="2100058891"/>
    <n v="50"/>
    <s v="GC205012       "/>
    <s v="GC205012 MINUTE GRILL A12 TEFAL                   "/>
    <s v="S"/>
    <d v="2012-01-06T00:00:00"/>
    <m/>
    <s v="X"/>
    <x v="41"/>
    <n v="20.99"/>
    <n v="8"/>
    <d v="2012-01-16T00:00:00"/>
    <d v="2011-12-12T00:00:00"/>
    <n v="1026"/>
    <d v="2012-01-03T00:00:00"/>
    <n v="1026"/>
    <m/>
    <d v="2011-12-12T00:00:00"/>
    <n v="1026"/>
    <d v="2012-02-07T00:00:00"/>
    <d v="2012-01-03T00:00:00"/>
    <n v="1026"/>
    <n v="1026"/>
    <x v="13"/>
    <d v="2012-02-05T00:00:00"/>
    <m/>
    <n v="9321646239"/>
    <n v="10"/>
    <s v="PONU0779914"/>
    <s v="NEDLLOYD HUDSON/1202"/>
    <m/>
    <s v="YANTIAN"/>
    <s v="C-POST-CONF/"/>
    <m/>
    <s v="JASON FAN"/>
    <s v="FO9"/>
    <s v="ELECTRICAL COOKING            "/>
    <s v="CONFIRMED"/>
    <n v="1"/>
    <n v="52"/>
    <d v="2012-01-01T00:00:00"/>
    <s v="KITCHEN ELECTRICS             "/>
    <s v="ELECTRICAL COOKING            "/>
    <x v="2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31/000010"/>
    <n v="1370146016"/>
    <n v="10"/>
    <x v="0"/>
    <x v="0"/>
    <s v="A5"/>
    <n v="7115002430"/>
    <n v="205"/>
    <n v="115002430"/>
    <s v="010709020712 MILK POT  CM.12  GRANCUCINA          "/>
    <s v="S"/>
    <d v="2012-01-11T00:00:00"/>
    <m/>
    <s v="X"/>
    <x v="41"/>
    <n v="5.3407"/>
    <n v="4"/>
    <d v="2012-02-04T00:00:00"/>
    <d v="2012-01-07T00:00:00"/>
    <n v="2000"/>
    <d v="2012-01-07T00:00:00"/>
    <n v="2000"/>
    <m/>
    <d v="2012-01-07T00:00:00"/>
    <n v="2000"/>
    <d v="2012-02-07T00:00:00"/>
    <d v="2012-01-10T00:00:00"/>
    <n v="2000"/>
    <n v="2000"/>
    <x v="0"/>
    <d v="2012-02-06T00:00:00"/>
    <m/>
    <n v="9321646240"/>
    <n v="10"/>
    <s v="UACU5305967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31/000020"/>
    <n v="1370146016"/>
    <n v="20"/>
    <x v="0"/>
    <x v="0"/>
    <s v="A5"/>
    <n v="7117001096"/>
    <n v="236"/>
    <n v="117001096"/>
    <s v="010709060114 LID  CM.14  GRANCUCINA               "/>
    <s v="S"/>
    <d v="2012-01-11T00:00:00"/>
    <m/>
    <s v="X"/>
    <x v="41"/>
    <n v="2.6671999999999998"/>
    <n v="4"/>
    <d v="2012-02-04T00:00:00"/>
    <d v="2012-01-07T00:00:00"/>
    <n v="1000"/>
    <d v="2012-01-07T00:00:00"/>
    <n v="1000"/>
    <m/>
    <d v="2012-01-07T00:00:00"/>
    <n v="1000"/>
    <d v="2012-02-07T00:00:00"/>
    <d v="2012-01-10T00:00:00"/>
    <n v="1000"/>
    <n v="1000"/>
    <x v="0"/>
    <d v="2012-02-06T00:00:00"/>
    <m/>
    <n v="9321646240"/>
    <n v="20"/>
    <s v="UACU5590503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31/000030"/>
    <n v="1370146016"/>
    <n v="30"/>
    <x v="0"/>
    <x v="0"/>
    <s v="A5"/>
    <n v="7117001097"/>
    <n v="236"/>
    <n v="117001097"/>
    <s v="010709060118 LID  CM.18  GRANCUCINA               "/>
    <s v="S"/>
    <d v="2012-01-11T00:00:00"/>
    <m/>
    <s v="X"/>
    <x v="41"/>
    <n v="3.0497999999999998"/>
    <n v="4"/>
    <d v="2012-02-04T00:00:00"/>
    <d v="2012-01-07T00:00:00"/>
    <n v="1000"/>
    <d v="2012-01-07T00:00:00"/>
    <n v="1000"/>
    <m/>
    <d v="2012-01-07T00:00:00"/>
    <n v="1000"/>
    <d v="2012-02-07T00:00:00"/>
    <d v="2012-01-10T00:00:00"/>
    <n v="1000"/>
    <n v="1000"/>
    <x v="0"/>
    <d v="2012-02-06T00:00:00"/>
    <m/>
    <n v="9321646240"/>
    <n v="30"/>
    <s v="UACU5590503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31/000040"/>
    <n v="1370146016"/>
    <n v="40"/>
    <x v="0"/>
    <x v="0"/>
    <s v="A5"/>
    <n v="7117001098"/>
    <n v="236"/>
    <n v="117001098"/>
    <s v="010709060122 LID  CM.22  GRANCUCINA               "/>
    <s v="S"/>
    <d v="2012-01-11T00:00:00"/>
    <m/>
    <s v="X"/>
    <x v="41"/>
    <n v="3.6175000000000002"/>
    <n v="4"/>
    <d v="2012-02-04T00:00:00"/>
    <d v="2012-01-07T00:00:00"/>
    <n v="1000"/>
    <d v="2012-01-07T00:00:00"/>
    <n v="1000"/>
    <m/>
    <d v="2012-01-07T00:00:00"/>
    <n v="1000"/>
    <d v="2012-02-07T00:00:00"/>
    <d v="2012-01-10T00:00:00"/>
    <n v="1000"/>
    <n v="1000"/>
    <x v="0"/>
    <d v="2012-02-06T00:00:00"/>
    <m/>
    <n v="9321646240"/>
    <n v="40"/>
    <s v="UACU5590503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31/000050"/>
    <n v="1370146016"/>
    <n v="50"/>
    <x v="0"/>
    <x v="0"/>
    <s v="A5"/>
    <n v="7117001099"/>
    <n v="236"/>
    <n v="180000053"/>
    <s v="010709060124 LID  CM.24  GRANCUCINA               "/>
    <s v="S"/>
    <d v="2012-01-11T00:00:00"/>
    <m/>
    <s v="X"/>
    <x v="41"/>
    <n v="3.8134999999999999"/>
    <n v="4"/>
    <d v="2012-02-04T00:00:00"/>
    <d v="2012-01-07T00:00:00"/>
    <n v="2000"/>
    <d v="2012-01-07T00:00:00"/>
    <n v="2000"/>
    <m/>
    <d v="2012-01-07T00:00:00"/>
    <n v="2000"/>
    <d v="2012-02-07T00:00:00"/>
    <d v="2012-01-10T00:00:00"/>
    <n v="2000"/>
    <n v="2000"/>
    <x v="0"/>
    <d v="2012-02-06T00:00:00"/>
    <m/>
    <n v="9321646240"/>
    <n v="50"/>
    <s v="UACU5590503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31/000060"/>
    <n v="1370146016"/>
    <n v="60"/>
    <x v="0"/>
    <x v="0"/>
    <s v="A5"/>
    <n v="7115002439"/>
    <n v="205"/>
    <n v="115002439"/>
    <s v="010715020712 MILKPOT EVERY CM.12                  "/>
    <s v="S"/>
    <d v="2012-01-11T00:00:00"/>
    <m/>
    <s v="X"/>
    <x v="41"/>
    <n v="5.3407"/>
    <n v="4"/>
    <d v="2012-02-04T00:00:00"/>
    <d v="2012-01-07T00:00:00"/>
    <n v="1000"/>
    <d v="2012-01-07T00:00:00"/>
    <n v="1000"/>
    <m/>
    <d v="2012-01-07T00:00:00"/>
    <n v="1000"/>
    <d v="2012-02-07T00:00:00"/>
    <d v="2012-01-10T00:00:00"/>
    <n v="1000"/>
    <n v="1000"/>
    <x v="0"/>
    <d v="2012-02-06T00:00:00"/>
    <m/>
    <n v="9321646240"/>
    <n v="60"/>
    <s v="UACU5590503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33/000010"/>
    <n v="1370146014"/>
    <n v="10"/>
    <x v="0"/>
    <x v="0"/>
    <s v="A5"/>
    <n v="7116000690"/>
    <n v="205"/>
    <n v="116000690"/>
    <s v="010706600013 STAINLESS STEEL 13PCS SET            "/>
    <s v="S"/>
    <d v="2012-01-11T00:00:00"/>
    <m/>
    <s v="X"/>
    <x v="41"/>
    <n v="75.113799999999998"/>
    <n v="55"/>
    <d v="2012-02-04T00:00:00"/>
    <d v="2012-01-07T00:00:00"/>
    <n v="2000"/>
    <d v="2012-01-07T00:00:00"/>
    <n v="1500"/>
    <m/>
    <d v="2012-01-07T00:00:00"/>
    <n v="1500"/>
    <d v="2012-02-07T00:00:00"/>
    <d v="2012-01-10T00:00:00"/>
    <n v="1500"/>
    <n v="470"/>
    <x v="0"/>
    <d v="2012-02-06T00:00:00"/>
    <m/>
    <n v="9321646242"/>
    <n v="10"/>
    <s v="UACU5305967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33/000010"/>
    <n v="1370146014"/>
    <n v="10"/>
    <x v="0"/>
    <x v="0"/>
    <s v="A5"/>
    <n v="7116000690"/>
    <n v="205"/>
    <n v="116000690"/>
    <s v="010706600013 STAINLESS STEEL 13PCS SET            "/>
    <s v="S"/>
    <d v="2012-01-11T00:00:00"/>
    <m/>
    <s v="X"/>
    <x v="41"/>
    <n v="75.113799999999998"/>
    <n v="55"/>
    <d v="2012-02-04T00:00:00"/>
    <d v="2012-01-07T00:00:00"/>
    <n v="2000"/>
    <d v="2012-01-07T00:00:00"/>
    <n v="1500"/>
    <m/>
    <d v="2012-01-07T00:00:00"/>
    <n v="1500"/>
    <d v="2012-02-07T00:00:00"/>
    <d v="2012-01-10T00:00:00"/>
    <n v="1500"/>
    <n v="1030"/>
    <x v="0"/>
    <d v="2012-02-06T00:00:00"/>
    <m/>
    <n v="9321646242"/>
    <n v="10"/>
    <s v="UACU5306460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41/000010"/>
    <n v="1370146020"/>
    <n v="10"/>
    <x v="0"/>
    <x v="0"/>
    <s v="A5"/>
    <n v="7116000995"/>
    <n v="200"/>
    <n v="116000995"/>
    <s v="010235600103 FRYPAN 20/24/28 CM CERAMIC           "/>
    <s v="S"/>
    <d v="2012-01-11T00:00:00"/>
    <m/>
    <s v="X"/>
    <x v="41"/>
    <n v="18.0731"/>
    <n v="14"/>
    <d v="2012-02-04T00:00:00"/>
    <d v="2012-01-07T00:00:00"/>
    <n v="1786"/>
    <d v="2012-01-07T00:00:00"/>
    <n v="1786"/>
    <m/>
    <d v="2012-01-07T00:00:00"/>
    <n v="1786"/>
    <d v="2012-02-07T00:00:00"/>
    <d v="2012-01-10T00:00:00"/>
    <n v="1786"/>
    <n v="1786"/>
    <x v="0"/>
    <d v="2012-02-06T00:00:00"/>
    <m/>
    <n v="9321646249"/>
    <n v="10"/>
    <s v="UACU5373339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42/000010"/>
    <n v="1370146009"/>
    <n v="10"/>
    <x v="0"/>
    <x v="0"/>
    <s v="A5"/>
    <n v="7116000993"/>
    <n v="200"/>
    <n v="116000993"/>
    <s v="010235600002 FRYPAN 24/28 CM CERAMIC              "/>
    <s v="S"/>
    <d v="2012-01-11T00:00:00"/>
    <m/>
    <s v="X"/>
    <x v="41"/>
    <n v="12.3475"/>
    <n v="10"/>
    <d v="2012-03-19T00:00:00"/>
    <d v="2012-02-20T00:00:00"/>
    <n v="2928"/>
    <d v="2012-01-07T00:00:00"/>
    <n v="2928"/>
    <m/>
    <d v="2012-01-07T00:00:00"/>
    <n v="2928"/>
    <d v="2012-02-07T00:00:00"/>
    <d v="2012-01-10T00:00:00"/>
    <n v="2928"/>
    <n v="510"/>
    <x v="0"/>
    <d v="2012-02-06T00:00:00"/>
    <m/>
    <n v="9321646250"/>
    <n v="10"/>
    <s v="TCNU8348451"/>
    <s v="XIN FU ZHOU/1202W"/>
    <m/>
    <s v="NINGBO"/>
    <s v="C-PULLIN-CONF/"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8900"/>
    <s v="LAGOSTINA S.P.A.                                  "/>
    <n v="99008900"/>
    <x v="0"/>
    <s v="4600078742/000010"/>
    <n v="1370146009"/>
    <n v="10"/>
    <x v="0"/>
    <x v="0"/>
    <s v="A5"/>
    <n v="7116000993"/>
    <n v="200"/>
    <n v="116000993"/>
    <s v="010235600002 FRYPAN 24/28 CM CERAMIC              "/>
    <s v="S"/>
    <d v="2012-01-11T00:00:00"/>
    <m/>
    <s v="X"/>
    <x v="41"/>
    <n v="12.3475"/>
    <n v="10"/>
    <d v="2012-03-19T00:00:00"/>
    <d v="2012-02-20T00:00:00"/>
    <n v="2928"/>
    <d v="2012-01-07T00:00:00"/>
    <n v="2928"/>
    <m/>
    <d v="2012-01-07T00:00:00"/>
    <n v="2928"/>
    <d v="2012-02-07T00:00:00"/>
    <d v="2012-01-10T00:00:00"/>
    <n v="2928"/>
    <n v="420"/>
    <x v="0"/>
    <d v="2012-02-06T00:00:00"/>
    <m/>
    <n v="9321646250"/>
    <n v="10"/>
    <s v="UACU5373339"/>
    <s v="XIN FU ZHOU/1202W"/>
    <m/>
    <s v="NINGBO"/>
    <s v="C-PULLIN-CONF/"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8900"/>
    <s v="LAGOSTINA S.P.A.                                  "/>
    <n v="99008900"/>
    <x v="0"/>
    <s v="4600078742/000010"/>
    <n v="1370146009"/>
    <n v="10"/>
    <x v="0"/>
    <x v="0"/>
    <s v="A5"/>
    <n v="7116000993"/>
    <n v="200"/>
    <n v="116000993"/>
    <s v="010235600002 FRYPAN 24/28 CM CERAMIC              "/>
    <s v="S"/>
    <d v="2012-01-11T00:00:00"/>
    <m/>
    <s v="X"/>
    <x v="41"/>
    <n v="12.3475"/>
    <n v="10"/>
    <d v="2012-03-19T00:00:00"/>
    <d v="2012-02-20T00:00:00"/>
    <n v="2928"/>
    <d v="2012-01-07T00:00:00"/>
    <n v="2928"/>
    <m/>
    <d v="2012-01-07T00:00:00"/>
    <n v="2928"/>
    <d v="2012-02-07T00:00:00"/>
    <d v="2012-01-10T00:00:00"/>
    <n v="2928"/>
    <n v="1998"/>
    <x v="0"/>
    <d v="2012-02-06T00:00:00"/>
    <m/>
    <n v="9321646250"/>
    <n v="10"/>
    <s v="UACU5049989"/>
    <s v="XIN FU ZHOU/1202W"/>
    <m/>
    <s v="NINGBO"/>
    <s v="C-PULLIN-CONF/"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8900"/>
    <s v="LAGOSTINA S.P.A.                                  "/>
    <n v="99008900"/>
    <x v="0"/>
    <s v="4600078743/000010"/>
    <n v="1370146019"/>
    <n v="10"/>
    <x v="0"/>
    <x v="0"/>
    <s v="A5"/>
    <n v="7116000994"/>
    <n v="200"/>
    <n v="116000994"/>
    <s v="010235600003 FRYPAN 20/24/28 CM CERAMIC           "/>
    <s v="S"/>
    <d v="2012-01-11T00:00:00"/>
    <m/>
    <s v="X"/>
    <x v="41"/>
    <n v="17.170300000000001"/>
    <n v="13"/>
    <d v="2012-03-19T00:00:00"/>
    <d v="2012-02-20T00:00:00"/>
    <n v="2042"/>
    <d v="2012-01-07T00:00:00"/>
    <n v="2042"/>
    <m/>
    <d v="2012-01-07T00:00:00"/>
    <n v="2042"/>
    <d v="2012-02-07T00:00:00"/>
    <d v="2012-01-10T00:00:00"/>
    <n v="2042"/>
    <n v="2042"/>
    <x v="0"/>
    <d v="2012-02-06T00:00:00"/>
    <m/>
    <n v="9321646251"/>
    <n v="10"/>
    <s v="TCNU8348451"/>
    <s v="XIN FU ZHOU/1202W"/>
    <m/>
    <s v="NINGBO"/>
    <s v="C-PULLIN-CONF/"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3172066"/>
    <s v="TARGETDIRECT 3891/APL LOGISTICS LTD               "/>
    <n v="99008400"/>
    <x v="12"/>
    <s v="9321643736/000020"/>
    <n v="1370145655"/>
    <n v="20"/>
    <x v="0"/>
    <x v="0"/>
    <s v="A1"/>
    <n v="2100067457"/>
    <n v="201"/>
    <n v="115003367"/>
    <s v="D19308FT &quot;TNS SIMPLY COOK 12.5&quot;&quot; SAUTE&quot;           "/>
    <s v="S"/>
    <d v="2012-01-03T00:00:00"/>
    <m/>
    <s v="X"/>
    <x v="41"/>
    <n v="6.6738999999999997"/>
    <n v="6547"/>
    <d v="2012-01-02T00:00:00"/>
    <d v="2012-01-02T00:00:00"/>
    <n v="1472"/>
    <d v="2012-01-06T00:00:00"/>
    <n v="1472"/>
    <m/>
    <d v="2012-01-02T00:00:00"/>
    <n v="1472"/>
    <d v="2012-01-06T00:00:00"/>
    <d v="2012-01-06T00:00:00"/>
    <n v="1472"/>
    <n v="1472"/>
    <x v="7"/>
    <d v="2012-01-06T00:00:00"/>
    <m/>
    <n v="9321646691"/>
    <n v="10"/>
    <s v="TTNU9998990"/>
    <s v="YUAN H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36/000040"/>
    <n v="1370145655"/>
    <n v="40"/>
    <x v="0"/>
    <x v="0"/>
    <s v="A1"/>
    <n v="2100068155"/>
    <n v="201"/>
    <n v="115003438"/>
    <s v="A76379FT DEEP S.POT22LID B STR SPECIALTY          "/>
    <s v="S"/>
    <d v="2012-01-03T00:00:00"/>
    <m/>
    <s v="X"/>
    <x v="41"/>
    <n v="10.6791"/>
    <n v="6547"/>
    <d v="2012-01-02T00:00:00"/>
    <d v="2012-01-02T00:00:00"/>
    <n v="65"/>
    <d v="2012-01-06T00:00:00"/>
    <n v="65"/>
    <m/>
    <d v="2012-01-02T00:00:00"/>
    <n v="65"/>
    <d v="2012-01-06T00:00:00"/>
    <d v="2012-01-06T00:00:00"/>
    <n v="65"/>
    <n v="65"/>
    <x v="7"/>
    <d v="2012-01-06T00:00:00"/>
    <m/>
    <n v="9321646691"/>
    <n v="20"/>
    <s v="TTNU9998990"/>
    <s v="YUAN H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36/000050"/>
    <n v="1370145655"/>
    <n v="50"/>
    <x v="0"/>
    <x v="0"/>
    <s v="A1"/>
    <n v="2100068157"/>
    <n v="201"/>
    <n v="115003444"/>
    <s v="A76380FT DEEP S.POT24LID B STR SPECIALTY          "/>
    <s v="S"/>
    <d v="2012-01-03T00:00:00"/>
    <m/>
    <s v="X"/>
    <x v="41"/>
    <n v="13.0364"/>
    <n v="6547"/>
    <d v="2012-01-02T00:00:00"/>
    <d v="2012-01-02T00:00:00"/>
    <n v="89"/>
    <d v="2012-01-06T00:00:00"/>
    <n v="89"/>
    <m/>
    <d v="2012-01-02T00:00:00"/>
    <n v="89"/>
    <d v="2012-01-06T00:00:00"/>
    <d v="2012-01-06T00:00:00"/>
    <n v="89"/>
    <n v="89"/>
    <x v="7"/>
    <d v="2012-01-06T00:00:00"/>
    <m/>
    <n v="9321646691"/>
    <n v="30"/>
    <s v="TTNU9998990"/>
    <s v="YUAN H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36/000060"/>
    <n v="1370145655"/>
    <n v="60"/>
    <x v="0"/>
    <x v="0"/>
    <s v="A1"/>
    <n v="2100067443"/>
    <n v="208"/>
    <n v="115003361"/>
    <s v="D92219FT W28 B STD PRO CK HARD ANOD TP4           "/>
    <s v="S"/>
    <d v="2012-01-03T00:00:00"/>
    <m/>
    <s v="X"/>
    <x v="41"/>
    <n v="8.2102000000000004"/>
    <n v="6547"/>
    <d v="2012-01-02T00:00:00"/>
    <d v="2012-01-02T00:00:00"/>
    <n v="525"/>
    <d v="2012-01-06T00:00:00"/>
    <n v="525"/>
    <m/>
    <d v="2012-01-02T00:00:00"/>
    <n v="525"/>
    <d v="2012-01-06T00:00:00"/>
    <d v="2012-01-06T00:00:00"/>
    <n v="525"/>
    <n v="525"/>
    <x v="7"/>
    <d v="2012-01-06T00:00:00"/>
    <m/>
    <n v="9321646691"/>
    <n v="40"/>
    <s v="TTNU9998990"/>
    <s v="YUAN H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36/000070"/>
    <n v="1370145655"/>
    <n v="70"/>
    <x v="0"/>
    <x v="0"/>
    <s v="A1"/>
    <n v="2100067439"/>
    <n v="208"/>
    <n v="115003363"/>
    <s v="D92284FT JR GRIL 32 B PRO CK HARD ANOD T          "/>
    <s v="S"/>
    <d v="2012-01-03T00:00:00"/>
    <m/>
    <s v="X"/>
    <x v="41"/>
    <n v="10.915100000000001"/>
    <n v="6547"/>
    <d v="2012-01-02T00:00:00"/>
    <d v="2012-01-02T00:00:00"/>
    <n v="254"/>
    <d v="2012-01-06T00:00:00"/>
    <n v="254"/>
    <m/>
    <d v="2012-01-02T00:00:00"/>
    <n v="254"/>
    <d v="2012-01-06T00:00:00"/>
    <d v="2012-01-06T00:00:00"/>
    <n v="254"/>
    <n v="254"/>
    <x v="7"/>
    <d v="2012-01-06T00:00:00"/>
    <m/>
    <n v="9321646691"/>
    <n v="50"/>
    <s v="TTNU9998990"/>
    <s v="YUAN H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36/000080"/>
    <n v="1370145655"/>
    <n v="80"/>
    <x v="0"/>
    <x v="0"/>
    <s v="A1"/>
    <n v="2100067441"/>
    <n v="208"/>
    <n v="115003365"/>
    <s v="D92297FT DEEP FP26+LID B PRO CK H ANOD T          "/>
    <s v="S"/>
    <d v="2012-01-03T00:00:00"/>
    <m/>
    <s v="X"/>
    <x v="41"/>
    <n v="10.532999999999999"/>
    <n v="6547"/>
    <d v="2012-01-02T00:00:00"/>
    <d v="2012-01-02T00:00:00"/>
    <n v="490"/>
    <d v="2012-01-06T00:00:00"/>
    <n v="490"/>
    <m/>
    <d v="2012-01-02T00:00:00"/>
    <n v="490"/>
    <d v="2012-01-06T00:00:00"/>
    <d v="2012-01-06T00:00:00"/>
    <n v="490"/>
    <n v="490"/>
    <x v="7"/>
    <d v="2012-01-06T00:00:00"/>
    <m/>
    <n v="9321646691"/>
    <n v="60"/>
    <s v="TBC"/>
    <s v="YUAN H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36/000090"/>
    <n v="1370145655"/>
    <n v="90"/>
    <x v="0"/>
    <x v="0"/>
    <s v="AA"/>
    <n v="7114000314"/>
    <n v="253"/>
    <n v="114000314"/>
    <s v="92160FTA 6QT PRESSURE COOKER                      "/>
    <s v="S"/>
    <d v="2012-01-03T00:00:00"/>
    <m/>
    <s v="X"/>
    <x v="41"/>
    <n v="13.264099999999999"/>
    <n v="6547"/>
    <d v="2012-01-02T00:00:00"/>
    <d v="2012-01-02T00:00:00"/>
    <n v="227"/>
    <d v="2012-01-06T00:00:00"/>
    <n v="227"/>
    <m/>
    <d v="2012-01-02T00:00:00"/>
    <n v="227"/>
    <d v="2012-01-06T00:00:00"/>
    <d v="2012-01-06T00:00:00"/>
    <n v="227"/>
    <n v="227"/>
    <x v="7"/>
    <d v="2012-01-06T00:00:00"/>
    <m/>
    <n v="9321646691"/>
    <n v="70"/>
    <s v="TTNU9998990"/>
    <s v="YUAN H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36/000100"/>
    <n v="1370145655"/>
    <n v="100"/>
    <x v="0"/>
    <x v="0"/>
    <s v="A1"/>
    <n v="2100067496"/>
    <n v="201"/>
    <n v="115003354"/>
    <s v="A85700FT FP BLINIS 12 SPECIALTY ONE EGG           "/>
    <s v="S"/>
    <d v="2012-01-03T00:00:00"/>
    <m/>
    <s v="X"/>
    <x v="41"/>
    <n v="2.2189999999999999"/>
    <n v="6547"/>
    <d v="2012-01-02T00:00:00"/>
    <d v="2012-01-02T00:00:00"/>
    <n v="198"/>
    <d v="2012-01-06T00:00:00"/>
    <n v="198"/>
    <m/>
    <d v="2012-01-02T00:00:00"/>
    <n v="198"/>
    <d v="2012-01-06T00:00:00"/>
    <d v="2012-01-06T00:00:00"/>
    <n v="198"/>
    <n v="198"/>
    <x v="7"/>
    <d v="2012-01-06T00:00:00"/>
    <m/>
    <n v="9321646691"/>
    <n v="80"/>
    <s v="TTNU9998990"/>
    <s v="YUAN H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36/000110"/>
    <n v="1370145655"/>
    <n v="110"/>
    <x v="0"/>
    <x v="0"/>
    <s v="A1"/>
    <n v="2100067459"/>
    <n v="201"/>
    <n v="116001092"/>
    <s v="D193S2FT T-FAL TNS SIMPLY COOK 2 PCS COM          "/>
    <s v="S"/>
    <d v="2012-01-03T00:00:00"/>
    <m/>
    <s v="X"/>
    <x v="41"/>
    <n v="8.4417000000000009"/>
    <n v="6547"/>
    <d v="2012-01-02T00:00:00"/>
    <d v="2012-01-02T00:00:00"/>
    <n v="508"/>
    <d v="2012-01-06T00:00:00"/>
    <n v="508"/>
    <m/>
    <d v="2012-01-02T00:00:00"/>
    <n v="508"/>
    <d v="2012-01-06T00:00:00"/>
    <d v="2012-01-06T00:00:00"/>
    <n v="508"/>
    <n v="508"/>
    <x v="7"/>
    <d v="2012-01-06T00:00:00"/>
    <m/>
    <n v="9321646691"/>
    <n v="90"/>
    <s v="TTNU9998990"/>
    <s v="YUAN H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36/000120"/>
    <n v="1370145655"/>
    <n v="120"/>
    <x v="0"/>
    <x v="0"/>
    <s v="A1"/>
    <n v="2100067455"/>
    <n v="201"/>
    <n v="115003369"/>
    <s v="D19382FTA JC30LID B STR SIMP CLEAN TC TP          "/>
    <s v="S"/>
    <d v="2012-01-03T00:00:00"/>
    <m/>
    <s v="X"/>
    <x v="41"/>
    <n v="9.8147000000000002"/>
    <n v="6547"/>
    <d v="2012-01-02T00:00:00"/>
    <d v="2012-01-02T00:00:00"/>
    <n v="580"/>
    <d v="2012-01-06T00:00:00"/>
    <n v="580"/>
    <m/>
    <d v="2012-01-02T00:00:00"/>
    <n v="580"/>
    <d v="2012-01-06T00:00:00"/>
    <d v="2012-01-06T00:00:00"/>
    <n v="580"/>
    <n v="580"/>
    <x v="7"/>
    <d v="2012-01-06T00:00:00"/>
    <m/>
    <n v="9321646691"/>
    <n v="100"/>
    <s v="TTNU9998990"/>
    <s v="YUAN H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36/000010"/>
    <n v="1370145655"/>
    <n v="10"/>
    <x v="0"/>
    <x v="0"/>
    <s v="A1"/>
    <n v="2100067461"/>
    <n v="201"/>
    <n v="116001091"/>
    <s v="D193SFFT T-FAL TNS SIMPLY COOK 15PC SET           "/>
    <s v="S"/>
    <d v="2012-01-03T00:00:00"/>
    <m/>
    <s v="X"/>
    <x v="41"/>
    <n v="40.761099999999999"/>
    <n v="6547"/>
    <d v="2012-01-02T00:00:00"/>
    <d v="2012-01-02T00:00:00"/>
    <n v="147"/>
    <d v="2012-01-06T00:00:00"/>
    <n v="147"/>
    <m/>
    <d v="2012-01-02T00:00:00"/>
    <n v="147"/>
    <d v="2012-01-06T00:00:00"/>
    <d v="2012-01-06T00:00:00"/>
    <n v="147"/>
    <n v="147"/>
    <x v="7"/>
    <d v="2012-01-06T00:00:00"/>
    <m/>
    <n v="9321646691"/>
    <n v="110"/>
    <s v="TTNU9998990"/>
    <s v="YUAN H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2066"/>
    <s v="TARGETDIRECT 3891/APL LOGISTICS LTD               "/>
    <n v="99008400"/>
    <x v="12"/>
    <s v="9321643736/000030"/>
    <n v="1370145655"/>
    <n v="30"/>
    <x v="0"/>
    <x v="0"/>
    <s v="A1"/>
    <n v="2100067449"/>
    <n v="204"/>
    <n v="115003373"/>
    <s v="D19207FT FP30 B GAS PRO GR EN MET BLACK           "/>
    <s v="S"/>
    <d v="2012-01-03T00:00:00"/>
    <m/>
    <s v="X"/>
    <x v="41"/>
    <n v="9.3571000000000009"/>
    <n v="6547"/>
    <d v="2012-01-02T00:00:00"/>
    <d v="2012-01-02T00:00:00"/>
    <n v="368"/>
    <d v="2012-01-06T00:00:00"/>
    <n v="368"/>
    <m/>
    <d v="2012-01-02T00:00:00"/>
    <n v="368"/>
    <d v="2012-01-06T00:00:00"/>
    <d v="2012-01-06T00:00:00"/>
    <n v="368"/>
    <n v="368"/>
    <x v="7"/>
    <d v="2012-01-06T00:00:00"/>
    <m/>
    <n v="9321646691"/>
    <n v="120"/>
    <s v="TBC"/>
    <s v="YUAN H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7/000030"/>
    <n v="1370145656"/>
    <n v="30"/>
    <x v="0"/>
    <x v="0"/>
    <s v="A1"/>
    <n v="2100067457"/>
    <n v="201"/>
    <n v="115003367"/>
    <s v="D19308FT &quot;TNS SIMPLY COOK 12.5&quot;&quot; SAUTE&quot;           "/>
    <s v="S"/>
    <d v="2012-01-17T00:00:00"/>
    <m/>
    <s v="X"/>
    <x v="41"/>
    <n v="6.6738999999999997"/>
    <n v="7"/>
    <d v="2012-01-23T00:00:00"/>
    <d v="2012-01-23T00:00:00"/>
    <n v="1038"/>
    <d v="2012-01-23T00:00:00"/>
    <n v="1038"/>
    <m/>
    <d v="2012-01-23T00:00:00"/>
    <n v="1038"/>
    <d v="2012-01-23T00:00:00"/>
    <d v="2012-01-23T00:00:00"/>
    <n v="1038"/>
    <n v="1038"/>
    <x v="4"/>
    <d v="2012-01-22T00:00:00"/>
    <m/>
    <n v="9321646692"/>
    <n v="10"/>
    <s v="FSCU7043770"/>
    <s v="XIN BEI JING"/>
    <m/>
    <s v="NINGBO"/>
    <m/>
    <m/>
    <s v="TWEETY LEU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7/000110"/>
    <n v="1370145656"/>
    <n v="110"/>
    <x v="0"/>
    <x v="0"/>
    <s v="A1"/>
    <n v="2100067496"/>
    <n v="201"/>
    <n v="115003354"/>
    <s v="A85700FT FP BLINIS 12 SPECIALTY ONE EGG           "/>
    <s v="S"/>
    <d v="2012-01-17T00:00:00"/>
    <m/>
    <s v="X"/>
    <x v="41"/>
    <n v="2.2189999999999999"/>
    <n v="7"/>
    <d v="2012-01-23T00:00:00"/>
    <d v="2012-01-23T00:00:00"/>
    <n v="1752"/>
    <d v="2012-01-23T00:00:00"/>
    <n v="1752"/>
    <m/>
    <d v="2012-01-23T00:00:00"/>
    <n v="1752"/>
    <d v="2012-01-23T00:00:00"/>
    <d v="2012-01-23T00:00:00"/>
    <n v="1752"/>
    <n v="1752"/>
    <x v="4"/>
    <d v="2012-01-22T00:00:00"/>
    <m/>
    <n v="9321646692"/>
    <n v="20"/>
    <s v="EISU8020750"/>
    <s v="XIN BEI JING"/>
    <m/>
    <s v="NINGBO"/>
    <m/>
    <m/>
    <s v="TWEETY LEU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7/000130"/>
    <n v="1370145656"/>
    <n v="130"/>
    <x v="0"/>
    <x v="0"/>
    <s v="A1"/>
    <n v="2100067455"/>
    <n v="201"/>
    <n v="115003369"/>
    <s v="D19382FTA JC30LID B STR SIMP CLEAN TC TP          "/>
    <s v="S"/>
    <d v="2012-01-17T00:00:00"/>
    <m/>
    <s v="X"/>
    <x v="41"/>
    <n v="9.8147000000000002"/>
    <n v="7"/>
    <d v="2012-01-23T00:00:00"/>
    <d v="2012-01-23T00:00:00"/>
    <n v="1028"/>
    <d v="2012-01-23T00:00:00"/>
    <n v="1028"/>
    <m/>
    <d v="2012-01-23T00:00:00"/>
    <n v="1028"/>
    <d v="2012-01-23T00:00:00"/>
    <d v="2012-01-23T00:00:00"/>
    <n v="1028"/>
    <n v="1028"/>
    <x v="4"/>
    <d v="2012-01-22T00:00:00"/>
    <m/>
    <n v="9321646692"/>
    <n v="30"/>
    <s v="EISU8020750"/>
    <s v="XIN BEI JING"/>
    <m/>
    <s v="NINGBO"/>
    <m/>
    <m/>
    <s v="TWEETY LEU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7/000010"/>
    <n v="1370145656"/>
    <n v="10"/>
    <x v="0"/>
    <x v="0"/>
    <s v="A1"/>
    <n v="2100067461"/>
    <n v="201"/>
    <n v="116001091"/>
    <s v="D193SFFT T-FAL TNS SIMPLY COOK 15PC SET           "/>
    <s v="S"/>
    <d v="2012-01-17T00:00:00"/>
    <m/>
    <s v="X"/>
    <x v="41"/>
    <n v="40.761099999999999"/>
    <n v="7"/>
    <d v="2012-01-23T00:00:00"/>
    <d v="2012-01-23T00:00:00"/>
    <n v="127"/>
    <d v="2012-01-23T00:00:00"/>
    <n v="127"/>
    <m/>
    <d v="2012-01-23T00:00:00"/>
    <n v="127"/>
    <d v="2012-01-23T00:00:00"/>
    <d v="2012-01-23T00:00:00"/>
    <n v="127"/>
    <n v="127"/>
    <x v="4"/>
    <d v="2012-01-22T00:00:00"/>
    <m/>
    <n v="9321646692"/>
    <n v="40"/>
    <s v="EISU8020750"/>
    <s v="XIN BEI JING"/>
    <m/>
    <s v="NINGBO"/>
    <m/>
    <m/>
    <s v="TWEETY LEU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7/000020"/>
    <n v="1370145656"/>
    <n v="20"/>
    <x v="0"/>
    <x v="0"/>
    <s v="A1"/>
    <n v="2100067447"/>
    <n v="204"/>
    <n v="115003371"/>
    <s v="D03914FT DOUB BURN 45X31 PRO GR EN MET B          "/>
    <s v="S"/>
    <d v="2012-01-17T00:00:00"/>
    <m/>
    <s v="X"/>
    <x v="41"/>
    <n v="13.340400000000001"/>
    <n v="7"/>
    <d v="2012-01-23T00:00:00"/>
    <d v="2012-01-23T00:00:00"/>
    <n v="628"/>
    <d v="2012-01-23T00:00:00"/>
    <n v="628"/>
    <m/>
    <d v="2012-01-23T00:00:00"/>
    <n v="628"/>
    <d v="2012-01-23T00:00:00"/>
    <d v="2012-01-23T00:00:00"/>
    <n v="628"/>
    <n v="628"/>
    <x v="4"/>
    <d v="2012-01-22T00:00:00"/>
    <m/>
    <n v="9321646692"/>
    <n v="50"/>
    <s v="FSCU7043770"/>
    <s v="XIN BEI JING"/>
    <m/>
    <s v="NINGBO"/>
    <m/>
    <m/>
    <s v="TWEETY LEU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7/000040"/>
    <n v="1370145656"/>
    <n v="40"/>
    <x v="0"/>
    <x v="0"/>
    <s v="A1"/>
    <n v="2100067449"/>
    <n v="204"/>
    <n v="115003373"/>
    <s v="D19207FT FP30 B GAS PRO GR EN MET BLACK           "/>
    <s v="S"/>
    <d v="2012-01-17T00:00:00"/>
    <m/>
    <s v="X"/>
    <x v="41"/>
    <n v="9.3571000000000009"/>
    <n v="7"/>
    <d v="2012-01-23T00:00:00"/>
    <d v="2012-01-23T00:00:00"/>
    <n v="234"/>
    <d v="2012-01-23T00:00:00"/>
    <n v="234"/>
    <m/>
    <d v="2012-01-23T00:00:00"/>
    <n v="234"/>
    <d v="2012-01-23T00:00:00"/>
    <d v="2012-01-23T00:00:00"/>
    <n v="234"/>
    <n v="234"/>
    <x v="4"/>
    <d v="2012-01-22T00:00:00"/>
    <m/>
    <n v="9321646692"/>
    <n v="60"/>
    <s v="FSCU7043770"/>
    <s v="XIN BEI JING"/>
    <m/>
    <s v="NINGBO"/>
    <m/>
    <m/>
    <s v="TWEETY LEU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7/000050"/>
    <n v="1370145656"/>
    <n v="50"/>
    <x v="0"/>
    <x v="0"/>
    <s v="A1"/>
    <n v="2100068155"/>
    <n v="201"/>
    <n v="115003438"/>
    <s v="A76379FT DEEP S.POT22LID B STR SPECIALTY          "/>
    <s v="S"/>
    <d v="2012-01-17T00:00:00"/>
    <m/>
    <s v="X"/>
    <x v="41"/>
    <n v="10.6791"/>
    <n v="7"/>
    <d v="2012-01-23T00:00:00"/>
    <d v="2012-01-23T00:00:00"/>
    <n v="820"/>
    <d v="2012-01-23T00:00:00"/>
    <n v="820"/>
    <m/>
    <d v="2012-01-23T00:00:00"/>
    <n v="820"/>
    <d v="2012-01-23T00:00:00"/>
    <d v="2012-01-23T00:00:00"/>
    <n v="820"/>
    <n v="820"/>
    <x v="4"/>
    <d v="2012-01-22T00:00:00"/>
    <m/>
    <n v="9321646692"/>
    <n v="70"/>
    <s v="FSCU7043770"/>
    <s v="XIN BEI JING"/>
    <m/>
    <s v="NINGBO"/>
    <m/>
    <m/>
    <s v="TWEETY LEU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7/000060"/>
    <n v="1370145656"/>
    <n v="60"/>
    <x v="0"/>
    <x v="0"/>
    <s v="A1"/>
    <n v="2100068157"/>
    <n v="201"/>
    <n v="115003444"/>
    <s v="A76380FT DEEP S.POT24LID B STR SPECIALTY          "/>
    <s v="S"/>
    <d v="2012-01-17T00:00:00"/>
    <m/>
    <s v="X"/>
    <x v="41"/>
    <n v="13.0365"/>
    <n v="7"/>
    <d v="2012-01-23T00:00:00"/>
    <d v="2012-01-23T00:00:00"/>
    <n v="275"/>
    <d v="2012-01-23T00:00:00"/>
    <n v="275"/>
    <m/>
    <d v="2012-01-23T00:00:00"/>
    <n v="275"/>
    <d v="2012-01-23T00:00:00"/>
    <d v="2012-01-23T00:00:00"/>
    <n v="275"/>
    <n v="275"/>
    <x v="4"/>
    <d v="2012-01-22T00:00:00"/>
    <m/>
    <n v="9321646692"/>
    <n v="80"/>
    <s v="FSCU7043770"/>
    <s v="XIN BEI JING"/>
    <m/>
    <s v="NINGBO"/>
    <m/>
    <m/>
    <s v="TWEETY LEU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7/000070"/>
    <n v="1370145656"/>
    <n v="70"/>
    <x v="0"/>
    <x v="0"/>
    <s v="A1"/>
    <n v="2100067443"/>
    <n v="208"/>
    <n v="115003361"/>
    <s v="D92219FT W28 B STD PRO CK HARD ANOD TP4           "/>
    <s v="S"/>
    <d v="2012-01-17T00:00:00"/>
    <m/>
    <s v="X"/>
    <x v="41"/>
    <n v="8.2102000000000004"/>
    <n v="7"/>
    <d v="2012-01-23T00:00:00"/>
    <d v="2012-01-23T00:00:00"/>
    <n v="753"/>
    <d v="2012-01-23T00:00:00"/>
    <n v="753"/>
    <m/>
    <d v="2012-01-23T00:00:00"/>
    <n v="753"/>
    <d v="2012-01-23T00:00:00"/>
    <d v="2012-01-23T00:00:00"/>
    <n v="753"/>
    <n v="753"/>
    <x v="4"/>
    <d v="2012-01-22T00:00:00"/>
    <m/>
    <n v="9321646692"/>
    <n v="90"/>
    <s v="FSCU7043770"/>
    <s v="XIN BEI JING"/>
    <m/>
    <s v="NINGBO"/>
    <m/>
    <m/>
    <s v="TWEETY LEU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7/000080"/>
    <n v="1370145656"/>
    <n v="80"/>
    <x v="0"/>
    <x v="0"/>
    <s v="A1"/>
    <n v="2100067439"/>
    <n v="208"/>
    <n v="115003363"/>
    <s v="D92284FT JR GRIL 32 B PRO CK HARD ANOD T          "/>
    <s v="S"/>
    <d v="2012-01-17T00:00:00"/>
    <m/>
    <s v="X"/>
    <x v="41"/>
    <n v="10.915100000000001"/>
    <n v="7"/>
    <d v="2012-01-23T00:00:00"/>
    <d v="2012-01-23T00:00:00"/>
    <n v="230"/>
    <d v="2012-01-23T00:00:00"/>
    <n v="230"/>
    <m/>
    <d v="2012-01-23T00:00:00"/>
    <n v="230"/>
    <d v="2012-01-23T00:00:00"/>
    <d v="2012-01-23T00:00:00"/>
    <n v="230"/>
    <n v="230"/>
    <x v="4"/>
    <d v="2012-01-22T00:00:00"/>
    <m/>
    <n v="9321646692"/>
    <n v="100"/>
    <s v="FSCU7043770"/>
    <s v="XIN BEI JING"/>
    <m/>
    <s v="NINGBO"/>
    <m/>
    <m/>
    <s v="TWEETY LEU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7/000090"/>
    <n v="1370145656"/>
    <n v="90"/>
    <x v="0"/>
    <x v="0"/>
    <s v="A1"/>
    <n v="2100067441"/>
    <n v="208"/>
    <n v="115003365"/>
    <s v="D92297FT DEEP FP26+LID B PRO CK H ANOD T          "/>
    <s v="S"/>
    <d v="2012-01-17T00:00:00"/>
    <m/>
    <s v="X"/>
    <x v="41"/>
    <n v="10.532999999999999"/>
    <n v="7"/>
    <d v="2012-01-23T00:00:00"/>
    <d v="2012-01-23T00:00:00"/>
    <n v="466"/>
    <d v="2012-01-23T00:00:00"/>
    <n v="466"/>
    <m/>
    <d v="2012-01-23T00:00:00"/>
    <n v="466"/>
    <d v="2012-01-23T00:00:00"/>
    <d v="2012-01-23T00:00:00"/>
    <n v="466"/>
    <n v="466"/>
    <x v="4"/>
    <d v="2012-01-22T00:00:00"/>
    <m/>
    <n v="9321646692"/>
    <n v="110"/>
    <s v="EISU8020750"/>
    <s v="XIN BEI JING"/>
    <m/>
    <s v="NINGBO"/>
    <m/>
    <m/>
    <s v="TWEETY LEU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7/000100"/>
    <n v="1370145656"/>
    <n v="100"/>
    <x v="0"/>
    <x v="0"/>
    <s v="AA"/>
    <n v="7114000314"/>
    <n v="253"/>
    <n v="114000314"/>
    <s v="92160FTA 6QT PRESSURE COOKER                      "/>
    <s v="S"/>
    <d v="2012-01-17T00:00:00"/>
    <m/>
    <s v="X"/>
    <x v="41"/>
    <n v="13.264099999999999"/>
    <n v="7"/>
    <d v="2012-01-23T00:00:00"/>
    <d v="2012-01-23T00:00:00"/>
    <n v="214"/>
    <d v="2012-01-23T00:00:00"/>
    <n v="214"/>
    <m/>
    <d v="2012-01-23T00:00:00"/>
    <n v="214"/>
    <d v="2012-01-23T00:00:00"/>
    <d v="2012-01-23T00:00:00"/>
    <n v="214"/>
    <n v="214"/>
    <x v="4"/>
    <d v="2012-01-22T00:00:00"/>
    <m/>
    <n v="9321646692"/>
    <n v="120"/>
    <s v="EISU8020750"/>
    <s v="XIN BEI JING"/>
    <m/>
    <s v="NINGBO"/>
    <m/>
    <m/>
    <s v="TWEETY LEU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7/000120"/>
    <n v="1370145656"/>
    <n v="120"/>
    <x v="0"/>
    <x v="0"/>
    <s v="A1"/>
    <n v="2100067459"/>
    <n v="201"/>
    <n v="116001092"/>
    <s v="D193S2FT T-FAL TNS SIMPLY COOK 2 PCS COM          "/>
    <s v="S"/>
    <d v="2012-01-17T00:00:00"/>
    <m/>
    <s v="X"/>
    <x v="41"/>
    <n v="8.4417000000000009"/>
    <n v="7"/>
    <d v="2012-01-23T00:00:00"/>
    <d v="2012-01-23T00:00:00"/>
    <n v="756"/>
    <d v="2012-01-23T00:00:00"/>
    <n v="756"/>
    <m/>
    <d v="2012-01-23T00:00:00"/>
    <n v="756"/>
    <d v="2012-01-23T00:00:00"/>
    <d v="2012-01-23T00:00:00"/>
    <n v="756"/>
    <n v="756"/>
    <x v="4"/>
    <d v="2012-01-22T00:00:00"/>
    <m/>
    <n v="9321646692"/>
    <n v="130"/>
    <s v="EISU8020750"/>
    <s v="XIN BEI JING"/>
    <m/>
    <s v="NINGBO"/>
    <m/>
    <m/>
    <s v="TWEETY LEU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0284/000010"/>
    <n v="1370146329"/>
    <n v="10"/>
    <x v="55"/>
    <x v="55"/>
    <s v="P1"/>
    <n v="1500830931"/>
    <n v="105"/>
    <n v="830931"/>
    <s v="830931 CTP PREP'LINE 0.6L WHT/GRG EUR             "/>
    <s v="S"/>
    <d v="2012-01-07T00:00:00"/>
    <m/>
    <s v="X"/>
    <x v="42"/>
    <n v="7.01"/>
    <n v="6"/>
    <d v="2012-01-23T00:00:00"/>
    <d v="2011-12-19T00:00:00"/>
    <n v="3300"/>
    <d v="2012-01-09T00:00:00"/>
    <n v="3300"/>
    <m/>
    <d v="2011-12-19T00:00:00"/>
    <n v="3300"/>
    <d v="2012-02-13T00:00:00"/>
    <d v="2012-01-09T00:00:00"/>
    <n v="3300"/>
    <n v="3300"/>
    <x v="6"/>
    <d v="2012-02-09T00:00:00"/>
    <m/>
    <n v="9321647761"/>
    <n v="10"/>
    <s v="MOAU7708237"/>
    <s v="MOL MAXIM/010W"/>
    <m/>
    <s v="YANTIAN"/>
    <s v="C-POST-CONF/"/>
    <m/>
    <s v="AGNES NUNES"/>
    <s v="FO9"/>
    <s v="FOOD PREPARATION              "/>
    <s v="CONFIRMED"/>
    <n v="1"/>
    <n v="1"/>
    <d v="2012-01-05T00:00:00"/>
    <s v="KITCHEN ELECTRICS             "/>
    <s v="FOOD PREPARATION              "/>
    <x v="4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45796/000010"/>
    <n v="1370146521"/>
    <n v="10"/>
    <x v="16"/>
    <x v="16"/>
    <s v="L4"/>
    <n v="1830003836"/>
    <n v="5"/>
    <s v="CV7420C5       "/>
    <s v="CV7420C5 RESPECTISSIM PRO HAIR DRYER              "/>
    <s v="S"/>
    <d v="2012-01-10T00:00:00"/>
    <m/>
    <s v="X"/>
    <x v="42"/>
    <n v="11.79"/>
    <n v="10"/>
    <d v="2012-01-20T00:00:00"/>
    <d v="2011-12-16T00:00:00"/>
    <n v="3000"/>
    <d v="2012-01-02T00:00:00"/>
    <n v="3000"/>
    <m/>
    <d v="2011-12-19T00:00:00"/>
    <n v="3000"/>
    <d v="2012-02-06T00:00:00"/>
    <d v="2012-01-02T00:00:00"/>
    <n v="3000"/>
    <n v="3000"/>
    <x v="16"/>
    <d v="2012-02-07T00:00:00"/>
    <m/>
    <n v="9321647768"/>
    <n v="10"/>
    <s v="AMFU8869801"/>
    <s v="H VANCOUVER / 007W"/>
    <m/>
    <s v="YANTIAN"/>
    <s v="C-PULLIN-CONF/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42898/000010"/>
    <n v="1370145784"/>
    <n v="10"/>
    <x v="5"/>
    <x v="5"/>
    <s v="R1"/>
    <n v="1500571225"/>
    <n v="23"/>
    <n v="571225"/>
    <s v="TL200001 TOAS ULTRACOMPACT STD WHT FR             "/>
    <s v="S"/>
    <d v="2012-01-05T00:00:00"/>
    <m/>
    <s v="X"/>
    <x v="42"/>
    <n v="9.74"/>
    <n v="8401"/>
    <d v="2012-01-13T00:00:00"/>
    <d v="2011-12-09T00:00:00"/>
    <n v="4272"/>
    <d v="2011-12-28T00:00:00"/>
    <n v="4272"/>
    <m/>
    <d v="2011-12-28T00:00:00"/>
    <n v="4272"/>
    <d v="2012-02-07T00:00:00"/>
    <d v="2012-01-03T00:00:00"/>
    <n v="4272"/>
    <n v="4272"/>
    <x v="16"/>
    <d v="2012-02-07T00:00:00"/>
    <m/>
    <n v="9321647770"/>
    <n v="10"/>
    <s v="APZU4198594"/>
    <s v="H.VANCOUVER/007W"/>
    <m/>
    <s v="YANTIAN"/>
    <m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0"/>
    <x v="0"/>
    <x v="0"/>
    <x v="1"/>
    <n v="1"/>
    <n v="0"/>
    <n v="1"/>
    <n v="0"/>
    <n v="0"/>
    <n v="1"/>
    <x v="0"/>
    <x v="0"/>
    <x v="1"/>
    <x v="1"/>
  </r>
  <r>
    <s v="Shipment"/>
    <n v="99004200"/>
    <s v="GROUP SEB AUSTRALIA PTY LTD                       "/>
    <n v="99004200"/>
    <x v="4"/>
    <s v="2270/000001"/>
    <n v="1370145838"/>
    <n v="10"/>
    <x v="5"/>
    <x v="5"/>
    <s v="R1"/>
    <n v="1500577804"/>
    <n v="23"/>
    <n v="577804"/>
    <s v="TT543070 TOAS PERFORMA 4S SS AU                   "/>
    <s v="S"/>
    <d v="2012-01-17T00:00:00"/>
    <m/>
    <s v="X"/>
    <x v="42"/>
    <n v="17.98"/>
    <n v="21"/>
    <d v="2012-01-16T00:00:00"/>
    <d v="2011-12-26T00:00:00"/>
    <n v="2460"/>
    <d v="2012-01-16T00:00:00"/>
    <n v="2460"/>
    <m/>
    <d v="2011-12-26T00:00:00"/>
    <n v="2460"/>
    <d v="2012-02-06T00:00:00"/>
    <d v="2012-01-16T00:00:00"/>
    <n v="2460"/>
    <n v="2460"/>
    <x v="8"/>
    <d v="2012-02-06T00:00:00"/>
    <m/>
    <n v="9321647771"/>
    <n v="10"/>
    <s v="FSCU4846130"/>
    <s v="APL CANADA/197E"/>
    <m/>
    <s v="YANTIAN"/>
    <s v="C-POST-CONF/"/>
    <m/>
    <s v="AGNES NUNES"/>
    <s v="FO9"/>
    <s v="BEVERAGE                      "/>
    <s v="CONFIRMED"/>
    <n v="1"/>
    <n v="3"/>
    <d v="2012-01-16T00:00:00"/>
    <s v="KITCHEN ELECTRICS             "/>
    <s v="BREAKFAST &amp; BREVAGE PREP      "/>
    <x v="4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20/039673"/>
    <n v="1370145177"/>
    <n v="10"/>
    <x v="8"/>
    <x v="8"/>
    <s v="K9"/>
    <n v="8000033980"/>
    <n v="38"/>
    <s v="KP500950       "/>
    <s v="KP500950 DOLCE GUSTO TITANIUM CIRCOLO             "/>
    <s v="S"/>
    <d v="2012-01-31T00:00:00"/>
    <m/>
    <s v="X"/>
    <x v="42"/>
    <n v="54.99"/>
    <n v="62"/>
    <d v="2012-02-10T00:00:00"/>
    <d v="2012-01-13T00:00:00"/>
    <n v="1230"/>
    <d v="2012-01-10T00:00:00"/>
    <n v="1161"/>
    <m/>
    <d v="2012-01-13T00:00:00"/>
    <n v="1230"/>
    <d v="2012-02-10T00:00:00"/>
    <d v="2012-01-13T00:00:00"/>
    <n v="1161"/>
    <n v="1161"/>
    <x v="17"/>
    <d v="2012-02-08T00:00:00"/>
    <m/>
    <n v="9321647782"/>
    <n v="10"/>
    <s v="OOLU8482117"/>
    <s v="BERLIN EXPRESS 58E01"/>
    <m/>
    <s v="YANTIAN"/>
    <s v="SP-HOLIDAY(CNY)/C-POST-CONF"/>
    <m/>
    <s v="TWEETY LEUNG"/>
    <s v="FO9"/>
    <s v="BEVERAGE                      "/>
    <s v="CONFIRMED"/>
    <n v="1"/>
    <n v="2"/>
    <d v="2012-01-11T00:00:00"/>
    <s v="KITCHEN ELECTRICS             "/>
    <s v="BREAKFAST &amp; BREVAGE PREP      "/>
    <x v="4"/>
    <x v="1"/>
    <x v="3"/>
    <s v="C-POST-CONF"/>
    <n v="-3"/>
    <n v="-3"/>
    <x v="0"/>
    <n v="2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1758/000010"/>
    <n v="1370144967"/>
    <n v="10"/>
    <x v="8"/>
    <x v="8"/>
    <s v="K9"/>
    <n v="8000033941"/>
    <n v="38"/>
    <s v="KP301040       "/>
    <s v="KP301040 NDG FONTANA BLK/MET UK                   "/>
    <s v="S"/>
    <d v="2012-02-01T00:00:00"/>
    <m/>
    <s v="X"/>
    <x v="42"/>
    <n v="47.74"/>
    <n v="34"/>
    <d v="2012-01-09T00:00:00"/>
    <d v="2011-12-05T00:00:00"/>
    <n v="1184"/>
    <d v="2012-01-09T00:00:00"/>
    <n v="1184"/>
    <m/>
    <d v="2011-12-09T00:00:00"/>
    <n v="1184"/>
    <d v="2012-02-27T00:00:00"/>
    <d v="2012-01-23T00:00:00"/>
    <n v="1184"/>
    <n v="1184"/>
    <x v="4"/>
    <d v="2012-02-26T00:00:00"/>
    <m/>
    <n v="9321647795"/>
    <n v="10"/>
    <s v="FRLU8608583"/>
    <s v="MAERSK SAIGON 1204/"/>
    <m/>
    <s v="YANTIAN"/>
    <s v="SP-MTL/C-POST-CONF/"/>
    <m/>
    <s v="KENUS WONG"/>
    <s v="FO9"/>
    <s v="BEVERAGE                      "/>
    <s v="CONFIRMED"/>
    <n v="1"/>
    <n v="3"/>
    <d v="2012-01-22T00:00:00"/>
    <s v="KITCHEN ELECTRICS             "/>
    <s v="BREAKFAST &amp; BREVAGE PREP      "/>
    <x v="4"/>
    <x v="1"/>
    <x v="9"/>
    <s v="C-POST-CONF"/>
    <n v="1"/>
    <n v="-3"/>
    <x v="0"/>
    <n v="2"/>
    <x v="0"/>
    <x v="0"/>
    <x v="1"/>
    <n v="0"/>
    <n v="0"/>
    <n v="0"/>
    <n v="0"/>
    <n v="0"/>
    <n v="0"/>
    <x v="1"/>
    <x v="0"/>
    <x v="1"/>
    <x v="0"/>
  </r>
  <r>
    <s v="Shipment"/>
    <n v="99002901"/>
    <s v="GROUPE SEB CENTRAL EUROPE KFT.                    "/>
    <n v="99002901"/>
    <x v="29"/>
    <s v="4500260290/000010"/>
    <n v="1370146317"/>
    <n v="10"/>
    <x v="56"/>
    <x v="56"/>
    <s v="J2"/>
    <n v="1110030053"/>
    <n v="6"/>
    <s v="$DA1510F2      "/>
    <s v="DA1510F2 TRAVEL IRON                              "/>
    <s v="S"/>
    <d v="2012-01-21T00:00:00"/>
    <m/>
    <s v="X"/>
    <x v="42"/>
    <n v="8.16"/>
    <n v="2212"/>
    <d v="2012-01-18T00:00:00"/>
    <d v="2011-12-14T00:00:00"/>
    <n v="3000"/>
    <d v="2012-01-19T00:00:00"/>
    <n v="3000"/>
    <m/>
    <d v="2011-12-14T00:00:00"/>
    <n v="3000"/>
    <d v="2012-02-23T00:00:00"/>
    <d v="2012-01-19T00:00:00"/>
    <n v="3000"/>
    <n v="3000"/>
    <x v="26"/>
    <d v="2012-02-25T00:00:00"/>
    <m/>
    <n v="9321647814"/>
    <n v="10"/>
    <s v="MSKU6018403"/>
    <s v="MAERSK EINDHOVEN/120"/>
    <m/>
    <s v="HONG KONG"/>
    <s v="CONS-SHIPT/"/>
    <m/>
    <s v="KENUS WONG"/>
    <s v="FO9"/>
    <s v="LINEN CARE                    "/>
    <s v="CONFIRMED"/>
    <n v="1"/>
    <n v="3"/>
    <d v="2012-01-21T00:00:00"/>
    <s v="LINEN PERS HOME CARE          "/>
    <s v="LINEN CARE   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27901/000010"/>
    <n v="1370143647"/>
    <n v="10"/>
    <x v="7"/>
    <x v="7"/>
    <s v="M1"/>
    <n v="1830003244"/>
    <n v="8"/>
    <s v="VU6550B1       "/>
    <s v="VU6550B1 TOWER FAN EOLE 2 LCD                     "/>
    <s v="S"/>
    <d v="2012-01-06T00:00:00"/>
    <m/>
    <s v="X"/>
    <x v="42"/>
    <n v="27.01"/>
    <n v="30"/>
    <d v="2012-01-16T00:00:00"/>
    <d v="2011-12-05T00:00:00"/>
    <n v="2800"/>
    <d v="2012-01-04T00:00:00"/>
    <n v="5560"/>
    <m/>
    <d v="2012-01-18T00:00:00"/>
    <n v="5560"/>
    <d v="2012-02-15T00:00:00"/>
    <d v="2012-01-04T00:00:00"/>
    <n v="5560"/>
    <n v="1400"/>
    <x v="2"/>
    <d v="2012-02-15T00:00:00"/>
    <m/>
    <n v="9321647831"/>
    <n v="10"/>
    <s v="MSKU0535878"/>
    <s v="MAERSK LIMA 152W/"/>
    <m/>
    <s v="YANTIAN"/>
    <s v="SAILING-SCHED-UPDATE/SP-NO-FORECAST/"/>
    <m/>
    <s v="THOMAS HO"/>
    <s v="FO9"/>
    <s v="HOME COMFORT                  "/>
    <s v="CONFIRMED"/>
    <n v="1"/>
    <n v="1"/>
    <d v="2012-01-04T00:00:00"/>
    <s v="LINEN PERS HOME CARE          "/>
    <s v="HOME COMFORT                  "/>
    <x v="3"/>
    <x v="2"/>
    <x v="14"/>
    <s v="SP-NO-FORECAST"/>
    <n v="-3"/>
    <n v="-3"/>
    <x v="15"/>
    <n v="2"/>
    <x v="0"/>
    <x v="0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27901/000010"/>
    <n v="1370143647"/>
    <n v="10"/>
    <x v="7"/>
    <x v="7"/>
    <s v="M1"/>
    <n v="1830003244"/>
    <n v="8"/>
    <s v="VU6550B1       "/>
    <s v="VU6550B1 TOWER FAN EOLE 2 LCD                     "/>
    <s v="S"/>
    <d v="2012-01-09T00:00:00"/>
    <m/>
    <s v="X"/>
    <x v="42"/>
    <n v="27.01"/>
    <n v="30"/>
    <d v="2012-01-16T00:00:00"/>
    <d v="2011-12-05T00:00:00"/>
    <n v="2800"/>
    <d v="2012-01-04T00:00:00"/>
    <n v="5560"/>
    <m/>
    <d v="2012-01-18T00:00:00"/>
    <n v="5560"/>
    <d v="2012-02-15T00:00:00"/>
    <d v="2012-01-04T00:00:00"/>
    <n v="5560"/>
    <n v="1400"/>
    <x v="2"/>
    <d v="2012-02-15T00:00:00"/>
    <m/>
    <n v="9321647831"/>
    <n v="10"/>
    <s v="PONU7779270"/>
    <s v="MAERSK LIMA 152W"/>
    <m/>
    <s v="YANTIAN"/>
    <s v="SAILING-SCHED-UPDATE/SP-NO-FORECAST/"/>
    <m/>
    <s v="THOMAS HO"/>
    <s v="FO9"/>
    <s v="HOME COMFORT                  "/>
    <s v="CONFIRMED"/>
    <n v="1"/>
    <n v="1"/>
    <d v="2012-01-04T00:00:00"/>
    <s v="LINEN PERS HOME CARE          "/>
    <s v="HOME COMFORT                  "/>
    <x v="3"/>
    <x v="2"/>
    <x v="14"/>
    <s v="SP-NO-FORECAST"/>
    <n v="-3"/>
    <n v="-3"/>
    <x v="15"/>
    <n v="2"/>
    <x v="0"/>
    <x v="0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27901/000010"/>
    <n v="1370143647"/>
    <n v="10"/>
    <x v="7"/>
    <x v="7"/>
    <s v="M1"/>
    <n v="1830003244"/>
    <n v="8"/>
    <s v="VU6550B1       "/>
    <s v="VU6550B1 TOWER FAN EOLE 2 LCD                     "/>
    <s v="S"/>
    <d v="2012-01-06T00:00:00"/>
    <m/>
    <s v="X"/>
    <x v="42"/>
    <n v="27.01"/>
    <n v="30"/>
    <d v="2012-01-16T00:00:00"/>
    <d v="2011-12-05T00:00:00"/>
    <n v="2800"/>
    <d v="2012-01-04T00:00:00"/>
    <n v="5560"/>
    <m/>
    <d v="2012-01-18T00:00:00"/>
    <n v="5560"/>
    <d v="2012-02-15T00:00:00"/>
    <d v="2012-01-04T00:00:00"/>
    <n v="5560"/>
    <n v="1150"/>
    <x v="2"/>
    <d v="2012-02-15T00:00:00"/>
    <m/>
    <n v="9321647831"/>
    <n v="10"/>
    <s v="SEAU7847048"/>
    <s v="MAERSK LIMA 152W/"/>
    <m/>
    <s v="YANTIAN"/>
    <s v="SAILING-SCHED-UPDATE/SP-NO-FORECAST/"/>
    <m/>
    <s v="THOMAS HO"/>
    <s v="FO9"/>
    <s v="HOME COMFORT                  "/>
    <s v="CONFIRMED"/>
    <n v="1"/>
    <n v="1"/>
    <d v="2012-01-04T00:00:00"/>
    <s v="LINEN PERS HOME CARE          "/>
    <s v="HOME COMFORT                  "/>
    <x v="3"/>
    <x v="2"/>
    <x v="14"/>
    <s v="SP-NO-FORECAST"/>
    <n v="-3"/>
    <n v="-3"/>
    <x v="15"/>
    <n v="2"/>
    <x v="0"/>
    <x v="0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27901/000010"/>
    <n v="1370143647"/>
    <n v="10"/>
    <x v="7"/>
    <x v="7"/>
    <s v="M1"/>
    <n v="1830003244"/>
    <n v="8"/>
    <s v="VU6550B1       "/>
    <s v="VU6550B1 TOWER FAN EOLE 2 LCD                     "/>
    <s v="S"/>
    <d v="2012-01-06T00:00:00"/>
    <m/>
    <s v="X"/>
    <x v="42"/>
    <n v="27.01"/>
    <n v="30"/>
    <d v="2012-01-16T00:00:00"/>
    <d v="2011-12-05T00:00:00"/>
    <n v="2800"/>
    <d v="2012-01-04T00:00:00"/>
    <n v="5560"/>
    <m/>
    <d v="2012-01-18T00:00:00"/>
    <n v="5560"/>
    <d v="2012-02-15T00:00:00"/>
    <d v="2012-01-04T00:00:00"/>
    <n v="5560"/>
    <n v="1150"/>
    <x v="2"/>
    <d v="2012-02-15T00:00:00"/>
    <m/>
    <n v="9321647831"/>
    <n v="10"/>
    <s v="PONU1808391"/>
    <s v="MAERSK LIMA 152W/"/>
    <m/>
    <s v="YANTIAN"/>
    <s v="SAILING-SCHED-UPDATE/SP-NO-FORECAST/"/>
    <m/>
    <s v="THOMAS HO"/>
    <s v="FO9"/>
    <s v="HOME COMFORT                  "/>
    <s v="CONFIRMED"/>
    <n v="1"/>
    <n v="1"/>
    <d v="2012-01-04T00:00:00"/>
    <s v="LINEN PERS HOME CARE          "/>
    <s v="HOME COMFORT                  "/>
    <x v="3"/>
    <x v="2"/>
    <x v="14"/>
    <s v="SP-NO-FORECAST"/>
    <n v="-3"/>
    <n v="-3"/>
    <x v="15"/>
    <n v="2"/>
    <x v="0"/>
    <x v="0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27901/000010"/>
    <n v="1370143647"/>
    <n v="10"/>
    <x v="7"/>
    <x v="7"/>
    <s v="M1"/>
    <n v="1830003244"/>
    <n v="8"/>
    <s v="VU6550B1       "/>
    <s v="VU6550B1 TOWER FAN EOLE 2 LCD                     "/>
    <s v="S"/>
    <d v="2012-01-06T00:00:00"/>
    <m/>
    <s v="X"/>
    <x v="42"/>
    <n v="27.01"/>
    <n v="30"/>
    <d v="2012-01-16T00:00:00"/>
    <d v="2011-12-05T00:00:00"/>
    <n v="2800"/>
    <d v="2012-01-04T00:00:00"/>
    <n v="5560"/>
    <m/>
    <d v="2012-01-18T00:00:00"/>
    <n v="5560"/>
    <d v="2012-02-15T00:00:00"/>
    <d v="2012-01-04T00:00:00"/>
    <n v="5560"/>
    <n v="460"/>
    <x v="2"/>
    <d v="2012-02-15T00:00:00"/>
    <m/>
    <n v="9321647831"/>
    <n v="10"/>
    <s v="MSKU3018307"/>
    <s v="MAERSK LIMA 152W/"/>
    <m/>
    <s v="YANTIAN"/>
    <s v="SAILING-SCHED-UPDATE/SP-NO-FORECAST/"/>
    <m/>
    <s v="THOMAS HO"/>
    <s v="FO9"/>
    <s v="HOME COMFORT                  "/>
    <s v="CONFIRMED"/>
    <n v="1"/>
    <n v="1"/>
    <d v="2012-01-04T00:00:00"/>
    <s v="LINEN PERS HOME CARE          "/>
    <s v="HOME COMFORT                  "/>
    <x v="3"/>
    <x v="2"/>
    <x v="14"/>
    <s v="SP-NO-FORECAST"/>
    <n v="-3"/>
    <n v="-3"/>
    <x v="15"/>
    <n v="2"/>
    <x v="0"/>
    <x v="0"/>
    <x v="1"/>
    <n v="1"/>
    <n v="0"/>
    <n v="1"/>
    <n v="0"/>
    <n v="0"/>
    <n v="1"/>
    <x v="0"/>
    <x v="0"/>
    <x v="1"/>
    <x v="1"/>
  </r>
  <r>
    <s v="Shipment"/>
    <n v="99008200"/>
    <s v="GROUPE SEB IBERICA                                "/>
    <n v="99008200"/>
    <x v="21"/>
    <s v="9321647454/000010"/>
    <n v="1370146566"/>
    <n v="10"/>
    <x v="52"/>
    <x v="52"/>
    <s v="P1"/>
    <n v="1500675930"/>
    <n v="106"/>
    <n v="675930"/>
    <s v="ABM11A30 HMX EASY MAX WHT EUR                     "/>
    <s v="S"/>
    <d v="2012-01-21T00:00:00"/>
    <m/>
    <s v="X"/>
    <x v="42"/>
    <n v="8.0399999999999991"/>
    <n v="7"/>
    <d v="2012-01-16T00:00:00"/>
    <d v="2011-12-19T00:00:00"/>
    <n v="4002"/>
    <d v="2012-01-21T00:00:00"/>
    <n v="4002"/>
    <m/>
    <d v="2011-12-24T00:00:00"/>
    <n v="4002"/>
    <d v="2012-02-18T00:00:00"/>
    <d v="2012-01-21T00:00:00"/>
    <n v="4002"/>
    <n v="4002"/>
    <x v="26"/>
    <d v="2012-02-18T00:00:00"/>
    <m/>
    <n v="9321647843"/>
    <n v="10"/>
    <s v="MSKU6029516"/>
    <s v="MAERSK TANJONG/1202"/>
    <m/>
    <s v="YANTIAN"/>
    <s v="CONS-SHIPT/C-POST-CONF/"/>
    <m/>
    <s v="JASON FAN"/>
    <s v="FO9"/>
    <s v="FOOD PREPARATION              "/>
    <s v="CONFIRMED"/>
    <n v="1"/>
    <n v="3"/>
    <d v="2012-01-21T00:00:00"/>
    <s v="KITCHEN ELECTRICS             "/>
    <s v="FOOD PREPARATION              "/>
    <x v="1"/>
    <x v="1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40598/000010"/>
    <n v="1370145779"/>
    <n v="10"/>
    <x v="40"/>
    <x v="40"/>
    <s v="L4"/>
    <n v="1830003074"/>
    <n v="5"/>
    <s v="CV4212C0       "/>
    <s v="CV4212C0 STUDIO DRY HAIR DRYER                    "/>
    <s v="S"/>
    <d v="2012-01-18T00:00:00"/>
    <m/>
    <s v="X"/>
    <x v="42"/>
    <n v="5.03"/>
    <n v="4"/>
    <d v="2012-01-13T00:00:00"/>
    <d v="2011-12-09T00:00:00"/>
    <n v="3000"/>
    <d v="2012-01-17T00:00:00"/>
    <n v="3000"/>
    <m/>
    <d v="2011-12-09T00:00:00"/>
    <n v="3000"/>
    <d v="2012-02-21T00:00:00"/>
    <d v="2012-01-17T00:00:00"/>
    <n v="3000"/>
    <n v="3000"/>
    <x v="19"/>
    <d v="2012-02-21T00:00:00"/>
    <m/>
    <n v="9321647850"/>
    <n v="10"/>
    <s v="APHU6841264"/>
    <s v="APL DHAKA/002W"/>
    <m/>
    <s v="YANTIAN"/>
    <s v="C-POST-CONF/"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41702/000010"/>
    <n v="1370146126"/>
    <n v="10"/>
    <x v="40"/>
    <x v="40"/>
    <s v="L4"/>
    <n v="1830003827"/>
    <n v="5"/>
    <s v="CV8531C0       "/>
    <s v="CV8531C0 HEAR DRYER INFINIPRO                     "/>
    <s v="S"/>
    <d v="2012-01-09T00:00:00"/>
    <m/>
    <s v="X"/>
    <x v="42"/>
    <n v="11.68"/>
    <n v="10"/>
    <d v="2012-01-18T00:00:00"/>
    <d v="2011-12-14T00:00:00"/>
    <n v="3000"/>
    <d v="2012-01-02T00:00:00"/>
    <n v="3000"/>
    <m/>
    <d v="2011-12-14T00:00:00"/>
    <n v="3000"/>
    <d v="2012-02-06T00:00:00"/>
    <d v="2012-01-02T00:00:00"/>
    <n v="3000"/>
    <n v="3000"/>
    <x v="16"/>
    <d v="2012-02-07T00:00:00"/>
    <m/>
    <n v="9321647851"/>
    <n v="10"/>
    <s v="AMFU8869801"/>
    <s v="H.VANCOUVER/007W"/>
    <m/>
    <s v="YANTIAN"/>
    <s v="CONS-SHIPT/LATE DOC FROM FORWARDER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42929/000010"/>
    <n v="1370145774"/>
    <n v="10"/>
    <x v="26"/>
    <x v="26"/>
    <s v="P1"/>
    <n v="8000000209"/>
    <n v="25"/>
    <s v="F3807010       "/>
    <s v="F3807010 BGS VACUPACK PLUS                        "/>
    <s v="S"/>
    <d v="2012-01-05T00:00:00"/>
    <m/>
    <s v="X"/>
    <x v="42"/>
    <n v="12.46"/>
    <n v="10364"/>
    <d v="2012-01-13T00:00:00"/>
    <d v="2011-12-09T00:00:00"/>
    <n v="2898"/>
    <d v="2012-01-03T00:00:00"/>
    <n v="2898"/>
    <m/>
    <d v="2011-12-30T00:00:00"/>
    <n v="2898"/>
    <d v="2012-02-07T00:00:00"/>
    <d v="2012-01-03T00:00:00"/>
    <n v="2898"/>
    <n v="2898"/>
    <x v="16"/>
    <d v="2012-02-07T00:00:00"/>
    <m/>
    <n v="9321647859"/>
    <n v="10"/>
    <s v="APZU4721848"/>
    <s v="HYUNDAI VANCOUVER/00"/>
    <m/>
    <s v="YANTIAN"/>
    <s v="C-POST-CONF/SP-NO-FORECAST/"/>
    <m/>
    <s v="JASON FAN"/>
    <s v="FO9"/>
    <s v="FOOD PREPARATION              "/>
    <s v="CONFIRMED"/>
    <n v="1"/>
    <n v="1"/>
    <d v="2012-01-03T00:00:00"/>
    <s v="KITCHEN ELECTRICS             "/>
    <s v="FOOD PREPARATION              "/>
    <x v="1"/>
    <x v="1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2102"/>
    <s v="GROUPE SEB ITALIA S.p.a                           "/>
    <n v="99002102"/>
    <x v="14"/>
    <s v="4600078800/000070"/>
    <n v="1370146377"/>
    <n v="70"/>
    <x v="26"/>
    <x v="26"/>
    <s v="P1"/>
    <n v="1500833141"/>
    <n v="105"/>
    <n v="833141"/>
    <s v="BKB241 CTP VITAPRESS+FILT PULP WHT RU             "/>
    <s v="S"/>
    <d v="2012-01-04T00:00:00"/>
    <m/>
    <s v="X"/>
    <x v="42"/>
    <n v="6.15"/>
    <n v="5467"/>
    <d v="2012-01-23T00:00:00"/>
    <d v="2011-12-26T00:00:00"/>
    <n v="3452"/>
    <d v="2012-01-02T00:00:00"/>
    <n v="3452"/>
    <m/>
    <d v="2011-12-26T00:00:00"/>
    <n v="3452"/>
    <d v="2012-01-23T00:00:00"/>
    <d v="2011-12-26T00:00:00"/>
    <n v="3452"/>
    <n v="3452"/>
    <x v="3"/>
    <d v="2012-01-30T00:00:00"/>
    <m/>
    <n v="9321647860"/>
    <n v="10"/>
    <s v="HJCU4353020"/>
    <s v="HANJIN AMSTERDAM/007"/>
    <m/>
    <s v="YANTIAN"/>
    <m/>
    <m/>
    <s v="JASON FAN"/>
    <s v="FO9"/>
    <s v="FOOD PREPARATION              "/>
    <s v="CONFIRMED"/>
    <n v="1"/>
    <n v="1"/>
    <d v="2012-01-02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45993/000010"/>
    <n v="1370146486"/>
    <n v="10"/>
    <x v="26"/>
    <x v="26"/>
    <s v="P1"/>
    <n v="1500831647"/>
    <n v="105"/>
    <n v="831647"/>
    <s v="BKA347 JUI FRUTTI PRO BKA3 WHT RU                 "/>
    <s v="S"/>
    <d v="2012-01-13T00:00:00"/>
    <m/>
    <s v="X"/>
    <x v="42"/>
    <n v="23.87"/>
    <n v="28"/>
    <d v="2011-12-14T00:00:00"/>
    <d v="2011-12-13T00:00:00"/>
    <n v="1134"/>
    <d v="2011-12-30T00:00:00"/>
    <n v="1134"/>
    <m/>
    <d v="2011-12-30T00:00:00"/>
    <n v="1134"/>
    <d v="2011-12-31T00:00:00"/>
    <d v="2011-12-30T00:00:00"/>
    <n v="1134"/>
    <n v="1134"/>
    <x v="10"/>
    <d v="2012-01-13T00:00:00"/>
    <m/>
    <n v="9321647861"/>
    <n v="10"/>
    <s v="BY TRUCK"/>
    <s v="BY TRUCK"/>
    <m/>
    <s v="SHENZHEN"/>
    <s v="SP-NO-FORECAST/UNLOAD JAN12 2012"/>
    <m/>
    <s v="ZANDRA LAM"/>
    <s v="FO9"/>
    <s v="FOOD PREPARATION              "/>
    <s v="CONFIRMED"/>
    <n v="1"/>
    <n v="2"/>
    <d v="2012-01-12T00:00:00"/>
    <s v="KITCHEN ELECTRICS             "/>
    <s v="FOOD PREPARATION              "/>
    <x v="1"/>
    <x v="1"/>
    <x v="14"/>
    <s v="SP-NO-FORECAST"/>
    <n v="-3"/>
    <n v="-3"/>
    <x v="15"/>
    <n v="2"/>
    <x v="0"/>
    <x v="0"/>
    <x v="0"/>
    <n v="1"/>
    <n v="0"/>
    <n v="0"/>
    <n v="0"/>
    <n v="0"/>
    <n v="0"/>
    <x v="0"/>
    <x v="1"/>
    <x v="1"/>
    <x v="0"/>
  </r>
  <r>
    <s v="Shipment"/>
    <n v="99006103"/>
    <s v="SAS GROUPE SEB FRANCE                             "/>
    <n v="99006100"/>
    <x v="3"/>
    <s v="9321645656/000010"/>
    <n v="1370146523"/>
    <n v="10"/>
    <x v="26"/>
    <x v="26"/>
    <s v="M5"/>
    <n v="2210015335"/>
    <n v="69"/>
    <s v="MX232301       "/>
    <s v="MX232301 VAC CLEANER 36V DRY EXTENSO              "/>
    <s v="S"/>
    <d v="2012-01-05T00:00:00"/>
    <m/>
    <s v="X"/>
    <x v="42"/>
    <n v="11.14"/>
    <n v="9590"/>
    <d v="2012-01-20T00:00:00"/>
    <d v="2011-12-16T00:00:00"/>
    <n v="3264"/>
    <d v="2012-01-03T00:00:00"/>
    <n v="3264"/>
    <m/>
    <d v="2011-12-30T00:00:00"/>
    <n v="3264"/>
    <d v="2012-02-07T00:00:00"/>
    <d v="2012-01-03T00:00:00"/>
    <n v="3264"/>
    <n v="3264"/>
    <x v="16"/>
    <d v="2012-02-07T00:00:00"/>
    <m/>
    <n v="9321647862"/>
    <n v="10"/>
    <s v="APZU4721848"/>
    <s v="HYUNDAI VANCOUVER/00"/>
    <m/>
    <s v="YANTIAN"/>
    <s v="SP-MTL/"/>
    <m/>
    <s v="JASON FAN"/>
    <s v="FO9"/>
    <s v="HOME CLEANING                 "/>
    <s v="CONFIRMED"/>
    <n v="1"/>
    <n v="1"/>
    <d v="2012-01-03T00:00:00"/>
    <s v="HOME CLEANING                 "/>
    <s v="HOME CLEANING                 "/>
    <x v="1"/>
    <x v="1"/>
    <x v="9"/>
    <s v="SP-MTL"/>
    <n v="1"/>
    <n v="1"/>
    <x v="10"/>
    <n v="1"/>
    <x v="0"/>
    <x v="0"/>
    <x v="0"/>
    <n v="1"/>
    <n v="0"/>
    <n v="1"/>
    <n v="0"/>
    <n v="0"/>
    <n v="1"/>
    <x v="0"/>
    <x v="0"/>
    <x v="1"/>
    <x v="1"/>
  </r>
  <r>
    <s v="Shipment"/>
    <n v="99002102"/>
    <s v="GROUPE SEB ITALIA S.p.a                           "/>
    <n v="99002102"/>
    <x v="14"/>
    <s v="4600078802/000010"/>
    <n v="1370146378"/>
    <n v="10"/>
    <x v="18"/>
    <x v="18"/>
    <s v="M5"/>
    <n v="2210016801"/>
    <n v="161"/>
    <s v="RO342101       "/>
    <s v="RO342101 VAC CLEANER COMPACTEO CYCLONIC           "/>
    <s v="S"/>
    <d v="2012-01-12T00:00:00"/>
    <m/>
    <s v="X"/>
    <x v="42"/>
    <n v="29.16"/>
    <n v="25"/>
    <d v="2012-01-23T00:00:00"/>
    <d v="2011-12-26T00:00:00"/>
    <n v="730"/>
    <d v="2012-01-08T00:00:00"/>
    <n v="730"/>
    <m/>
    <d v="2011-12-30T00:00:00"/>
    <n v="730"/>
    <d v="2012-02-03T00:00:00"/>
    <d v="2012-01-06T00:00:00"/>
    <n v="730"/>
    <n v="730"/>
    <x v="5"/>
    <d v="2012-02-07T00:00:00"/>
    <m/>
    <n v="9321647881"/>
    <n v="10"/>
    <s v="OOLU7339056"/>
    <s v="BUSAN EXPRESS/04W01"/>
    <m/>
    <s v="SHANGHAI"/>
    <s v="C-POST-CONF"/>
    <m/>
    <s v="JASON FAN"/>
    <s v="FO9"/>
    <s v="HOME CLEANING                 "/>
    <s v="CONFIRMED"/>
    <n v="1"/>
    <n v="2"/>
    <d v="2012-01-10T00:00:00"/>
    <s v="HOME CLEANING                 "/>
    <s v="HOME CLEANING                 "/>
    <x v="6"/>
    <x v="2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47657/000010"/>
    <n v="1370146570"/>
    <n v="10"/>
    <x v="18"/>
    <x v="18"/>
    <s v="M5"/>
    <n v="2210015544"/>
    <n v="161"/>
    <s v="RO346301       "/>
    <s v="RO346301 VAC CLEANERCOMPACTEO CYCLONIC            "/>
    <s v="S"/>
    <d v="2012-01-04T00:00:00"/>
    <m/>
    <s v="X"/>
    <x v="42"/>
    <n v="32.409999999999997"/>
    <n v="27883"/>
    <d v="2012-01-16T00:00:00"/>
    <d v="2011-12-19T00:00:00"/>
    <n v="1460"/>
    <d v="2012-01-02T00:00:00"/>
    <n v="1530"/>
    <m/>
    <d v="2011-12-19T00:00:00"/>
    <n v="1530"/>
    <d v="2012-01-23T00:00:00"/>
    <d v="2011-12-26T00:00:00"/>
    <n v="1530"/>
    <n v="1530"/>
    <x v="16"/>
    <d v="2012-01-31T00:00:00"/>
    <m/>
    <n v="9321647886"/>
    <n v="10"/>
    <s v="CLHU4744229"/>
    <s v="MAERSK SANTANA/1202"/>
    <m/>
    <s v="SHANGHAI"/>
    <s v="C-POST-CONF"/>
    <m/>
    <s v="JASON FAN"/>
    <s v="FO9"/>
    <s v="HOME CLEANING                 "/>
    <s v="CONFIRMED"/>
    <n v="1"/>
    <n v="1"/>
    <d v="2012-01-03T00:00:00"/>
    <s v="HOME CLEANING                 "/>
    <s v="HOME CLEANING                 "/>
    <x v="6"/>
    <x v="2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47409/000010"/>
    <n v="1370146540"/>
    <n v="10"/>
    <x v="41"/>
    <x v="41"/>
    <s v="A3"/>
    <n v="2100059080"/>
    <n v="240"/>
    <s v="M8000302       "/>
    <s v="M8000302 SALAD SPINNER SALAD BOWL CROCOP          "/>
    <s v="S"/>
    <d v="2012-01-18T00:00:00"/>
    <m/>
    <s v="X"/>
    <x v="42"/>
    <n v="3.7848000000000002"/>
    <n v="3"/>
    <d v="2012-01-27T00:00:00"/>
    <d v="2011-12-23T00:00:00"/>
    <n v="4032"/>
    <d v="2012-01-13T00:00:00"/>
    <n v="4032"/>
    <m/>
    <d v="2011-12-23T00:00:00"/>
    <n v="4032"/>
    <d v="2012-02-17T00:00:00"/>
    <d v="2012-01-13T00:00:00"/>
    <n v="4032"/>
    <n v="4032"/>
    <x v="21"/>
    <d v="2012-02-22T00:00:00"/>
    <m/>
    <n v="9321647888"/>
    <n v="10"/>
    <s v="OOLU7735592"/>
    <s v="APL HAMBURG/015W"/>
    <m/>
    <s v="YANTIAN"/>
    <s v="C-POST-CONF/"/>
    <m/>
    <s v="JASON FAN"/>
    <s v="FO9"/>
    <s v="COOKWARE                      "/>
    <s v="CONFIRMED"/>
    <n v="1"/>
    <n v="3"/>
    <d v="2012-01-18T00:00:00"/>
    <s v="COOKWARE                      "/>
    <s v="COOKWARE                      "/>
    <x v="1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47608/000010"/>
    <n v="1370146580"/>
    <n v="10"/>
    <x v="53"/>
    <x v="53"/>
    <s v="R1"/>
    <n v="1500572105"/>
    <n v="23"/>
    <n v="572105"/>
    <s v="A15451 TOASTER MULTIPAN                           "/>
    <s v="S"/>
    <d v="2012-01-10T00:00:00"/>
    <m/>
    <s v="X"/>
    <x v="42"/>
    <n v="6.46"/>
    <n v="5"/>
    <d v="2012-01-16T00:00:00"/>
    <d v="2011-12-19T00:00:00"/>
    <n v="3480"/>
    <d v="2012-01-07T00:00:00"/>
    <n v="3480"/>
    <m/>
    <d v="2011-12-19T00:00:00"/>
    <n v="3480"/>
    <d v="2012-02-04T00:00:00"/>
    <d v="2012-01-07T00:00:00"/>
    <n v="3480"/>
    <n v="3480"/>
    <x v="23"/>
    <d v="2012-02-05T00:00:00"/>
    <m/>
    <n v="9321647898"/>
    <n v="10"/>
    <s v="MRKU0449119"/>
    <s v="MAERSK SANTANA/1202"/>
    <m/>
    <s v="YANTIAN"/>
    <s v="C-POST-CONF"/>
    <m/>
    <s v="JASON FAN"/>
    <s v="FO9"/>
    <s v="BEVERAGE                      "/>
    <s v="CONFIRMED"/>
    <n v="1"/>
    <n v="1"/>
    <d v="2012-01-08T00:00:00"/>
    <s v="KITCHEN ELECTRICS             "/>
    <s v="BREAKFAST &amp; BREVAGE PREP      "/>
    <x v="4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3171786"/>
    <s v="TARGET DIRECT 0584/MAERSK LOGISTICS               "/>
    <n v="99008400"/>
    <x v="12"/>
    <s v="9321643730/000010"/>
    <n v="1370145651"/>
    <n v="10"/>
    <x v="13"/>
    <x v="13"/>
    <s v="A3"/>
    <n v="2100067422"/>
    <n v="205"/>
    <s v="C79332FT       "/>
    <s v="C79332FT STP24LID PERFORM SS UNCOATED RI          "/>
    <s v="S"/>
    <d v="2012-01-12T00:00:00"/>
    <m/>
    <s v="X"/>
    <x v="42"/>
    <n v="12.16"/>
    <n v="14"/>
    <d v="2012-01-25T00:00:00"/>
    <d v="2012-01-24T00:00:00"/>
    <n v="1100"/>
    <d v="2012-01-24T00:00:00"/>
    <n v="1100"/>
    <m/>
    <m/>
    <m/>
    <d v="2012-01-31T00:00:00"/>
    <d v="2012-01-30T00:00:00"/>
    <n v="1100"/>
    <n v="1100"/>
    <x v="1"/>
    <d v="2012-01-24T00:00:00"/>
    <m/>
    <n v="9321647912"/>
    <n v="10"/>
    <s v="TBC"/>
    <s v="TBC"/>
    <m/>
    <s v="YANTIAN"/>
    <s v="C-FINALCUSTOMER-REQ/"/>
    <m/>
    <s v="TWEETY LEUNG"/>
    <s v="FO9"/>
    <s v="COOKWARE                      "/>
    <s v="CONFIRMED"/>
    <n v="1"/>
    <n v="4"/>
    <d v="2012-01-23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0"/>
    <n v="1"/>
    <n v="0"/>
    <n v="0"/>
    <n v="1"/>
    <x v="0"/>
    <x v="0"/>
    <x v="1"/>
    <x v="1"/>
  </r>
  <r>
    <s v="Shipment"/>
    <n v="93171786"/>
    <s v="TARGET DIRECT 0584/MAERSK LOGISTICS               "/>
    <n v="99008400"/>
    <x v="12"/>
    <s v="9321643713/000010"/>
    <n v="1370145653"/>
    <n v="10"/>
    <x v="13"/>
    <x v="13"/>
    <s v="A3"/>
    <n v="2100067426"/>
    <n v="205"/>
    <s v="C839SAFT       "/>
    <s v="C839SAFT T-FAL PERFORMANCE SS COPPER BOT          "/>
    <s v="S"/>
    <d v="2012-01-09T00:00:00"/>
    <m/>
    <s v="X"/>
    <x v="42"/>
    <n v="49.62"/>
    <n v="57"/>
    <d v="2012-01-11T00:00:00"/>
    <d v="2012-01-11T00:00:00"/>
    <n v="500"/>
    <d v="2012-01-11T00:00:00"/>
    <n v="500"/>
    <m/>
    <d v="2012-01-11T00:00:00"/>
    <n v="500"/>
    <d v="2012-01-16T00:00:00"/>
    <d v="2012-01-16T00:00:00"/>
    <n v="500"/>
    <n v="500"/>
    <x v="8"/>
    <d v="2012-01-16T00:00:00"/>
    <m/>
    <n v="9321647913"/>
    <n v="10"/>
    <s v="TBC"/>
    <s v="TBC"/>
    <m/>
    <s v="YANTIAN"/>
    <m/>
    <m/>
    <s v="TWEETY LEU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6"/>
    <s v="TARGET DIRECT 0584/MAERSK LOGISTICS               "/>
    <n v="99008400"/>
    <x v="12"/>
    <s v="9321643713/000020"/>
    <n v="1370145653"/>
    <n v="20"/>
    <x v="13"/>
    <x v="13"/>
    <s v="A3"/>
    <n v="2100067424"/>
    <n v="205"/>
    <s v="C83907FT       "/>
    <s v="C83907FT T-FAL PERFORMANCE SS COPPER BOT          "/>
    <s v="S"/>
    <d v="2012-01-09T00:00:00"/>
    <m/>
    <s v="X"/>
    <x v="42"/>
    <n v="12.99"/>
    <n v="57"/>
    <d v="2012-01-11T00:00:00"/>
    <d v="2012-01-11T00:00:00"/>
    <n v="600"/>
    <d v="2012-01-11T00:00:00"/>
    <n v="600"/>
    <m/>
    <d v="2012-01-11T00:00:00"/>
    <n v="600"/>
    <d v="2012-01-16T00:00:00"/>
    <d v="2012-01-16T00:00:00"/>
    <n v="600"/>
    <n v="600"/>
    <x v="8"/>
    <d v="2012-01-16T00:00:00"/>
    <m/>
    <n v="9321647913"/>
    <n v="20"/>
    <s v="TBC"/>
    <s v="TBC"/>
    <m/>
    <s v="YANTIAN"/>
    <m/>
    <m/>
    <s v="TWEETY LEU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6"/>
    <s v="TARGET DIRECT 0584/MAERSK LOGISTICS               "/>
    <n v="99008400"/>
    <x v="12"/>
    <s v="9321643722/000010"/>
    <n v="1370145646"/>
    <n v="10"/>
    <x v="13"/>
    <x v="13"/>
    <s v="A3"/>
    <n v="2100067426"/>
    <n v="205"/>
    <s v="C839SAFT       "/>
    <s v="C839SAFT T-FAL PERFORMANCE SS COPPER BOT          "/>
    <s v="S"/>
    <d v="2012-01-03T00:00:00"/>
    <m/>
    <s v="X"/>
    <x v="42"/>
    <n v="49.62"/>
    <n v="57024"/>
    <d v="2012-01-03T00:00:00"/>
    <d v="2012-01-03T00:00:00"/>
    <n v="380"/>
    <d v="2012-01-03T00:00:00"/>
    <n v="380"/>
    <m/>
    <d v="2012-01-03T00:00:00"/>
    <n v="380"/>
    <d v="2012-01-07T00:00:00"/>
    <d v="2012-01-07T00:00:00"/>
    <n v="380"/>
    <n v="380"/>
    <x v="12"/>
    <d v="2012-01-07T00:00:00"/>
    <m/>
    <n v="9321647918"/>
    <n v="10"/>
    <s v="TBC"/>
    <s v="YM SOUTH"/>
    <m/>
    <s v="YANTIAN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5"/>
    <s v="TARGET DIRECT 0581/MAERSK LOGISTICS               "/>
    <n v="99008400"/>
    <x v="12"/>
    <s v="9321643714/000010"/>
    <n v="1370145648"/>
    <n v="10"/>
    <x v="13"/>
    <x v="13"/>
    <s v="A3"/>
    <n v="2100067426"/>
    <n v="205"/>
    <s v="C839SAFT       "/>
    <s v="C839SAFT T-FAL PERFORMANCE SS COPPER BOT          "/>
    <s v="S"/>
    <d v="2012-01-09T00:00:00"/>
    <m/>
    <s v="X"/>
    <x v="42"/>
    <n v="49.62"/>
    <n v="57"/>
    <d v="2012-01-13T00:00:00"/>
    <d v="2012-01-13T00:00:00"/>
    <n v="350"/>
    <d v="2012-01-13T00:00:00"/>
    <n v="350"/>
    <m/>
    <m/>
    <m/>
    <d v="2012-01-15T00:00:00"/>
    <d v="2012-01-15T00:00:00"/>
    <n v="350"/>
    <n v="350"/>
    <x v="19"/>
    <d v="2012-01-17T00:00:00"/>
    <m/>
    <n v="9321647919"/>
    <n v="10"/>
    <s v="TBC"/>
    <s v="TBC"/>
    <m/>
    <s v="YANTIAN"/>
    <s v="C-FINALCUSTOMER-REQ/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0"/>
    <n v="1"/>
    <n v="0"/>
    <n v="0"/>
    <n v="1"/>
    <x v="0"/>
    <x v="0"/>
    <x v="1"/>
    <x v="1"/>
  </r>
  <r>
    <s v="Shipment"/>
    <n v="93171788"/>
    <s v="TARGET DIRECT 3890/MAERSK LOGISTICS               "/>
    <n v="99008400"/>
    <x v="12"/>
    <s v="9321643724/000010"/>
    <n v="1370145650"/>
    <n v="10"/>
    <x v="13"/>
    <x v="13"/>
    <s v="A3"/>
    <n v="2100067426"/>
    <n v="205"/>
    <s v="C839SAFT       "/>
    <s v="C839SAFT T-FAL PERFORMANCE SS COPPER BOT          "/>
    <s v="S"/>
    <d v="2012-01-09T00:00:00"/>
    <m/>
    <s v="X"/>
    <x v="42"/>
    <n v="49.62"/>
    <n v="57"/>
    <d v="2012-01-12T00:00:00"/>
    <d v="2012-01-12T00:00:00"/>
    <n v="270"/>
    <d v="2012-01-12T00:00:00"/>
    <n v="270"/>
    <m/>
    <d v="2012-01-12T00:00:00"/>
    <n v="270"/>
    <d v="2012-01-17T00:00:00"/>
    <d v="2012-01-17T00:00:00"/>
    <n v="270"/>
    <n v="270"/>
    <x v="19"/>
    <d v="2012-01-17T00:00:00"/>
    <m/>
    <n v="9321647921"/>
    <n v="10"/>
    <s v="TBC"/>
    <s v="TBC"/>
    <m/>
    <s v="YANTIAN"/>
    <m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6"/>
    <s v="TARGET DIRECT 0584/MAERSK LOGISTICS               "/>
    <n v="99008400"/>
    <x v="12"/>
    <s v="9321643731/000010"/>
    <n v="1370145652"/>
    <n v="10"/>
    <x v="13"/>
    <x v="13"/>
    <s v="A3"/>
    <n v="2100067422"/>
    <n v="205"/>
    <s v="C79332FT       "/>
    <s v="C79332FT STP24LID PERFORM SS UNCOATED RI          "/>
    <s v="S"/>
    <d v="2012-01-03T00:00:00"/>
    <m/>
    <s v="X"/>
    <x v="42"/>
    <n v="12.16"/>
    <n v="13937"/>
    <d v="2011-12-28T00:00:00"/>
    <d v="2011-12-28T00:00:00"/>
    <n v="800"/>
    <d v="2011-12-28T00:00:00"/>
    <n v="800"/>
    <m/>
    <d v="2011-12-28T00:00:00"/>
    <n v="800"/>
    <d v="2012-01-02T00:00:00"/>
    <d v="2012-01-02T00:00:00"/>
    <n v="800"/>
    <n v="800"/>
    <x v="3"/>
    <d v="2012-01-02T00:00:00"/>
    <m/>
    <n v="9321647922"/>
    <n v="10"/>
    <s v="TBC"/>
    <s v="YM MILESTONE"/>
    <m/>
    <s v="YANTIAN"/>
    <m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5"/>
    <s v="TARGET DIRECT 0581/MAERSK LOGISTICS               "/>
    <n v="99008400"/>
    <x v="12"/>
    <s v="9321643729/000010"/>
    <n v="1370145663"/>
    <n v="10"/>
    <x v="13"/>
    <x v="13"/>
    <s v="A3"/>
    <n v="2100067422"/>
    <n v="205"/>
    <s v="C79332FT       "/>
    <s v="C79332FT STP24LID PERFORM SS UNCOATED RI          "/>
    <s v="S"/>
    <d v="2012-01-03T00:00:00"/>
    <m/>
    <s v="X"/>
    <x v="42"/>
    <n v="12.16"/>
    <n v="13937"/>
    <d v="2011-12-30T00:00:00"/>
    <d v="2011-12-30T00:00:00"/>
    <n v="738"/>
    <d v="2011-12-30T00:00:00"/>
    <n v="738"/>
    <m/>
    <d v="2011-12-30T00:00:00"/>
    <n v="738"/>
    <d v="2012-01-03T00:00:00"/>
    <d v="2012-01-03T00:00:00"/>
    <n v="738"/>
    <n v="738"/>
    <x v="16"/>
    <d v="2012-01-03T00:00:00"/>
    <m/>
    <n v="9321647923"/>
    <n v="10"/>
    <s v="TBC"/>
    <s v="APL ENGLAND"/>
    <m/>
    <s v="YANTIAN"/>
    <m/>
    <m/>
    <s v="TWEETY LEUNG"/>
    <s v="FO9"/>
    <s v="COOKWARE                      "/>
    <s v="CONFIRMED"/>
    <n v="1"/>
    <n v="1"/>
    <d v="2012-01-03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3171786"/>
    <s v="TARGET DIRECT 0584/MAERSK LOGISTICS               "/>
    <n v="99008400"/>
    <x v="12"/>
    <s v="9321643733/000010"/>
    <n v="1370145665"/>
    <n v="10"/>
    <x v="13"/>
    <x v="13"/>
    <s v="A3"/>
    <n v="2100067422"/>
    <n v="205"/>
    <s v="C79332FT       "/>
    <s v="C79332FT STP24LID PERFORM SS UNCOATED RI          "/>
    <s v="S"/>
    <d v="2012-01-09T00:00:00"/>
    <m/>
    <s v="X"/>
    <x v="42"/>
    <n v="12.16"/>
    <n v="14"/>
    <d v="2012-01-11T00:00:00"/>
    <d v="2012-01-11T00:00:00"/>
    <n v="800"/>
    <d v="2012-01-11T00:00:00"/>
    <n v="800"/>
    <m/>
    <d v="2012-01-11T00:00:00"/>
    <n v="800"/>
    <d v="2012-01-16T00:00:00"/>
    <d v="2012-01-16T00:00:00"/>
    <n v="800"/>
    <n v="800"/>
    <x v="8"/>
    <d v="2012-01-16T00:00:00"/>
    <m/>
    <n v="9321647925"/>
    <n v="10"/>
    <s v="TBC"/>
    <s v="TBC"/>
    <m/>
    <s v="YANTIAN"/>
    <m/>
    <m/>
    <s v="TWEETY LEU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19/000010"/>
    <n v="1370145915"/>
    <n v="10"/>
    <x v="13"/>
    <x v="13"/>
    <s v="A9"/>
    <n v="8900491540"/>
    <n v="235"/>
    <n v="12335700001"/>
    <s v="012335700001 MIXING BOWL 15 QT.+SILICON           "/>
    <s v="S"/>
    <d v="2012-01-06T00:00:00"/>
    <m/>
    <s v="X"/>
    <x v="42"/>
    <n v="6.83"/>
    <n v="6"/>
    <d v="2012-03-10T00:00:00"/>
    <d v="2012-02-11T00:00:00"/>
    <n v="1008"/>
    <d v="2012-01-07T00:00:00"/>
    <n v="1008"/>
    <m/>
    <m/>
    <m/>
    <d v="2012-01-31T00:00:00"/>
    <d v="2012-01-03T00:00:00"/>
    <n v="1008"/>
    <n v="1008"/>
    <x v="16"/>
    <d v="2012-01-31T00:00:00"/>
    <m/>
    <n v="9321647929"/>
    <n v="10"/>
    <s v="UACU3290364"/>
    <s v="HANJIN AMSTERDAM/007"/>
    <m/>
    <s v="YANTIAN"/>
    <s v="C-PULLIN-CONF/"/>
    <m/>
    <s v="AGNES NUNES"/>
    <s v="FO9"/>
    <s v="COOKWARE                      "/>
    <s v="CONFIRMED"/>
    <n v="1"/>
    <n v="1"/>
    <d v="2012-01-03T00:00:00"/>
    <s v="COOKWARE                      "/>
    <s v="COOKWARE                      "/>
    <x v="5"/>
    <x v="2"/>
    <x v="1"/>
    <m/>
    <n v="0"/>
    <n v="0"/>
    <x v="1"/>
    <n v="1"/>
    <x v="0"/>
    <x v="0"/>
    <x v="0"/>
    <n v="0"/>
    <n v="0"/>
    <n v="1"/>
    <n v="0"/>
    <n v="0"/>
    <n v="1"/>
    <x v="0"/>
    <x v="0"/>
    <x v="1"/>
    <x v="1"/>
  </r>
  <r>
    <s v="Shipment"/>
    <n v="99008900"/>
    <s v="LAGOSTINA S.P.A.                                  "/>
    <n v="99008900"/>
    <x v="0"/>
    <s v="4600078719/000020"/>
    <n v="1370145915"/>
    <n v="20"/>
    <x v="13"/>
    <x v="13"/>
    <s v="A9"/>
    <n v="8900491557"/>
    <n v="235"/>
    <n v="12335700002"/>
    <s v="012335700002 MIXING BOWL 3 QT.+SILICONE           "/>
    <s v="S"/>
    <d v="2012-01-06T00:00:00"/>
    <m/>
    <s v="X"/>
    <x v="42"/>
    <n v="8.7899999999999991"/>
    <n v="6"/>
    <d v="2012-03-10T00:00:00"/>
    <d v="2012-02-11T00:00:00"/>
    <n v="1008"/>
    <d v="2012-01-07T00:00:00"/>
    <n v="1008"/>
    <m/>
    <m/>
    <m/>
    <d v="2012-01-31T00:00:00"/>
    <d v="2012-01-03T00:00:00"/>
    <n v="1008"/>
    <n v="1008"/>
    <x v="16"/>
    <d v="2012-01-31T00:00:00"/>
    <m/>
    <n v="9321647929"/>
    <n v="20"/>
    <s v="UACU3290364"/>
    <s v="HANJIN AMSTERDAM/007"/>
    <m/>
    <s v="YANTIAN"/>
    <s v="C-PULLIN-CONF/"/>
    <m/>
    <s v="AGNES NUNES"/>
    <s v="FO9"/>
    <s v="COOKWARE                      "/>
    <s v="CONFIRMED"/>
    <n v="1"/>
    <n v="1"/>
    <d v="2012-01-03T00:00:00"/>
    <s v="COOKWARE                      "/>
    <s v="COOKWARE                      "/>
    <x v="5"/>
    <x v="2"/>
    <x v="1"/>
    <m/>
    <n v="0"/>
    <n v="0"/>
    <x v="1"/>
    <n v="1"/>
    <x v="0"/>
    <x v="0"/>
    <x v="0"/>
    <n v="0"/>
    <n v="0"/>
    <n v="1"/>
    <n v="0"/>
    <n v="0"/>
    <n v="1"/>
    <x v="0"/>
    <x v="0"/>
    <x v="1"/>
    <x v="1"/>
  </r>
  <r>
    <s v="Shipment"/>
    <n v="99006104"/>
    <s v="SAS GROUPE SEB FRANCE                             "/>
    <n v="99006100"/>
    <x v="3"/>
    <s v="9321641699/000010"/>
    <n v="1370145781"/>
    <n v="10"/>
    <x v="39"/>
    <x v="39"/>
    <s v="L2"/>
    <n v="2100060412"/>
    <n v="48"/>
    <s v="TD4200K0       "/>
    <s v="TD4200K0 STERILIZER + BOTTLE WARMER DISN          "/>
    <s v="S"/>
    <d v="2012-01-09T00:00:00"/>
    <m/>
    <s v="X"/>
    <x v="42"/>
    <n v="11.35"/>
    <n v="11"/>
    <d v="2012-01-13T00:00:00"/>
    <d v="2011-12-09T00:00:00"/>
    <n v="1056"/>
    <d v="2011-12-19T00:00:00"/>
    <n v="1056"/>
    <m/>
    <d v="2011-12-09T00:00:00"/>
    <n v="1056"/>
    <d v="2012-02-06T00:00:00"/>
    <d v="2012-01-02T00:00:00"/>
    <n v="1056"/>
    <n v="1056"/>
    <x v="13"/>
    <d v="2012-02-05T00:00:00"/>
    <m/>
    <n v="9321647932"/>
    <n v="10"/>
    <s v="MSKU6341720"/>
    <s v="CHARLOTTE MAERSK/120"/>
    <m/>
    <s v="YANTIAN"/>
    <s v="NEWREQ-CUSTOMS/C-LCL-SHIPMENT/LATE DOC FROM FORWARDER"/>
    <m/>
    <s v="JASON FAN"/>
    <s v="FO9"/>
    <s v="PERSONAL CARE                 "/>
    <s v="CONFIRMED"/>
    <n v="1"/>
    <n v="52"/>
    <d v="2012-01-01T00:00:00"/>
    <s v="LINEN PERS HOME CARE          "/>
    <s v="PERSONAL CARE                 "/>
    <x v="4"/>
    <x v="1"/>
    <x v="8"/>
    <s v="NEWREQ-CUSTOMS"/>
    <n v="1"/>
    <n v="1"/>
    <x v="14"/>
    <n v="3"/>
    <x v="0"/>
    <x v="0"/>
    <x v="1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8801/000010"/>
    <n v="1370146379"/>
    <n v="10"/>
    <x v="42"/>
    <x v="42"/>
    <s v="N1"/>
    <n v="2100062462"/>
    <n v="50"/>
    <s v="GR306012       "/>
    <s v="GR306012 GRILL UC600 A12 COMFORT ROWENTA          "/>
    <s v="S"/>
    <d v="2012-01-05T00:00:00"/>
    <m/>
    <s v="X"/>
    <x v="42"/>
    <n v="31.41"/>
    <n v="26832"/>
    <d v="2012-02-03T00:00:00"/>
    <d v="2012-01-06T00:00:00"/>
    <n v="6030"/>
    <d v="2012-01-06T00:00:00"/>
    <n v="6030"/>
    <m/>
    <d v="2012-01-06T00:00:00"/>
    <n v="10050"/>
    <d v="2012-02-03T00:00:00"/>
    <d v="2012-01-06T00:00:00"/>
    <n v="6030"/>
    <n v="2010"/>
    <x v="2"/>
    <d v="2012-02-01T00:00:00"/>
    <m/>
    <n v="9321647947"/>
    <n v="10"/>
    <s v="OOLU9314859"/>
    <s v="CHINA EXPRESS/08W52"/>
    <m/>
    <s v="YANTIAN"/>
    <m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801/000010"/>
    <n v="1370146379"/>
    <n v="10"/>
    <x v="42"/>
    <x v="42"/>
    <s v="N1"/>
    <n v="2100062462"/>
    <n v="50"/>
    <s v="GR306012       "/>
    <s v="GR306012 GRILL UC600 A12 COMFORT ROWENTA          "/>
    <s v="S"/>
    <d v="2012-01-05T00:00:00"/>
    <m/>
    <s v="X"/>
    <x v="42"/>
    <n v="31.41"/>
    <n v="26832"/>
    <d v="2012-02-03T00:00:00"/>
    <d v="2012-01-06T00:00:00"/>
    <n v="6030"/>
    <d v="2012-01-06T00:00:00"/>
    <n v="6030"/>
    <m/>
    <d v="2012-01-06T00:00:00"/>
    <n v="10050"/>
    <d v="2012-02-03T00:00:00"/>
    <d v="2012-01-06T00:00:00"/>
    <n v="6030"/>
    <n v="2010"/>
    <x v="2"/>
    <d v="2012-02-01T00:00:00"/>
    <m/>
    <n v="9321647947"/>
    <n v="10"/>
    <s v="TGHU9718090"/>
    <s v="CHINA EXPRESS/08W52"/>
    <m/>
    <s v="YANTIAN"/>
    <m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801/000010"/>
    <n v="1370146379"/>
    <n v="10"/>
    <x v="42"/>
    <x v="42"/>
    <s v="N1"/>
    <n v="2100062462"/>
    <n v="50"/>
    <s v="GR306012       "/>
    <s v="GR306012 GRILL UC600 A12 COMFORT ROWENTA          "/>
    <s v="S"/>
    <d v="2012-01-05T00:00:00"/>
    <m/>
    <s v="X"/>
    <x v="42"/>
    <n v="31.41"/>
    <n v="26832"/>
    <d v="2012-02-03T00:00:00"/>
    <d v="2012-01-06T00:00:00"/>
    <n v="6030"/>
    <d v="2012-01-06T00:00:00"/>
    <n v="6030"/>
    <m/>
    <d v="2012-01-06T00:00:00"/>
    <n v="10050"/>
    <d v="2012-02-03T00:00:00"/>
    <d v="2012-01-06T00:00:00"/>
    <n v="6030"/>
    <n v="2010"/>
    <x v="2"/>
    <d v="2012-02-01T00:00:00"/>
    <m/>
    <n v="9321647947"/>
    <n v="10"/>
    <s v="TGHU9821093"/>
    <s v="CHINA EXPRESS/08W52"/>
    <m/>
    <s v="YANTIAN"/>
    <m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801/000040"/>
    <n v="1370146379"/>
    <n v="40"/>
    <x v="42"/>
    <x v="42"/>
    <s v="N1"/>
    <n v="2100062462"/>
    <n v="50"/>
    <s v="GR306012       "/>
    <s v="GR306012 GRILL UC600 A12 COMFORT ROWENTA          "/>
    <s v="S"/>
    <d v="2012-01-16T00:00:00"/>
    <m/>
    <s v="X"/>
    <x v="42"/>
    <n v="31.41"/>
    <n v="26832"/>
    <d v="2012-02-10T00:00:00"/>
    <d v="2012-01-13T00:00:00"/>
    <n v="840"/>
    <d v="2012-01-13T00:00:00"/>
    <n v="840"/>
    <m/>
    <d v="2012-01-13T00:00:00"/>
    <n v="840"/>
    <d v="2012-02-10T00:00:00"/>
    <d v="2012-01-13T00:00:00"/>
    <n v="840"/>
    <n v="840"/>
    <x v="24"/>
    <d v="2012-02-10T00:00:00"/>
    <m/>
    <n v="9321647947"/>
    <n v="40"/>
    <s v="OOLU7533164"/>
    <s v="BUSAN EXPRESS/04W01"/>
    <m/>
    <s v="YANTIAN"/>
    <m/>
    <m/>
    <s v="JASON FAN"/>
    <s v="FO9"/>
    <s v="ELECTRICAL COOKING            "/>
    <s v="CONFIRMED"/>
    <n v="1"/>
    <n v="2"/>
    <d v="2012-01-13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800/000080"/>
    <n v="1370146377"/>
    <n v="80"/>
    <x v="57"/>
    <x v="57"/>
    <s v="P1"/>
    <n v="1500810132"/>
    <n v="104"/>
    <n v="810132"/>
    <s v="MC300132 CFG COFFEE MILL WHT/RED IT               "/>
    <s v="S"/>
    <d v="2012-01-17T00:00:00"/>
    <m/>
    <s v="X"/>
    <x v="42"/>
    <n v="7.18"/>
    <n v="5467"/>
    <d v="2012-01-30T00:00:00"/>
    <d v="2012-01-02T00:00:00"/>
    <n v="1500"/>
    <d v="2012-01-02T00:00:00"/>
    <n v="1500"/>
    <m/>
    <d v="2012-01-09T00:00:00"/>
    <n v="1500"/>
    <d v="2012-02-13T00:00:00"/>
    <d v="2012-01-16T00:00:00"/>
    <n v="1500"/>
    <n v="1500"/>
    <x v="9"/>
    <d v="2012-02-11T00:00:00"/>
    <m/>
    <n v="9321647953"/>
    <n v="10"/>
    <s v="OOLU8072848"/>
    <s v="BUSAN EXPRESS/04W01"/>
    <m/>
    <s v="YANTIAN"/>
    <s v="NEWREQ-CUSTOMS/"/>
    <m/>
    <s v="JASON FAN"/>
    <s v="FO9"/>
    <s v="FOOD PREPARATION              "/>
    <s v="CONFIRMED"/>
    <n v="1"/>
    <n v="2"/>
    <d v="2012-01-14T00:00:00"/>
    <s v="KITCHEN ELECTRICS             "/>
    <s v="FOOD PREPARATION              "/>
    <x v="7"/>
    <x v="3"/>
    <x v="8"/>
    <s v="NEWREQ-CUSTOMS"/>
    <n v="1"/>
    <n v="1"/>
    <x v="14"/>
    <n v="1"/>
    <x v="0"/>
    <x v="0"/>
    <x v="0"/>
    <n v="0"/>
    <n v="0"/>
    <n v="0"/>
    <n v="0"/>
    <n v="0"/>
    <n v="0"/>
    <x v="1"/>
    <x v="0"/>
    <x v="1"/>
    <x v="0"/>
  </r>
  <r>
    <s v="Shipment"/>
    <n v="99006402"/>
    <s v="GROUPE SEB (Thailand) Ltd                         "/>
    <n v="99006402"/>
    <x v="8"/>
    <s v="529/000003"/>
    <n v="1370145086"/>
    <n v="130"/>
    <x v="10"/>
    <x v="10"/>
    <s v="P1"/>
    <n v="1500814871"/>
    <n v="36"/>
    <n v="814871"/>
    <s v="BL108170 BLD OPTIBLEND 1V 2JARS WHT TH            "/>
    <s v="S"/>
    <d v="2012-01-19T00:00:00"/>
    <m/>
    <s v="X"/>
    <x v="42"/>
    <n v="15.97"/>
    <n v="11"/>
    <d v="2012-01-23T00:00:00"/>
    <d v="2012-01-09T00:00:00"/>
    <n v="960"/>
    <d v="2012-01-09T00:00:00"/>
    <n v="910"/>
    <m/>
    <d v="2012-01-09T00:00:00"/>
    <n v="910"/>
    <d v="2012-01-27T00:00:00"/>
    <d v="2012-01-13T00:00:00"/>
    <n v="910"/>
    <n v="910"/>
    <x v="10"/>
    <d v="2012-01-26T00:00:00"/>
    <m/>
    <n v="9321647967"/>
    <n v="10"/>
    <s v="OOLU1579830"/>
    <s v="THORSCAPE 010N"/>
    <m/>
    <s v="SURABAYA"/>
    <s v="NEWREQ-CUSTOMS/"/>
    <m/>
    <s v="TWEETY LEUNG"/>
    <s v="FO9"/>
    <s v="FOOD PREPARATION              "/>
    <s v="CONFIRMED"/>
    <n v="1"/>
    <n v="2"/>
    <d v="2012-01-12T00:00:00"/>
    <s v="KITCHEN ELECTRICS             "/>
    <s v="FOOD PREPARATION              "/>
    <x v="2"/>
    <x v="1"/>
    <x v="8"/>
    <s v="NEWREQ-CUSTOMS"/>
    <n v="1"/>
    <n v="1"/>
    <x v="14"/>
    <n v="1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6700/000010"/>
    <n v="1370146184"/>
    <n v="10"/>
    <x v="58"/>
    <x v="58"/>
    <s v="A3"/>
    <n v="2100068024"/>
    <n v="231"/>
    <s v="J0857044       "/>
    <s v="J0857044 BAKING TRAY 44.5X30 STEEL COMM           "/>
    <s v="S"/>
    <d v="2012-01-19T00:00:00"/>
    <m/>
    <s v="X"/>
    <x v="42"/>
    <n v="1.98"/>
    <n v="2"/>
    <d v="2012-01-23T00:00:00"/>
    <d v="2011-12-19T00:00:00"/>
    <n v="1500"/>
    <d v="2011-12-19T00:00:00"/>
    <n v="1500"/>
    <m/>
    <m/>
    <m/>
    <d v="2012-02-24T00:00:00"/>
    <d v="2012-01-20T00:00:00"/>
    <n v="1500"/>
    <n v="348"/>
    <x v="8"/>
    <d v="2012-02-20T00:00:00"/>
    <m/>
    <n v="9321647970"/>
    <n v="10"/>
    <s v="PONU0656859"/>
    <s v="MAERSK TUKANG 1202"/>
    <m/>
    <s v="YANTIAN"/>
    <s v="CONS-SHIPT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0"/>
    <n v="0"/>
    <n v="0"/>
    <n v="0"/>
    <n v="0"/>
    <x v="0"/>
    <x v="1"/>
    <x v="1"/>
    <x v="0"/>
  </r>
  <r>
    <s v="Shipment"/>
    <n v="99002601"/>
    <s v="GROUPE SEB UK LTD                                 "/>
    <n v="99002601"/>
    <x v="10"/>
    <s v="9321646706/000010"/>
    <n v="1370146186"/>
    <n v="10"/>
    <x v="58"/>
    <x v="58"/>
    <s v="A3"/>
    <n v="2100068025"/>
    <n v="231"/>
    <s v="J0859544       "/>
    <s v="J0859544 ROASTER 26X38 OBLONG STEEL GREY          "/>
    <s v="S"/>
    <d v="2012-01-19T00:00:00"/>
    <m/>
    <s v="X"/>
    <x v="42"/>
    <n v="4.5199999999999996"/>
    <n v="3"/>
    <d v="2012-01-23T00:00:00"/>
    <d v="2011-12-19T00:00:00"/>
    <n v="1500"/>
    <d v="2011-12-19T00:00:00"/>
    <n v="1500"/>
    <m/>
    <m/>
    <m/>
    <d v="2012-02-24T00:00:00"/>
    <d v="2012-01-20T00:00:00"/>
    <n v="1500"/>
    <n v="348"/>
    <x v="8"/>
    <d v="2012-02-20T00:00:00"/>
    <m/>
    <n v="9321647971"/>
    <n v="10"/>
    <s v="PONU0656859"/>
    <s v="MAERSK TUKANG 1202"/>
    <m/>
    <s v="YANTIAN"/>
    <s v="CONS-SHIPT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0"/>
    <n v="0"/>
    <n v="0"/>
    <n v="0"/>
    <n v="0"/>
    <x v="0"/>
    <x v="1"/>
    <x v="1"/>
    <x v="0"/>
  </r>
  <r>
    <s v="Shipment"/>
    <n v="99002601"/>
    <s v="GROUPE SEB UK LTD                                 "/>
    <n v="99002601"/>
    <x v="10"/>
    <s v="9321646702/000010"/>
    <n v="1370146188"/>
    <n v="10"/>
    <x v="58"/>
    <x v="58"/>
    <s v="A3"/>
    <n v="2100068023"/>
    <n v="231"/>
    <s v="J0857244       "/>
    <s v="J0857244 BAKING TRAY 40X27 STEEL COMM GR          "/>
    <s v="S"/>
    <d v="2012-01-19T00:00:00"/>
    <m/>
    <s v="X"/>
    <x v="42"/>
    <n v="1.74"/>
    <n v="1"/>
    <d v="2012-01-23T00:00:00"/>
    <d v="2011-12-19T00:00:00"/>
    <n v="1500"/>
    <d v="2011-12-19T00:00:00"/>
    <n v="1500"/>
    <m/>
    <m/>
    <m/>
    <d v="2012-02-24T00:00:00"/>
    <d v="2012-01-20T00:00:00"/>
    <n v="1500"/>
    <n v="348"/>
    <x v="8"/>
    <d v="2012-02-20T00:00:00"/>
    <m/>
    <n v="9321647973"/>
    <n v="10"/>
    <s v="PONU0656859"/>
    <s v="MAERSK TUKANG 1202"/>
    <m/>
    <s v="YANTIAN"/>
    <s v="CONS-SHIPT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0"/>
    <n v="0"/>
    <n v="0"/>
    <n v="0"/>
    <n v="0"/>
    <x v="0"/>
    <x v="1"/>
    <x v="1"/>
    <x v="0"/>
  </r>
  <r>
    <s v="Shipment"/>
    <n v="99002601"/>
    <s v="GROUPE SEB UK LTD                                 "/>
    <n v="99002601"/>
    <x v="10"/>
    <s v="9321646709/000010"/>
    <n v="1370146190"/>
    <n v="10"/>
    <x v="58"/>
    <x v="58"/>
    <s v="A3"/>
    <n v="2100068022"/>
    <n v="231"/>
    <s v="J0859644       "/>
    <s v="J0859644 ROUND CAKE 24 STEEL COMM GREY T          "/>
    <s v="S"/>
    <d v="2012-01-19T00:00:00"/>
    <m/>
    <s v="X"/>
    <x v="42"/>
    <n v="1.22"/>
    <n v="1"/>
    <d v="2012-01-23T00:00:00"/>
    <d v="2011-12-19T00:00:00"/>
    <n v="1500"/>
    <d v="2011-12-19T00:00:00"/>
    <n v="1500"/>
    <m/>
    <m/>
    <m/>
    <d v="2012-02-24T00:00:00"/>
    <d v="2012-01-20T00:00:00"/>
    <n v="1500"/>
    <n v="348"/>
    <x v="8"/>
    <d v="2012-02-20T00:00:00"/>
    <m/>
    <n v="9321647974"/>
    <n v="10"/>
    <s v="PONU0656859"/>
    <s v="MAERSK TUKANG 1202"/>
    <m/>
    <s v="YANTIAN"/>
    <s v="CONS-SHIPT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0"/>
    <n v="0"/>
    <n v="0"/>
    <n v="0"/>
    <n v="0"/>
    <x v="0"/>
    <x v="1"/>
    <x v="1"/>
    <x v="0"/>
  </r>
  <r>
    <s v="Shipment"/>
    <n v="99002601"/>
    <s v="GROUPE SEB UK LTD                                 "/>
    <n v="99002601"/>
    <x v="10"/>
    <s v="9321646693/000010"/>
    <n v="1370146191"/>
    <n v="10"/>
    <x v="58"/>
    <x v="58"/>
    <s v="A3"/>
    <n v="2100068020"/>
    <n v="231"/>
    <s v="J0855344       "/>
    <s v="J0855344 LOAF PAN 24X14 STEEL COMM GREY           "/>
    <s v="S"/>
    <d v="2012-01-19T00:00:00"/>
    <m/>
    <s v="X"/>
    <x v="42"/>
    <n v="1.1299999999999999"/>
    <n v="1"/>
    <d v="2012-01-23T00:00:00"/>
    <d v="2011-12-19T00:00:00"/>
    <n v="1500"/>
    <d v="2011-12-19T00:00:00"/>
    <n v="1500"/>
    <m/>
    <m/>
    <m/>
    <d v="2012-02-24T00:00:00"/>
    <d v="2012-01-20T00:00:00"/>
    <n v="1500"/>
    <n v="348"/>
    <x v="8"/>
    <d v="2012-02-20T00:00:00"/>
    <m/>
    <n v="9321647975"/>
    <n v="10"/>
    <s v="PONU0656859"/>
    <s v="MAERSK TUKANG 1202"/>
    <m/>
    <s v="YANTIAN"/>
    <s v="CONS-SHIPT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0"/>
    <n v="0"/>
    <n v="0"/>
    <n v="0"/>
    <n v="0"/>
    <x v="0"/>
    <x v="1"/>
    <x v="1"/>
    <x v="0"/>
  </r>
  <r>
    <s v="Shipment"/>
    <n v="99002601"/>
    <s v="GROUPE SEB UK LTD                                 "/>
    <n v="99002601"/>
    <x v="10"/>
    <s v="9321646686/000010"/>
    <n v="1370146192"/>
    <n v="10"/>
    <x v="58"/>
    <x v="58"/>
    <s v="A3"/>
    <n v="2100068018"/>
    <n v="231"/>
    <s v="J0855244       "/>
    <s v="J0855244 SQUARE CAKE 23X23 STEEL COMM GR          "/>
    <s v="S"/>
    <d v="2012-01-19T00:00:00"/>
    <m/>
    <s v="X"/>
    <x v="42"/>
    <n v="1.22"/>
    <n v="1"/>
    <d v="2012-01-23T00:00:00"/>
    <d v="2011-12-19T00:00:00"/>
    <n v="1500"/>
    <d v="2011-12-19T00:00:00"/>
    <n v="1500"/>
    <m/>
    <m/>
    <m/>
    <d v="2012-02-24T00:00:00"/>
    <d v="2012-01-20T00:00:00"/>
    <n v="1500"/>
    <n v="348"/>
    <x v="8"/>
    <d v="2012-02-20T00:00:00"/>
    <m/>
    <n v="9321647976"/>
    <n v="10"/>
    <s v="PONU0656859"/>
    <s v="MAERSK TUKANG 1202"/>
    <m/>
    <s v="YANTIAN"/>
    <s v="CONS-SHIPT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0"/>
    <n v="0"/>
    <n v="0"/>
    <n v="0"/>
    <n v="0"/>
    <x v="0"/>
    <x v="1"/>
    <x v="1"/>
    <x v="0"/>
  </r>
  <r>
    <s v="Shipment"/>
    <n v="99002601"/>
    <s v="GROUPE SEB UK LTD                                 "/>
    <n v="99002601"/>
    <x v="10"/>
    <s v="9321646697/000010"/>
    <n v="1370146193"/>
    <n v="10"/>
    <x v="58"/>
    <x v="58"/>
    <s v="A3"/>
    <n v="2100068019"/>
    <n v="231"/>
    <s v="J0855644       "/>
    <s v="J0855644 OBLONG CAKE24X34 STEEL COMM GRE          "/>
    <s v="S"/>
    <d v="2012-01-19T00:00:00"/>
    <m/>
    <s v="X"/>
    <x v="42"/>
    <n v="1.85"/>
    <n v="1"/>
    <d v="2012-01-23T00:00:00"/>
    <d v="2011-12-19T00:00:00"/>
    <n v="1500"/>
    <d v="2011-12-19T00:00:00"/>
    <n v="1500"/>
    <m/>
    <m/>
    <m/>
    <d v="2012-02-24T00:00:00"/>
    <d v="2012-01-20T00:00:00"/>
    <n v="1500"/>
    <n v="348"/>
    <x v="8"/>
    <d v="2012-02-20T00:00:00"/>
    <m/>
    <n v="9321647977"/>
    <n v="10"/>
    <s v="PONU0656859"/>
    <s v="MAERSK TUKANG 1202"/>
    <m/>
    <s v="YANTIAN"/>
    <s v="CONS-SHIPT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0"/>
    <n v="0"/>
    <n v="0"/>
    <n v="0"/>
    <n v="0"/>
    <x v="0"/>
    <x v="1"/>
    <x v="1"/>
    <x v="0"/>
  </r>
  <r>
    <s v="Shipment"/>
    <n v="99008900"/>
    <s v="LAGOSTINA S.P.A.                                  "/>
    <n v="99008900"/>
    <x v="0"/>
    <s v="4600078769/000010"/>
    <n v="1370146198"/>
    <n v="10"/>
    <x v="58"/>
    <x v="58"/>
    <s v="A9"/>
    <n v="8900492424"/>
    <n v="231"/>
    <n v="12522000000"/>
    <s v="012522000000 SQUARE BAKING PAN  VIRTUOSA          "/>
    <s v="S"/>
    <d v="2012-01-05T00:00:00"/>
    <m/>
    <s v="X"/>
    <x v="42"/>
    <n v="2.4900000000000002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6"/>
    <d v="2012-02-02T00:00:00"/>
    <m/>
    <n v="9321647978"/>
    <n v="10"/>
    <s v="UACU3422964"/>
    <s v="XIN PU DONG/1201W"/>
    <m/>
    <s v="YANTIAN"/>
    <s v="C-ETD-TEMP/"/>
    <m/>
    <s v="AGNES NUNES"/>
    <s v="FO9"/>
    <s v="COOKWARE                      "/>
    <s v="CONFIRMED"/>
    <n v="1"/>
    <n v="1"/>
    <d v="2012-01-05T00:00:00"/>
    <s v="COOKWARE                      "/>
    <s v="COOKWARE                      "/>
    <x v="5"/>
    <x v="2"/>
    <x v="16"/>
    <s v="C-ETD-TEMP"/>
    <n v="-3"/>
    <n v="-3"/>
    <x v="7"/>
    <n v="1"/>
    <x v="0"/>
    <x v="0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69/000020"/>
    <n v="1370146198"/>
    <n v="20"/>
    <x v="58"/>
    <x v="58"/>
    <s v="A9"/>
    <n v="8900492431"/>
    <n v="231"/>
    <n v="12522000001"/>
    <s v="012522000001 ROUND BAKING PAN VIRTUOSA            "/>
    <s v="S"/>
    <d v="2012-01-05T00:00:00"/>
    <m/>
    <s v="X"/>
    <x v="42"/>
    <n v="2.3199999999999998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6"/>
    <d v="2012-02-02T00:00:00"/>
    <m/>
    <n v="9321647978"/>
    <n v="20"/>
    <s v="UACU3422964"/>
    <s v="XIN PU DONG/1201W"/>
    <m/>
    <s v="YANTIAN"/>
    <s v="C-ETD-TEMP/"/>
    <m/>
    <s v="AGNES NUNES"/>
    <s v="FO9"/>
    <s v="COOKWARE                      "/>
    <s v="CONFIRMED"/>
    <n v="1"/>
    <n v="1"/>
    <d v="2012-01-05T00:00:00"/>
    <s v="COOKWARE                      "/>
    <s v="COOKWARE                      "/>
    <x v="5"/>
    <x v="2"/>
    <x v="16"/>
    <s v="C-ETD-TEMP"/>
    <n v="-3"/>
    <n v="-3"/>
    <x v="7"/>
    <n v="1"/>
    <x v="0"/>
    <x v="0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69/000030"/>
    <n v="1370146198"/>
    <n v="30"/>
    <x v="58"/>
    <x v="58"/>
    <s v="A9"/>
    <n v="8900492448"/>
    <n v="231"/>
    <n v="12522000002"/>
    <s v="012522000002 LARGE LOAF PAN  VIRTUOSA             "/>
    <s v="S"/>
    <d v="2012-01-10T00:00:00"/>
    <m/>
    <s v="X"/>
    <x v="42"/>
    <n v="2.17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0"/>
    <d v="2012-02-06T00:00:00"/>
    <m/>
    <n v="9321647978"/>
    <n v="30"/>
    <s v="TCLU5930646"/>
    <s v="HANJIN BRUSSLES/0070"/>
    <m/>
    <s v="YANTIAN"/>
    <s v="C-ETD-TEMP/C-LCL-SHIPT"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5"/>
    <x v="2"/>
    <x v="16"/>
    <s v="C-ETD-TEMP"/>
    <n v="-3"/>
    <n v="-3"/>
    <x v="7"/>
    <n v="2"/>
    <x v="0"/>
    <x v="0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69/000040"/>
    <n v="1370146198"/>
    <n v="40"/>
    <x v="58"/>
    <x v="58"/>
    <s v="A9"/>
    <n v="8900492455"/>
    <n v="231"/>
    <n v="12522000003"/>
    <s v="012522000003 14&quot;X10&quot;MEDIUM BAKING SHEET           "/>
    <s v="S"/>
    <d v="2012-01-05T00:00:00"/>
    <m/>
    <s v="X"/>
    <x v="42"/>
    <n v="3.02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6"/>
    <d v="2012-02-02T00:00:00"/>
    <m/>
    <n v="9321647978"/>
    <n v="40"/>
    <s v="UACU3422964"/>
    <s v="XIN PU DONG/1201W"/>
    <m/>
    <s v="YANTIAN"/>
    <s v="C-ETD-TEMP/"/>
    <m/>
    <s v="AGNES NUNES"/>
    <s v="FO9"/>
    <s v="COOKWARE                      "/>
    <s v="CONFIRMED"/>
    <n v="1"/>
    <n v="1"/>
    <d v="2012-01-05T00:00:00"/>
    <s v="COOKWARE                      "/>
    <s v="COOKWARE                      "/>
    <x v="5"/>
    <x v="2"/>
    <x v="16"/>
    <s v="C-ETD-TEMP"/>
    <n v="-3"/>
    <n v="-3"/>
    <x v="7"/>
    <n v="1"/>
    <x v="0"/>
    <x v="0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69/000050"/>
    <n v="1370146198"/>
    <n v="50"/>
    <x v="58"/>
    <x v="58"/>
    <s v="A9"/>
    <n v="8900492462"/>
    <n v="231"/>
    <n v="12522000004"/>
    <s v="012522000004 CAKE  BAKING PAN  VIRTUOSA           "/>
    <s v="S"/>
    <d v="2012-01-05T00:00:00"/>
    <m/>
    <s v="X"/>
    <x v="42"/>
    <n v="3.26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6"/>
    <d v="2012-02-02T00:00:00"/>
    <m/>
    <n v="9321647978"/>
    <n v="50"/>
    <s v="UACU3422964"/>
    <s v="XIN PU DONG/1201W"/>
    <m/>
    <s v="YANTIAN"/>
    <s v="C-ETD-TEMP/"/>
    <m/>
    <s v="AGNES NUNES"/>
    <s v="FO9"/>
    <s v="COOKWARE                      "/>
    <s v="CONFIRMED"/>
    <n v="1"/>
    <n v="1"/>
    <d v="2012-01-05T00:00:00"/>
    <s v="COOKWARE                      "/>
    <s v="COOKWARE                      "/>
    <x v="5"/>
    <x v="2"/>
    <x v="16"/>
    <s v="C-ETD-TEMP"/>
    <n v="-3"/>
    <n v="-3"/>
    <x v="7"/>
    <n v="1"/>
    <x v="0"/>
    <x v="0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69/000060"/>
    <n v="1370146198"/>
    <n v="60"/>
    <x v="58"/>
    <x v="58"/>
    <s v="A9"/>
    <n v="8900492479"/>
    <n v="231"/>
    <n v="12522000005"/>
    <s v="012522000005 12 CUPS MUFFIN PAN  VIRTUOS          "/>
    <s v="S"/>
    <d v="2012-01-05T00:00:00"/>
    <m/>
    <s v="X"/>
    <x v="42"/>
    <n v="4.05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6"/>
    <d v="2012-02-02T00:00:00"/>
    <m/>
    <n v="9321647978"/>
    <n v="60"/>
    <s v="UACU3422964"/>
    <s v="XIN PU DONG/1201W"/>
    <m/>
    <s v="YANTIAN"/>
    <s v="C-ETD-TEMP/"/>
    <m/>
    <s v="AGNES NUNES"/>
    <s v="FO9"/>
    <s v="COOKWARE                      "/>
    <s v="CONFIRMED"/>
    <n v="1"/>
    <n v="1"/>
    <d v="2012-01-05T00:00:00"/>
    <s v="COOKWARE                      "/>
    <s v="COOKWARE                      "/>
    <x v="5"/>
    <x v="2"/>
    <x v="16"/>
    <s v="C-ETD-TEMP"/>
    <n v="-3"/>
    <n v="-3"/>
    <x v="7"/>
    <n v="1"/>
    <x v="0"/>
    <x v="0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69/000070"/>
    <n v="1370146198"/>
    <n v="70"/>
    <x v="58"/>
    <x v="58"/>
    <s v="A9"/>
    <n v="8900492486"/>
    <n v="231"/>
    <n v="12522000006"/>
    <s v="012522000006 SPRINGFORM PAN CM.28  VIRTU          "/>
    <s v="S"/>
    <d v="2012-01-10T00:00:00"/>
    <m/>
    <s v="X"/>
    <x v="42"/>
    <n v="2.72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0"/>
    <d v="2012-02-06T00:00:00"/>
    <m/>
    <n v="9321647978"/>
    <n v="70"/>
    <s v="TCLU5930646"/>
    <s v="HANJIN BRUSSLES/0070"/>
    <m/>
    <s v="YANTIAN"/>
    <s v="C-ETD-TEMP/C-LCL-SHIPT"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5"/>
    <x v="2"/>
    <x v="16"/>
    <s v="C-ETD-TEMP"/>
    <n v="-3"/>
    <n v="-3"/>
    <x v="7"/>
    <n v="2"/>
    <x v="0"/>
    <x v="0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769/000080"/>
    <n v="1370146198"/>
    <n v="80"/>
    <x v="58"/>
    <x v="58"/>
    <s v="A9"/>
    <n v="8900493476"/>
    <n v="231"/>
    <n v="12522000007"/>
    <s v="012522000007 TART  PAN CM.27  VIRTUOSA            "/>
    <s v="S"/>
    <d v="2012-01-05T00:00:00"/>
    <m/>
    <s v="X"/>
    <x v="42"/>
    <n v="2.93"/>
    <n v="2412"/>
    <d v="2012-01-25T00:00:00"/>
    <d v="2011-12-28T00:00:00"/>
    <n v="1200"/>
    <d v="2012-01-02T00:00:00"/>
    <n v="1200"/>
    <m/>
    <d v="2011-12-28T00:00:00"/>
    <n v="1200"/>
    <d v="2012-01-30T00:00:00"/>
    <d v="2012-01-02T00:00:00"/>
    <n v="1200"/>
    <n v="1200"/>
    <x v="6"/>
    <d v="2012-02-02T00:00:00"/>
    <m/>
    <n v="9321647978"/>
    <n v="80"/>
    <s v="UACU3422964"/>
    <s v="XIN PU DONG/1201W"/>
    <m/>
    <s v="YANTIAN"/>
    <s v="C-ETD-TEMP/"/>
    <m/>
    <s v="AGNES NUNES"/>
    <s v="FO9"/>
    <s v="COOKWARE                      "/>
    <s v="CONFIRMED"/>
    <n v="1"/>
    <n v="1"/>
    <d v="2012-01-05T00:00:00"/>
    <s v="COOKWARE                      "/>
    <s v="COOKWARE                      "/>
    <x v="5"/>
    <x v="2"/>
    <x v="16"/>
    <s v="C-ETD-TEMP"/>
    <n v="-3"/>
    <n v="-3"/>
    <x v="7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40632/000010"/>
    <n v="1370145727"/>
    <n v="10"/>
    <x v="17"/>
    <x v="17"/>
    <s v="L4"/>
    <n v="1830003088"/>
    <n v="131"/>
    <s v="SF3012C4       "/>
    <s v="SF3012C4 ECO ELITE STRAIGHTENER                   "/>
    <s v="S"/>
    <d v="2012-01-18T00:00:00"/>
    <m/>
    <s v="X"/>
    <x v="42"/>
    <n v="7.21"/>
    <n v="6"/>
    <d v="2012-01-13T00:00:00"/>
    <d v="2011-12-09T00:00:00"/>
    <n v="3006"/>
    <d v="2012-01-13T00:00:00"/>
    <n v="3006"/>
    <m/>
    <d v="2011-12-09T00:00:00"/>
    <n v="3006"/>
    <d v="2012-02-21T00:00:00"/>
    <d v="2012-01-17T00:00:00"/>
    <n v="3006"/>
    <n v="3006"/>
    <x v="19"/>
    <d v="2012-02-21T00:00:00"/>
    <m/>
    <n v="9321647980"/>
    <n v="10"/>
    <s v="APZU3382610"/>
    <s v="APL DHAKA/002W"/>
    <m/>
    <s v="YANTIAN"/>
    <s v="CONS-SHIPT/C-POST-CONF/"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2"/>
    <x v="0"/>
    <x v="0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40625/000010"/>
    <n v="1370145765"/>
    <n v="10"/>
    <x v="17"/>
    <x v="17"/>
    <s v="L4"/>
    <n v="1830003109"/>
    <n v="5"/>
    <s v="CV4942C0       "/>
    <s v="CV4942C0 POWERLINE HAIR DRYER                     "/>
    <s v="S"/>
    <d v="2012-01-09T00:00:00"/>
    <m/>
    <s v="X"/>
    <x v="42"/>
    <n v="6.49"/>
    <n v="6"/>
    <d v="2012-01-13T00:00:00"/>
    <d v="2011-12-09T00:00:00"/>
    <n v="3006"/>
    <d v="2012-01-06T00:00:00"/>
    <n v="3006"/>
    <m/>
    <d v="2011-12-09T00:00:00"/>
    <n v="3006"/>
    <d v="2012-02-10T00:00:00"/>
    <d v="2012-01-06T00:00:00"/>
    <n v="3006"/>
    <n v="3006"/>
    <x v="7"/>
    <d v="2012-02-10T00:00:00"/>
    <m/>
    <n v="9321647981"/>
    <n v="10"/>
    <s v="MSKU6858902"/>
    <s v="MAERSK ESSEN/1202"/>
    <m/>
    <s v="YANTIAN"/>
    <s v="C-POST-CONF/"/>
    <m/>
    <s v="JASON FAN"/>
    <s v="FO9"/>
    <s v="PERSONAL CARE                 "/>
    <s v="CONFIRMED"/>
    <n v="1"/>
    <n v="1"/>
    <d v="2012-01-06T00:00:00"/>
    <s v="LINEN PERS HOME CARE          "/>
    <s v="PERSONAL CARE                 "/>
    <x v="3"/>
    <x v="2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54/000003"/>
    <n v="1370146505"/>
    <n v="30"/>
    <x v="17"/>
    <x v="17"/>
    <s v="L4"/>
    <n v="1830003294"/>
    <n v="5"/>
    <s v="CV4550K0       "/>
    <s v="CV4550K0 COLLECTION HAIR DRYER                    "/>
    <s v="S"/>
    <d v="2012-01-10T00:00:00"/>
    <m/>
    <s v="X"/>
    <x v="42"/>
    <n v="7.74"/>
    <n v="9"/>
    <d v="2011-12-26T00:00:00"/>
    <d v="2011-12-12T00:00:00"/>
    <n v="3000"/>
    <d v="2012-01-07T00:00:00"/>
    <n v="3000"/>
    <m/>
    <d v="2011-12-12T00:00:00"/>
    <n v="3000"/>
    <d v="2012-01-21T00:00:00"/>
    <d v="2012-01-07T00:00:00"/>
    <n v="3000"/>
    <n v="3000"/>
    <x v="12"/>
    <d v="2012-01-21T00:00:00"/>
    <m/>
    <n v="9321647987"/>
    <n v="20"/>
    <s v="MSKU4206612"/>
    <s v="CONVENT/1202"/>
    <m/>
    <s v="YANTIAN"/>
    <s v="CONS-SHIPT/C-POST-CONF/"/>
    <m/>
    <s v="AGNES NUNES"/>
    <s v="FO9"/>
    <s v="PERSONAL CARE                 "/>
    <s v="CONFIRMED"/>
    <n v="1"/>
    <n v="1"/>
    <d v="2012-01-07T00:00:00"/>
    <s v="LINEN PERS HOME CARE          "/>
    <s v="PERSONAL CARE                 "/>
    <x v="3"/>
    <x v="2"/>
    <x v="10"/>
    <s v="CONS-SHIPT"/>
    <n v="-3"/>
    <n v="-3"/>
    <x v="8"/>
    <n v="2"/>
    <x v="0"/>
    <x v="0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47614/000010"/>
    <n v="1370146577"/>
    <n v="10"/>
    <x v="14"/>
    <x v="14"/>
    <s v="J2"/>
    <n v="1110030293"/>
    <n v="1"/>
    <s v="               "/>
    <s v="DX1351D1 STEAM IRON                               "/>
    <s v="S"/>
    <d v="2012-01-06T00:00:00"/>
    <m/>
    <s v="X"/>
    <x v="42"/>
    <n v="9.74"/>
    <n v="8"/>
    <d v="2012-01-16T00:00:00"/>
    <d v="2011-12-19T00:00:00"/>
    <n v="3450"/>
    <d v="2012-01-05T00:00:00"/>
    <n v="3450"/>
    <m/>
    <d v="2011-12-15T00:00:00"/>
    <n v="3450"/>
    <d v="2012-02-02T00:00:00"/>
    <d v="2012-01-05T00:00:00"/>
    <n v="3450"/>
    <n v="3450"/>
    <x v="6"/>
    <d v="2012-02-02T00:00:00"/>
    <m/>
    <n v="9321647991"/>
    <n v="10"/>
    <s v="TGHU2372961"/>
    <s v="HANJIN BRUSSELS/070W"/>
    <m/>
    <s v="NINGBO"/>
    <s v="C-POST-CONF/"/>
    <m/>
    <s v="JASON FAN"/>
    <s v="FO9"/>
    <s v="LINEN CARE                    "/>
    <s v="CONFIRMED"/>
    <n v="1"/>
    <n v="1"/>
    <d v="2012-01-05T00:00:00"/>
    <s v="LINEN PERS HOME CARE          "/>
    <s v="LINEN CARE                    "/>
    <x v="6"/>
    <x v="2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800/000130"/>
    <n v="1370146377"/>
    <n v="130"/>
    <x v="6"/>
    <x v="6"/>
    <s v="N3"/>
    <n v="1500573949"/>
    <n v="116"/>
    <n v="573949"/>
    <s v="OW502331 BM XXL BAGUETTE RELIFT ITALIA            "/>
    <s v="S"/>
    <d v="2012-01-10T00:00:00"/>
    <m/>
    <s v="X"/>
    <x v="42"/>
    <n v="48.89"/>
    <n v="5467"/>
    <d v="2012-01-23T00:00:00"/>
    <d v="2011-12-26T00:00:00"/>
    <n v="870"/>
    <d v="2012-01-09T00:00:00"/>
    <n v="870"/>
    <m/>
    <d v="2011-12-26T00:00:00"/>
    <n v="870"/>
    <d v="2012-02-06T00:00:00"/>
    <d v="2012-01-09T00:00:00"/>
    <n v="870"/>
    <n v="870"/>
    <x v="6"/>
    <d v="2012-02-02T00:00:00"/>
    <m/>
    <n v="9321647997"/>
    <n v="20"/>
    <s v="UACU8082804"/>
    <s v="ZHONG HANG 921/12010"/>
    <m/>
    <s v="ZHUHAI"/>
    <s v="C-POST-CONF/"/>
    <m/>
    <s v="JASON FAN"/>
    <s v="FO9"/>
    <s v="ELECTRICAL COOKING            "/>
    <s v="CONFIRMED"/>
    <n v="1"/>
    <n v="1"/>
    <d v="2012-01-05T00:00:00"/>
    <s v="KITCHEN ELECTRICS             "/>
    <s v="ELECTRICAL COOKING            "/>
    <x v="2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0211/000010"/>
    <n v="1370146111"/>
    <n v="10"/>
    <x v="43"/>
    <x v="43"/>
    <s v="N3"/>
    <n v="1500576660"/>
    <n v="116"/>
    <n v="576660"/>
    <s v="OW110131 BMK HOME BREAD PROMO 900G WHT P          "/>
    <s v="S"/>
    <d v="2012-01-06T00:00:00"/>
    <m/>
    <s v="X"/>
    <x v="42"/>
    <n v="33.01"/>
    <n v="118"/>
    <d v="2012-02-01T00:00:00"/>
    <d v="2011-12-21T00:00:00"/>
    <n v="1217"/>
    <d v="2011-12-29T00:00:00"/>
    <n v="1217"/>
    <m/>
    <d v="2011-12-29T00:00:00"/>
    <n v="1217"/>
    <d v="2012-02-15T00:00:00"/>
    <d v="2012-01-04T00:00:00"/>
    <n v="1217"/>
    <n v="1217"/>
    <x v="2"/>
    <d v="2012-02-15T00:00:00"/>
    <m/>
    <n v="9321648001"/>
    <n v="10"/>
    <s v="TEXU7172232"/>
    <s v="EBBA MAERSK 1202/"/>
    <m/>
    <s v="YANTIAN"/>
    <s v="C-POST-CONF/SP-OVERCAP/"/>
    <m/>
    <s v="KENUS WONG"/>
    <s v="FO9"/>
    <s v="ELECTRICAL COOKING            "/>
    <s v="CONFIRMED"/>
    <n v="1"/>
    <n v="1"/>
    <d v="2012-01-04T00:00:00"/>
    <s v="KITCHEN ELECTRICS             "/>
    <s v="ELECTRICAL COOKING            "/>
    <x v="1"/>
    <x v="1"/>
    <x v="3"/>
    <s v="C-POST-CONF"/>
    <n v="-3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2102"/>
    <s v="GROUPE SEB ITALIA S.p.a                           "/>
    <n v="99002102"/>
    <x v="14"/>
    <s v="4600078800/000120"/>
    <n v="1370146377"/>
    <n v="120"/>
    <x v="43"/>
    <x v="43"/>
    <s v="N3"/>
    <n v="1500576659"/>
    <n v="116"/>
    <n v="576659"/>
    <s v="OW110130 BDM HOME BREAD PR 900G WHT EUR           "/>
    <s v="S"/>
    <d v="2012-01-05T00:00:00"/>
    <m/>
    <s v="X"/>
    <x v="42"/>
    <n v="32.89"/>
    <n v="5467"/>
    <d v="2012-01-23T00:00:00"/>
    <d v="2011-12-26T00:00:00"/>
    <n v="1217"/>
    <d v="2012-01-02T00:00:00"/>
    <n v="1217"/>
    <m/>
    <d v="2011-12-26T00:00:00"/>
    <n v="1217"/>
    <d v="2012-01-30T00:00:00"/>
    <d v="2012-01-02T00:00:00"/>
    <n v="1217"/>
    <n v="1217"/>
    <x v="3"/>
    <d v="2012-01-30T00:00:00"/>
    <m/>
    <n v="9321648003"/>
    <n v="20"/>
    <s v="TOLU3506669"/>
    <s v="HANJIN AMSTERDAM/007"/>
    <m/>
    <s v="YANTIAN"/>
    <s v="C-POST-CONF/"/>
    <m/>
    <s v="JASON FAN"/>
    <s v="FO9"/>
    <s v="ELECTRICAL COOKING            "/>
    <s v="CONFIRMED"/>
    <n v="1"/>
    <n v="1"/>
    <d v="2012-01-02T00:00:00"/>
    <s v="KITCHEN ELECTRICS             "/>
    <s v="ELECTRICAL COOKING            "/>
    <x v="1"/>
    <x v="1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800/000060"/>
    <n v="1370146377"/>
    <n v="60"/>
    <x v="59"/>
    <x v="59"/>
    <s v="P1"/>
    <n v="1500677835"/>
    <n v="36"/>
    <n v="677835"/>
    <s v="LM121135 BLD MINI MULTI+MCF+MH WHT TH             "/>
    <s v="S"/>
    <d v="2012-01-05T00:00:00"/>
    <m/>
    <s v="X"/>
    <x v="42"/>
    <n v="13.55"/>
    <n v="5467"/>
    <d v="2012-01-30T00:00:00"/>
    <d v="2012-01-02T00:00:00"/>
    <n v="2800"/>
    <d v="2012-01-02T00:00:00"/>
    <n v="2800"/>
    <m/>
    <d v="2012-01-02T00:00:00"/>
    <n v="2800"/>
    <d v="2012-01-30T00:00:00"/>
    <d v="2012-01-02T00:00:00"/>
    <n v="2800"/>
    <n v="2800"/>
    <x v="16"/>
    <d v="2012-01-31T00:00:00"/>
    <m/>
    <n v="9321648005"/>
    <n v="10"/>
    <s v="UACU3279447"/>
    <s v="HANJIN AMSTERDAM/007"/>
    <m/>
    <s v="YANTIAN"/>
    <m/>
    <m/>
    <s v="JASON FAN"/>
    <s v="FO9"/>
    <s v="FOOD PREPARATION              "/>
    <s v="CONFIRMED"/>
    <n v="1"/>
    <n v="1"/>
    <d v="2012-01-03T00:00:00"/>
    <s v="KITCHEN ELECTRICS             "/>
    <s v="FOOD PREPARATION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0289/000010"/>
    <n v="1370146327"/>
    <n v="10"/>
    <x v="44"/>
    <x v="44"/>
    <s v="P1"/>
    <n v="1500852331"/>
    <n v="25"/>
    <n v="852331"/>
    <s v="852331 KNF TEFAL WHT/GRG INTERN                   "/>
    <s v="S"/>
    <d v="2012-01-29T00:00:00"/>
    <m/>
    <s v="X"/>
    <x v="42"/>
    <n v="8.16"/>
    <n v="7"/>
    <d v="2012-01-23T00:00:00"/>
    <d v="2011-12-19T00:00:00"/>
    <n v="3000"/>
    <d v="2012-01-23T00:00:00"/>
    <n v="3000"/>
    <m/>
    <d v="2011-12-19T00:00:00"/>
    <n v="3000"/>
    <d v="2012-02-27T00:00:00"/>
    <d v="2012-01-23T00:00:00"/>
    <n v="3000"/>
    <n v="3000"/>
    <x v="1"/>
    <d v="2012-02-27T00:00:00"/>
    <m/>
    <n v="9321648008"/>
    <n v="10"/>
    <s v="CAXU7451458"/>
    <s v="HYUNDAI NAVARINO/006"/>
    <m/>
    <s v="SHENZHEN"/>
    <s v="SAILING-SCHED-UPDATE/"/>
    <m/>
    <s v="AGNES NUNES"/>
    <s v="FO9"/>
    <s v="FOOD PREPARATION              "/>
    <s v="CONFIRMED"/>
    <n v="1"/>
    <n v="4"/>
    <d v="2012-01-23T00:00:00"/>
    <s v="KITCHEN ELECTRICS             "/>
    <s v="FOOD PREPARATION              "/>
    <x v="2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800/000010"/>
    <n v="1370146377"/>
    <n v="10"/>
    <x v="24"/>
    <x v="24"/>
    <s v="N1"/>
    <n v="2100062430"/>
    <n v="52"/>
    <s v="SM156845       "/>
    <s v="SM156845 SDW ULTRACOMPACT RUBIS PANINI M          "/>
    <s v="S"/>
    <d v="2012-01-05T00:00:00"/>
    <m/>
    <s v="X"/>
    <x v="42"/>
    <n v="8.36"/>
    <n v="5467"/>
    <d v="2012-01-30T00:00:00"/>
    <d v="2012-01-02T00:00:00"/>
    <n v="2940"/>
    <d v="2012-01-02T00:00:00"/>
    <n v="2940"/>
    <m/>
    <d v="2012-01-05T00:00:00"/>
    <n v="2940"/>
    <d v="2012-01-31T00:00:00"/>
    <d v="2012-01-03T00:00:00"/>
    <n v="2940"/>
    <n v="2940"/>
    <x v="16"/>
    <d v="2012-01-31T00:00:00"/>
    <m/>
    <n v="9321648012"/>
    <n v="10"/>
    <s v="UACU3425006"/>
    <s v="XIN PU DONG/1201W"/>
    <m/>
    <s v="NINGBO"/>
    <s v="SP-INSP-FAILED/C-PULLIN-CONF/"/>
    <m/>
    <s v="JASON FAN"/>
    <s v="FO9"/>
    <s v="ELECTRICAL COOKING            "/>
    <s v="CONFIRMED"/>
    <n v="1"/>
    <n v="1"/>
    <d v="2012-01-03T00:00:00"/>
    <s v="KITCHEN ELECTRICS             "/>
    <s v="ELECTRICAL COOKING            "/>
    <x v="1"/>
    <x v="1"/>
    <x v="12"/>
    <s v="SP-INSP-FAILED"/>
    <n v="1"/>
    <n v="1"/>
    <x v="12"/>
    <n v="2"/>
    <x v="0"/>
    <x v="1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37769/000010"/>
    <n v="1370144212"/>
    <n v="10"/>
    <x v="48"/>
    <x v="48"/>
    <s v="A3"/>
    <n v="2100057715"/>
    <n v="235"/>
    <s v="K0080312       "/>
    <s v="K0080312 ANGLE SPAT NEW INT BLACK/MER TE          "/>
    <s v="S"/>
    <d v="2012-01-19T00:00:00"/>
    <m/>
    <s v="X"/>
    <x v="42"/>
    <n v="1.3160000000000001"/>
    <n v="1"/>
    <d v="2012-02-17T00:00:00"/>
    <d v="2012-01-13T00:00:00"/>
    <n v="3360"/>
    <d v="2011-12-17T00:00:00"/>
    <n v="3360"/>
    <m/>
    <d v="2011-12-17T00:00:00"/>
    <n v="3360"/>
    <d v="2012-02-17T00:00:00"/>
    <d v="2012-01-13T00:00:00"/>
    <n v="3360"/>
    <n v="3360"/>
    <x v="21"/>
    <d v="2012-02-22T00:00:00"/>
    <m/>
    <n v="9321648014"/>
    <n v="10"/>
    <s v="TRLU4821470"/>
    <s v="APL HAMBURG/015W"/>
    <m/>
    <s v="SHENZHEN"/>
    <s v="SP-QLY/CONS-SHIPT/"/>
    <m/>
    <s v="JASON FAN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3"/>
    <s v="CONS-SHIPT"/>
    <n v="1"/>
    <n v="-3"/>
    <x v="8"/>
    <n v="2"/>
    <x v="0"/>
    <x v="1"/>
    <x v="0"/>
    <n v="1"/>
    <n v="0"/>
    <n v="0"/>
    <n v="0"/>
    <n v="0"/>
    <n v="0"/>
    <x v="0"/>
    <x v="1"/>
    <x v="1"/>
    <x v="0"/>
  </r>
  <r>
    <s v="Shipment"/>
    <n v="99003600"/>
    <s v="GROUPE SEB ISTANBUL EV ALETLERI                   "/>
    <n v="99003600"/>
    <x v="13"/>
    <s v="4500259789/000010"/>
    <n v="1370145636"/>
    <n v="10"/>
    <x v="60"/>
    <x v="60"/>
    <s v="L4"/>
    <n v="1830003869"/>
    <n v="175"/>
    <s v="CF3332F0       "/>
    <s v="CF3332F0 CURLING TONG                             "/>
    <s v="S"/>
    <d v="2012-01-05T00:00:00"/>
    <m/>
    <s v="X"/>
    <x v="42"/>
    <n v="5.85"/>
    <n v="12711"/>
    <d v="2012-01-26T00:00:00"/>
    <d v="2011-12-22T00:00:00"/>
    <n v="3024"/>
    <d v="2012-01-03T00:00:00"/>
    <n v="3024"/>
    <m/>
    <d v="2011-12-22T00:00:00"/>
    <n v="3024"/>
    <d v="2012-02-07T00:00:00"/>
    <d v="2012-01-03T00:00:00"/>
    <n v="3024"/>
    <n v="3024"/>
    <x v="3"/>
    <d v="2012-02-06T00:00:00"/>
    <m/>
    <n v="9321648016"/>
    <n v="10"/>
    <s v="MRKU0089558"/>
    <s v="NEDLLOYD DRAKE/1202"/>
    <m/>
    <s v="NINGBO"/>
    <m/>
    <m/>
    <s v="KENUS WONG"/>
    <s v="FO9"/>
    <s v="PERSONAL CARE                 "/>
    <s v="CONFIRMED"/>
    <n v="1"/>
    <n v="1"/>
    <d v="2012-01-02T00:00:00"/>
    <s v="LINEN PERS HOME CARE          "/>
    <s v="PERSONAL CARE                 "/>
    <x v="6"/>
    <x v="2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800/000090"/>
    <n v="1370146377"/>
    <n v="90"/>
    <x v="23"/>
    <x v="23"/>
    <s v="N4"/>
    <n v="2802102300"/>
    <n v="32"/>
    <s v="VC100230       "/>
    <s v="VC100230 STMC ULTRA COMPACT PL 2B                 "/>
    <s v="S"/>
    <d v="2012-01-16T00:00:00"/>
    <m/>
    <s v="X"/>
    <x v="42"/>
    <n v="18.578800000000001"/>
    <n v="5467"/>
    <d v="2012-01-30T00:00:00"/>
    <d v="2012-01-02T00:00:00"/>
    <n v="1092"/>
    <d v="2012-01-15T00:00:00"/>
    <n v="1092"/>
    <m/>
    <d v="2011-12-30T00:00:00"/>
    <n v="1092"/>
    <d v="2012-02-12T00:00:00"/>
    <d v="2012-01-15T00:00:00"/>
    <n v="1092"/>
    <n v="1092"/>
    <x v="9"/>
    <d v="2012-02-11T00:00:00"/>
    <m/>
    <n v="9321648028"/>
    <n v="10"/>
    <s v="OOLU7647125"/>
    <s v="APL HAMBURG/015W"/>
    <m/>
    <s v="SHANGHAI"/>
    <s v="C-POST-CONF"/>
    <m/>
    <s v="JASON FAN"/>
    <s v="FO9"/>
    <s v="ELECTRICAL COOKING            "/>
    <s v="CONFIRMED"/>
    <n v="1"/>
    <n v="2"/>
    <d v="2012-01-14T00:00:00"/>
    <s v="KITCHEN ELECTRICS             "/>
    <s v="ELECTRICAL COOKING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800/000100"/>
    <n v="1370146377"/>
    <n v="100"/>
    <x v="23"/>
    <x v="23"/>
    <s v="N4"/>
    <n v="2820400333"/>
    <n v="32"/>
    <n v="632727"/>
    <s v="VS400333 STMC VITACUIS.COMP.  3B BLK/GRN          "/>
    <s v="S"/>
    <d v="2012-01-19T00:00:00"/>
    <m/>
    <s v="X"/>
    <x v="42"/>
    <n v="38.811"/>
    <n v="5467"/>
    <d v="2012-01-23T00:00:00"/>
    <d v="2011-12-26T00:00:00"/>
    <n v="1332"/>
    <d v="2011-12-26T00:00:00"/>
    <n v="1332"/>
    <m/>
    <d v="2011-12-26T00:00:00"/>
    <n v="1332"/>
    <d v="2012-02-17T00:00:00"/>
    <d v="2012-01-20T00:00:00"/>
    <n v="1332"/>
    <n v="1332"/>
    <x v="26"/>
    <d v="2012-02-18T00:00:00"/>
    <m/>
    <n v="9321648028"/>
    <n v="20"/>
    <s v="HJCU4466807"/>
    <s v="XIN QING DAO/1204W"/>
    <m/>
    <s v="SHANGHAI"/>
    <s v="SP-MTL"/>
    <m/>
    <s v="JASON FAN"/>
    <s v="FO9"/>
    <s v="ELECTRICAL COOKING            "/>
    <s v="CONFIRMED"/>
    <n v="1"/>
    <n v="3"/>
    <d v="2012-01-21T00:00:00"/>
    <s v="KITCHEN ELECTRICS             "/>
    <s v="ELECTRICAL COOKING            "/>
    <x v="0"/>
    <x v="0"/>
    <x v="9"/>
    <s v="SP-MTL"/>
    <n v="1"/>
    <n v="1"/>
    <x v="10"/>
    <n v="1"/>
    <x v="0"/>
    <x v="0"/>
    <x v="0"/>
    <n v="0"/>
    <n v="0"/>
    <n v="0"/>
    <n v="0"/>
    <n v="0"/>
    <n v="0"/>
    <x v="1"/>
    <x v="0"/>
    <x v="1"/>
    <x v="0"/>
  </r>
  <r>
    <s v="Shipment"/>
    <n v="99002601"/>
    <s v="GROUPE SEB UK LTD                                 "/>
    <n v="99002601"/>
    <x v="10"/>
    <s v="9321647304/000010"/>
    <n v="1370146412"/>
    <n v="10"/>
    <x v="23"/>
    <x v="23"/>
    <s v="J3"/>
    <n v="2820448601"/>
    <n v="1"/>
    <s v="FV4486G1       "/>
    <s v="FV4486G1 STEAM IRON ULTRAGLIDE EASYCORD           "/>
    <s v="S"/>
    <d v="2012-01-05T00:00:00"/>
    <m/>
    <s v="X"/>
    <x v="42"/>
    <n v="19.7056"/>
    <n v="14029"/>
    <d v="2012-02-06T00:00:00"/>
    <d v="2012-01-02T00:00:00"/>
    <n v="2376"/>
    <d v="2012-01-02T00:00:00"/>
    <n v="2376"/>
    <m/>
    <d v="2012-01-09T00:00:00"/>
    <n v="2376"/>
    <d v="2012-02-13T00:00:00"/>
    <d v="2012-01-09T00:00:00"/>
    <n v="2376"/>
    <n v="2376"/>
    <x v="3"/>
    <d v="2012-02-06T00:00:00"/>
    <m/>
    <n v="9321648032"/>
    <n v="10"/>
    <s v="PONU1903742"/>
    <s v="SVEND MAERSK 1202/"/>
    <m/>
    <s v="SHANGHAI"/>
    <m/>
    <m/>
    <s v="KENUS WONG"/>
    <s v="FO9"/>
    <s v="LINEN CARE                    "/>
    <s v="CONFIRMED"/>
    <n v="1"/>
    <n v="1"/>
    <d v="2012-01-02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59739/000010"/>
    <n v="1370145626"/>
    <n v="10"/>
    <x v="0"/>
    <x v="0"/>
    <s v="A1"/>
    <n v="2100066088"/>
    <n v="207"/>
    <n v="115003225"/>
    <s v="H1150454 FP24 FLAVOUR TP3 BLACK TEFAL             "/>
    <s v="S"/>
    <d v="2012-01-10T00:00:00"/>
    <m/>
    <s v="X"/>
    <x v="42"/>
    <n v="8.8256999999999994"/>
    <n v="1987"/>
    <d v="2012-01-12T00:00:00"/>
    <d v="2011-12-08T00:00:00"/>
    <n v="1000"/>
    <d v="2012-01-03T00:00:00"/>
    <n v="1000"/>
    <m/>
    <d v="2012-01-03T00:00:00"/>
    <n v="1000"/>
    <d v="2012-02-12T00:00:00"/>
    <d v="2012-01-08T00:00:00"/>
    <n v="1000"/>
    <n v="1000"/>
    <x v="23"/>
    <d v="2012-02-12T00:00:00"/>
    <m/>
    <n v="9321648045"/>
    <n v="10"/>
    <s v="MSKU8406265"/>
    <s v="CMA CGM VESPUCCI/VA1"/>
    <m/>
    <s v="NINGBO"/>
    <s v="SP-OVERCAP/"/>
    <m/>
    <s v="KENUS WO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2901"/>
    <s v="GROUPE SEB CENTRAL EUROPE KFT.                    "/>
    <n v="99002901"/>
    <x v="29"/>
    <s v="4500259739/000020"/>
    <n v="1370145626"/>
    <n v="20"/>
    <x v="0"/>
    <x v="0"/>
    <s v="A1"/>
    <n v="2100066089"/>
    <n v="207"/>
    <n v="115003226"/>
    <s v="H1150654 FP28 FLAVOUR TP3 BLACK TEFAL             "/>
    <s v="S"/>
    <d v="2012-01-10T00:00:00"/>
    <m/>
    <s v="X"/>
    <x v="42"/>
    <n v="10.7475"/>
    <n v="1987"/>
    <d v="2012-01-12T00:00:00"/>
    <d v="2011-12-08T00:00:00"/>
    <n v="1000"/>
    <d v="2012-01-03T00:00:00"/>
    <n v="1000"/>
    <m/>
    <d v="2012-01-03T00:00:00"/>
    <n v="1000"/>
    <d v="2012-02-12T00:00:00"/>
    <d v="2012-01-08T00:00:00"/>
    <n v="1000"/>
    <n v="1000"/>
    <x v="23"/>
    <d v="2012-02-12T00:00:00"/>
    <m/>
    <n v="9321648045"/>
    <n v="20"/>
    <s v="MSKU8406265"/>
    <s v="CMA CGM VESPUCCI/VA1"/>
    <m/>
    <s v="NINGBO"/>
    <s v="SP-OVERCAP/"/>
    <m/>
    <s v="KENUS WO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2901"/>
    <s v="GROUPE SEB CENTRAL EUROPE KFT.                    "/>
    <n v="99002901"/>
    <x v="29"/>
    <s v="4500259739/000030"/>
    <n v="1370145626"/>
    <n v="30"/>
    <x v="0"/>
    <x v="0"/>
    <s v="A1"/>
    <n v="2100066090"/>
    <n v="207"/>
    <n v="115003227"/>
    <s v="H1154054 FPGRILL 26X26 FLAVOUR TP3 BLACK          "/>
    <s v="S"/>
    <d v="2012-01-10T00:00:00"/>
    <m/>
    <s v="X"/>
    <x v="42"/>
    <n v="9.8508999999999993"/>
    <n v="1987"/>
    <d v="2012-01-12T00:00:00"/>
    <d v="2011-12-08T00:00:00"/>
    <n v="1000"/>
    <d v="2012-01-03T00:00:00"/>
    <n v="1000"/>
    <m/>
    <d v="2012-01-03T00:00:00"/>
    <n v="1200"/>
    <d v="2012-02-12T00:00:00"/>
    <d v="2012-01-08T00:00:00"/>
    <n v="1000"/>
    <n v="1000"/>
    <x v="23"/>
    <d v="2012-02-12T00:00:00"/>
    <m/>
    <n v="9321648045"/>
    <n v="30"/>
    <s v="MSKU8406265"/>
    <s v="CMA CGM VESPUCCI/VA1"/>
    <m/>
    <s v="NINGBO"/>
    <s v="SP-OVERCAP/"/>
    <m/>
    <s v="KENUS WO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87"/>
    <s v="TARGETDIRECT 3850/APL LOGISTICS LTD               "/>
    <n v="99008400"/>
    <x v="12"/>
    <s v="9321643739/000020"/>
    <n v="1370145658"/>
    <n v="20"/>
    <x v="0"/>
    <x v="0"/>
    <s v="A1"/>
    <n v="2100067457"/>
    <n v="201"/>
    <n v="115003367"/>
    <s v="D19308FT &quot;TNS SIMPLY COOK 12.5&quot;&quot; SAUTE&quot;           "/>
    <s v="S"/>
    <d v="2012-01-09T00:00:00"/>
    <m/>
    <s v="X"/>
    <x v="42"/>
    <n v="6.6738999999999997"/>
    <n v="7"/>
    <d v="2012-01-09T00:00:00"/>
    <d v="2012-01-09T00:00:00"/>
    <n v="1526"/>
    <d v="2012-01-11T00:00:00"/>
    <n v="1526"/>
    <m/>
    <d v="2012-01-04T00:00:00"/>
    <n v="1526"/>
    <d v="2012-01-11T00:00:00"/>
    <d v="2012-01-11T00:00:00"/>
    <n v="1526"/>
    <n v="1526"/>
    <x v="17"/>
    <d v="2012-01-11T00:00:00"/>
    <m/>
    <n v="9321648048"/>
    <n v="10"/>
    <s v="XINU8187033"/>
    <s v="YM COLOMBO"/>
    <m/>
    <s v="NINGBO"/>
    <s v="C-FINALCUSTOMER-REQ/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9/000120"/>
    <n v="1370145658"/>
    <n v="120"/>
    <x v="0"/>
    <x v="0"/>
    <s v="A1"/>
    <n v="2100067455"/>
    <n v="201"/>
    <n v="115003369"/>
    <s v="D19382FTA JC30LID B STR SIMP CLEAN TC TP          "/>
    <s v="S"/>
    <d v="2012-01-09T00:00:00"/>
    <m/>
    <s v="X"/>
    <x v="42"/>
    <n v="9.8147000000000002"/>
    <n v="7"/>
    <d v="2012-01-09T00:00:00"/>
    <d v="2012-01-09T00:00:00"/>
    <n v="1020"/>
    <d v="2012-01-11T00:00:00"/>
    <n v="1020"/>
    <m/>
    <d v="2012-01-04T00:00:00"/>
    <n v="1020"/>
    <d v="2012-01-11T00:00:00"/>
    <d v="2012-01-11T00:00:00"/>
    <n v="1020"/>
    <n v="1020"/>
    <x v="17"/>
    <d v="2012-01-11T00:00:00"/>
    <m/>
    <n v="9321648048"/>
    <n v="20"/>
    <s v="EISU8067417"/>
    <s v="YM COLOMBO"/>
    <m/>
    <s v="NINGBO"/>
    <s v="C-FINALCUSTOMER-REQ/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9/000010"/>
    <n v="1370145658"/>
    <n v="10"/>
    <x v="0"/>
    <x v="0"/>
    <s v="A1"/>
    <n v="2100067461"/>
    <n v="201"/>
    <n v="116001091"/>
    <s v="D193SFFT T-FAL TNS SIMPLY COOK 15PC SET           "/>
    <s v="S"/>
    <d v="2012-01-09T00:00:00"/>
    <m/>
    <s v="X"/>
    <x v="42"/>
    <n v="40.761099999999999"/>
    <n v="7"/>
    <d v="2012-01-09T00:00:00"/>
    <d v="2012-01-09T00:00:00"/>
    <n v="253"/>
    <d v="2012-01-11T00:00:00"/>
    <n v="253"/>
    <m/>
    <d v="2012-01-04T00:00:00"/>
    <n v="253"/>
    <d v="2012-01-11T00:00:00"/>
    <d v="2012-01-11T00:00:00"/>
    <n v="253"/>
    <n v="253"/>
    <x v="17"/>
    <d v="2012-01-11T00:00:00"/>
    <m/>
    <n v="9321648048"/>
    <n v="30"/>
    <s v="EISU8067417"/>
    <s v="YM COLOMBO"/>
    <m/>
    <s v="NINGBO"/>
    <s v="C-FINALCUSTOMER-REQ/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9/000030"/>
    <n v="1370145658"/>
    <n v="30"/>
    <x v="0"/>
    <x v="0"/>
    <s v="A1"/>
    <n v="2100067449"/>
    <n v="204"/>
    <n v="115003373"/>
    <s v="D19207FT FP30 B GAS PRO GR EN MET BLACK           "/>
    <s v="S"/>
    <d v="2012-01-09T00:00:00"/>
    <m/>
    <s v="X"/>
    <x v="42"/>
    <n v="9.3571000000000009"/>
    <n v="7"/>
    <d v="2012-01-09T00:00:00"/>
    <d v="2012-01-09T00:00:00"/>
    <n v="532"/>
    <d v="2012-01-11T00:00:00"/>
    <n v="532"/>
    <m/>
    <d v="2012-01-04T00:00:00"/>
    <n v="532"/>
    <d v="2012-01-11T00:00:00"/>
    <d v="2012-01-11T00:00:00"/>
    <n v="532"/>
    <n v="532"/>
    <x v="17"/>
    <d v="2012-01-11T00:00:00"/>
    <m/>
    <n v="9321648048"/>
    <n v="40"/>
    <s v="XINU8187033"/>
    <s v="YM COLOMBO"/>
    <m/>
    <s v="NINGBO"/>
    <s v="C-FINALCUSTOMER-REQ/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9/000040"/>
    <n v="1370145658"/>
    <n v="40"/>
    <x v="0"/>
    <x v="0"/>
    <s v="A1"/>
    <n v="2100068155"/>
    <n v="201"/>
    <n v="115003438"/>
    <s v="A76379FT DEEP S.POT22LID B STR SPECIALTY          "/>
    <s v="S"/>
    <d v="2012-01-09T00:00:00"/>
    <m/>
    <s v="X"/>
    <x v="42"/>
    <n v="10.6791"/>
    <n v="7"/>
    <d v="2012-01-09T00:00:00"/>
    <d v="2012-01-09T00:00:00"/>
    <n v="435"/>
    <d v="2012-01-11T00:00:00"/>
    <n v="435"/>
    <m/>
    <d v="2012-01-04T00:00:00"/>
    <n v="435"/>
    <d v="2012-01-11T00:00:00"/>
    <d v="2012-01-11T00:00:00"/>
    <n v="435"/>
    <n v="435"/>
    <x v="17"/>
    <d v="2012-01-11T00:00:00"/>
    <m/>
    <n v="9321648048"/>
    <n v="50"/>
    <s v="XINU8187033"/>
    <s v="YM COLOMBO"/>
    <m/>
    <s v="NINGBO"/>
    <s v="C-FINALCUSTOMER-REQ/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9/000050"/>
    <n v="1370145658"/>
    <n v="50"/>
    <x v="0"/>
    <x v="0"/>
    <s v="A1"/>
    <n v="2100068157"/>
    <n v="201"/>
    <n v="115003444"/>
    <s v="A76380FT DEEP S.POT24LID B STR SPECIALTY          "/>
    <s v="S"/>
    <d v="2012-01-09T00:00:00"/>
    <m/>
    <s v="X"/>
    <x v="42"/>
    <n v="13.0365"/>
    <n v="7"/>
    <d v="2012-01-09T00:00:00"/>
    <d v="2012-01-09T00:00:00"/>
    <n v="111"/>
    <d v="2012-01-11T00:00:00"/>
    <n v="111"/>
    <m/>
    <d v="2012-01-04T00:00:00"/>
    <n v="111"/>
    <d v="2012-01-11T00:00:00"/>
    <d v="2012-01-11T00:00:00"/>
    <n v="111"/>
    <n v="111"/>
    <x v="17"/>
    <d v="2012-01-11T00:00:00"/>
    <m/>
    <n v="9321648048"/>
    <n v="60"/>
    <s v="XINU8187033"/>
    <s v="YM COLOMBO"/>
    <m/>
    <s v="NINGBO"/>
    <s v="C-FINALCUSTOMER-REQ/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9/000060"/>
    <n v="1370145658"/>
    <n v="60"/>
    <x v="0"/>
    <x v="0"/>
    <s v="A1"/>
    <n v="2100067443"/>
    <n v="208"/>
    <n v="115003361"/>
    <s v="D92219FT W28 B STD PRO CK HARD ANOD TP4           "/>
    <s v="S"/>
    <d v="2012-01-09T00:00:00"/>
    <m/>
    <s v="X"/>
    <x v="42"/>
    <n v="8.2102000000000004"/>
    <n v="7"/>
    <d v="2012-01-09T00:00:00"/>
    <d v="2012-01-09T00:00:00"/>
    <n v="675"/>
    <d v="2012-01-11T00:00:00"/>
    <n v="675"/>
    <m/>
    <d v="2012-01-04T00:00:00"/>
    <n v="675"/>
    <d v="2012-01-11T00:00:00"/>
    <d v="2012-01-11T00:00:00"/>
    <n v="675"/>
    <n v="675"/>
    <x v="17"/>
    <d v="2012-01-11T00:00:00"/>
    <m/>
    <n v="9321648048"/>
    <n v="70"/>
    <s v="XINU8187033"/>
    <s v="YM COLOMBO"/>
    <m/>
    <s v="NINGBO"/>
    <s v="C-FINALCUSTOMER-REQ/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9/000070"/>
    <n v="1370145658"/>
    <n v="70"/>
    <x v="0"/>
    <x v="0"/>
    <s v="A1"/>
    <n v="2100067439"/>
    <n v="208"/>
    <n v="115003363"/>
    <s v="D92284FT JR GRIL 32 B PRO CK HARD ANOD T          "/>
    <s v="S"/>
    <d v="2012-01-09T00:00:00"/>
    <m/>
    <s v="X"/>
    <x v="42"/>
    <n v="10.915100000000001"/>
    <n v="7"/>
    <d v="2012-01-09T00:00:00"/>
    <d v="2012-01-09T00:00:00"/>
    <n v="346"/>
    <d v="2012-01-11T00:00:00"/>
    <n v="346"/>
    <m/>
    <d v="2012-01-04T00:00:00"/>
    <n v="346"/>
    <d v="2012-01-11T00:00:00"/>
    <d v="2012-01-11T00:00:00"/>
    <n v="346"/>
    <n v="346"/>
    <x v="17"/>
    <d v="2012-01-11T00:00:00"/>
    <m/>
    <n v="9321648048"/>
    <n v="80"/>
    <s v="XINU8187033"/>
    <s v="YM COLOMBO"/>
    <m/>
    <s v="NINGBO"/>
    <s v="C-FINALCUSTOMER-REQ/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9/000080"/>
    <n v="1370145658"/>
    <n v="80"/>
    <x v="0"/>
    <x v="0"/>
    <s v="A1"/>
    <n v="2100067441"/>
    <n v="208"/>
    <n v="115003365"/>
    <s v="D92297FT DEEP FP26+LID B PRO CK H ANOD T          "/>
    <s v="S"/>
    <d v="2012-01-09T00:00:00"/>
    <m/>
    <s v="X"/>
    <x v="42"/>
    <n v="10.532999999999999"/>
    <n v="7"/>
    <d v="2012-01-09T00:00:00"/>
    <d v="2012-01-09T00:00:00"/>
    <n v="710"/>
    <d v="2012-01-11T00:00:00"/>
    <n v="710"/>
    <m/>
    <d v="2012-01-04T00:00:00"/>
    <n v="710"/>
    <d v="2012-01-11T00:00:00"/>
    <d v="2012-01-11T00:00:00"/>
    <n v="710"/>
    <n v="710"/>
    <x v="17"/>
    <d v="2012-01-11T00:00:00"/>
    <m/>
    <n v="9321648048"/>
    <n v="90"/>
    <s v="EISU8067417"/>
    <s v="YM COLOMBO"/>
    <m/>
    <s v="NINGBO"/>
    <s v="C-FINALCUSTOMER-REQ/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9/000090"/>
    <n v="1370145658"/>
    <n v="90"/>
    <x v="0"/>
    <x v="0"/>
    <s v="AA"/>
    <n v="7114000314"/>
    <n v="253"/>
    <n v="114000314"/>
    <s v="92160FTA 6QT PRESSURE COOKER                      "/>
    <s v="S"/>
    <d v="2012-01-09T00:00:00"/>
    <m/>
    <s v="X"/>
    <x v="42"/>
    <n v="13.264099999999999"/>
    <n v="7"/>
    <d v="2012-01-09T00:00:00"/>
    <d v="2012-01-09T00:00:00"/>
    <n v="273"/>
    <d v="2012-01-11T00:00:00"/>
    <n v="273"/>
    <m/>
    <d v="2012-01-04T00:00:00"/>
    <n v="273"/>
    <d v="2012-01-11T00:00:00"/>
    <d v="2012-01-11T00:00:00"/>
    <n v="273"/>
    <n v="273"/>
    <x v="17"/>
    <d v="2012-01-11T00:00:00"/>
    <m/>
    <n v="9321648048"/>
    <n v="100"/>
    <s v="XINU8187033"/>
    <s v="YM COLOMBO"/>
    <m/>
    <s v="NINGBO"/>
    <s v="C-FINALCUSTOMER-REQ/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9/000100"/>
    <n v="1370145658"/>
    <n v="100"/>
    <x v="0"/>
    <x v="0"/>
    <s v="A1"/>
    <n v="2100067496"/>
    <n v="201"/>
    <n v="115003354"/>
    <s v="A85700FT FP BLINIS 12 SPECIALTY ONE EGG           "/>
    <s v="S"/>
    <d v="2012-01-09T00:00:00"/>
    <m/>
    <s v="X"/>
    <x v="42"/>
    <n v="2.2189999999999999"/>
    <n v="7"/>
    <d v="2012-01-09T00:00:00"/>
    <d v="2012-01-09T00:00:00"/>
    <n v="300"/>
    <d v="2012-01-11T00:00:00"/>
    <n v="300"/>
    <m/>
    <d v="2012-01-04T00:00:00"/>
    <n v="300"/>
    <d v="2012-01-11T00:00:00"/>
    <d v="2012-01-11T00:00:00"/>
    <n v="300"/>
    <n v="300"/>
    <x v="17"/>
    <d v="2012-01-11T00:00:00"/>
    <m/>
    <n v="9321648048"/>
    <n v="110"/>
    <s v="XINU8187033"/>
    <s v="YM COLOMBO"/>
    <m/>
    <s v="NINGBO"/>
    <s v="C-FINALCUSTOMER-REQ/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3171787"/>
    <s v="TARGETDIRECT 3850/APL LOGISTICS LTD               "/>
    <n v="99008400"/>
    <x v="12"/>
    <s v="9321643739/000110"/>
    <n v="1370145658"/>
    <n v="110"/>
    <x v="0"/>
    <x v="0"/>
    <s v="A1"/>
    <n v="2100067459"/>
    <n v="201"/>
    <n v="116001092"/>
    <s v="D193S2FT T-FAL TNS SIMPLY COOK 2 PCS COM          "/>
    <s v="S"/>
    <d v="2012-01-09T00:00:00"/>
    <m/>
    <s v="X"/>
    <x v="42"/>
    <n v="8.4417000000000009"/>
    <n v="7"/>
    <d v="2012-01-09T00:00:00"/>
    <d v="2012-01-09T00:00:00"/>
    <n v="692"/>
    <d v="2012-01-11T00:00:00"/>
    <n v="692"/>
    <m/>
    <d v="2012-01-04T00:00:00"/>
    <n v="692"/>
    <d v="2012-01-11T00:00:00"/>
    <d v="2012-01-11T00:00:00"/>
    <n v="692"/>
    <n v="692"/>
    <x v="17"/>
    <d v="2012-01-11T00:00:00"/>
    <m/>
    <n v="9321648048"/>
    <n v="120"/>
    <s v="EISU8067417"/>
    <s v="YM COLOMBO"/>
    <m/>
    <s v="NINGBO"/>
    <s v="C-FINALCUSTOMER-REQ/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4375/000010"/>
    <n v="1370145716"/>
    <n v="10"/>
    <x v="0"/>
    <x v="0"/>
    <s v="A1"/>
    <n v="2100061388"/>
    <n v="208"/>
    <n v="115002712"/>
    <s v="E9058244 JO SH30+LID ALU ANODIZED INDUC           "/>
    <s v="S"/>
    <d v="2012-01-11T00:00:00"/>
    <m/>
    <s v="X"/>
    <x v="42"/>
    <n v="21.209"/>
    <n v="14"/>
    <d v="2012-01-09T00:00:00"/>
    <d v="2011-12-05T00:00:00"/>
    <n v="1000"/>
    <d v="2012-01-06T00:00:00"/>
    <n v="1000"/>
    <m/>
    <d v="2012-01-06T00:00:00"/>
    <n v="1000"/>
    <d v="2012-02-10T00:00:00"/>
    <d v="2012-01-06T00:00:00"/>
    <n v="1000"/>
    <n v="1000"/>
    <x v="23"/>
    <d v="2012-02-12T00:00:00"/>
    <m/>
    <n v="9321648054"/>
    <n v="10"/>
    <s v="UNIU2065521"/>
    <s v="XIN SHANGHAI 0063W/"/>
    <m/>
    <s v="NINGBO"/>
    <s v="SP-OVERCAP/"/>
    <m/>
    <s v="KENUS WO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2601"/>
    <s v="GROUPE SEB UK LTD                                 "/>
    <n v="99002601"/>
    <x v="10"/>
    <s v="9321644374/000010"/>
    <n v="1370145718"/>
    <n v="10"/>
    <x v="0"/>
    <x v="0"/>
    <s v="A1"/>
    <n v="2100061786"/>
    <n v="208"/>
    <n v="115002742"/>
    <s v="E9054644 D.OV24+LID STR JO3 ALU ANODIZED          "/>
    <s v="S"/>
    <d v="2012-01-12T00:00:00"/>
    <m/>
    <s v="X"/>
    <x v="42"/>
    <n v="20.0199"/>
    <n v="13"/>
    <d v="2012-01-09T00:00:00"/>
    <d v="2011-12-05T00:00:00"/>
    <n v="1000"/>
    <d v="2012-01-06T00:00:00"/>
    <n v="1000"/>
    <m/>
    <d v="2012-01-06T00:00:00"/>
    <n v="1000"/>
    <d v="2012-02-10T00:00:00"/>
    <d v="2012-01-06T00:00:00"/>
    <n v="1000"/>
    <n v="750"/>
    <x v="23"/>
    <d v="2012-02-12T00:00:00"/>
    <m/>
    <n v="9321648055"/>
    <n v="10"/>
    <s v="GESU4596778"/>
    <s v="XIN SHANGHAI 0063W"/>
    <m/>
    <s v="NINGBO"/>
    <s v="SP-OVERCAP/"/>
    <m/>
    <s v="KENUS WO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2601"/>
    <s v="GROUPE SEB UK LTD                                 "/>
    <n v="99002601"/>
    <x v="10"/>
    <s v="9321644374/000010"/>
    <n v="1370145718"/>
    <n v="10"/>
    <x v="0"/>
    <x v="0"/>
    <s v="A1"/>
    <n v="2100061786"/>
    <n v="208"/>
    <n v="115002742"/>
    <s v="E9054644 D.OV24+LID STR JO3 ALU ANODIZED          "/>
    <s v="S"/>
    <d v="2012-01-11T00:00:00"/>
    <m/>
    <s v="X"/>
    <x v="42"/>
    <n v="20.0199"/>
    <n v="13"/>
    <d v="2012-01-09T00:00:00"/>
    <d v="2011-12-05T00:00:00"/>
    <n v="1000"/>
    <d v="2012-01-06T00:00:00"/>
    <n v="1000"/>
    <m/>
    <d v="2012-01-06T00:00:00"/>
    <n v="1000"/>
    <d v="2012-02-10T00:00:00"/>
    <d v="2012-01-06T00:00:00"/>
    <n v="1000"/>
    <n v="250"/>
    <x v="23"/>
    <d v="2012-02-12T00:00:00"/>
    <m/>
    <n v="9321648055"/>
    <n v="10"/>
    <s v="UNIU2065521"/>
    <s v="XIN SHANGHAI 0063W/"/>
    <m/>
    <s v="NINGBO"/>
    <s v="SP-OVERCAP/"/>
    <m/>
    <s v="KENUS WO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6104"/>
    <s v="SAS GROUPE SEB FRANCE                             "/>
    <n v="99006100"/>
    <x v="3"/>
    <s v="9321644176/000010"/>
    <n v="1370145766"/>
    <n v="10"/>
    <x v="0"/>
    <x v="0"/>
    <s v="A1"/>
    <n v="2100060429"/>
    <n v="205"/>
    <n v="115002543"/>
    <s v="B8632704 SCP14 SB FANTASY MC CHOC SS UNC          "/>
    <s v="S"/>
    <d v="2012-01-12T00:00:00"/>
    <m/>
    <s v="X"/>
    <x v="42"/>
    <n v="7.7774999999999999"/>
    <n v="6"/>
    <d v="2012-02-17T00:00:00"/>
    <d v="2012-01-13T00:00:00"/>
    <n v="1002"/>
    <d v="2012-01-13T00:00:00"/>
    <n v="1002"/>
    <m/>
    <d v="2012-01-07T00:00:00"/>
    <n v="1002"/>
    <d v="2012-02-11T00:00:00"/>
    <d v="2012-01-07T00:00:00"/>
    <n v="1002"/>
    <n v="1002"/>
    <x v="23"/>
    <d v="2012-02-12T00:00:00"/>
    <m/>
    <n v="9321648056"/>
    <n v="10"/>
    <s v="TRLU6991305"/>
    <s v="BUSAN EXPRESS/04W01"/>
    <m/>
    <s v="NINGBO"/>
    <s v="LATE DOC FROM FORWARDER"/>
    <m/>
    <s v="JASON FAN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44171/000010"/>
    <n v="1370145772"/>
    <n v="10"/>
    <x v="0"/>
    <x v="0"/>
    <s v="A1"/>
    <n v="2100046388"/>
    <n v="205"/>
    <n v="115001161"/>
    <s v="B8010505 FP26 4U SS COATED FCE                    "/>
    <s v="S"/>
    <d v="2012-01-17T00:00:00"/>
    <m/>
    <s v="X"/>
    <x v="42"/>
    <n v="9.9003999999999994"/>
    <n v="7"/>
    <d v="2012-01-20T00:00:00"/>
    <d v="2011-12-16T00:00:00"/>
    <n v="2004"/>
    <d v="2012-01-14T00:00:00"/>
    <n v="2004"/>
    <m/>
    <d v="2011-12-17T00:00:00"/>
    <n v="2004"/>
    <d v="2012-02-18T00:00:00"/>
    <d v="2012-01-14T00:00:00"/>
    <n v="2004"/>
    <n v="2004"/>
    <x v="11"/>
    <d v="2012-02-19T00:00:00"/>
    <m/>
    <n v="9321648057"/>
    <n v="10"/>
    <s v="APZU3358907"/>
    <s v="APL HAMBURG/015W"/>
    <m/>
    <s v="NINGBO"/>
    <s v="C-POST-NEG"/>
    <m/>
    <s v="JASON FAN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5333/000010"/>
    <n v="1370145903"/>
    <n v="10"/>
    <x v="0"/>
    <x v="0"/>
    <s v="A1"/>
    <n v="2100059741"/>
    <n v="201"/>
    <n v="116000698"/>
    <s v="A157S546 SET 5P HOMEBASE ESS BLACK TCP3           "/>
    <s v="S"/>
    <d v="2012-01-06T00:00:00"/>
    <m/>
    <s v="X"/>
    <x v="42"/>
    <n v="22.3033"/>
    <n v="16"/>
    <d v="2012-01-16T00:00:00"/>
    <d v="2011-12-12T00:00:00"/>
    <n v="1665"/>
    <d v="2011-12-30T00:00:00"/>
    <n v="1665"/>
    <m/>
    <d v="2011-12-30T00:00:00"/>
    <n v="1665"/>
    <d v="2012-02-03T00:00:00"/>
    <d v="2011-12-30T00:00:00"/>
    <n v="1665"/>
    <n v="1665"/>
    <x v="3"/>
    <d v="2012-02-06T00:00:00"/>
    <m/>
    <n v="9321648060"/>
    <n v="10"/>
    <s v="TEXU7248750"/>
    <s v="CSCL AFRICA 0650W/"/>
    <m/>
    <s v="NINGBO"/>
    <s v="SP-OVERCAP/"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2222"/>
    <s v="GROUPE SEB NORDIC A/S                             "/>
    <n v="99002200"/>
    <x v="5"/>
    <s v="4500260096/000010"/>
    <n v="1370146313"/>
    <n v="10"/>
    <x v="0"/>
    <x v="0"/>
    <s v="A1"/>
    <n v="2100063372"/>
    <n v="207"/>
    <n v="115003040"/>
    <s v="H1154014 GRILL FP26X26 FLAVOUR TP3 BLACK          "/>
    <s v="S"/>
    <d v="2012-01-11T00:00:00"/>
    <m/>
    <s v="X"/>
    <x v="42"/>
    <n v="9.8544999999999998"/>
    <n v="57"/>
    <d v="2012-02-13T00:00:00"/>
    <d v="2012-01-09T00:00:00"/>
    <n v="1000"/>
    <d v="2012-01-09T00:00:00"/>
    <n v="1000"/>
    <m/>
    <d v="2012-01-09T00:00:00"/>
    <n v="1000"/>
    <d v="2012-02-13T00:00:00"/>
    <d v="2012-01-09T00:00:00"/>
    <n v="1000"/>
    <n v="1000"/>
    <x v="17"/>
    <d v="2012-02-15T00:00:00"/>
    <m/>
    <n v="9321648065"/>
    <n v="10"/>
    <s v="TRLU8138966"/>
    <s v="COSCO DEVELOPMENT/00"/>
    <m/>
    <s v="NINGBO"/>
    <m/>
    <m/>
    <s v="KENUS WO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0099/000010"/>
    <n v="1370146314"/>
    <n v="10"/>
    <x v="0"/>
    <x v="0"/>
    <s v="A1"/>
    <n v="2100063375"/>
    <n v="207"/>
    <n v="115003043"/>
    <s v="H1153214 STP24+LID FLAVOUR TP3 BLACK TEF          "/>
    <s v="S"/>
    <d v="2012-01-11T00:00:00"/>
    <m/>
    <s v="X"/>
    <x v="42"/>
    <n v="11.9529"/>
    <n v="69"/>
    <d v="2012-02-13T00:00:00"/>
    <d v="2012-01-09T00:00:00"/>
    <n v="1000"/>
    <d v="2012-01-09T00:00:00"/>
    <n v="1000"/>
    <m/>
    <d v="2012-01-09T00:00:00"/>
    <n v="1000"/>
    <d v="2012-02-13T00:00:00"/>
    <d v="2012-01-09T00:00:00"/>
    <n v="1000"/>
    <n v="1000"/>
    <x v="17"/>
    <d v="2012-02-15T00:00:00"/>
    <m/>
    <n v="9321648066"/>
    <n v="10"/>
    <s v="TRLU8138966"/>
    <s v="COSCO DEVELOPMENT/00"/>
    <m/>
    <s v="NINGBO"/>
    <m/>
    <m/>
    <s v="KENUS WO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0097/000010"/>
    <n v="1370146315"/>
    <n v="10"/>
    <x v="0"/>
    <x v="0"/>
    <s v="A1"/>
    <n v="2100063374"/>
    <n v="207"/>
    <n v="115003042"/>
    <s v="H1157714 WOK FP26 FLAVOUR TP3 BLACK TEFA          "/>
    <s v="S"/>
    <d v="2012-01-11T00:00:00"/>
    <m/>
    <s v="X"/>
    <x v="42"/>
    <n v="9.7911999999999999"/>
    <n v="57"/>
    <d v="2012-02-13T00:00:00"/>
    <d v="2012-01-09T00:00:00"/>
    <n v="1000"/>
    <d v="2012-01-09T00:00:00"/>
    <n v="1000"/>
    <m/>
    <d v="2012-01-09T00:00:00"/>
    <n v="1000"/>
    <d v="2012-02-13T00:00:00"/>
    <d v="2012-01-09T00:00:00"/>
    <n v="1000"/>
    <n v="1000"/>
    <x v="17"/>
    <d v="2012-02-15T00:00:00"/>
    <m/>
    <n v="9321648067"/>
    <n v="10"/>
    <s v="TRLU8138966"/>
    <s v="COSCO DEVELOPMENT/00"/>
    <m/>
    <s v="NINGBO"/>
    <m/>
    <m/>
    <s v="KENUS WO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0098/000010"/>
    <n v="1370146316"/>
    <n v="10"/>
    <x v="0"/>
    <x v="0"/>
    <s v="A1"/>
    <n v="2100063370"/>
    <n v="207"/>
    <n v="115003038"/>
    <s v="H1150514 FP26 FLAVOUR TP3 BLACK TEFAL FC          "/>
    <s v="S"/>
    <d v="2012-01-11T00:00:00"/>
    <m/>
    <s v="X"/>
    <x v="42"/>
    <n v="9.4147999999999996"/>
    <n v="54"/>
    <d v="2012-02-13T00:00:00"/>
    <d v="2012-01-09T00:00:00"/>
    <n v="2000"/>
    <d v="2012-01-09T00:00:00"/>
    <n v="2000"/>
    <m/>
    <d v="2012-01-09T00:00:00"/>
    <n v="2000"/>
    <d v="2012-02-13T00:00:00"/>
    <d v="2012-01-09T00:00:00"/>
    <n v="2000"/>
    <n v="2000"/>
    <x v="17"/>
    <d v="2012-02-15T00:00:00"/>
    <m/>
    <n v="9321648068"/>
    <n v="10"/>
    <s v="TRLU8138966"/>
    <s v="COSCO DEVELOPMENT/00"/>
    <m/>
    <s v="NINGBO"/>
    <m/>
    <m/>
    <s v="KENUS WO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55/000001"/>
    <n v="1370146417"/>
    <n v="10"/>
    <x v="22"/>
    <x v="22"/>
    <s v="R2"/>
    <n v="7211000685"/>
    <n v="55"/>
    <n v="211000685"/>
    <s v="BF510022 KET JUSTINE 1.2L WHT/BLU JP              "/>
    <s v="S"/>
    <d v="2012-01-05T00:00:00"/>
    <m/>
    <s v="X"/>
    <x v="42"/>
    <n v="12.5113"/>
    <n v="10"/>
    <d v="2012-01-16T00:00:00"/>
    <d v="2012-01-02T00:00:00"/>
    <n v="7020"/>
    <d v="2012-01-02T00:00:00"/>
    <n v="7020"/>
    <m/>
    <d v="2011-12-29T00:00:00"/>
    <n v="7020"/>
    <d v="2012-01-16T00:00:00"/>
    <d v="2012-01-02T00:00:00"/>
    <n v="7020"/>
    <n v="7020"/>
    <x v="3"/>
    <d v="2012-01-16T00:00:00"/>
    <m/>
    <n v="9321648090"/>
    <n v="10"/>
    <s v="BMOU4673763"/>
    <s v="VAN HARMONY/1201N"/>
    <m/>
    <s v="NINGBO"/>
    <m/>
    <m/>
    <s v="DOROTHEA LING"/>
    <s v="FO9"/>
    <s v="BEVERAGE                      "/>
    <s v="CONFIRMED"/>
    <n v="1"/>
    <n v="1"/>
    <d v="2012-01-02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29/000017"/>
    <n v="1370145086"/>
    <n v="90"/>
    <x v="30"/>
    <x v="30"/>
    <s v="N4"/>
    <n v="7211000644"/>
    <n v="39"/>
    <n v="2110006443"/>
    <s v="RK704E71 RC FUZZY 8C LOGIC LCD SS TH              "/>
    <s v="S"/>
    <d v="2012-01-18T00:00:00"/>
    <m/>
    <s v="X"/>
    <x v="42"/>
    <n v="43.600099999999998"/>
    <n v="11"/>
    <d v="2012-01-30T00:00:00"/>
    <d v="2012-01-16T00:00:00"/>
    <n v="784"/>
    <d v="2012-01-12T00:00:00"/>
    <n v="784"/>
    <m/>
    <d v="2012-01-12T00:00:00"/>
    <n v="784"/>
    <d v="2012-01-26T00:00:00"/>
    <d v="2012-01-12T00:00:00"/>
    <n v="784"/>
    <n v="784"/>
    <x v="9"/>
    <d v="2012-01-28T00:00:00"/>
    <m/>
    <n v="9321648106"/>
    <n v="10"/>
    <s v="ZCSU2535531"/>
    <s v="KUO FU 7S"/>
    <m/>
    <s v="NINGBO"/>
    <m/>
    <m/>
    <s v="TWEETY LEUNG"/>
    <s v="FO9"/>
    <s v="ELECTRICAL COOKING            "/>
    <s v="CONFIRMED"/>
    <n v="1"/>
    <n v="2"/>
    <d v="2012-01-14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5249/000010"/>
    <n v="1370145908"/>
    <n v="10"/>
    <x v="30"/>
    <x v="30"/>
    <s v="N4"/>
    <n v="7211000750"/>
    <n v="39"/>
    <n v="211000750"/>
    <s v="RK302E15 RC 8IN1 CEREAL&amp;CO 10C SS/BLK GB          "/>
    <s v="S"/>
    <d v="2012-01-06T00:00:00"/>
    <m/>
    <s v="X"/>
    <x v="42"/>
    <n v="28.663900000000002"/>
    <n v="20"/>
    <d v="2012-02-06T00:00:00"/>
    <d v="2012-01-02T00:00:00"/>
    <n v="1224"/>
    <d v="2012-01-02T00:00:00"/>
    <n v="1224"/>
    <m/>
    <d v="2011-12-31T00:00:00"/>
    <n v="1224"/>
    <d v="2012-02-04T00:00:00"/>
    <d v="2011-12-31T00:00:00"/>
    <n v="1224"/>
    <n v="1224"/>
    <x v="3"/>
    <d v="2012-02-06T00:00:00"/>
    <m/>
    <n v="9321648111"/>
    <n v="10"/>
    <s v="ECMU4151661"/>
    <s v="CSCL AFRICA 0650W/"/>
    <m/>
    <s v="NINGBO"/>
    <m/>
    <m/>
    <s v="KENUS WONG"/>
    <s v="FO9"/>
    <s v="ELECTRICAL COOKING            "/>
    <s v="CONFIRMED"/>
    <n v="1"/>
    <n v="1"/>
    <d v="2012-01-02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774"/>
    <s v="BW OF THE BRANCH OF ZAO                           "/>
    <n v="99004801"/>
    <x v="1"/>
    <s v="9321628616/000010"/>
    <n v="1370146307"/>
    <n v="10"/>
    <x v="30"/>
    <x v="30"/>
    <s v="N4"/>
    <n v="7211000816"/>
    <n v="39"/>
    <n v="211000816"/>
    <s v="MK300E30 RC CEREAL&amp;CO 6C SS RU                    "/>
    <s v="S"/>
    <d v="2012-01-05T00:00:00"/>
    <m/>
    <s v="X"/>
    <x v="42"/>
    <n v="26.913699999999999"/>
    <n v="907"/>
    <d v="2012-01-17T00:00:00"/>
    <d v="2011-11-29T00:00:00"/>
    <n v="1056"/>
    <d v="2012-01-01T00:00:00"/>
    <n v="1056"/>
    <m/>
    <d v="2012-01-14T00:00:00"/>
    <n v="1056"/>
    <d v="2012-02-18T00:00:00"/>
    <d v="2011-12-31T00:00:00"/>
    <n v="1056"/>
    <n v="1056"/>
    <x v="13"/>
    <d v="2012-02-19T00:00:00"/>
    <m/>
    <n v="9321648113"/>
    <n v="10"/>
    <s v="APZU3519350"/>
    <s v="APL RUSSIA/020W"/>
    <m/>
    <s v="NINGBO"/>
    <s v="C-ETD-TEMP/TP ISSUE"/>
    <m/>
    <s v="KENUS WONG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6"/>
    <s v="C-ETD-TEMP"/>
    <n v="-3"/>
    <n v="-3"/>
    <x v="7"/>
    <n v="2"/>
    <x v="0"/>
    <x v="0"/>
    <x v="1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28620/000010"/>
    <n v="1370146308"/>
    <n v="10"/>
    <x v="30"/>
    <x v="30"/>
    <s v="N4"/>
    <n v="7211000816"/>
    <n v="39"/>
    <n v="211000816"/>
    <s v="MK300E30 RC CEREAL&amp;CO 6C SS RU                    "/>
    <s v="S"/>
    <d v="2012-01-05T00:00:00"/>
    <m/>
    <s v="X"/>
    <x v="42"/>
    <n v="26.913699999999999"/>
    <n v="907"/>
    <d v="2012-01-17T00:00:00"/>
    <d v="2011-11-29T00:00:00"/>
    <n v="2128"/>
    <d v="2012-01-01T00:00:00"/>
    <n v="2128"/>
    <m/>
    <d v="2012-01-14T00:00:00"/>
    <n v="2128"/>
    <d v="2012-02-18T00:00:00"/>
    <d v="2011-12-31T00:00:00"/>
    <n v="2128"/>
    <n v="2128"/>
    <x v="13"/>
    <d v="2012-02-19T00:00:00"/>
    <m/>
    <n v="9321648114"/>
    <n v="10"/>
    <s v="APZU4752495"/>
    <s v="APL RUSSIA/020W"/>
    <m/>
    <s v="NINGBO"/>
    <s v="C-ETD-TEMP/"/>
    <m/>
    <s v="KENUS WONG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6"/>
    <s v="C-ETD-TEMP"/>
    <n v="-3"/>
    <n v="-3"/>
    <x v="7"/>
    <n v="1"/>
    <x v="0"/>
    <x v="0"/>
    <x v="1"/>
    <n v="1"/>
    <n v="0"/>
    <n v="1"/>
    <n v="0"/>
    <n v="0"/>
    <n v="1"/>
    <x v="0"/>
    <x v="0"/>
    <x v="1"/>
    <x v="1"/>
  </r>
  <r>
    <s v="Shipment"/>
    <n v="99103774"/>
    <s v="BW OF THE BRANCH OF ZAO                           "/>
    <n v="99004801"/>
    <x v="1"/>
    <s v="9321628628/000010"/>
    <n v="1370146309"/>
    <n v="10"/>
    <x v="30"/>
    <x v="30"/>
    <s v="N4"/>
    <n v="7211000815"/>
    <n v="39"/>
    <n v="211000815"/>
    <s v="MK302E30 RC CEREAL&amp;CO 10C SS RU                   "/>
    <s v="S"/>
    <d v="2012-01-06T00:00:00"/>
    <m/>
    <s v="X"/>
    <x v="42"/>
    <n v="29.857900000000001"/>
    <n v="1011"/>
    <d v="2012-01-17T00:00:00"/>
    <d v="2011-11-29T00:00:00"/>
    <n v="1632"/>
    <d v="2012-01-01T00:00:00"/>
    <n v="1632"/>
    <m/>
    <d v="2012-01-14T00:00:00"/>
    <n v="1632"/>
    <d v="2012-02-18T00:00:00"/>
    <d v="2011-12-31T00:00:00"/>
    <n v="1632"/>
    <n v="1632"/>
    <x v="13"/>
    <d v="2012-02-19T00:00:00"/>
    <m/>
    <n v="9321648115"/>
    <n v="10"/>
    <s v="TRLU7132789"/>
    <s v="APL RUSSIA/020W"/>
    <m/>
    <s v="NINGBO"/>
    <s v="C-ETD-TEMP/"/>
    <m/>
    <s v="KENUS WONG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6"/>
    <s v="C-ETD-TEMP"/>
    <n v="-3"/>
    <n v="-3"/>
    <x v="7"/>
    <n v="1"/>
    <x v="0"/>
    <x v="0"/>
    <x v="1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28633/000010"/>
    <n v="1370146310"/>
    <n v="10"/>
    <x v="30"/>
    <x v="30"/>
    <s v="N4"/>
    <n v="7211000815"/>
    <n v="39"/>
    <n v="211000815"/>
    <s v="MK302E30 RC CEREAL&amp;CO 10C SS RU                   "/>
    <s v="S"/>
    <d v="2012-01-05T00:00:00"/>
    <m/>
    <s v="X"/>
    <x v="42"/>
    <n v="29.857900000000001"/>
    <n v="1011"/>
    <d v="2012-01-17T00:00:00"/>
    <d v="2011-11-29T00:00:00"/>
    <n v="1632"/>
    <d v="2012-01-01T00:00:00"/>
    <n v="1632"/>
    <m/>
    <d v="2012-01-14T00:00:00"/>
    <n v="1632"/>
    <d v="2012-02-18T00:00:00"/>
    <d v="2011-12-31T00:00:00"/>
    <n v="1632"/>
    <n v="1632"/>
    <x v="13"/>
    <d v="2012-02-19T00:00:00"/>
    <m/>
    <n v="9321648116"/>
    <n v="10"/>
    <s v="TCLU5161243"/>
    <s v="APL RUSSIA/020W"/>
    <m/>
    <s v="NINGBO"/>
    <s v="C-ETD-TEMP/"/>
    <m/>
    <s v="KENUS WONG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6"/>
    <s v="C-ETD-TEMP"/>
    <n v="-3"/>
    <n v="-3"/>
    <x v="7"/>
    <n v="1"/>
    <x v="0"/>
    <x v="0"/>
    <x v="1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28621/000010"/>
    <n v="1370146311"/>
    <n v="10"/>
    <x v="30"/>
    <x v="30"/>
    <s v="N4"/>
    <n v="7211000816"/>
    <n v="39"/>
    <n v="211000816"/>
    <s v="MK300E30 RC CEREAL&amp;CO 6C SS RU                    "/>
    <s v="S"/>
    <d v="2012-01-05T00:00:00"/>
    <m/>
    <s v="X"/>
    <x v="42"/>
    <n v="26.913699999999999"/>
    <n v="907"/>
    <d v="2012-01-17T00:00:00"/>
    <d v="2011-11-29T00:00:00"/>
    <n v="2128"/>
    <d v="2012-01-01T00:00:00"/>
    <n v="2128"/>
    <m/>
    <d v="2012-01-14T00:00:00"/>
    <n v="2128"/>
    <d v="2012-02-18T00:00:00"/>
    <d v="2011-12-31T00:00:00"/>
    <n v="2128"/>
    <n v="2128"/>
    <x v="13"/>
    <d v="2012-02-19T00:00:00"/>
    <m/>
    <n v="9321648117"/>
    <n v="10"/>
    <s v="CLHU4655076"/>
    <s v="APL RUSSIA/020W"/>
    <m/>
    <s v="NINGBO"/>
    <s v="C-ETD-TEMP/"/>
    <m/>
    <s v="KENUS WONG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6"/>
    <s v="C-ETD-TEMP"/>
    <n v="-3"/>
    <n v="-3"/>
    <x v="7"/>
    <n v="1"/>
    <x v="0"/>
    <x v="0"/>
    <x v="1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28632/000010"/>
    <n v="1370146312"/>
    <n v="10"/>
    <x v="30"/>
    <x v="30"/>
    <s v="N4"/>
    <n v="7211000815"/>
    <n v="39"/>
    <n v="211000815"/>
    <s v="MK302E30 RC CEREAL&amp;CO 10C SS RU                   "/>
    <s v="S"/>
    <d v="2012-01-05T00:00:00"/>
    <m/>
    <s v="X"/>
    <x v="42"/>
    <n v="29.857900000000001"/>
    <n v="1011"/>
    <d v="2012-01-17T00:00:00"/>
    <d v="2011-11-29T00:00:00"/>
    <n v="1632"/>
    <d v="2012-01-01T00:00:00"/>
    <n v="1632"/>
    <m/>
    <d v="2012-01-14T00:00:00"/>
    <n v="1632"/>
    <d v="2012-02-18T00:00:00"/>
    <d v="2011-12-31T00:00:00"/>
    <n v="1632"/>
    <n v="1632"/>
    <x v="13"/>
    <d v="2012-02-19T00:00:00"/>
    <m/>
    <n v="9321648118"/>
    <n v="10"/>
    <s v="APHU6349589"/>
    <s v="APL RUSSIA/020W"/>
    <m/>
    <s v="NINGBO"/>
    <s v="C-ETD-TEMP/"/>
    <m/>
    <s v="KENUS WONG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6"/>
    <s v="C-ETD-TEMP"/>
    <n v="-3"/>
    <n v="-3"/>
    <x v="7"/>
    <n v="1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47341/000010"/>
    <n v="1370146516"/>
    <n v="10"/>
    <x v="30"/>
    <x v="30"/>
    <s v="N2"/>
    <n v="7211000865"/>
    <n v="50"/>
    <n v="211000865"/>
    <s v="CB540812 PLA I THERMOSP BLK EUR                   "/>
    <s v="S"/>
    <d v="2012-01-07T00:00:00"/>
    <m/>
    <s v="X"/>
    <x v="42"/>
    <n v="24.914300000000001"/>
    <n v="20"/>
    <d v="2012-01-20T00:00:00"/>
    <d v="2011-12-16T00:00:00"/>
    <n v="3984"/>
    <d v="2011-12-16T00:00:00"/>
    <n v="3984"/>
    <m/>
    <d v="2011-12-18T00:00:00"/>
    <n v="3984"/>
    <d v="2012-02-05T00:00:00"/>
    <d v="2012-01-01T00:00:00"/>
    <n v="3984"/>
    <n v="1992"/>
    <x v="13"/>
    <d v="2012-02-05T00:00:00"/>
    <m/>
    <n v="9321648119"/>
    <n v="10"/>
    <s v="MSKU1559257"/>
    <s v="MAERSK ESSEN 1202/"/>
    <m/>
    <s v="NINGBO"/>
    <s v="C-ETD-TEMP/C-POST-CONF/LATE DOC FROM FORWARDER"/>
    <m/>
    <s v="JASON FAN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6"/>
    <s v="C-ETD-TEMP"/>
    <n v="-3"/>
    <n v="-3"/>
    <x v="7"/>
    <n v="3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47341/000010"/>
    <n v="1370146516"/>
    <n v="10"/>
    <x v="30"/>
    <x v="30"/>
    <s v="N2"/>
    <n v="7211000865"/>
    <n v="50"/>
    <n v="211000865"/>
    <s v="CB540812 PLA I THERMOSP BLK EUR                   "/>
    <s v="S"/>
    <d v="2012-01-07T00:00:00"/>
    <m/>
    <s v="X"/>
    <x v="42"/>
    <n v="24.914300000000001"/>
    <n v="20"/>
    <d v="2012-01-20T00:00:00"/>
    <d v="2011-12-16T00:00:00"/>
    <n v="3984"/>
    <d v="2011-12-16T00:00:00"/>
    <n v="3984"/>
    <m/>
    <d v="2011-12-18T00:00:00"/>
    <n v="3984"/>
    <d v="2012-02-05T00:00:00"/>
    <d v="2012-01-01T00:00:00"/>
    <n v="3984"/>
    <n v="1992"/>
    <x v="13"/>
    <d v="2012-02-05T00:00:00"/>
    <m/>
    <n v="9321648119"/>
    <n v="10"/>
    <s v="MSKU9447150"/>
    <s v="MAERSK ESSEN 1202/"/>
    <m/>
    <s v="NINGBO"/>
    <s v="C-ETD-TEMP/C-POST-CONF/LATE DOC FROM FORWARDER"/>
    <m/>
    <s v="JASON FAN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6"/>
    <s v="C-ETD-TEMP"/>
    <n v="-3"/>
    <n v="-3"/>
    <x v="7"/>
    <n v="3"/>
    <x v="0"/>
    <x v="0"/>
    <x v="0"/>
    <n v="0"/>
    <n v="0"/>
    <n v="0"/>
    <n v="0"/>
    <n v="0"/>
    <n v="0"/>
    <x v="1"/>
    <x v="0"/>
    <x v="1"/>
    <x v="0"/>
  </r>
  <r>
    <s v="Shipment"/>
    <n v="99003300"/>
    <s v="GROUPE SEB JAPAN CO LTD                           "/>
    <n v="99003300"/>
    <x v="25"/>
    <s v="3752/000006"/>
    <n v="1370146416"/>
    <n v="170"/>
    <x v="35"/>
    <x v="35"/>
    <s v="R1"/>
    <n v="1500635032"/>
    <n v="55"/>
    <n v="635032"/>
    <s v="KO320171 KET ANTOINETTE 0.8L WHT JP               "/>
    <s v="S"/>
    <d v="2012-01-19T00:00:00"/>
    <m/>
    <s v="X"/>
    <x v="42"/>
    <n v="17.579999999999998"/>
    <n v="15"/>
    <d v="2011-12-05T00:00:00"/>
    <d v="2011-11-21T00:00:00"/>
    <n v="2580"/>
    <d v="2012-01-05T00:00:00"/>
    <n v="2580"/>
    <m/>
    <m/>
    <m/>
    <d v="2012-02-06T00:00:00"/>
    <d v="2012-01-23T00:00:00"/>
    <n v="2580"/>
    <n v="48"/>
    <x v="22"/>
    <d v="2012-02-02T00:00:00"/>
    <m/>
    <n v="9321648140"/>
    <n v="60"/>
    <s v="FSCU4084713"/>
    <s v="KYOTO TOWER/KTWR1200"/>
    <m/>
    <s v="YANTIAN"/>
    <s v="SP-QLY/SP-QLY/SP-TECH/SP-TECH/C-POST-CONF/C-SHORTL/T/"/>
    <m/>
    <s v="DOROTHEA LING"/>
    <s v="FO9"/>
    <s v="BEVERAGE                      "/>
    <s v="CONFIRMED"/>
    <n v="1"/>
    <n v="3"/>
    <d v="2012-01-19T00:00:00"/>
    <s v="KITCHEN ELECTRICS             "/>
    <s v="BREAKFAST &amp; BREVAGE PREP      "/>
    <x v="2"/>
    <x v="1"/>
    <x v="13"/>
    <s v="C-POST-CONF"/>
    <n v="1"/>
    <n v="-3"/>
    <x v="0"/>
    <n v="7"/>
    <x v="0"/>
    <x v="0"/>
    <x v="1"/>
    <n v="0"/>
    <n v="0"/>
    <n v="0"/>
    <n v="0"/>
    <n v="0"/>
    <n v="0"/>
    <x v="0"/>
    <x v="1"/>
    <x v="1"/>
    <x v="0"/>
  </r>
  <r>
    <s v="Shipment"/>
    <n v="99003300"/>
    <s v="GROUPE SEB JAPAN CO LTD                           "/>
    <n v="99003300"/>
    <x v="25"/>
    <s v="3752/000006"/>
    <n v="1370146416"/>
    <n v="170"/>
    <x v="35"/>
    <x v="35"/>
    <s v="R1"/>
    <n v="1500635032"/>
    <n v="55"/>
    <n v="635032"/>
    <s v="KO320171 KET ANTOINETTE 0.8L WHT JP               "/>
    <s v="S"/>
    <d v="2012-01-19T00:00:00"/>
    <m/>
    <s v="X"/>
    <x v="42"/>
    <n v="17.579999999999998"/>
    <n v="15"/>
    <d v="2011-12-05T00:00:00"/>
    <d v="2011-11-21T00:00:00"/>
    <n v="2580"/>
    <d v="2012-01-05T00:00:00"/>
    <n v="2580"/>
    <m/>
    <m/>
    <m/>
    <d v="2012-02-06T00:00:00"/>
    <d v="2012-01-23T00:00:00"/>
    <n v="2580"/>
    <n v="2532"/>
    <x v="22"/>
    <d v="2012-02-02T00:00:00"/>
    <m/>
    <n v="9321648140"/>
    <n v="60"/>
    <s v="FSCU4084713"/>
    <s v="KYOTO TOWER/KTWR1200"/>
    <m/>
    <s v="YANTIAN"/>
    <s v="SP-QLY/SP-QLY/SP-TECH/SP-TECH/C-POST-CONF/C-SHORTL/T/"/>
    <m/>
    <s v="DOROTHEA LING"/>
    <s v="FO9"/>
    <s v="BEVERAGE                      "/>
    <s v="CONFIRMED"/>
    <n v="1"/>
    <n v="3"/>
    <d v="2012-01-19T00:00:00"/>
    <s v="KITCHEN ELECTRICS             "/>
    <s v="BREAKFAST &amp; BREVAGE PREP      "/>
    <x v="2"/>
    <x v="1"/>
    <x v="13"/>
    <s v="C-POST-CONF"/>
    <n v="1"/>
    <n v="-3"/>
    <x v="0"/>
    <n v="7"/>
    <x v="0"/>
    <x v="0"/>
    <x v="1"/>
    <n v="0"/>
    <n v="0"/>
    <n v="0"/>
    <n v="0"/>
    <n v="0"/>
    <n v="0"/>
    <x v="0"/>
    <x v="1"/>
    <x v="1"/>
    <x v="0"/>
  </r>
  <r>
    <s v="Shipment"/>
    <n v="99003300"/>
    <s v="GROUPE SEB JAPAN CO LTD                           "/>
    <n v="99003300"/>
    <x v="25"/>
    <s v="3752/000007"/>
    <n v="1370146416"/>
    <n v="180"/>
    <x v="35"/>
    <x v="35"/>
    <s v="R1"/>
    <n v="1500635033"/>
    <n v="55"/>
    <n v="635033"/>
    <s v="KO320172 KET ANTOINETTE 0.8L WHT/BLU JP           "/>
    <s v="S"/>
    <d v="2012-01-19T00:00:00"/>
    <m/>
    <s v="X"/>
    <x v="42"/>
    <n v="17.579999999999998"/>
    <n v="15"/>
    <d v="2011-12-05T00:00:00"/>
    <d v="2011-11-21T00:00:00"/>
    <n v="2580"/>
    <d v="2012-01-05T00:00:00"/>
    <n v="2580"/>
    <m/>
    <m/>
    <m/>
    <d v="2012-02-06T00:00:00"/>
    <d v="2012-01-23T00:00:00"/>
    <n v="2580"/>
    <n v="48"/>
    <x v="22"/>
    <d v="2012-02-02T00:00:00"/>
    <m/>
    <n v="9321648140"/>
    <n v="70"/>
    <s v="FSCU4084713"/>
    <s v="KYOTO TOWER/KTWR1200"/>
    <m/>
    <s v="YANTIAN"/>
    <s v="SP-QLY/SP-QLY/SP-TECH/SP-TECH/C-POST-CONF/C-SHORTL/T/"/>
    <m/>
    <s v="DOROTHEA LING"/>
    <s v="FO9"/>
    <s v="BEVERAGE                      "/>
    <s v="CONFIRMED"/>
    <n v="1"/>
    <n v="3"/>
    <d v="2012-01-19T00:00:00"/>
    <s v="KITCHEN ELECTRICS             "/>
    <s v="BREAKFAST &amp; BREVAGE PREP      "/>
    <x v="2"/>
    <x v="1"/>
    <x v="13"/>
    <s v="C-POST-CONF"/>
    <n v="1"/>
    <n v="-3"/>
    <x v="0"/>
    <n v="7"/>
    <x v="0"/>
    <x v="0"/>
    <x v="1"/>
    <n v="0"/>
    <n v="0"/>
    <n v="0"/>
    <n v="0"/>
    <n v="0"/>
    <n v="0"/>
    <x v="0"/>
    <x v="1"/>
    <x v="1"/>
    <x v="0"/>
  </r>
  <r>
    <s v="Shipment"/>
    <n v="99003300"/>
    <s v="GROUPE SEB JAPAN CO LTD                           "/>
    <n v="99003300"/>
    <x v="25"/>
    <s v="3752/000007"/>
    <n v="1370146416"/>
    <n v="180"/>
    <x v="35"/>
    <x v="35"/>
    <s v="R1"/>
    <n v="1500635033"/>
    <n v="55"/>
    <n v="635033"/>
    <s v="KO320172 KET ANTOINETTE 0.8L WHT/BLU JP           "/>
    <s v="S"/>
    <d v="2012-01-19T00:00:00"/>
    <m/>
    <s v="X"/>
    <x v="42"/>
    <n v="17.579999999999998"/>
    <n v="15"/>
    <d v="2011-12-05T00:00:00"/>
    <d v="2011-11-21T00:00:00"/>
    <n v="2580"/>
    <d v="2012-01-05T00:00:00"/>
    <n v="2580"/>
    <m/>
    <m/>
    <m/>
    <d v="2012-02-06T00:00:00"/>
    <d v="2012-01-23T00:00:00"/>
    <n v="2580"/>
    <n v="2532"/>
    <x v="22"/>
    <d v="2012-02-02T00:00:00"/>
    <m/>
    <n v="9321648140"/>
    <n v="70"/>
    <s v="FSCU4084713"/>
    <s v="KYOTO TOWER/KTWR1200"/>
    <m/>
    <s v="YANTIAN"/>
    <s v="SP-QLY/SP-QLY/SP-TECH/SP-TECH/C-POST-CONF/C-SHORTL/T/"/>
    <m/>
    <s v="DOROTHEA LING"/>
    <s v="FO9"/>
    <s v="BEVERAGE                      "/>
    <s v="CONFIRMED"/>
    <n v="1"/>
    <n v="3"/>
    <d v="2012-01-19T00:00:00"/>
    <s v="KITCHEN ELECTRICS             "/>
    <s v="BREAKFAST &amp; BREVAGE PREP      "/>
    <x v="2"/>
    <x v="1"/>
    <x v="13"/>
    <s v="C-POST-CONF"/>
    <n v="1"/>
    <n v="-3"/>
    <x v="0"/>
    <n v="7"/>
    <x v="0"/>
    <x v="0"/>
    <x v="1"/>
    <n v="0"/>
    <n v="0"/>
    <n v="0"/>
    <n v="0"/>
    <n v="0"/>
    <n v="0"/>
    <x v="0"/>
    <x v="1"/>
    <x v="1"/>
    <x v="0"/>
  </r>
  <r>
    <s v="Shipment"/>
    <n v="99005700"/>
    <s v="SEB GROUPE HELLADOS S.A.                          "/>
    <n v="99005700"/>
    <x v="24"/>
    <s v="000006192/000001"/>
    <n v="1370146506"/>
    <n v="10"/>
    <x v="0"/>
    <x v="0"/>
    <s v="A2"/>
    <n v="7114000213"/>
    <n v="254"/>
    <n v="114000213"/>
    <s v="P2500834 SLIDE SECURE 5 7QT GR                    "/>
    <s v="S"/>
    <d v="2012-01-05T00:00:00"/>
    <m/>
    <s v="X"/>
    <x v="42"/>
    <n v="30.836099999999998"/>
    <n v="22722"/>
    <d v="2012-02-10T00:00:00"/>
    <d v="2012-01-06T00:00:00"/>
    <n v="770"/>
    <d v="2012-01-06T00:00:00"/>
    <n v="770"/>
    <m/>
    <d v="2012-01-03T00:00:00"/>
    <n v="770"/>
    <d v="2012-02-07T00:00:00"/>
    <d v="2012-01-03T00:00:00"/>
    <n v="770"/>
    <n v="770"/>
    <x v="3"/>
    <d v="2012-02-06T00:00:00"/>
    <m/>
    <n v="9321648159"/>
    <n v="10"/>
    <s v="MSKU2963371"/>
    <s v="NEDLLOYD DRAKE/1202"/>
    <m/>
    <s v="NINGBO"/>
    <m/>
    <m/>
    <s v="JASON FAN"/>
    <s v="FO9"/>
    <s v="COOKWARE                      "/>
    <s v="CONFIRMED"/>
    <n v="1"/>
    <n v="1"/>
    <d v="2012-01-0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57/000012"/>
    <n v="1370146642"/>
    <n v="40"/>
    <x v="5"/>
    <x v="5"/>
    <s v="R1"/>
    <n v="1500634602"/>
    <n v="55"/>
    <n v="634602"/>
    <s v="KO410870 KET THERMOVISION 1.5L BLK KR             "/>
    <s v="S"/>
    <d v="2012-01-09T00:00:00"/>
    <m/>
    <s v="X"/>
    <x v="42"/>
    <n v="19.329999999999998"/>
    <n v="16337"/>
    <d v="2011-12-27T00:00:00"/>
    <d v="2011-12-13T00:00:00"/>
    <n v="2214"/>
    <d v="2012-01-08T00:00:00"/>
    <n v="2214"/>
    <m/>
    <d v="2011-12-13T00:00:00"/>
    <n v="2214"/>
    <d v="2012-01-22T00:00:00"/>
    <d v="2012-01-08T00:00:00"/>
    <n v="2214"/>
    <n v="2214"/>
    <x v="12"/>
    <d v="2012-01-21T00:00:00"/>
    <m/>
    <n v="9321648352"/>
    <n v="10"/>
    <s v="MRKU0657792"/>
    <s v="CONVENT/1202"/>
    <m/>
    <s v="YANTIAN"/>
    <s v="C-POST-CONF/"/>
    <m/>
    <s v="AGNES NUNES"/>
    <s v="FO9"/>
    <s v="BEVERAGE                      "/>
    <s v="CONFIRMED"/>
    <n v="1"/>
    <n v="1"/>
    <d v="2012-01-07T00:00:00"/>
    <s v="KITCHEN ELECTRICS             "/>
    <s v="BREAKFAST &amp; BREVAGE PREP      "/>
    <x v="4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57/000015"/>
    <n v="1370146642"/>
    <n v="70"/>
    <x v="52"/>
    <x v="52"/>
    <s v="P1"/>
    <n v="1500816881"/>
    <n v="107"/>
    <n v="816881"/>
    <s v="HB713180 HBL PREP''LINE 700W BLC KR               "/>
    <s v="S"/>
    <d v="2012-01-09T00:00:00"/>
    <m/>
    <s v="X"/>
    <x v="42"/>
    <n v="18.05"/>
    <n v="16337"/>
    <d v="2011-12-27T00:00:00"/>
    <d v="2011-12-13T00:00:00"/>
    <n v="1320"/>
    <d v="2012-01-07T00:00:00"/>
    <n v="1320"/>
    <m/>
    <d v="2011-12-18T00:00:00"/>
    <n v="1320"/>
    <d v="2012-01-21T00:00:00"/>
    <d v="2012-01-07T00:00:00"/>
    <n v="1320"/>
    <n v="1320"/>
    <x v="12"/>
    <d v="2012-01-21T00:00:00"/>
    <m/>
    <n v="9321648353"/>
    <n v="10"/>
    <s v="PONU1696286"/>
    <s v="CONVENT/1202"/>
    <m/>
    <s v="YANTIAN"/>
    <s v="C-POST-CONF"/>
    <m/>
    <s v="AGNES NUNES"/>
    <s v="FO9"/>
    <s v="FOOD PREPARATION              "/>
    <s v="CONFIRMED"/>
    <n v="1"/>
    <n v="1"/>
    <d v="2012-01-07T00:00:00"/>
    <s v="KITCHEN ELECTRICS             "/>
    <s v="FOOD PREPARATION              "/>
    <x v="1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57/000016"/>
    <n v="1370146642"/>
    <n v="80"/>
    <x v="52"/>
    <x v="52"/>
    <s v="P1"/>
    <n v="1500816980"/>
    <n v="107"/>
    <n v="816980"/>
    <s v="HB715180 HBL PREP'LINE NEW POWER 700W WH          "/>
    <s v="S"/>
    <d v="2012-01-09T00:00:00"/>
    <m/>
    <s v="X"/>
    <x v="42"/>
    <n v="15.85"/>
    <n v="16337"/>
    <d v="2011-12-27T00:00:00"/>
    <d v="2011-12-13T00:00:00"/>
    <n v="1320"/>
    <d v="2012-01-07T00:00:00"/>
    <n v="1320"/>
    <m/>
    <d v="2011-12-18T00:00:00"/>
    <n v="1320"/>
    <d v="2012-01-21T00:00:00"/>
    <d v="2012-01-07T00:00:00"/>
    <n v="1320"/>
    <n v="1320"/>
    <x v="12"/>
    <d v="2012-01-21T00:00:00"/>
    <m/>
    <n v="9321648353"/>
    <n v="20"/>
    <s v="PONU1696286"/>
    <s v="CONVENT/1202"/>
    <m/>
    <s v="YANTIAN"/>
    <s v="C-POST-CONF"/>
    <m/>
    <s v="AGNES NUNES"/>
    <s v="FO9"/>
    <s v="FOOD PREPARATION              "/>
    <s v="CONFIRMED"/>
    <n v="1"/>
    <n v="1"/>
    <d v="2012-01-07T00:00:00"/>
    <s v="KITCHEN ELECTRICS             "/>
    <s v="FOOD PREPARATION              "/>
    <x v="1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57/000017"/>
    <n v="1370146642"/>
    <n v="90"/>
    <x v="47"/>
    <x v="47"/>
    <s v="P1"/>
    <n v="1500677880"/>
    <n v="36"/>
    <n v="677880"/>
    <s v="BL210280 BLD CHICAGO 2 GRE KR                     "/>
    <s v="S"/>
    <d v="2012-01-09T00:00:00"/>
    <m/>
    <s v="X"/>
    <x v="42"/>
    <n v="19.059999999999999"/>
    <n v="16337"/>
    <d v="2011-12-27T00:00:00"/>
    <d v="2011-12-13T00:00:00"/>
    <n v="1300"/>
    <d v="2012-01-07T00:00:00"/>
    <n v="1300"/>
    <m/>
    <d v="2012-01-13T00:00:00"/>
    <n v="1300"/>
    <d v="2012-01-21T00:00:00"/>
    <d v="2012-01-07T00:00:00"/>
    <n v="1300"/>
    <n v="1300"/>
    <x v="12"/>
    <d v="2012-01-21T00:00:00"/>
    <m/>
    <n v="9321648354"/>
    <n v="10"/>
    <s v="MSKU6516617"/>
    <s v="CONVENT/1202"/>
    <m/>
    <s v="YANTIAN"/>
    <s v="C-POST-CONF/SP-QLY/"/>
    <m/>
    <s v="AGNES NUNES"/>
    <s v="FO9"/>
    <s v="FOOD PREPARATION              "/>
    <s v="CONFIRMED"/>
    <n v="1"/>
    <n v="1"/>
    <d v="2012-01-07T00:00:00"/>
    <s v="KITCHEN ELECTRICS             "/>
    <s v="FOOD PREPARATION              "/>
    <x v="2"/>
    <x v="1"/>
    <x v="13"/>
    <s v="C-POST-CONF"/>
    <n v="1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57/000018"/>
    <n v="1370146642"/>
    <n v="100"/>
    <x v="47"/>
    <x v="47"/>
    <s v="P1"/>
    <n v="1500677882"/>
    <n v="36"/>
    <n v="677882"/>
    <s v="BL522DKR BLD SS BLK KR                            "/>
    <s v="S"/>
    <d v="2012-01-09T00:00:00"/>
    <m/>
    <s v="X"/>
    <x v="42"/>
    <n v="23.95"/>
    <n v="16337"/>
    <d v="2011-12-27T00:00:00"/>
    <d v="2011-12-13T00:00:00"/>
    <n v="1080"/>
    <d v="2012-01-07T00:00:00"/>
    <n v="1080"/>
    <m/>
    <d v="2012-01-13T00:00:00"/>
    <n v="1080"/>
    <d v="2012-01-21T00:00:00"/>
    <d v="2012-01-07T00:00:00"/>
    <n v="1080"/>
    <n v="1080"/>
    <x v="12"/>
    <d v="2012-01-21T00:00:00"/>
    <m/>
    <n v="9321648354"/>
    <n v="20"/>
    <s v="MSKU6516617"/>
    <s v="CONVENT/1202"/>
    <m/>
    <s v="YANTIAN"/>
    <s v="C-POST-CONF/SP-QLY/"/>
    <m/>
    <s v="AGNES NUNES"/>
    <s v="FO9"/>
    <s v="FOOD PREPARATION              "/>
    <s v="CONFIRMED"/>
    <n v="1"/>
    <n v="1"/>
    <d v="2012-01-07T00:00:00"/>
    <s v="KITCHEN ELECTRICS             "/>
    <s v="FOOD PREPARATION              "/>
    <x v="2"/>
    <x v="1"/>
    <x v="13"/>
    <s v="C-POST-CONF"/>
    <n v="1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57/000001"/>
    <n v="1370146642"/>
    <n v="10"/>
    <x v="0"/>
    <x v="0"/>
    <s v="A1"/>
    <n v="2100066549"/>
    <n v="205"/>
    <n v="116001072"/>
    <s v="A600S614 SET 6P FUNDAMENTAL SS COAT TEF           "/>
    <s v="S"/>
    <d v="2012-01-13T00:00:00"/>
    <m/>
    <s v="X"/>
    <x v="42"/>
    <n v="29.689399999999999"/>
    <n v="16337"/>
    <d v="2011-12-27T00:00:00"/>
    <d v="2011-12-13T00:00:00"/>
    <n v="1000"/>
    <d v="2012-01-11T00:00:00"/>
    <n v="1000"/>
    <m/>
    <d v="2011-12-17T00:00:00"/>
    <n v="1000"/>
    <d v="2012-01-25T00:00:00"/>
    <d v="2012-01-11T00:00:00"/>
    <n v="1000"/>
    <n v="1000"/>
    <x v="24"/>
    <d v="2012-01-27T00:00:00"/>
    <m/>
    <n v="9321648368"/>
    <n v="10"/>
    <s v="MSKU6252751"/>
    <s v="STAR CARRIER/198E"/>
    <m/>
    <s v="NINGBO"/>
    <s v="C-POST-CONF/"/>
    <m/>
    <s v="AGNES NUNES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57/000002"/>
    <n v="1370146642"/>
    <n v="20"/>
    <x v="0"/>
    <x v="0"/>
    <s v="A1"/>
    <n v="2100063369"/>
    <n v="207"/>
    <n v="115003037"/>
    <s v="H1150414 FP24 FLAVOUR TP3 BLACK TEFAL FC          "/>
    <s v="S"/>
    <d v="2012-01-13T00:00:00"/>
    <m/>
    <s v="X"/>
    <x v="42"/>
    <n v="8.8114000000000008"/>
    <n v="16337"/>
    <d v="2011-12-27T00:00:00"/>
    <d v="2011-12-13T00:00:00"/>
    <n v="1000"/>
    <d v="2012-01-11T00:00:00"/>
    <n v="1000"/>
    <m/>
    <d v="2011-12-28T00:00:00"/>
    <n v="1000"/>
    <d v="2012-01-25T00:00:00"/>
    <d v="2012-01-11T00:00:00"/>
    <n v="1000"/>
    <n v="1000"/>
    <x v="24"/>
    <d v="2012-01-27T00:00:00"/>
    <m/>
    <n v="9321648368"/>
    <n v="20"/>
    <s v="MSKU6978528"/>
    <s v="STAR CARRIER/198E"/>
    <m/>
    <s v="NINGBO"/>
    <s v="C-POST-CONF/SP-OVERCAP/"/>
    <m/>
    <s v="AGNES NUNES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57/000003"/>
    <n v="1370146642"/>
    <n v="130"/>
    <x v="0"/>
    <x v="0"/>
    <s v="A1"/>
    <n v="2100063371"/>
    <n v="207"/>
    <n v="115003039"/>
    <s v="H1150614 FP28 FLAVOUR TP3 BLACK TEFAL FC          "/>
    <s v="S"/>
    <d v="2012-01-13T00:00:00"/>
    <m/>
    <s v="X"/>
    <x v="42"/>
    <n v="10.398"/>
    <n v="16337"/>
    <d v="2011-12-27T00:00:00"/>
    <d v="2011-12-13T00:00:00"/>
    <n v="1000"/>
    <d v="2012-01-11T00:00:00"/>
    <n v="1000"/>
    <m/>
    <d v="2011-12-28T00:00:00"/>
    <n v="1000"/>
    <d v="2012-01-25T00:00:00"/>
    <d v="2012-01-11T00:00:00"/>
    <n v="1000"/>
    <n v="1000"/>
    <x v="24"/>
    <d v="2012-01-27T00:00:00"/>
    <m/>
    <n v="9321648368"/>
    <n v="30"/>
    <s v="MSKU6978528"/>
    <s v="STAR CARRIER/198E"/>
    <m/>
    <s v="NINGBO"/>
    <s v="C-POST-CONF/SP-OVERCAP/"/>
    <m/>
    <s v="AGNES NUNES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57/000004"/>
    <n v="1370146642"/>
    <n v="200"/>
    <x v="0"/>
    <x v="0"/>
    <s v="A1"/>
    <n v="2100063374"/>
    <n v="207"/>
    <n v="115003042"/>
    <s v="H1157714 WOK FP26 FLAVOUR TP3 BLACK TEFA          "/>
    <s v="S"/>
    <d v="2012-01-13T00:00:00"/>
    <m/>
    <s v="X"/>
    <x v="42"/>
    <n v="9.7911999999999999"/>
    <n v="16337"/>
    <d v="2011-12-27T00:00:00"/>
    <d v="2011-12-13T00:00:00"/>
    <n v="1000"/>
    <d v="2012-01-11T00:00:00"/>
    <n v="1000"/>
    <m/>
    <d v="2011-12-28T00:00:00"/>
    <n v="1000"/>
    <d v="2012-01-25T00:00:00"/>
    <d v="2012-01-11T00:00:00"/>
    <n v="1000"/>
    <n v="1000"/>
    <x v="24"/>
    <d v="2012-01-27T00:00:00"/>
    <m/>
    <n v="9321648368"/>
    <n v="40"/>
    <s v="MSKU6978528"/>
    <s v="STAR CARRIER/198E"/>
    <m/>
    <s v="NINGBO"/>
    <s v="C-POST-CONF/SP-OVERCAP/"/>
    <m/>
    <s v="AGNES NUNES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57/000005"/>
    <n v="1370146642"/>
    <n v="210"/>
    <x v="0"/>
    <x v="0"/>
    <s v="A2"/>
    <n v="7114000211"/>
    <n v="254"/>
    <n v="114000211"/>
    <s v="P2514232 SECURE 5 4QT KR                          "/>
    <s v="S"/>
    <d v="2012-01-13T00:00:00"/>
    <m/>
    <s v="X"/>
    <x v="42"/>
    <n v="24.008199999999999"/>
    <n v="16337"/>
    <d v="2011-12-27T00:00:00"/>
    <d v="2011-12-13T00:00:00"/>
    <n v="1034"/>
    <d v="2012-01-11T00:00:00"/>
    <n v="1034"/>
    <m/>
    <d v="2011-12-17T00:00:00"/>
    <n v="2068"/>
    <d v="2012-01-25T00:00:00"/>
    <d v="2012-01-11T00:00:00"/>
    <n v="1034"/>
    <n v="734"/>
    <x v="24"/>
    <d v="2012-01-27T00:00:00"/>
    <m/>
    <n v="9321648368"/>
    <n v="50"/>
    <s v="MSKU6978528"/>
    <s v="STAR CARRIER/198E"/>
    <m/>
    <s v="NINGBO"/>
    <s v="C-POST-CONF/"/>
    <m/>
    <s v="AGNES NUNES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57/000005"/>
    <n v="1370146642"/>
    <n v="210"/>
    <x v="0"/>
    <x v="0"/>
    <s v="A2"/>
    <n v="7114000211"/>
    <n v="254"/>
    <n v="114000211"/>
    <s v="P2514232 SECURE 5 4QT KR                          "/>
    <s v="S"/>
    <d v="2012-01-13T00:00:00"/>
    <m/>
    <s v="X"/>
    <x v="42"/>
    <n v="24.008199999999999"/>
    <n v="16337"/>
    <d v="2011-12-27T00:00:00"/>
    <d v="2011-12-13T00:00:00"/>
    <n v="1034"/>
    <d v="2012-01-11T00:00:00"/>
    <n v="1034"/>
    <m/>
    <d v="2011-12-17T00:00:00"/>
    <n v="2068"/>
    <d v="2012-01-25T00:00:00"/>
    <d v="2012-01-11T00:00:00"/>
    <n v="1034"/>
    <n v="300"/>
    <x v="24"/>
    <d v="2012-01-27T00:00:00"/>
    <m/>
    <n v="9321648368"/>
    <n v="50"/>
    <s v="MSKU6252751"/>
    <s v="STAR CARRIER/198E"/>
    <m/>
    <s v="NINGBO"/>
    <s v="C-POST-CONF/"/>
    <m/>
    <s v="AGNES NUNES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47340/000010"/>
    <n v="1370146512"/>
    <n v="10"/>
    <x v="30"/>
    <x v="30"/>
    <s v="N2"/>
    <n v="7211000865"/>
    <n v="50"/>
    <n v="211000865"/>
    <s v="CB540812 PLA I THERMOSP BLK EUR                   "/>
    <s v="S"/>
    <d v="2012-01-07T00:00:00"/>
    <m/>
    <s v="X"/>
    <x v="42"/>
    <n v="24.914400000000001"/>
    <n v="20"/>
    <d v="2011-12-21T00:00:00"/>
    <d v="2011-11-16T00:00:00"/>
    <n v="1992"/>
    <d v="2011-12-18T00:00:00"/>
    <n v="1992"/>
    <m/>
    <d v="2011-12-18T00:00:00"/>
    <n v="1992"/>
    <d v="2012-02-05T00:00:00"/>
    <d v="2012-01-01T00:00:00"/>
    <n v="1992"/>
    <n v="1992"/>
    <x v="13"/>
    <d v="2012-02-05T00:00:00"/>
    <m/>
    <n v="9321648505"/>
    <n v="10"/>
    <s v="MSKU9732950"/>
    <s v="MAERSK ESSEN 1202/"/>
    <m/>
    <s v="NINGBO"/>
    <s v="C-ETD-TEMP/C-POST-CONF/LATE DOC FROM FORWARDER"/>
    <m/>
    <s v="JASON FAN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6"/>
    <s v="C-ETD-TEMP"/>
    <n v="-3"/>
    <n v="-3"/>
    <x v="7"/>
    <n v="3"/>
    <x v="0"/>
    <x v="0"/>
    <x v="1"/>
    <n v="1"/>
    <n v="0"/>
    <n v="0"/>
    <n v="0"/>
    <n v="0"/>
    <n v="0"/>
    <x v="0"/>
    <x v="1"/>
    <x v="1"/>
    <x v="0"/>
  </r>
  <r>
    <s v="Shipment"/>
    <n v="99003600"/>
    <s v="GROUPE SEB ISTANBUL EV ALETLERI                   "/>
    <n v="99003600"/>
    <x v="13"/>
    <s v="4500259800/000010"/>
    <n v="1370145635"/>
    <n v="10"/>
    <x v="26"/>
    <x v="26"/>
    <s v="P1"/>
    <n v="1500831593"/>
    <n v="105"/>
    <n v="831593"/>
    <s v="JU581131 JUI EASY FRUIT 700W PLAST WHT G          "/>
    <s v="S"/>
    <d v="2012-01-06T00:00:00"/>
    <m/>
    <s v="X"/>
    <x v="43"/>
    <n v="28.13"/>
    <n v="58236"/>
    <d v="2012-01-26T00:00:00"/>
    <d v="2011-12-22T00:00:00"/>
    <n v="516"/>
    <d v="2012-01-01T00:00:00"/>
    <n v="1164"/>
    <m/>
    <d v="2011-12-22T00:00:00"/>
    <n v="1164"/>
    <d v="2012-02-05T00:00:00"/>
    <d v="2012-01-01T00:00:00"/>
    <n v="1164"/>
    <n v="1164"/>
    <x v="13"/>
    <d v="2012-02-05T00:00:00"/>
    <m/>
    <n v="9321649029"/>
    <n v="10"/>
    <s v="PONU1888592"/>
    <s v="CMA CGM NERVAL/811W"/>
    <m/>
    <s v="YANTIAN"/>
    <s v="C-POST-CONF/"/>
    <m/>
    <s v="KENUS WONG"/>
    <s v="FO9"/>
    <s v="FOOD PREPARATION              "/>
    <s v="CONFIRMED"/>
    <n v="1"/>
    <n v="52"/>
    <d v="2012-01-01T00:00:00"/>
    <s v="KITCHEN ELECTRICS             "/>
    <s v="FOOD PREPARATION              "/>
    <x v="1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59802/000010"/>
    <n v="1370145637"/>
    <n v="10"/>
    <x v="26"/>
    <x v="26"/>
    <s v="P1"/>
    <n v="1500831590"/>
    <n v="105"/>
    <n v="831590"/>
    <s v="JU585G31 JUI EASY FRUIT 700W RED/SS EUR           "/>
    <s v="S"/>
    <d v="2012-01-06T00:00:00"/>
    <m/>
    <s v="X"/>
    <x v="43"/>
    <n v="35.020000000000003"/>
    <n v="72258"/>
    <d v="2012-01-26T00:00:00"/>
    <d v="2011-12-22T00:00:00"/>
    <n v="516"/>
    <d v="2011-12-18T00:00:00"/>
    <n v="1164"/>
    <m/>
    <d v="2011-12-22T00:00:00"/>
    <n v="1164"/>
    <d v="2012-01-26T00:00:00"/>
    <d v="2011-12-22T00:00:00"/>
    <n v="1164"/>
    <n v="1164"/>
    <x v="13"/>
    <d v="2012-02-05T00:00:00"/>
    <m/>
    <n v="9321649030"/>
    <n v="10"/>
    <s v="MSKU6759520"/>
    <s v="CMA CGM NERVAL/811W"/>
    <m/>
    <s v="YANTIAN"/>
    <m/>
    <m/>
    <s v="KENUS WONG"/>
    <s v="FO9"/>
    <s v="FOOD PREPARATION              "/>
    <s v="CONFIRMED"/>
    <n v="1"/>
    <n v="52"/>
    <d v="2012-01-01T00:00:00"/>
    <s v="KITCHEN ELECTRICS             "/>
    <s v="FOOD PREPARATION              "/>
    <x v="1"/>
    <x v="1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003600"/>
    <s v="GROUPE SEB ISTANBUL EV ALETLERI                   "/>
    <n v="99003600"/>
    <x v="13"/>
    <s v="4500259803/000010"/>
    <n v="1370145638"/>
    <n v="10"/>
    <x v="26"/>
    <x v="26"/>
    <s v="P1"/>
    <n v="1500831597"/>
    <n v="105"/>
    <n v="831597"/>
    <s v="JU581136 JUI EASY FRUIT 700W PLAST SILV           "/>
    <s v="S"/>
    <d v="2012-01-06T00:00:00"/>
    <m/>
    <s v="X"/>
    <x v="43"/>
    <n v="31.5"/>
    <n v="65100"/>
    <d v="2012-01-26T00:00:00"/>
    <d v="2011-12-22T00:00:00"/>
    <n v="1020"/>
    <d v="2011-12-18T00:00:00"/>
    <n v="1020"/>
    <m/>
    <d v="2011-12-22T00:00:00"/>
    <n v="1020"/>
    <d v="2012-01-26T00:00:00"/>
    <d v="2011-12-22T00:00:00"/>
    <n v="1020"/>
    <n v="1020"/>
    <x v="13"/>
    <d v="2012-02-05T00:00:00"/>
    <m/>
    <n v="9321649031"/>
    <n v="10"/>
    <s v="PONU1310747"/>
    <s v="CMA CGM NERVAL/811W"/>
    <m/>
    <s v="YANTIAN"/>
    <m/>
    <m/>
    <s v="KENUS WONG"/>
    <s v="FO9"/>
    <s v="FOOD PREPARATION              "/>
    <s v="CONFIRMED"/>
    <n v="1"/>
    <n v="52"/>
    <d v="2012-01-01T00:00:00"/>
    <s v="KITCHEN ELECTRICS             "/>
    <s v="FOOD PREPARATION              "/>
    <x v="1"/>
    <x v="1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47328/000010"/>
    <n v="1370146477"/>
    <n v="10"/>
    <x v="55"/>
    <x v="55"/>
    <s v="P4"/>
    <n v="8000034344"/>
    <n v="77"/>
    <s v="QA401GB7       "/>
    <s v="QA401GB7 KTM MC GOURMET JUI/MMC RED EE            "/>
    <s v="S"/>
    <d v="2012-01-06T00:00:00"/>
    <m/>
    <s v="X"/>
    <x v="43"/>
    <n v="87.67"/>
    <n v="3173"/>
    <d v="2012-02-10T00:00:00"/>
    <d v="2011-12-23T00:00:00"/>
    <n v="294"/>
    <d v="2012-01-09T00:00:00"/>
    <n v="294"/>
    <m/>
    <d v="2011-12-23T00:00:00"/>
    <n v="294"/>
    <d v="2012-02-10T00:00:00"/>
    <d v="2011-12-23T00:00:00"/>
    <n v="294"/>
    <n v="294"/>
    <x v="16"/>
    <d v="2012-02-21T00:00:00"/>
    <m/>
    <n v="9321649076"/>
    <n v="10"/>
    <s v="TGHU5005173"/>
    <s v="NYK VESTA/28W51"/>
    <m/>
    <s v="YANTIAN"/>
    <s v="TP ISSUE"/>
    <m/>
    <s v="KENUS WONG"/>
    <s v="FO9"/>
    <s v="FOOD PREPARATION              "/>
    <s v="CONFIRMED"/>
    <n v="1"/>
    <n v="1"/>
    <d v="2012-01-03T00:00:00"/>
    <s v="KITCHEN ELECTRICS             "/>
    <s v="FOOD PREPARATION              "/>
    <x v="4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47460/000010"/>
    <n v="1370146468"/>
    <n v="10"/>
    <x v="8"/>
    <x v="8"/>
    <s v="L4"/>
    <n v="1830003368"/>
    <n v="131"/>
    <s v="SF6150D4       "/>
    <s v="SF6150D4 LISS &amp; CURL PRO STRAIGHTENER             "/>
    <s v="S"/>
    <d v="2012-01-09T00:00:00"/>
    <m/>
    <s v="X"/>
    <x v="43"/>
    <n v="14.27"/>
    <n v="520"/>
    <d v="2012-02-03T00:00:00"/>
    <d v="2011-12-16T00:00:00"/>
    <n v="3198"/>
    <d v="2012-01-07T00:00:00"/>
    <n v="3198"/>
    <m/>
    <d v="2011-12-16T00:00:00"/>
    <n v="3198"/>
    <d v="2012-02-25T00:00:00"/>
    <d v="2012-01-07T00:00:00"/>
    <n v="3198"/>
    <n v="3198"/>
    <x v="23"/>
    <d v="2012-02-26T00:00:00"/>
    <m/>
    <n v="9321649107"/>
    <n v="10"/>
    <s v="GLDU7006700"/>
    <s v="APL RUSSIA/020W"/>
    <m/>
    <s v="YANTIAN"/>
    <s v="SP-OVERCAP/"/>
    <m/>
    <s v="KENUS WONG"/>
    <s v="FO9"/>
    <s v="PERSONAL CARE                 "/>
    <s v="CONFIRMED"/>
    <n v="1"/>
    <n v="1"/>
    <d v="2012-01-08T00:00:00"/>
    <s v="LINEN PERS HOME CARE          "/>
    <s v="PERSONAL CARE                 "/>
    <x v="4"/>
    <x v="1"/>
    <x v="11"/>
    <s v="SP-OVERCAP"/>
    <n v="-3"/>
    <n v="-3"/>
    <x v="9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47415/000010"/>
    <n v="1370146423"/>
    <n v="10"/>
    <x v="5"/>
    <x v="5"/>
    <s v="R1"/>
    <n v="1500634527"/>
    <n v="55"/>
    <n v="634527"/>
    <s v="KO410830 KET THERMOVISION 1.5L BLK/SILV           "/>
    <s v="S"/>
    <d v="2012-01-18T00:00:00"/>
    <m/>
    <s v="X"/>
    <x v="43"/>
    <n v="19.329999999999998"/>
    <n v="685"/>
    <d v="2012-03-04T00:00:00"/>
    <d v="2012-01-15T00:00:00"/>
    <n v="2214"/>
    <d v="2012-01-15T00:00:00"/>
    <n v="2214"/>
    <m/>
    <d v="2012-01-15T00:00:00"/>
    <n v="2214"/>
    <d v="2012-03-03T00:00:00"/>
    <d v="2012-01-14T00:00:00"/>
    <n v="2214"/>
    <n v="2214"/>
    <x v="19"/>
    <d v="2012-03-06T00:00:00"/>
    <m/>
    <n v="9321649173"/>
    <n v="10"/>
    <s v="TRLU6461727"/>
    <s v="MOL COMPETENCE/021W"/>
    <m/>
    <s v="YANTIAN"/>
    <m/>
    <m/>
    <s v="KENUS WONG"/>
    <s v="FO9"/>
    <s v="BEVERAGE                      "/>
    <s v="CONFIRMED"/>
    <n v="1"/>
    <n v="3"/>
    <d v="2012-01-17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47417/000010"/>
    <n v="1370146429"/>
    <n v="10"/>
    <x v="5"/>
    <x v="5"/>
    <s v="R1"/>
    <n v="1500634527"/>
    <n v="55"/>
    <n v="634527"/>
    <s v="KO410830 KET THERMOVISION 1.5L BLK/SILV           "/>
    <s v="S"/>
    <d v="2012-01-18T00:00:00"/>
    <m/>
    <s v="X"/>
    <x v="43"/>
    <n v="19.329999999999998"/>
    <n v="685"/>
    <d v="2012-03-05T00:00:00"/>
    <d v="2012-01-16T00:00:00"/>
    <n v="2214"/>
    <d v="2012-01-15T00:00:00"/>
    <n v="2214"/>
    <m/>
    <d v="2012-01-18T00:00:00"/>
    <n v="2214"/>
    <d v="2012-03-03T00:00:00"/>
    <d v="2012-01-14T00:00:00"/>
    <n v="2214"/>
    <n v="2214"/>
    <x v="19"/>
    <d v="2012-03-06T00:00:00"/>
    <m/>
    <n v="9321649175"/>
    <n v="10"/>
    <s v="TRLU6461727"/>
    <s v="MOL COMPETENCE/021W"/>
    <m/>
    <s v="YANTIAN"/>
    <m/>
    <m/>
    <s v="KENUS WONG"/>
    <s v="FO9"/>
    <s v="BEVERAGE                      "/>
    <s v="CONFIRMED"/>
    <n v="1"/>
    <n v="3"/>
    <d v="2012-01-17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47320/000010"/>
    <n v="1370146400"/>
    <n v="10"/>
    <x v="47"/>
    <x v="47"/>
    <s v="P1"/>
    <n v="1500677861"/>
    <n v="36"/>
    <n v="677861"/>
    <s v="BL522D61 BLD SS BLK WE                            "/>
    <s v="S"/>
    <d v="2012-01-10T00:00:00"/>
    <m/>
    <s v="X"/>
    <x v="43"/>
    <n v="23.67"/>
    <n v="21"/>
    <d v="2012-01-13T00:00:00"/>
    <d v="2011-12-16T00:00:00"/>
    <n v="1080"/>
    <d v="2011-12-16T00:00:00"/>
    <n v="1080"/>
    <m/>
    <d v="2012-01-16T00:00:00"/>
    <n v="1080"/>
    <d v="2012-02-06T00:00:00"/>
    <d v="2012-01-09T00:00:00"/>
    <n v="1080"/>
    <n v="1080"/>
    <x v="23"/>
    <d v="2012-02-05T00:00:00"/>
    <m/>
    <n v="9321649281"/>
    <n v="10"/>
    <s v="MRKU8217110"/>
    <s v="SVENDBORG MAERSK 120"/>
    <m/>
    <s v="YANTIAN"/>
    <s v="SP-INSP-FAILED/SP-MTL/SP-QLY/"/>
    <m/>
    <s v="KENUS WONG"/>
    <s v="FO9"/>
    <s v="FOOD PREPARATION              "/>
    <s v="CONFIRMED"/>
    <n v="1"/>
    <n v="1"/>
    <d v="2012-01-08T00:00:00"/>
    <s v="KITCHEN ELECTRICS             "/>
    <s v="FOOD PREPARATION              "/>
    <x v="2"/>
    <x v="1"/>
    <x v="12"/>
    <s v="SP-INSP-FAILED"/>
    <n v="1"/>
    <n v="1"/>
    <x v="12"/>
    <n v="3"/>
    <x v="0"/>
    <x v="0"/>
    <x v="0"/>
    <n v="1"/>
    <n v="0"/>
    <n v="0"/>
    <n v="0"/>
    <n v="0"/>
    <n v="0"/>
    <x v="0"/>
    <x v="1"/>
    <x v="1"/>
    <x v="0"/>
  </r>
  <r>
    <s v="Shipment"/>
    <n v="99002501"/>
    <s v="GROUPE SEB NEDERLAND BV                           "/>
    <n v="99002501"/>
    <x v="30"/>
    <s v="9321647163/000010"/>
    <n v="1370146383"/>
    <n v="10"/>
    <x v="2"/>
    <x v="2"/>
    <s v="R1"/>
    <n v="8000032244"/>
    <n v="27"/>
    <s v="CI210510       "/>
    <s v="CI210510 COFFEE MAKER THERM JUG                   "/>
    <s v="S"/>
    <d v="2012-01-04T00:00:00"/>
    <m/>
    <s v="X"/>
    <x v="43"/>
    <n v="13.83"/>
    <n v="11831"/>
    <d v="2012-01-13T00:00:00"/>
    <d v="2011-12-16T00:00:00"/>
    <n v="1017"/>
    <d v="2011-12-16T00:00:00"/>
    <n v="1017"/>
    <m/>
    <d v="2011-12-16T00:00:00"/>
    <n v="1017"/>
    <d v="2012-01-30T00:00:00"/>
    <d v="2012-01-02T00:00:00"/>
    <n v="1017"/>
    <n v="1017"/>
    <x v="13"/>
    <d v="2012-01-29T00:00:00"/>
    <m/>
    <n v="9321649284"/>
    <n v="10"/>
    <s v="MSKU5119533"/>
    <s v="CHARLOTTE MAERSK 120"/>
    <m/>
    <s v="SHENZHEN"/>
    <s v="SP-INSP-FAILED/SP-OVERCAP/"/>
    <m/>
    <s v="KENUS WONG"/>
    <s v="FO9"/>
    <s v="BEVERAGE                      "/>
    <s v="CONFIRMED"/>
    <n v="1"/>
    <n v="52"/>
    <d v="2012-01-01T00:00:00"/>
    <s v="KITCHEN ELECTRICS             "/>
    <s v="BREAKFAST &amp; BREVAGE PREP      "/>
    <x v="1"/>
    <x v="1"/>
    <x v="12"/>
    <s v="SP-OVERCAP"/>
    <n v="1"/>
    <n v="-3"/>
    <x v="9"/>
    <n v="2"/>
    <x v="0"/>
    <x v="0"/>
    <x v="0"/>
    <n v="0"/>
    <n v="0"/>
    <n v="0"/>
    <n v="0"/>
    <n v="0"/>
    <n v="0"/>
    <x v="1"/>
    <x v="0"/>
    <x v="1"/>
    <x v="0"/>
  </r>
  <r>
    <s v="Shipment"/>
    <n v="99002501"/>
    <s v="GROUPE SEB NEDERLAND BV                           "/>
    <n v="99002501"/>
    <x v="30"/>
    <s v="9321647317/000010"/>
    <n v="1370146389"/>
    <n v="10"/>
    <x v="52"/>
    <x v="52"/>
    <s v="P1"/>
    <n v="1500675921"/>
    <n v="106"/>
    <n v="675921"/>
    <s v="HM505131 HMX EASYMAX POWER WHT WE                 "/>
    <s v="S"/>
    <d v="2012-01-04T00:00:00"/>
    <m/>
    <s v="X"/>
    <x v="43"/>
    <n v="12.11"/>
    <n v="10511"/>
    <d v="2012-01-13T00:00:00"/>
    <d v="2011-12-16T00:00:00"/>
    <n v="2336"/>
    <d v="2011-12-16T00:00:00"/>
    <n v="2336"/>
    <m/>
    <d v="2011-12-19T00:00:00"/>
    <n v="2336"/>
    <d v="2012-01-30T00:00:00"/>
    <d v="2012-01-02T00:00:00"/>
    <n v="2336"/>
    <n v="2336"/>
    <x v="13"/>
    <d v="2012-01-29T00:00:00"/>
    <m/>
    <n v="9321649309"/>
    <n v="10"/>
    <s v="MRKU8207174"/>
    <s v="CHARLOTTE MAERSK 120"/>
    <m/>
    <s v="YANTIAN"/>
    <s v="SP-PROD-ISSUE/"/>
    <m/>
    <s v="KENUS WONG"/>
    <s v="FO9"/>
    <s v="FOOD PREPARATION              "/>
    <s v="CONFIRMED"/>
    <n v="1"/>
    <n v="52"/>
    <d v="2012-01-01T00:00:00"/>
    <s v="KITCHEN ELECTRICS             "/>
    <s v="FOOD PREPARATION              "/>
    <x v="1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47401/000010"/>
    <n v="1370146524"/>
    <n v="10"/>
    <x v="8"/>
    <x v="8"/>
    <s v="K9"/>
    <n v="8000034357"/>
    <n v="38"/>
    <s v="KP260610       "/>
    <s v="KP260610 NDG CREATIVA+ RED EUR                    "/>
    <s v="S"/>
    <d v="2012-01-09T00:00:00"/>
    <m/>
    <s v="X"/>
    <x v="43"/>
    <n v="70.45"/>
    <n v="59"/>
    <d v="2012-01-20T00:00:00"/>
    <d v="2011-12-16T00:00:00"/>
    <n v="1240"/>
    <d v="2012-01-02T00:00:00"/>
    <n v="1240"/>
    <m/>
    <d v="2011-12-23T00:00:00"/>
    <n v="1240"/>
    <d v="2012-02-06T00:00:00"/>
    <d v="2012-01-02T00:00:00"/>
    <n v="1240"/>
    <n v="1240"/>
    <x v="2"/>
    <d v="2012-02-08T00:00:00"/>
    <m/>
    <n v="9321649461"/>
    <n v="10"/>
    <s v="MRKU0697183"/>
    <s v="MAREN MAERSK 121W/"/>
    <m/>
    <s v="YANTIAN"/>
    <s v="C-POST-NEG/C-SHORT L/T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3"/>
    <x v="0"/>
    <x v="0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819/000010"/>
    <n v="1370146832"/>
    <n v="10"/>
    <x v="0"/>
    <x v="0"/>
    <s v="A5"/>
    <n v="7115002650"/>
    <n v="205"/>
    <n v="115002650"/>
    <s v="010707020422 STOCKPOT  CM.22  BRIOSA              "/>
    <s v="S"/>
    <d v="2012-01-11T00:00:00"/>
    <m/>
    <s v="X"/>
    <x v="44"/>
    <n v="10.7263"/>
    <n v="8"/>
    <d v="2012-02-10T00:00:00"/>
    <d v="2012-01-13T00:00:00"/>
    <n v="1000"/>
    <d v="2012-01-13T00:00:00"/>
    <n v="1000"/>
    <m/>
    <d v="2012-01-07T00:00:00"/>
    <n v="1000"/>
    <d v="2012-02-07T00:00:00"/>
    <d v="2012-01-10T00:00:00"/>
    <n v="1000"/>
    <n v="1000"/>
    <x v="0"/>
    <d v="2012-02-06T00:00:00"/>
    <m/>
    <n v="9321650133"/>
    <n v="10"/>
    <s v="UACU5305967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819/000020"/>
    <n v="1370146832"/>
    <n v="20"/>
    <x v="0"/>
    <x v="0"/>
    <s v="A5"/>
    <n v="7115002651"/>
    <n v="205"/>
    <n v="115002651"/>
    <s v="010707031018 STEWPOT  CM.18  BRIOSA               "/>
    <s v="S"/>
    <d v="2012-01-11T00:00:00"/>
    <m/>
    <s v="X"/>
    <x v="44"/>
    <n v="7.0445000000000002"/>
    <n v="8"/>
    <d v="2012-02-10T00:00:00"/>
    <d v="2012-01-13T00:00:00"/>
    <n v="1000"/>
    <d v="2012-01-13T00:00:00"/>
    <n v="1000"/>
    <m/>
    <d v="2012-01-07T00:00:00"/>
    <n v="1000"/>
    <d v="2012-02-07T00:00:00"/>
    <d v="2012-01-10T00:00:00"/>
    <n v="1000"/>
    <n v="1000"/>
    <x v="0"/>
    <d v="2012-02-06T00:00:00"/>
    <m/>
    <n v="9321650133"/>
    <n v="20"/>
    <s v="UACU5305967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819/000030"/>
    <n v="1370146832"/>
    <n v="30"/>
    <x v="0"/>
    <x v="0"/>
    <s v="A5"/>
    <n v="7115002652"/>
    <n v="205"/>
    <n v="115002652"/>
    <s v="010707031022 STEWPOT  CM.22  BRIOSA               "/>
    <s v="S"/>
    <d v="2012-01-11T00:00:00"/>
    <m/>
    <s v="X"/>
    <x v="44"/>
    <n v="9.4659999999999993"/>
    <n v="8"/>
    <d v="2012-02-10T00:00:00"/>
    <d v="2012-01-13T00:00:00"/>
    <n v="1000"/>
    <d v="2012-01-13T00:00:00"/>
    <n v="1000"/>
    <m/>
    <d v="2012-01-07T00:00:00"/>
    <n v="1000"/>
    <d v="2012-02-07T00:00:00"/>
    <d v="2012-01-10T00:00:00"/>
    <n v="1000"/>
    <n v="1000"/>
    <x v="0"/>
    <d v="2012-02-06T00:00:00"/>
    <m/>
    <n v="9321650133"/>
    <n v="30"/>
    <s v="UACU5049989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819/000040"/>
    <n v="1370146832"/>
    <n v="40"/>
    <x v="0"/>
    <x v="0"/>
    <s v="A5"/>
    <n v="7115002649"/>
    <n v="205"/>
    <n v="115002649"/>
    <s v="010707031114 SAUCEPAN  CM.14  BRIOSA              "/>
    <s v="S"/>
    <d v="2012-01-11T00:00:00"/>
    <m/>
    <s v="X"/>
    <x v="44"/>
    <n v="6.0930999999999997"/>
    <n v="8"/>
    <d v="2012-02-10T00:00:00"/>
    <d v="2012-01-13T00:00:00"/>
    <n v="1000"/>
    <d v="2012-01-13T00:00:00"/>
    <n v="1000"/>
    <m/>
    <d v="2012-01-07T00:00:00"/>
    <n v="1000"/>
    <d v="2012-02-07T00:00:00"/>
    <d v="2012-01-10T00:00:00"/>
    <n v="1000"/>
    <n v="1000"/>
    <x v="0"/>
    <d v="2012-02-06T00:00:00"/>
    <m/>
    <n v="9321650133"/>
    <n v="40"/>
    <s v="UACU5590503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819/000050"/>
    <n v="1370146832"/>
    <n v="50"/>
    <x v="0"/>
    <x v="0"/>
    <s v="A5"/>
    <n v="7115002653"/>
    <n v="205"/>
    <n v="115002653"/>
    <s v="010707031726 CM.26 SEMI DEEP  BRIOSA              "/>
    <s v="S"/>
    <d v="2012-01-11T00:00:00"/>
    <m/>
    <s v="X"/>
    <x v="44"/>
    <n v="10.890599999999999"/>
    <n v="8"/>
    <d v="2012-02-10T00:00:00"/>
    <d v="2012-01-13T00:00:00"/>
    <n v="1000"/>
    <d v="2012-01-13T00:00:00"/>
    <n v="1000"/>
    <m/>
    <d v="2012-01-07T00:00:00"/>
    <n v="1000"/>
    <d v="2012-02-07T00:00:00"/>
    <d v="2012-01-10T00:00:00"/>
    <n v="1000"/>
    <n v="1000"/>
    <x v="0"/>
    <d v="2012-02-06T00:00:00"/>
    <m/>
    <n v="9321650133"/>
    <n v="50"/>
    <s v="UACU5049989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45636/000010"/>
    <n v="1370146534"/>
    <n v="10"/>
    <x v="17"/>
    <x v="17"/>
    <s v="L4"/>
    <n v="1830003073"/>
    <n v="5"/>
    <s v="CV4930C0       "/>
    <s v="CV4930C0 POWERLINE HAIR DRYER                     "/>
    <s v="S"/>
    <d v="2012-01-09T00:00:00"/>
    <m/>
    <s v="X"/>
    <x v="44"/>
    <n v="8.27"/>
    <n v="7"/>
    <d v="2012-01-21T00:00:00"/>
    <d v="2011-12-17T00:00:00"/>
    <n v="3006"/>
    <d v="2012-01-03T00:00:00"/>
    <n v="3006"/>
    <m/>
    <d v="2011-12-17T00:00:00"/>
    <n v="3006"/>
    <d v="2012-02-07T00:00:00"/>
    <d v="2012-01-03T00:00:00"/>
    <n v="3006"/>
    <n v="3006"/>
    <x v="16"/>
    <d v="2012-02-07T00:00:00"/>
    <m/>
    <n v="9321650137"/>
    <n v="10"/>
    <s v="APHU6360459"/>
    <s v="H.VANCOUVER/007W"/>
    <m/>
    <s v="YANTIAN"/>
    <s v="CONS-SHIPT/LATE DOC FROM FORWARDER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46694/000010"/>
    <n v="1370146518"/>
    <n v="10"/>
    <x v="0"/>
    <x v="0"/>
    <s v="A1"/>
    <n v="2100060434"/>
    <n v="205"/>
    <n v="115002548"/>
    <s v="B8636404 S.POT28LID SB FANTA MC CHOC SS           "/>
    <s v="S"/>
    <d v="2012-01-17T00:00:00"/>
    <m/>
    <s v="X"/>
    <x v="44"/>
    <n v="27.372199999999999"/>
    <n v="20"/>
    <d v="2012-02-10T00:00:00"/>
    <d v="2012-01-06T00:00:00"/>
    <n v="500"/>
    <d v="2012-01-14T00:00:00"/>
    <n v="500"/>
    <m/>
    <d v="2012-01-07T00:00:00"/>
    <n v="500"/>
    <d v="2012-02-18T00:00:00"/>
    <d v="2012-01-14T00:00:00"/>
    <n v="500"/>
    <n v="500"/>
    <x v="11"/>
    <d v="2012-02-19T00:00:00"/>
    <m/>
    <n v="9321650144"/>
    <n v="10"/>
    <s v="APZU4064954"/>
    <s v="APL HAMBURG/015W"/>
    <m/>
    <s v="NINGBO"/>
    <s v="C-POST-CONF/"/>
    <m/>
    <s v="JASON FAN"/>
    <s v="FO9"/>
    <s v="COOKWARE                      "/>
    <s v="CONFIRMED"/>
    <n v="1"/>
    <n v="2"/>
    <d v="2012-01-15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45803/000010"/>
    <n v="1370146527"/>
    <n v="10"/>
    <x v="8"/>
    <x v="8"/>
    <s v="L4"/>
    <n v="1830003847"/>
    <n v="131"/>
    <s v="SF7870C0       "/>
    <s v="SF7870C0 RESPECTISSIM LISS STRAIGHTENER           "/>
    <s v="S"/>
    <d v="2012-01-10T00:00:00"/>
    <m/>
    <s v="X"/>
    <x v="44"/>
    <n v="20.05"/>
    <n v="17"/>
    <d v="2012-01-21T00:00:00"/>
    <d v="2011-12-17T00:00:00"/>
    <n v="3000"/>
    <d v="2012-01-03T00:00:00"/>
    <n v="3000"/>
    <m/>
    <d v="2011-12-16T00:00:00"/>
    <n v="3000"/>
    <d v="2012-02-07T00:00:00"/>
    <d v="2012-01-03T00:00:00"/>
    <n v="3000"/>
    <n v="3000"/>
    <x v="16"/>
    <d v="2012-02-07T00:00:00"/>
    <m/>
    <n v="9321650145"/>
    <n v="10"/>
    <s v="APHU6360459"/>
    <s v="H VANCOUVER / 007W"/>
    <m/>
    <s v="YANTIAN"/>
    <s v="C-POST-CONF/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4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46689/000010"/>
    <n v="1370146536"/>
    <n v="10"/>
    <x v="0"/>
    <x v="0"/>
    <s v="A1"/>
    <n v="2100060433"/>
    <n v="205"/>
    <n v="115002547"/>
    <s v="B8634604 D.OV24LID SB FANTAS MC CHOC SS           "/>
    <s v="S"/>
    <d v="2012-01-17T00:00:00"/>
    <m/>
    <s v="X"/>
    <x v="44"/>
    <n v="20.7989"/>
    <n v="15"/>
    <d v="2012-02-10T00:00:00"/>
    <d v="2012-01-06T00:00:00"/>
    <n v="500"/>
    <d v="2012-01-14T00:00:00"/>
    <n v="500"/>
    <m/>
    <d v="2012-01-07T00:00:00"/>
    <n v="500"/>
    <d v="2012-02-18T00:00:00"/>
    <d v="2012-01-14T00:00:00"/>
    <n v="500"/>
    <n v="500"/>
    <x v="11"/>
    <d v="2012-02-19T00:00:00"/>
    <m/>
    <n v="9321650146"/>
    <n v="10"/>
    <s v="APZU4064954"/>
    <s v="APL HAMBURG/015W"/>
    <m/>
    <s v="NINGBO"/>
    <s v="C-POST-CONF/"/>
    <m/>
    <s v="JASON FAN"/>
    <s v="FO9"/>
    <s v="COOKWARE                      "/>
    <s v="CONFIRMED"/>
    <n v="1"/>
    <n v="2"/>
    <d v="2012-01-15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46003/000010"/>
    <n v="1370146542"/>
    <n v="10"/>
    <x v="8"/>
    <x v="8"/>
    <s v="L4"/>
    <n v="1830003199"/>
    <n v="175"/>
    <s v="CF8222C4       "/>
    <s v="CF8222C4 HAIR BRUSH 1000W                         "/>
    <s v="S"/>
    <d v="2012-01-10T00:00:00"/>
    <m/>
    <s v="X"/>
    <x v="44"/>
    <n v="11.99"/>
    <n v="10"/>
    <d v="2012-01-21T00:00:00"/>
    <d v="2011-12-17T00:00:00"/>
    <n v="1002"/>
    <d v="2012-01-03T00:00:00"/>
    <n v="1002"/>
    <m/>
    <d v="2011-12-16T00:00:00"/>
    <n v="1002"/>
    <d v="2012-02-07T00:00:00"/>
    <d v="2012-01-03T00:00:00"/>
    <n v="1002"/>
    <n v="1002"/>
    <x v="16"/>
    <d v="2012-02-07T00:00:00"/>
    <m/>
    <n v="9321650147"/>
    <n v="10"/>
    <s v="APHU6360459"/>
    <s v="H VANCOUVER / 007W"/>
    <m/>
    <s v="SHEKOU"/>
    <s v="C-POST-CONF/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4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46703/000010"/>
    <n v="1370146548"/>
    <n v="10"/>
    <x v="48"/>
    <x v="48"/>
    <s v="A3"/>
    <n v="2100061834"/>
    <n v="235"/>
    <s v="K0191814       "/>
    <s v="K0191814 PASTRY BRUSH CHOCOL ACCES SILIC          "/>
    <s v="S"/>
    <d v="2012-01-19T00:00:00"/>
    <m/>
    <s v="X"/>
    <x v="44"/>
    <n v="1.732"/>
    <n v="1"/>
    <d v="2012-01-21T00:00:00"/>
    <d v="2011-12-17T00:00:00"/>
    <n v="3690"/>
    <d v="2012-01-18T00:00:00"/>
    <n v="3690"/>
    <m/>
    <d v="2011-12-17T00:00:00"/>
    <n v="3690"/>
    <d v="2012-02-21T00:00:00"/>
    <d v="2012-01-17T00:00:00"/>
    <n v="3690"/>
    <n v="3690"/>
    <x v="21"/>
    <d v="2012-02-22T00:00:00"/>
    <m/>
    <n v="9321650148"/>
    <n v="10"/>
    <s v="TRLU4821470"/>
    <s v="APL HAMBURG/015W"/>
    <m/>
    <s v="HONG KONG"/>
    <s v="CONS-SHIPT/SP-QLY/CONS-SHIPT/"/>
    <m/>
    <s v="JASON FAN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3"/>
    <s v="CONS-SHIPT"/>
    <n v="1"/>
    <n v="-3"/>
    <x v="8"/>
    <n v="3"/>
    <x v="0"/>
    <x v="0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05/000017"/>
    <n v="1370146640"/>
    <n v="170"/>
    <x v="27"/>
    <x v="27"/>
    <s v="K9"/>
    <n v="8000033538"/>
    <n v="29"/>
    <s v="XP528050       "/>
    <s v="XP528050 ESP XP5200 S.AUTOCAP BLK/MET US          "/>
    <s v="S"/>
    <d v="2012-01-05T00:00:00"/>
    <m/>
    <s v="X"/>
    <x v="44"/>
    <n v="86.93"/>
    <n v="624"/>
    <d v="2012-01-20T00:00:00"/>
    <d v="2011-12-16T00:00:00"/>
    <n v="876"/>
    <d v="2011-12-16T00:00:00"/>
    <n v="876"/>
    <m/>
    <d v="2011-12-16T00:00:00"/>
    <n v="876"/>
    <d v="2012-01-20T00:00:00"/>
    <d v="2011-12-16T00:00:00"/>
    <n v="876"/>
    <n v="45"/>
    <x v="16"/>
    <d v="2012-02-07T00:00:00"/>
    <m/>
    <n v="9321650165"/>
    <n v="10"/>
    <s v="SUDU6864175"/>
    <s v="MONTE ROSA 201E/"/>
    <m/>
    <s v="YANTIAN"/>
    <s v="PARTIAL-SHIP (split order line for second delivery)"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2"/>
    <x v="1"/>
    <x v="1"/>
    <m/>
    <n v="0"/>
    <n v="0"/>
    <x v="1"/>
    <n v="1"/>
    <x v="0"/>
    <x v="0"/>
    <x v="1"/>
    <n v="0"/>
    <n v="0"/>
    <n v="0"/>
    <n v="0"/>
    <n v="0"/>
    <n v="0"/>
    <x v="1"/>
    <x v="0"/>
    <x v="1"/>
    <x v="0"/>
  </r>
  <r>
    <s v="Shipment"/>
    <n v="99003500"/>
    <s v="G.S.E.B. MEXICANA  S.A. DE C.V.                   "/>
    <n v="99003500"/>
    <x v="19"/>
    <s v="37350905/000009"/>
    <n v="1370146640"/>
    <n v="90"/>
    <x v="11"/>
    <x v="11"/>
    <s v="J4"/>
    <n v="1830003143"/>
    <n v="64"/>
    <s v="IS5200Q0       "/>
    <s v="IS5200Q0 GARMENT STEAMER STEAM CONTROL            "/>
    <s v="S"/>
    <d v="2012-02-09T00:00:00"/>
    <m/>
    <s v="X"/>
    <x v="44"/>
    <n v="33.36"/>
    <n v="624"/>
    <d v="2012-01-30T00:00:00"/>
    <d v="2011-12-26T00:00:00"/>
    <n v="450"/>
    <d v="2011-12-26T00:00:00"/>
    <n v="450"/>
    <m/>
    <d v="2011-12-26T00:00:00"/>
    <n v="450"/>
    <d v="2012-01-30T00:00:00"/>
    <d v="2011-12-26T00:00:00"/>
    <n v="450"/>
    <n v="450"/>
    <x v="3"/>
    <d v="2012-02-06T00:00:00"/>
    <m/>
    <n v="9321650166"/>
    <n v="20"/>
    <s v="GVCU4039775"/>
    <s v="CMA CGM VERLAINE"/>
    <m/>
    <s v="XIAMEN"/>
    <s v="WRONG DOCUMENT FROM SUPPLIER"/>
    <m/>
    <s v="TWEETY LEUNG"/>
    <s v="FO9"/>
    <s v="LINEN CARE                    "/>
    <s v="CONFIRMED"/>
    <n v="1"/>
    <n v="1"/>
    <d v="2012-01-02T00:00:00"/>
    <s v="LINEN PERS HOME CARE          "/>
    <s v="LINEN CARE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05/000005"/>
    <n v="1370146640"/>
    <n v="50"/>
    <x v="24"/>
    <x v="24"/>
    <s v="N1"/>
    <n v="2100057403"/>
    <n v="52"/>
    <s v="SW610062       "/>
    <s v="SW610062 EZ CLEAN SANDWICH/WAFFLE MAKER           "/>
    <s v="S"/>
    <d v="2012-01-19T00:00:00"/>
    <m/>
    <s v="X"/>
    <x v="44"/>
    <n v="14.03"/>
    <n v="624"/>
    <d v="2012-01-23T00:00:00"/>
    <d v="2011-12-19T00:00:00"/>
    <n v="1440"/>
    <d v="2011-12-19T00:00:00"/>
    <n v="1440"/>
    <m/>
    <d v="2011-12-22T00:00:00"/>
    <n v="1440"/>
    <d v="2012-02-21T00:00:00"/>
    <d v="2012-01-17T00:00:00"/>
    <n v="1440"/>
    <n v="1440"/>
    <x v="21"/>
    <d v="2012-02-22T00:00:00"/>
    <m/>
    <n v="9321650172"/>
    <n v="10"/>
    <s v="SUDU4561185"/>
    <s v="MONTE SARMIENTO 202E"/>
    <m/>
    <s v="NINGBO"/>
    <s v="SP-OVERCAP/SP-HOLIDAY/"/>
    <m/>
    <s v="TWEETY LEUNG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1"/>
    <s v="SP-OVERCAP"/>
    <n v="-3"/>
    <n v="-3"/>
    <x v="9"/>
    <n v="2"/>
    <x v="0"/>
    <x v="0"/>
    <x v="0"/>
    <n v="0"/>
    <n v="0"/>
    <n v="0"/>
    <n v="0"/>
    <n v="0"/>
    <n v="0"/>
    <x v="1"/>
    <x v="0"/>
    <x v="1"/>
    <x v="0"/>
  </r>
  <r>
    <s v="Shipment"/>
    <n v="99003500"/>
    <s v="G.S.E.B. MEXICANA  S.A. DE C.V.                   "/>
    <n v="99003500"/>
    <x v="19"/>
    <s v="37350905/000004"/>
    <n v="1370146640"/>
    <n v="40"/>
    <x v="24"/>
    <x v="24"/>
    <s v="N1"/>
    <n v="2100057403"/>
    <n v="52"/>
    <s v="SW610062       "/>
    <s v="SW610062 EZ CLEAN SANDWICH/WAFFLE MAKER           "/>
    <s v="S"/>
    <d v="2012-01-19T00:00:00"/>
    <m/>
    <s v="X"/>
    <x v="44"/>
    <n v="14.03"/>
    <n v="624"/>
    <d v="2012-01-20T00:00:00"/>
    <d v="2011-12-16T00:00:00"/>
    <n v="1440"/>
    <d v="2011-12-16T00:00:00"/>
    <n v="1440"/>
    <m/>
    <d v="2011-12-22T00:00:00"/>
    <n v="2940"/>
    <d v="2012-02-21T00:00:00"/>
    <d v="2012-01-17T00:00:00"/>
    <n v="1440"/>
    <n v="1440"/>
    <x v="21"/>
    <d v="2012-02-22T00:00:00"/>
    <m/>
    <n v="9321650172"/>
    <n v="30"/>
    <s v="SUDU4561185"/>
    <s v="MONTE SARMIENTO 202E"/>
    <m/>
    <s v="NINGBO"/>
    <s v="SP-OVERCAP/SP-HOLIDAY/"/>
    <m/>
    <s v="TWEETY LEUNG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1"/>
    <s v="SP-OVERCAP"/>
    <n v="-3"/>
    <n v="-3"/>
    <x v="9"/>
    <n v="2"/>
    <x v="0"/>
    <x v="0"/>
    <x v="1"/>
    <n v="0"/>
    <n v="0"/>
    <n v="0"/>
    <n v="0"/>
    <n v="0"/>
    <n v="0"/>
    <x v="1"/>
    <x v="0"/>
    <x v="1"/>
    <x v="0"/>
  </r>
  <r>
    <s v="Shipment"/>
    <n v="99009500"/>
    <s v="SEB INTERNATIONAL SERVICE SAS                     "/>
    <n v="99009500"/>
    <x v="16"/>
    <s v="9321650915/000010"/>
    <n v="1370147237"/>
    <n v="10"/>
    <x v="18"/>
    <x v="18"/>
    <s v="M5"/>
    <n v="2210015540"/>
    <n v="82"/>
    <s v="ZR004601       "/>
    <s v="ZR004601 BOX 1FILTER HEPA +FOAM+FILTER            "/>
    <s v="S"/>
    <d v="2012-01-16T00:00:00"/>
    <m/>
    <s v="X"/>
    <x v="44"/>
    <n v="2.0499999999999998"/>
    <n v="2"/>
    <d v="2012-02-12T00:00:00"/>
    <d v="2012-01-08T00:00:00"/>
    <n v="3000"/>
    <d v="2012-01-08T00:00:00"/>
    <n v="3000"/>
    <m/>
    <d v="2012-01-08T00:00:00"/>
    <n v="3000"/>
    <d v="2012-02-12T00:00:00"/>
    <d v="2012-01-08T00:00:00"/>
    <n v="3000"/>
    <n v="3000"/>
    <x v="9"/>
    <d v="2012-02-18T00:00:00"/>
    <m/>
    <n v="9321651157"/>
    <n v="10"/>
    <s v="APZU3934345"/>
    <s v="APL DHAKA/002W/1"/>
    <m/>
    <s v="SHANGHAI"/>
    <m/>
    <m/>
    <s v="VERA YUNG, CANDY CHAN"/>
    <s v="FOC"/>
    <s v="HOME CLEANING                 "/>
    <s v="CONFIRMED"/>
    <n v="1"/>
    <n v="2"/>
    <d v="2012-01-14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74/000001"/>
    <n v="1370147177"/>
    <n v="10"/>
    <x v="0"/>
    <x v="0"/>
    <s v="A1"/>
    <n v="2100062079"/>
    <n v="208"/>
    <n v="116000840"/>
    <s v="E905A544 JO SET 5P ALU ANODIZED INDUC GR          "/>
    <s v="S"/>
    <d v="2012-01-09T00:00:00"/>
    <m/>
    <s v="X"/>
    <x v="45"/>
    <n v="81.197699999999998"/>
    <n v="85"/>
    <d v="2012-01-26T00:00:00"/>
    <d v="2012-01-05T00:00:00"/>
    <n v="1000"/>
    <d v="2012-01-05T00:00:00"/>
    <n v="1000"/>
    <m/>
    <d v="2012-01-12T00:00:00"/>
    <n v="1000"/>
    <d v="2012-02-02T00:00:00"/>
    <d v="2012-01-12T00:00:00"/>
    <n v="1000"/>
    <n v="400"/>
    <x v="12"/>
    <d v="2012-01-28T00:00:00"/>
    <m/>
    <n v="9321651271"/>
    <n v="10"/>
    <s v="APZU4644314"/>
    <s v="MAERSK DIADEMA/202W"/>
    <m/>
    <s v="NINGBO"/>
    <m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74/000001"/>
    <n v="1370147177"/>
    <n v="10"/>
    <x v="0"/>
    <x v="0"/>
    <s v="A1"/>
    <n v="2100062079"/>
    <n v="208"/>
    <n v="116000840"/>
    <s v="E905A544 JO SET 5P ALU ANODIZED INDUC GR          "/>
    <s v="S"/>
    <d v="2012-01-09T00:00:00"/>
    <m/>
    <s v="X"/>
    <x v="45"/>
    <n v="81.197699999999998"/>
    <n v="85"/>
    <d v="2012-01-26T00:00:00"/>
    <d v="2012-01-05T00:00:00"/>
    <n v="1000"/>
    <d v="2012-01-05T00:00:00"/>
    <n v="1000"/>
    <m/>
    <d v="2012-01-12T00:00:00"/>
    <n v="1000"/>
    <d v="2012-02-02T00:00:00"/>
    <d v="2012-01-12T00:00:00"/>
    <n v="1000"/>
    <n v="600"/>
    <x v="12"/>
    <d v="2012-01-28T00:00:00"/>
    <m/>
    <n v="9321651271"/>
    <n v="10"/>
    <s v="FSCU4558746"/>
    <s v="MAERSK DIADEMA/202W"/>
    <m/>
    <s v="NINGBO"/>
    <m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000"/>
    <s v="GROUPE SEB MOULINEX SAS                           "/>
    <n v="99008000"/>
    <x v="23"/>
    <s v="9321648599/000010"/>
    <n v="1370146831"/>
    <n v="10"/>
    <x v="33"/>
    <x v="33"/>
    <s v="R1"/>
    <n v="1500635070"/>
    <n v="27"/>
    <n v="635070"/>
    <s v="KM900830 FCM ARUBA 12C BLK EUR                    "/>
    <s v="S"/>
    <d v="2012-01-30T00:00:00"/>
    <m/>
    <s v="X"/>
    <x v="45"/>
    <n v="55.17"/>
    <n v="53"/>
    <d v="2012-02-15T00:00:00"/>
    <d v="2012-01-11T00:00:00"/>
    <n v="1500"/>
    <d v="2012-01-23T00:00:00"/>
    <n v="1500"/>
    <m/>
    <d v="2012-01-11T00:00:00"/>
    <n v="1500"/>
    <d v="2012-02-27T00:00:00"/>
    <d v="2012-01-23T00:00:00"/>
    <n v="1500"/>
    <n v="1500"/>
    <x v="18"/>
    <d v="2012-03-02T00:00:00"/>
    <m/>
    <n v="9321651377"/>
    <n v="10"/>
    <s v="GESU5575194"/>
    <s v="LOS ANGELES EXPRESS/"/>
    <m/>
    <s v="YANTIAN"/>
    <s v="SAILING-SCHED-UPDATE/BU-ETD-TEMP/"/>
    <m/>
    <s v="JASON FAN"/>
    <s v="FO9"/>
    <s v="BEVERAGE                      "/>
    <s v="CONFIRMED"/>
    <n v="1"/>
    <n v="4"/>
    <d v="2012-01-27T00:00:00"/>
    <s v="KITCHEN ELECTRICS             "/>
    <s v="BREAKFAST &amp; BREVAGE PREP      "/>
    <x v="1"/>
    <x v="1"/>
    <x v="4"/>
    <s v="BU-ETD-TEMP"/>
    <n v="-3"/>
    <n v="-3"/>
    <x v="3"/>
    <n v="2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6094/000010"/>
    <n v="1370146650"/>
    <n v="10"/>
    <x v="27"/>
    <x v="27"/>
    <s v="R1"/>
    <n v="8000032476"/>
    <n v="27"/>
    <s v="FME214S        "/>
    <s v="FME214 12 CUP GLASS COFFEE MAKER PROGAMM          "/>
    <s v="S"/>
    <d v="2012-01-11T00:00:00"/>
    <m/>
    <s v="X"/>
    <x v="45"/>
    <n v="18.88"/>
    <n v="22"/>
    <d v="2012-01-22T00:00:00"/>
    <d v="2011-12-18T00:00:00"/>
    <n v="10840"/>
    <d v="2011-12-19T00:00:00"/>
    <n v="10840"/>
    <m/>
    <d v="2011-12-23T00:00:00"/>
    <n v="17264"/>
    <d v="2012-02-01T00:00:00"/>
    <d v="2011-12-28T00:00:00"/>
    <n v="10840"/>
    <n v="2008"/>
    <x v="5"/>
    <d v="2012-02-14T00:00:00"/>
    <m/>
    <n v="9321651489"/>
    <n v="10"/>
    <s v="HLXU4328068"/>
    <s v="ZIM ONTARIO 12E01/"/>
    <m/>
    <s v="YANTIAN"/>
    <s v="SP-MTL/"/>
    <m/>
    <s v="TWEETY LEUNG"/>
    <s v="FO9"/>
    <s v="BEVERAGE                      "/>
    <s v="CONFIRMED"/>
    <n v="1"/>
    <n v="2"/>
    <d v="2012-01-10T00:00:00"/>
    <s v="KITCHEN ELECTRICS             "/>
    <s v="BREAKFAST &amp; BREVAGE PREP      "/>
    <x v="2"/>
    <x v="1"/>
    <x v="9"/>
    <s v="SP-MTL"/>
    <n v="1"/>
    <n v="1"/>
    <x v="10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46094/000010"/>
    <n v="1370146650"/>
    <n v="10"/>
    <x v="27"/>
    <x v="27"/>
    <s v="R1"/>
    <n v="8000032476"/>
    <n v="27"/>
    <s v="FME214S        "/>
    <s v="FME214 12 CUP GLASS COFFEE MAKER PROGAMM          "/>
    <s v="S"/>
    <d v="2012-01-11T00:00:00"/>
    <m/>
    <s v="X"/>
    <x v="45"/>
    <n v="18.88"/>
    <n v="22"/>
    <d v="2012-01-22T00:00:00"/>
    <d v="2011-12-18T00:00:00"/>
    <n v="10840"/>
    <d v="2011-12-19T00:00:00"/>
    <n v="10840"/>
    <m/>
    <d v="2011-12-23T00:00:00"/>
    <n v="17264"/>
    <d v="2012-02-01T00:00:00"/>
    <d v="2011-12-28T00:00:00"/>
    <n v="10840"/>
    <n v="2208"/>
    <x v="5"/>
    <d v="2012-02-14T00:00:00"/>
    <m/>
    <n v="9321651489"/>
    <n v="10"/>
    <s v="TMMU5020589"/>
    <s v="ZIM ONTARIO 12E01/"/>
    <m/>
    <s v="YANTIAN"/>
    <s v="SP-MTL/"/>
    <m/>
    <s v="TWEETY LEUNG"/>
    <s v="FO9"/>
    <s v="BEVERAGE                      "/>
    <s v="CONFIRMED"/>
    <n v="1"/>
    <n v="2"/>
    <d v="2012-01-10T00:00:00"/>
    <s v="KITCHEN ELECTRICS             "/>
    <s v="BREAKFAST &amp; BREVAGE PREP      "/>
    <x v="2"/>
    <x v="1"/>
    <x v="9"/>
    <s v="SP-MTL"/>
    <n v="1"/>
    <n v="1"/>
    <x v="10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46094/000010"/>
    <n v="1370146650"/>
    <n v="10"/>
    <x v="27"/>
    <x v="27"/>
    <s v="R1"/>
    <n v="8000032476"/>
    <n v="27"/>
    <s v="FME214S        "/>
    <s v="FME214 12 CUP GLASS COFFEE MAKER PROGAMM          "/>
    <s v="S"/>
    <d v="2012-01-11T00:00:00"/>
    <m/>
    <s v="X"/>
    <x v="45"/>
    <n v="18.88"/>
    <n v="22"/>
    <d v="2012-01-22T00:00:00"/>
    <d v="2011-12-18T00:00:00"/>
    <n v="10840"/>
    <d v="2011-12-19T00:00:00"/>
    <n v="10840"/>
    <m/>
    <d v="2011-12-23T00:00:00"/>
    <n v="17264"/>
    <d v="2012-02-01T00:00:00"/>
    <d v="2011-12-28T00:00:00"/>
    <n v="10840"/>
    <n v="2208"/>
    <x v="5"/>
    <d v="2012-02-14T00:00:00"/>
    <m/>
    <n v="9321651489"/>
    <n v="10"/>
    <s v="HLXU6178624"/>
    <s v="ZIM ONTARIO 12E01/"/>
    <m/>
    <s v="YANTIAN"/>
    <s v="SP-MTL/"/>
    <m/>
    <s v="TWEETY LEUNG"/>
    <s v="FO9"/>
    <s v="BEVERAGE                      "/>
    <s v="CONFIRMED"/>
    <n v="1"/>
    <n v="2"/>
    <d v="2012-01-10T00:00:00"/>
    <s v="KITCHEN ELECTRICS             "/>
    <s v="BREAKFAST &amp; BREVAGE PREP      "/>
    <x v="2"/>
    <x v="1"/>
    <x v="9"/>
    <s v="SP-MTL"/>
    <n v="1"/>
    <n v="1"/>
    <x v="10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46053/000010"/>
    <n v="1370146676"/>
    <n v="10"/>
    <x v="52"/>
    <x v="52"/>
    <s v="P1"/>
    <n v="1500813248"/>
    <n v="104"/>
    <n v="813248"/>
    <s v="F2034251 FAST TOUCH BLADE GRINDER BLACK           "/>
    <s v="S"/>
    <d v="2012-01-05T00:00:00"/>
    <m/>
    <s v="X"/>
    <x v="45"/>
    <n v="5.73"/>
    <n v="6556"/>
    <d v="2012-02-05T00:00:00"/>
    <d v="2012-01-01T00:00:00"/>
    <n v="28002"/>
    <d v="2012-01-02T00:00:00"/>
    <n v="28002"/>
    <m/>
    <d v="2011-12-30T00:00:00"/>
    <n v="28002"/>
    <d v="2012-02-06T00:00:00"/>
    <d v="2012-01-02T00:00:00"/>
    <n v="28002"/>
    <n v="21000"/>
    <x v="3"/>
    <d v="2012-02-06T00:00:00"/>
    <m/>
    <n v="9321651586"/>
    <n v="10"/>
    <s v="TRLU6465635"/>
    <s v="NYK REMUS 16E52/"/>
    <m/>
    <s v="YANTIAN"/>
    <s v="SAILING-SCHED-UPDATE/"/>
    <m/>
    <s v="TWEETY LEUNG"/>
    <s v="FO9"/>
    <s v="FOOD PREPARATION              "/>
    <s v="CONFIRMED"/>
    <n v="1"/>
    <n v="1"/>
    <d v="2012-01-02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6053/000010"/>
    <n v="1370146676"/>
    <n v="10"/>
    <x v="52"/>
    <x v="52"/>
    <s v="P1"/>
    <n v="1500813248"/>
    <n v="104"/>
    <n v="813248"/>
    <s v="F2034251 FAST TOUCH BLADE GRINDER BLACK           "/>
    <s v="S"/>
    <d v="2012-01-05T00:00:00"/>
    <m/>
    <s v="X"/>
    <x v="45"/>
    <n v="5.73"/>
    <n v="6556"/>
    <d v="2012-02-05T00:00:00"/>
    <d v="2012-01-01T00:00:00"/>
    <n v="28002"/>
    <d v="2012-01-02T00:00:00"/>
    <n v="28002"/>
    <m/>
    <d v="2011-12-30T00:00:00"/>
    <n v="28002"/>
    <d v="2012-02-06T00:00:00"/>
    <d v="2012-01-02T00:00:00"/>
    <n v="28002"/>
    <n v="7002"/>
    <x v="3"/>
    <d v="2012-02-06T00:00:00"/>
    <m/>
    <n v="9321651586"/>
    <n v="10"/>
    <s v="CSQU3091073"/>
    <s v="NYK REMUS 16E52/"/>
    <m/>
    <s v="YANTIAN"/>
    <s v="SAILING-SCHED-UPDATE/"/>
    <m/>
    <s v="TWEETY LEUNG"/>
    <s v="FO9"/>
    <s v="FOOD PREPARATION              "/>
    <s v="CONFIRMED"/>
    <n v="1"/>
    <n v="1"/>
    <d v="2012-01-02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6054/000010"/>
    <n v="1370146649"/>
    <n v="10"/>
    <x v="52"/>
    <x v="52"/>
    <s v="P1"/>
    <n v="1500813248"/>
    <n v="104"/>
    <n v="813248"/>
    <s v="F2034251 FAST TOUCH BLADE GRINDER BLACK           "/>
    <s v="S"/>
    <d v="2012-01-19T00:00:00"/>
    <m/>
    <s v="X"/>
    <x v="45"/>
    <n v="5.73"/>
    <n v="7"/>
    <d v="2012-02-25T00:00:00"/>
    <d v="2012-01-21T00:00:00"/>
    <n v="18000"/>
    <d v="2012-01-13T00:00:00"/>
    <n v="18000"/>
    <m/>
    <d v="2012-01-13T00:00:00"/>
    <n v="18000"/>
    <d v="2012-02-20T00:00:00"/>
    <d v="2012-01-16T00:00:00"/>
    <n v="18000"/>
    <n v="18000"/>
    <x v="8"/>
    <d v="2012-02-20T00:00:00"/>
    <m/>
    <n v="9321651587"/>
    <n v="10"/>
    <s v="GESU5646955"/>
    <s v="NYK NEBULA 25E02/"/>
    <m/>
    <s v="YANTIAN"/>
    <s v="SAILING-SCHED-UPDATE/SP-HOLIDAY/"/>
    <m/>
    <s v="TWEETY LEUNG"/>
    <s v="FO9"/>
    <s v="FOOD PREPARATION              "/>
    <s v="CONFIRMED"/>
    <n v="1"/>
    <n v="3"/>
    <d v="2012-01-16T00:00:00"/>
    <s v="KITCHEN ELECTRICS             "/>
    <s v="FOOD PREPARATION              "/>
    <x v="1"/>
    <x v="1"/>
    <x v="7"/>
    <s v="SP-HOLIDAY"/>
    <n v="-3"/>
    <n v="-3"/>
    <x v="6"/>
    <n v="2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0011/000010"/>
    <n v="1370147178"/>
    <n v="10"/>
    <x v="13"/>
    <x v="13"/>
    <s v="A7"/>
    <n v="8701000686"/>
    <n v="235"/>
    <s v="T187           "/>
    <s v="T187 - DISC SPLATTER SCREEN W/CURVED HAN          "/>
    <s v="S"/>
    <d v="2012-01-10T00:00:00"/>
    <m/>
    <s v="X"/>
    <x v="45"/>
    <n v="12.43"/>
    <n v="14"/>
    <d v="2012-02-10T00:00:00"/>
    <d v="2012-01-06T00:00:00"/>
    <n v="1500"/>
    <d v="2012-01-06T00:00:00"/>
    <n v="1500"/>
    <m/>
    <d v="2012-01-06T00:00:00"/>
    <n v="1500"/>
    <d v="2012-02-08T00:00:00"/>
    <d v="2012-01-04T00:00:00"/>
    <n v="1500"/>
    <n v="1500"/>
    <x v="7"/>
    <d v="2012-02-10T00:00:00"/>
    <m/>
    <n v="9321651608"/>
    <n v="10"/>
    <s v="IKSU8302473"/>
    <s v="CMA CGM DON PASCUALE"/>
    <m/>
    <s v="YANTI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201"/>
    <s v="GROUPE SEB SCHWEIZ GmbH                           "/>
    <n v="99006201"/>
    <x v="9"/>
    <s v="4500260343/000010"/>
    <n v="1370146324"/>
    <n v="10"/>
    <x v="8"/>
    <x v="8"/>
    <s v="K9"/>
    <n v="8000033699"/>
    <n v="38"/>
    <s v="KP5002CH       "/>
    <s v="KP5002CH NDG CIRCOLO PEARLY CH                    "/>
    <s v="S"/>
    <d v="2012-01-04T00:00:00"/>
    <m/>
    <s v="X"/>
    <x v="45"/>
    <n v="50.29"/>
    <n v="51775"/>
    <d v="2012-01-22T00:00:00"/>
    <d v="2011-12-18T00:00:00"/>
    <n v="600"/>
    <d v="2012-01-06T00:00:00"/>
    <n v="600"/>
    <m/>
    <d v="2011-12-18T00:00:00"/>
    <n v="600"/>
    <d v="2012-02-04T00:00:00"/>
    <d v="2011-12-31T00:00:00"/>
    <n v="600"/>
    <n v="600"/>
    <x v="3"/>
    <d v="2012-02-06T00:00:00"/>
    <m/>
    <n v="9321651665"/>
    <n v="10"/>
    <s v="MSKU7127420"/>
    <s v="MAERSK SINGAPORE 120"/>
    <m/>
    <s v="YANTIAN"/>
    <s v="C-POST-CONF/"/>
    <m/>
    <s v="KENUS WONG"/>
    <s v="FO9"/>
    <s v="BEVERAGE                      "/>
    <s v="CONFIRMED"/>
    <n v="1"/>
    <n v="1"/>
    <d v="2012-01-02T00:00:00"/>
    <s v="KITCHEN ELECTRICS             "/>
    <s v="BREAKFAST &amp; BREVAGE PREP      "/>
    <x v="4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7442/000010"/>
    <n v="1370146666"/>
    <n v="10"/>
    <x v="13"/>
    <x v="13"/>
    <s v="A7"/>
    <n v="8701000460"/>
    <n v="235"/>
    <s v="T176           "/>
    <s v="T176 11&quot; SPLATTER SCREEN                          "/>
    <s v="S"/>
    <d v="2012-01-10T00:00:00"/>
    <m/>
    <s v="X"/>
    <x v="46"/>
    <n v="9.39"/>
    <n v="11"/>
    <d v="2012-02-05T00:00:00"/>
    <d v="2012-01-01T00:00:00"/>
    <n v="1002"/>
    <d v="2012-01-01T00:00:00"/>
    <n v="1002"/>
    <m/>
    <d v="2012-01-01T00:00:00"/>
    <n v="1002"/>
    <d v="2012-02-08T00:00:00"/>
    <d v="2012-01-04T00:00:00"/>
    <n v="1002"/>
    <n v="1002"/>
    <x v="7"/>
    <d v="2012-02-10T00:00:00"/>
    <m/>
    <n v="9321652101"/>
    <n v="10"/>
    <s v="ECMU4353636"/>
    <s v="CMA CGM DON PASCUALE"/>
    <m/>
    <s v="YANTI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7459/000010"/>
    <n v="1370146661"/>
    <n v="10"/>
    <x v="19"/>
    <x v="19"/>
    <s v="A7"/>
    <n v="8701003759"/>
    <n v="239"/>
    <s v="T223           "/>
    <s v="T223 OVEN PROBE THERMOMETER                       "/>
    <s v="S"/>
    <d v="2012-01-16T00:00:00"/>
    <m/>
    <s v="X"/>
    <x v="46"/>
    <n v="10.06"/>
    <n v="12"/>
    <d v="2012-02-15T00:00:00"/>
    <d v="2012-01-11T00:00:00"/>
    <n v="3000"/>
    <d v="2012-01-11T00:00:00"/>
    <n v="3000"/>
    <m/>
    <d v="2012-01-13T00:00:00"/>
    <n v="3000"/>
    <d v="2012-02-17T00:00:00"/>
    <d v="2012-01-13T00:00:00"/>
    <n v="3000"/>
    <n v="3000"/>
    <x v="17"/>
    <d v="2012-02-15T00:00:00"/>
    <m/>
    <n v="9321652102"/>
    <n v="10"/>
    <s v="ECMU9163650"/>
    <s v="ARTHUR MAERSK US553S"/>
    <m/>
    <s v="YANTIAN"/>
    <s v="C-LCL-SHIPT/LATE EDI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5"/>
    <x v="2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7474/000010"/>
    <n v="1370146659"/>
    <n v="10"/>
    <x v="12"/>
    <x v="12"/>
    <s v="A7"/>
    <n v="8701003879"/>
    <n v="235"/>
    <s v="T234           "/>
    <s v="T234 COOK SERVE SERVING TONGS 9.5&quot;                "/>
    <s v="S"/>
    <d v="2012-01-10T00:00:00"/>
    <m/>
    <s v="X"/>
    <x v="46"/>
    <n v="4.34"/>
    <n v="6"/>
    <d v="2012-03-17T00:00:00"/>
    <d v="2012-02-11T00:00:00"/>
    <n v="1056"/>
    <d v="2012-01-07T00:00:00"/>
    <n v="1056"/>
    <m/>
    <d v="2012-02-11T00:00:00"/>
    <n v="1056"/>
    <d v="2012-02-08T00:00:00"/>
    <d v="2012-01-04T00:00:00"/>
    <n v="1056"/>
    <n v="1056"/>
    <x v="12"/>
    <d v="2012-02-11T00:00:00"/>
    <m/>
    <n v="9321652104"/>
    <n v="10"/>
    <s v="GLDU3862334"/>
    <s v="UASC KHOR FAKKAN 000"/>
    <m/>
    <s v="YANTIAN"/>
    <s v="C-PULLIN-CONF/SP-PROD-ISSUE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6043/000010"/>
    <n v="1370146679"/>
    <n v="10"/>
    <x v="12"/>
    <x v="12"/>
    <s v="A7"/>
    <n v="8701003877"/>
    <n v="235"/>
    <s v="T232           "/>
    <s v="T232 COOK SERVE LADLE                             "/>
    <s v="S"/>
    <d v="2012-01-10T00:00:00"/>
    <m/>
    <s v="X"/>
    <x v="46"/>
    <n v="4.26"/>
    <n v="5"/>
    <d v="2012-03-17T00:00:00"/>
    <d v="2012-02-11T00:00:00"/>
    <n v="1872"/>
    <d v="2012-01-07T00:00:00"/>
    <n v="1872"/>
    <m/>
    <d v="2012-02-11T00:00:00"/>
    <n v="1872"/>
    <d v="2012-02-08T00:00:00"/>
    <d v="2012-01-04T00:00:00"/>
    <n v="1872"/>
    <n v="1872"/>
    <x v="12"/>
    <d v="2012-02-11T00:00:00"/>
    <m/>
    <n v="9321652105"/>
    <n v="10"/>
    <s v="GLDU3862334"/>
    <s v="UASC KHOR FAKKAN 000"/>
    <m/>
    <s v="YANTIAN"/>
    <s v="C-PULLIN-CONF/SP-PROD-ISSUE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7462/000010"/>
    <n v="1370146660"/>
    <n v="10"/>
    <x v="19"/>
    <x v="19"/>
    <s v="A7"/>
    <n v="8701003761"/>
    <n v="239"/>
    <s v="T225           "/>
    <s v="T225 DIGITAL TIMER CLOCK                          "/>
    <s v="S"/>
    <d v="2012-01-16T00:00:00"/>
    <m/>
    <s v="X"/>
    <x v="46"/>
    <n v="7.94"/>
    <n v="9"/>
    <d v="2012-02-15T00:00:00"/>
    <d v="2012-01-11T00:00:00"/>
    <n v="3000"/>
    <d v="2012-01-11T00:00:00"/>
    <n v="1000"/>
    <m/>
    <d v="2012-01-13T00:00:00"/>
    <n v="1000"/>
    <d v="2012-02-17T00:00:00"/>
    <d v="2012-01-13T00:00:00"/>
    <n v="1000"/>
    <n v="1000"/>
    <x v="17"/>
    <d v="2012-02-15T00:00:00"/>
    <m/>
    <n v="9321652106"/>
    <n v="10"/>
    <s v="ECMU9163650"/>
    <s v="ARTHUR MAERSK US553S"/>
    <m/>
    <s v="YANTIAN"/>
    <s v="C-LCL-SHIPT/LATE EDI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5"/>
    <x v="2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0621/000010"/>
    <n v="1370147459"/>
    <n v="10"/>
    <x v="8"/>
    <x v="8"/>
    <s v="L4"/>
    <n v="1830003204"/>
    <n v="131"/>
    <s v="CF7322E4       "/>
    <s v="CF7322E4 HANDY W&amp;DRY LED STRAIGHTENER             "/>
    <s v="S"/>
    <d v="2012-01-11T00:00:00"/>
    <m/>
    <s v="X"/>
    <x v="46"/>
    <n v="10.76"/>
    <n v="10"/>
    <d v="2012-01-16T00:00:00"/>
    <d v="2011-12-19T00:00:00"/>
    <n v="3000"/>
    <d v="2012-01-09T00:00:00"/>
    <n v="3000"/>
    <m/>
    <d v="2011-12-16T00:00:00"/>
    <n v="3000"/>
    <d v="2012-01-30T00:00:00"/>
    <d v="2012-01-02T00:00:00"/>
    <n v="3000"/>
    <n v="3000"/>
    <x v="0"/>
    <d v="2012-02-06T00:00:00"/>
    <m/>
    <n v="9321652167"/>
    <n v="10"/>
    <s v="FCIU3185295"/>
    <s v="HANJIN BRUSSELS/0070"/>
    <m/>
    <s v="YANTIAN"/>
    <s v="C-POST-CONF"/>
    <m/>
    <s v="JASON FAN"/>
    <s v="FO9"/>
    <s v="PERSONAL CARE                 "/>
    <s v="CONFIRMED"/>
    <n v="1"/>
    <n v="2"/>
    <d v="2012-01-09T00:00:00"/>
    <s v="LINEN PERS HOME CARE          "/>
    <s v="PERSONAL CARE                 "/>
    <x v="4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1311/000010"/>
    <n v="1370147483"/>
    <n v="10"/>
    <x v="55"/>
    <x v="55"/>
    <s v="P4"/>
    <n v="8000034172"/>
    <n v="77"/>
    <s v="QA402GB2       "/>
    <s v="QA402GB2 KTM MC GOURMET+RBK RED NE                "/>
    <s v="S"/>
    <d v="2012-01-04T00:00:00"/>
    <m/>
    <s v="X"/>
    <x v="47"/>
    <n v="74.5"/>
    <n v="64313"/>
    <d v="2012-02-02T00:00:00"/>
    <d v="2011-12-29T00:00:00"/>
    <n v="700"/>
    <d v="2011-12-29T00:00:00"/>
    <n v="700"/>
    <m/>
    <d v="2011-12-29T00:00:00"/>
    <n v="700"/>
    <d v="2012-02-02T00:00:00"/>
    <d v="2011-12-29T00:00:00"/>
    <n v="700"/>
    <n v="700"/>
    <x v="13"/>
    <d v="2012-02-05T00:00:00"/>
    <m/>
    <n v="9321653161"/>
    <n v="10"/>
    <s v="MOFU6731635"/>
    <s v="HYUNDAI SPLENDOR/016"/>
    <m/>
    <s v="YANTIAN"/>
    <m/>
    <m/>
    <s v="AGNES NUNES"/>
    <s v="FO9"/>
    <s v="FOOD PREPARATION              "/>
    <s v="CONFIRMED"/>
    <n v="1"/>
    <n v="52"/>
    <d v="2012-01-01T00:00:00"/>
    <s v="KITCHEN ELECTRICS             "/>
    <s v="FOOD PREPARATION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578/000010"/>
    <n v="1370147698"/>
    <n v="10"/>
    <x v="55"/>
    <x v="55"/>
    <s v="P1"/>
    <n v="1500830931"/>
    <n v="105"/>
    <n v="830931"/>
    <s v="830931 CTP PREP'LINE 0.6L WHT/GRG EUR             "/>
    <s v="S"/>
    <d v="2012-01-06T00:00:00"/>
    <m/>
    <s v="X"/>
    <x v="47"/>
    <n v="7.01"/>
    <n v="249"/>
    <d v="2012-02-17T00:00:00"/>
    <d v="2011-12-30T00:00:00"/>
    <n v="3540"/>
    <d v="2011-12-30T00:00:00"/>
    <n v="3540"/>
    <m/>
    <d v="2011-12-30T00:00:00"/>
    <n v="3540"/>
    <d v="2012-02-17T00:00:00"/>
    <d v="2011-12-30T00:00:00"/>
    <n v="3540"/>
    <n v="3540"/>
    <x v="16"/>
    <d v="2012-02-21T00:00:00"/>
    <m/>
    <n v="9321653162"/>
    <n v="10"/>
    <s v="TGHU5005173"/>
    <s v="NYK VESTA/28W51"/>
    <m/>
    <s v="YANTIAN"/>
    <s v="TP ISSUE"/>
    <m/>
    <s v="KENUS WONG"/>
    <s v="FO9"/>
    <s v="FOOD PREPARATION              "/>
    <s v="CONFIRMED"/>
    <n v="1"/>
    <n v="1"/>
    <d v="2012-01-03T00:00:00"/>
    <s v="KITCHEN ELECTRICS             "/>
    <s v="FOOD PREPARATION        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0946/000010"/>
    <n v="1370147329"/>
    <n v="10"/>
    <x v="16"/>
    <x v="16"/>
    <s v="L4"/>
    <n v="1830002089"/>
    <n v="5"/>
    <s v="CV4803D0       "/>
    <s v="CV4803D0 HAIR DRYER COMPACT PRO                   "/>
    <s v="S"/>
    <d v="2012-01-16T00:00:00"/>
    <m/>
    <s v="X"/>
    <x v="47"/>
    <n v="9.36"/>
    <n v="35"/>
    <d v="2012-02-13T00:00:00"/>
    <d v="2012-01-02T00:00:00"/>
    <n v="3000"/>
    <d v="2012-01-02T00:00:00"/>
    <n v="3000"/>
    <m/>
    <d v="2012-01-07T00:00:00"/>
    <n v="3000"/>
    <d v="2012-02-18T00:00:00"/>
    <d v="2012-01-07T00:00:00"/>
    <n v="3000"/>
    <n v="3000"/>
    <x v="17"/>
    <d v="2012-02-22T00:00:00"/>
    <m/>
    <n v="9321653173"/>
    <n v="10"/>
    <s v="MSKU3803911"/>
    <s v="ELEONORA MAERSK 1202"/>
    <m/>
    <s v="YANTIAN"/>
    <s v="SAILING-SCHED-UPDATE"/>
    <m/>
    <s v="KENUS WONG"/>
    <s v="FO9"/>
    <s v="PERSONAL CARE                 "/>
    <s v="CONFIRMED"/>
    <n v="1"/>
    <n v="2"/>
    <d v="2012-01-11T00:00:00"/>
    <s v="LINEN PERS HOME CARE          "/>
    <s v="PERSONAL CARE                 "/>
    <x v="3"/>
    <x v="2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1921/000010"/>
    <n v="1370147616"/>
    <n v="10"/>
    <x v="16"/>
    <x v="16"/>
    <s v="L4"/>
    <n v="1830002089"/>
    <n v="5"/>
    <s v="CV4803D0       "/>
    <s v="CV4803D0 HAIR DRYER COMPACT PRO                   "/>
    <s v="S"/>
    <d v="2012-01-06T00:00:00"/>
    <m/>
    <s v="X"/>
    <x v="47"/>
    <n v="9.36"/>
    <n v="344"/>
    <d v="2012-02-24T00:00:00"/>
    <d v="2012-01-06T00:00:00"/>
    <n v="3900"/>
    <d v="2012-01-06T00:00:00"/>
    <n v="3900"/>
    <m/>
    <d v="2012-01-18T00:00:00"/>
    <n v="3900"/>
    <d v="2012-02-23T00:00:00"/>
    <d v="2012-01-05T00:00:00"/>
    <n v="3900"/>
    <n v="3900"/>
    <x v="16"/>
    <d v="2012-02-21T00:00:00"/>
    <m/>
    <n v="9321653176"/>
    <n v="10"/>
    <s v="OOLU8669160"/>
    <s v="NYK VESTA/28W51"/>
    <m/>
    <s v="YANTIAN"/>
    <s v="SP-NO-FORECAST/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4"/>
    <s v="SP-NO-FORECAST"/>
    <n v="-3"/>
    <n v="-3"/>
    <x v="15"/>
    <n v="2"/>
    <x v="0"/>
    <x v="1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2221/000010"/>
    <n v="1370147683"/>
    <n v="10"/>
    <x v="16"/>
    <x v="16"/>
    <s v="L4"/>
    <n v="1830003657"/>
    <n v="5"/>
    <s v="CV1212F0       "/>
    <s v="CV1212F0 COMPACT HAIR DRYER                       "/>
    <s v="S"/>
    <d v="2012-01-06T00:00:00"/>
    <m/>
    <s v="X"/>
    <x v="47"/>
    <n v="4.63"/>
    <n v="167"/>
    <d v="2012-02-17T00:00:00"/>
    <d v="2011-12-30T00:00:00"/>
    <n v="3000"/>
    <d v="2011-12-30T00:00:00"/>
    <n v="3000"/>
    <m/>
    <d v="2011-12-29T00:00:00"/>
    <n v="3000"/>
    <d v="2012-02-23T00:00:00"/>
    <d v="2012-01-05T00:00:00"/>
    <n v="3000"/>
    <n v="3000"/>
    <x v="16"/>
    <d v="2012-02-21T00:00:00"/>
    <m/>
    <n v="9321653177"/>
    <n v="10"/>
    <s v="OOLU8669160"/>
    <s v="NYK VESTA/28W51"/>
    <m/>
    <s v="YANTIAN"/>
    <s v="CONS-SHIPT/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933/000010"/>
    <n v="1370147685"/>
    <n v="10"/>
    <x v="16"/>
    <x v="16"/>
    <s v="L4"/>
    <n v="1830002590"/>
    <n v="5"/>
    <s v="CV7310D4       "/>
    <s v="CV7310D4 PRO 2300 HAIR DRYER                      "/>
    <s v="S"/>
    <d v="2012-01-06T00:00:00"/>
    <m/>
    <s v="X"/>
    <x v="47"/>
    <n v="10.91"/>
    <n v="386"/>
    <d v="2012-02-24T00:00:00"/>
    <d v="2012-01-06T00:00:00"/>
    <n v="2800"/>
    <d v="2012-01-06T00:00:00"/>
    <n v="2800"/>
    <m/>
    <d v="2012-01-05T00:00:00"/>
    <n v="2800"/>
    <d v="2012-02-23T00:00:00"/>
    <d v="2012-01-05T00:00:00"/>
    <n v="2800"/>
    <n v="2800"/>
    <x v="16"/>
    <d v="2012-02-21T00:00:00"/>
    <m/>
    <n v="9321653178"/>
    <n v="10"/>
    <s v="OOLU8669160"/>
    <s v="NYK VESTA/28W51"/>
    <m/>
    <s v="YANTIAN"/>
    <s v="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6/000001"/>
    <n v="1370147891"/>
    <n v="10"/>
    <x v="16"/>
    <x v="16"/>
    <s v="L4"/>
    <n v="1830002538"/>
    <n v="5"/>
    <s v="CV4826K0       "/>
    <s v="CV4826K0 HAIR DRYER COMPACT PRO                   "/>
    <s v="S"/>
    <d v="2012-01-09T00:00:00"/>
    <m/>
    <s v="X"/>
    <x v="47"/>
    <n v="10.27"/>
    <n v="9"/>
    <d v="2012-01-17T00:00:00"/>
    <d v="2012-01-03T00:00:00"/>
    <n v="3000"/>
    <d v="2012-01-03T00:00:00"/>
    <n v="3000"/>
    <m/>
    <d v="2012-01-02T00:00:00"/>
    <n v="3000"/>
    <d v="2012-01-16T00:00:00"/>
    <d v="2012-01-02T00:00:00"/>
    <n v="3000"/>
    <n v="3000"/>
    <x v="12"/>
    <d v="2012-01-21T00:00:00"/>
    <m/>
    <n v="9321653180"/>
    <n v="10"/>
    <s v="CLHU4590099"/>
    <s v="CONVENT/1202"/>
    <m/>
    <s v="YANTIAN"/>
    <m/>
    <m/>
    <s v="AGNES NUNES"/>
    <s v="FO9"/>
    <s v="PERSONAL CARE                 "/>
    <s v="CONFIRMED"/>
    <n v="1"/>
    <n v="1"/>
    <d v="2012-01-07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9431/000010"/>
    <n v="1370147086"/>
    <n v="10"/>
    <x v="5"/>
    <x v="5"/>
    <s v="R1"/>
    <n v="1500577809"/>
    <n v="23"/>
    <n v="577809"/>
    <s v="TT543115 TOAS INOX 4S WHT/SS GB                   "/>
    <s v="S"/>
    <d v="2012-02-01T00:00:00"/>
    <m/>
    <s v="X"/>
    <x v="47"/>
    <n v="20.03"/>
    <n v="15"/>
    <d v="2012-02-13T00:00:00"/>
    <d v="2012-01-09T00:00:00"/>
    <n v="1174"/>
    <d v="2012-01-09T00:00:00"/>
    <n v="1174"/>
    <m/>
    <d v="2012-01-09T00:00:00"/>
    <n v="1174"/>
    <d v="2012-02-27T00:00:00"/>
    <d v="2012-01-23T00:00:00"/>
    <n v="1174"/>
    <n v="1174"/>
    <x v="4"/>
    <d v="2012-02-26T00:00:00"/>
    <m/>
    <n v="9321653181"/>
    <n v="10"/>
    <s v="MSKU6582590"/>
    <s v="MAERSK SAIGON 1204/"/>
    <m/>
    <s v="YANTIAN"/>
    <s v="SP-PROD-ISSUE/SP-PROD-ISSUE/"/>
    <m/>
    <s v="KENUS WONG"/>
    <s v="FO9"/>
    <s v="BEVERAGE                      "/>
    <s v="CONFIRMED"/>
    <n v="1"/>
    <n v="3"/>
    <d v="2012-01-22T00:00:00"/>
    <s v="KITCHEN ELECTRICS             "/>
    <s v="BREAKFAST &amp; BREVAGE PREP      "/>
    <x v="4"/>
    <x v="1"/>
    <x v="1"/>
    <m/>
    <n v="0"/>
    <n v="0"/>
    <x v="1"/>
    <n v="2"/>
    <x v="0"/>
    <x v="0"/>
    <x v="0"/>
    <n v="0"/>
    <n v="0"/>
    <n v="0"/>
    <n v="0"/>
    <n v="0"/>
    <n v="0"/>
    <x v="1"/>
    <x v="0"/>
    <x v="1"/>
    <x v="0"/>
  </r>
  <r>
    <s v="Shipment"/>
    <n v="99002601"/>
    <s v="GROUPE SEB UK LTD                                 "/>
    <n v="99002601"/>
    <x v="10"/>
    <s v="9321649434/000010"/>
    <n v="1370147091"/>
    <n v="10"/>
    <x v="5"/>
    <x v="5"/>
    <s v="R1"/>
    <n v="1500577810"/>
    <n v="23"/>
    <n v="577810"/>
    <s v="TT543715 TOAS INOX 4S PINK/SS GB                  "/>
    <s v="S"/>
    <d v="2012-02-01T00:00:00"/>
    <m/>
    <s v="X"/>
    <x v="47"/>
    <n v="20.03"/>
    <n v="15"/>
    <d v="2012-02-06T00:00:00"/>
    <d v="2012-01-02T00:00:00"/>
    <n v="1174"/>
    <d v="2012-01-02T00:00:00"/>
    <n v="1174"/>
    <m/>
    <d v="2012-01-02T00:00:00"/>
    <n v="1174"/>
    <d v="2012-02-27T00:00:00"/>
    <d v="2012-01-23T00:00:00"/>
    <n v="1174"/>
    <n v="1174"/>
    <x v="4"/>
    <d v="2012-02-26T00:00:00"/>
    <m/>
    <n v="9321653182"/>
    <n v="10"/>
    <s v="MSKU6582590"/>
    <s v="MAERSK SAIGON 1204/"/>
    <m/>
    <s v="YANTIAN"/>
    <s v="SP-PROD-ISSUE/"/>
    <m/>
    <s v="KENUS WONG"/>
    <s v="FO9"/>
    <s v="BEVERAGE                      "/>
    <s v="CONFIRMED"/>
    <n v="1"/>
    <n v="3"/>
    <d v="2012-01-22T00:00:00"/>
    <s v="KITCHEN ELECTRICS             "/>
    <s v="BREAKFAST &amp; BREVAGE PREP      "/>
    <x v="4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7325"/>
    <s v="Spedition Hendricks GmbH &amp; Co.KG                  "/>
    <n v="99007300"/>
    <x v="17"/>
    <s v="4500261321/000010"/>
    <n v="1370147480"/>
    <n v="10"/>
    <x v="5"/>
    <x v="5"/>
    <s v="R1"/>
    <n v="1500577806"/>
    <n v="23"/>
    <n v="577806"/>
    <s v="TT544030 TOAS PERFORMA SS 2S EUR                  "/>
    <s v="S"/>
    <d v="2012-01-29T00:00:00"/>
    <m/>
    <s v="X"/>
    <x v="47"/>
    <n v="12.77"/>
    <n v="11"/>
    <d v="2012-02-13T00:00:00"/>
    <d v="2012-01-09T00:00:00"/>
    <n v="1760"/>
    <d v="2012-01-09T00:00:00"/>
    <n v="1760"/>
    <m/>
    <d v="2012-01-09T00:00:00"/>
    <n v="1760"/>
    <d v="2012-02-26T00:00:00"/>
    <d v="2012-01-22T00:00:00"/>
    <n v="1760"/>
    <n v="1760"/>
    <x v="4"/>
    <d v="2012-02-26T00:00:00"/>
    <m/>
    <n v="9321653184"/>
    <n v="10"/>
    <s v="FSCU4737612"/>
    <s v="HYUNDAI NAVARINO/006"/>
    <m/>
    <s v="YANTIAN"/>
    <s v="SP-PROD-ISSUE/"/>
    <m/>
    <s v="AGNES NUNES"/>
    <s v="FO9"/>
    <s v="BEVERAGE                      "/>
    <s v="CONFIRMED"/>
    <n v="1"/>
    <n v="3"/>
    <d v="2012-01-22T00:00:00"/>
    <s v="KITCHEN ELECTRICS             "/>
    <s v="BREAKFAST &amp; BREVAGE PREP      "/>
    <x v="4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52385/000010"/>
    <n v="1370147898"/>
    <n v="10"/>
    <x v="5"/>
    <x v="5"/>
    <s v="R1"/>
    <n v="1500572618"/>
    <n v="23"/>
    <n v="572618"/>
    <s v="TT704201 TOAS SUCCESSOR2 2S BLK FR                "/>
    <s v="S"/>
    <d v="2012-01-18T00:00:00"/>
    <m/>
    <s v="X"/>
    <x v="47"/>
    <n v="15.09"/>
    <n v="14"/>
    <d v="2012-02-10T00:00:00"/>
    <d v="2012-01-06T00:00:00"/>
    <n v="1280"/>
    <d v="2012-01-06T00:00:00"/>
    <n v="1280"/>
    <m/>
    <d v="2012-01-06T00:00:00"/>
    <n v="1280"/>
    <d v="2012-02-21T00:00:00"/>
    <d v="2012-01-17T00:00:00"/>
    <n v="1280"/>
    <n v="1280"/>
    <x v="19"/>
    <d v="2012-02-21T00:00:00"/>
    <m/>
    <n v="9321653186"/>
    <n v="10"/>
    <s v="APZU3816975"/>
    <s v="APL DHAKA/002W"/>
    <m/>
    <s v="YANTIAN"/>
    <s v="SP-PROD-ISSUE/"/>
    <m/>
    <s v="JASON FAN"/>
    <s v="FO9"/>
    <s v="BEVERAGE                      "/>
    <s v="CONFIRMED"/>
    <n v="1"/>
    <n v="3"/>
    <d v="2012-01-17T00:00:00"/>
    <s v="KITCHEN ELECTRICS             "/>
    <s v="BREAKFAST &amp; BREVAGE PREP      "/>
    <x v="4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47623/000010"/>
    <n v="1370146510"/>
    <n v="10"/>
    <x v="8"/>
    <x v="8"/>
    <s v="K9"/>
    <n v="8000033965"/>
    <n v="38"/>
    <s v="KP100610       "/>
    <s v="KP100610 NDG PICCOLO RED EUR                      "/>
    <s v="S"/>
    <d v="2012-01-06T00:00:00"/>
    <m/>
    <s v="X"/>
    <x v="47"/>
    <n v="33.79"/>
    <n v="28"/>
    <d v="2012-01-13T00:00:00"/>
    <d v="2011-12-09T00:00:00"/>
    <n v="2160"/>
    <d v="2012-01-02T00:00:00"/>
    <n v="2160"/>
    <m/>
    <d v="2011-12-09T00:00:00"/>
    <n v="2160"/>
    <d v="2012-02-06T00:00:00"/>
    <d v="2012-01-02T00:00:00"/>
    <n v="2160"/>
    <n v="2160"/>
    <x v="16"/>
    <d v="2012-02-07T00:00:00"/>
    <m/>
    <n v="9321653189"/>
    <n v="10"/>
    <s v="NYKU6472282"/>
    <s v="NYK VESTA 28W51/"/>
    <m/>
    <s v="YANTIAN"/>
    <s v="C-POST-NEG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1"/>
    <x v="0"/>
    <x v="0"/>
    <x v="1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2/000120"/>
    <n v="1370147544"/>
    <n v="120"/>
    <x v="8"/>
    <x v="8"/>
    <s v="L4"/>
    <n v="1830003337"/>
    <n v="131"/>
    <s v="SF6150E4       "/>
    <s v="SF6150E4 LISS &amp; CURL PRO STRAIGHTENER             "/>
    <s v="S"/>
    <d v="2012-02-02T00:00:00"/>
    <m/>
    <s v="X"/>
    <x v="47"/>
    <n v="14.57"/>
    <n v="13"/>
    <d v="2012-02-10T00:00:00"/>
    <d v="2012-01-13T00:00:00"/>
    <n v="7200"/>
    <d v="2012-01-13T00:00:00"/>
    <n v="7200"/>
    <m/>
    <d v="2012-01-06T00:00:00"/>
    <n v="7200"/>
    <d v="2012-02-21T00:00:00"/>
    <d v="2012-01-24T00:00:00"/>
    <n v="7200"/>
    <n v="7200"/>
    <x v="18"/>
    <d v="2012-02-24T00:00:00"/>
    <m/>
    <n v="9321653212"/>
    <n v="20"/>
    <s v="OOLU7401152"/>
    <s v="LOS ANGELES EXPRESS"/>
    <m/>
    <s v="YANTIAN"/>
    <s v="SP-TOOLING/SP-OVERCAP/"/>
    <m/>
    <s v="JASON FAN"/>
    <s v="FO9"/>
    <s v="PERSONAL CARE                 "/>
    <s v="CONFIRMED"/>
    <n v="1"/>
    <n v="4"/>
    <d v="2012-01-27T00:00:00"/>
    <s v="LINEN PERS HOME CARE          "/>
    <s v="PERSONAL CARE                 "/>
    <x v="4"/>
    <x v="1"/>
    <x v="15"/>
    <s v="SP-OVERCAP"/>
    <n v="1"/>
    <n v="-3"/>
    <x v="9"/>
    <n v="2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2407/000010"/>
    <n v="1370147620"/>
    <n v="10"/>
    <x v="8"/>
    <x v="8"/>
    <s v="L4"/>
    <n v="1830003392"/>
    <n v="15"/>
    <s v="TS5511F0       "/>
    <s v="TS5511F0 FOOTSPA FITSPA                           "/>
    <s v="S"/>
    <d v="2012-01-04T00:00:00"/>
    <m/>
    <s v="X"/>
    <x v="47"/>
    <n v="18.66"/>
    <n v="646"/>
    <d v="2012-02-17T00:00:00"/>
    <d v="2011-12-30T00:00:00"/>
    <n v="900"/>
    <d v="2012-01-05T00:00:00"/>
    <n v="900"/>
    <m/>
    <d v="2011-12-30T00:00:00"/>
    <n v="900"/>
    <d v="2012-02-23T00:00:00"/>
    <d v="2012-01-05T00:00:00"/>
    <n v="900"/>
    <n v="900"/>
    <x v="16"/>
    <d v="2012-02-21T00:00:00"/>
    <m/>
    <n v="9321653213"/>
    <n v="10"/>
    <s v="OOLU7546705"/>
    <s v="NYK VESTA/28W51"/>
    <m/>
    <s v="YANTIAN"/>
    <s v="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823/000010"/>
    <n v="1370147664"/>
    <n v="10"/>
    <x v="8"/>
    <x v="8"/>
    <s v="L4"/>
    <n v="1830002337"/>
    <n v="175"/>
    <s v="CF9220D0       "/>
    <s v="CF9220D0 ROTATIVE HAIR BRUSH                      "/>
    <s v="S"/>
    <d v="2012-01-07T00:00:00"/>
    <m/>
    <s v="X"/>
    <x v="47"/>
    <n v="17.18"/>
    <n v="608"/>
    <d v="2012-02-27T00:00:00"/>
    <d v="2012-01-09T00:00:00"/>
    <n v="2256"/>
    <d v="2012-01-09T00:00:00"/>
    <n v="2256"/>
    <m/>
    <d v="2012-01-06T00:00:00"/>
    <n v="2256"/>
    <d v="2012-02-24T00:00:00"/>
    <d v="2012-01-06T00:00:00"/>
    <n v="2256"/>
    <n v="2256"/>
    <x v="6"/>
    <d v="2012-02-23T00:00:00"/>
    <m/>
    <n v="9321653216"/>
    <n v="10"/>
    <s v="DFSU6659262"/>
    <s v="MOL MAXIM/010W"/>
    <m/>
    <s v="SHENZHEN"/>
    <m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432/000010"/>
    <n v="1370147707"/>
    <n v="10"/>
    <x v="8"/>
    <x v="8"/>
    <s v="L4"/>
    <n v="1830003393"/>
    <n v="15"/>
    <s v="TS8051F0       "/>
    <s v="TS8051F0 REFLEXSPA                                "/>
    <s v="S"/>
    <d v="2012-01-04T00:00:00"/>
    <m/>
    <s v="X"/>
    <x v="47"/>
    <n v="30.51"/>
    <n v="1090"/>
    <d v="2012-02-17T00:00:00"/>
    <d v="2011-12-30T00:00:00"/>
    <n v="780"/>
    <d v="2012-01-05T00:00:00"/>
    <n v="780"/>
    <m/>
    <d v="2011-12-30T00:00:00"/>
    <n v="780"/>
    <d v="2012-02-23T00:00:00"/>
    <d v="2012-01-05T00:00:00"/>
    <n v="780"/>
    <n v="780"/>
    <x v="16"/>
    <d v="2012-02-21T00:00:00"/>
    <m/>
    <n v="9321653217"/>
    <n v="10"/>
    <s v="OOLU7546705"/>
    <s v="NYK VESTA/28W51"/>
    <m/>
    <s v="YANTIAN"/>
    <s v="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159/000010"/>
    <n v="1370147750"/>
    <n v="10"/>
    <x v="8"/>
    <x v="8"/>
    <s v="L4"/>
    <n v="1830003198"/>
    <n v="175"/>
    <s v="CF8250F4       "/>
    <s v="CF8250F4 HAIR BRUSH 1000W                         "/>
    <s v="S"/>
    <d v="2012-01-05T00:00:00"/>
    <m/>
    <s v="X"/>
    <x v="47"/>
    <n v="14.73"/>
    <n v="517"/>
    <d v="2012-02-17T00:00:00"/>
    <d v="2011-12-30T00:00:00"/>
    <n v="3168"/>
    <d v="2012-01-05T00:00:00"/>
    <n v="3168"/>
    <m/>
    <d v="2011-12-30T00:00:00"/>
    <n v="3168"/>
    <d v="2012-02-23T00:00:00"/>
    <d v="2012-01-05T00:00:00"/>
    <n v="3168"/>
    <n v="3168"/>
    <x v="16"/>
    <d v="2012-02-21T00:00:00"/>
    <m/>
    <n v="9321653218"/>
    <n v="10"/>
    <s v="OOLU1746584"/>
    <s v="NYK VESTA/28W51"/>
    <m/>
    <s v="SHEKOU"/>
    <s v="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6/000007"/>
    <n v="1370147891"/>
    <n v="70"/>
    <x v="8"/>
    <x v="8"/>
    <s v="L4"/>
    <n v="1830003942"/>
    <n v="131"/>
    <s v="SF7870K0       "/>
    <s v="SF7870K0 RESPECTISSIM LISS STRAIGHTENER           "/>
    <s v="S"/>
    <d v="2012-01-10T00:00:00"/>
    <m/>
    <s v="X"/>
    <x v="47"/>
    <n v="20.14"/>
    <n v="9"/>
    <d v="2012-01-17T00:00:00"/>
    <d v="2012-01-03T00:00:00"/>
    <n v="3000"/>
    <d v="2012-01-07T00:00:00"/>
    <n v="3000"/>
    <m/>
    <d v="2011-12-30T00:00:00"/>
    <n v="3000"/>
    <d v="2012-01-21T00:00:00"/>
    <d v="2012-01-07T00:00:00"/>
    <n v="3000"/>
    <n v="3000"/>
    <x v="12"/>
    <d v="2012-01-21T00:00:00"/>
    <m/>
    <n v="9321653221"/>
    <n v="10"/>
    <s v="MRKU8220047"/>
    <s v="CONVENT/1202"/>
    <m/>
    <s v="YANTIAN"/>
    <s v="C-POST-CONF( FROM WK52 TO WK01) Tentative Sailing Voy No ETD ETA CONVENT 1202 07/01/2012 14/01/2012"/>
    <m/>
    <s v="AGNES NUNES"/>
    <s v="FO9"/>
    <s v="PERSONAL CARE                 "/>
    <s v="CONFIRMED"/>
    <n v="1"/>
    <n v="1"/>
    <d v="2012-01-07T00:00:00"/>
    <s v="LINEN PERS HOME CARE          "/>
    <s v="PERSONAL CARE                 "/>
    <x v="4"/>
    <x v="1"/>
    <x v="1"/>
    <m/>
    <n v="0"/>
    <n v="0"/>
    <x v="1"/>
    <n v="5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2181/000010"/>
    <n v="1370147937"/>
    <n v="10"/>
    <x v="8"/>
    <x v="8"/>
    <s v="L4"/>
    <n v="1830002228"/>
    <n v="175"/>
    <s v="CF9220C0       "/>
    <s v="CF9220C0 ROTATIVE HAIR BRUSH II                   "/>
    <s v="S"/>
    <d v="2012-01-10T00:00:00"/>
    <m/>
    <s v="X"/>
    <x v="47"/>
    <n v="16.649999999999999"/>
    <n v="14"/>
    <d v="2012-01-27T00:00:00"/>
    <d v="2011-12-23T00:00:00"/>
    <n v="2220"/>
    <d v="2012-01-03T00:00:00"/>
    <n v="2220"/>
    <m/>
    <d v="2011-12-23T00:00:00"/>
    <n v="2220"/>
    <d v="2012-02-07T00:00:00"/>
    <d v="2012-01-03T00:00:00"/>
    <n v="2220"/>
    <n v="2220"/>
    <x v="16"/>
    <d v="2012-02-07T00:00:00"/>
    <m/>
    <n v="9321653222"/>
    <n v="10"/>
    <s v="APHU6360459"/>
    <s v="H VANCOUVER / 007W"/>
    <m/>
    <s v="YANTIAN"/>
    <s v="C-POST-CONF/SP-OVERCAP/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4"/>
    <x v="1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75/000001"/>
    <n v="1370147564"/>
    <n v="10"/>
    <x v="35"/>
    <x v="35"/>
    <s v="R1"/>
    <n v="1500635059"/>
    <n v="55"/>
    <n v="635059"/>
    <s v="BI802F70 KET APRECIA 0.8L RED/BLK JP              "/>
    <s v="S"/>
    <d v="2012-01-17T00:00:00"/>
    <m/>
    <s v="X"/>
    <x v="47"/>
    <n v="17.920000000000002"/>
    <n v="16"/>
    <d v="2012-01-16T00:00:00"/>
    <d v="2012-01-02T00:00:00"/>
    <n v="2880"/>
    <d v="2012-01-02T00:00:00"/>
    <n v="2880"/>
    <m/>
    <d v="2012-01-02T00:00:00"/>
    <n v="2880"/>
    <d v="2012-01-28T00:00:00"/>
    <d v="2012-01-14T00:00:00"/>
    <n v="2880"/>
    <n v="2880"/>
    <x v="9"/>
    <d v="2012-01-28T00:00:00"/>
    <m/>
    <n v="9321653223"/>
    <n v="10"/>
    <s v="PONU1821217"/>
    <s v="MCC SHANGHAI/1201"/>
    <m/>
    <s v="YANTIAN"/>
    <s v="SP-INSP-FAILED/"/>
    <m/>
    <s v="DOROTHEA LING"/>
    <s v="FO9"/>
    <s v="BEVERAGE                      "/>
    <s v="CONFIRMED"/>
    <n v="1"/>
    <n v="2"/>
    <d v="2012-01-14T00:00:00"/>
    <s v="KITCHEN ELECTRICS             "/>
    <s v="BREAKFAST &amp; BREVAGE PREP      "/>
    <x v="2"/>
    <x v="1"/>
    <x v="12"/>
    <s v="SP-INSP-FAILED"/>
    <n v="1"/>
    <n v="1"/>
    <x v="12"/>
    <n v="1"/>
    <x v="0"/>
    <x v="0"/>
    <x v="0"/>
    <n v="0"/>
    <n v="0"/>
    <n v="0"/>
    <n v="0"/>
    <n v="0"/>
    <n v="0"/>
    <x v="1"/>
    <x v="0"/>
    <x v="1"/>
    <x v="0"/>
  </r>
  <r>
    <s v="Shipment"/>
    <n v="99003300"/>
    <s v="GROUPE SEB JAPAN CO LTD                           "/>
    <n v="99003300"/>
    <x v="25"/>
    <s v="3775/000002"/>
    <n v="1370147564"/>
    <n v="20"/>
    <x v="35"/>
    <x v="35"/>
    <s v="R1"/>
    <n v="1500635464"/>
    <n v="55"/>
    <n v="635464"/>
    <s v="BI802570 KET APRECIA 0.8L SS/WHT JP               "/>
    <s v="S"/>
    <d v="2012-01-10T00:00:00"/>
    <m/>
    <s v="X"/>
    <x v="47"/>
    <n v="16"/>
    <n v="16"/>
    <d v="2012-01-16T00:00:00"/>
    <d v="2012-01-02T00:00:00"/>
    <n v="2880"/>
    <d v="2012-01-02T00:00:00"/>
    <n v="2880"/>
    <m/>
    <d v="2012-01-02T00:00:00"/>
    <n v="2880"/>
    <d v="2012-01-23T00:00:00"/>
    <d v="2012-01-09T00:00:00"/>
    <n v="2880"/>
    <n v="2880"/>
    <x v="12"/>
    <d v="2012-01-21T00:00:00"/>
    <m/>
    <n v="9321653223"/>
    <n v="20"/>
    <s v="MSKU6940420"/>
    <s v="SILS/1201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70/000001"/>
    <n v="1370147567"/>
    <n v="10"/>
    <x v="35"/>
    <x v="35"/>
    <s v="R1"/>
    <n v="1500635059"/>
    <n v="55"/>
    <n v="635059"/>
    <s v="BI802F70 KET APRECIA 0.8L RED/BLK JP              "/>
    <s v="S"/>
    <d v="2012-01-17T00:00:00"/>
    <m/>
    <s v="X"/>
    <x v="47"/>
    <n v="17.920000000000002"/>
    <n v="16"/>
    <d v="2012-01-09T00:00:00"/>
    <d v="2011-12-26T00:00:00"/>
    <n v="2880"/>
    <d v="2012-01-05T00:00:00"/>
    <n v="2880"/>
    <m/>
    <d v="2011-12-26T00:00:00"/>
    <n v="2880"/>
    <d v="2012-01-28T00:00:00"/>
    <d v="2012-01-14T00:00:00"/>
    <n v="2880"/>
    <n v="2880"/>
    <x v="9"/>
    <d v="2012-01-28T00:00:00"/>
    <m/>
    <n v="9321653224"/>
    <n v="10"/>
    <s v="PONU1821217"/>
    <s v="MCC SHANGHAI/1201"/>
    <m/>
    <s v="YANTIAN"/>
    <s v="SP-INSP-FAILED/FORWARDER-PROB/SP-MTL/"/>
    <m/>
    <s v="DOROTHEA LING"/>
    <s v="FO9"/>
    <s v="BEVERAGE                      "/>
    <s v="CONFIRMED"/>
    <n v="1"/>
    <n v="2"/>
    <d v="2012-01-14T00:00:00"/>
    <s v="KITCHEN ELECTRICS             "/>
    <s v="BREAKFAST &amp; BREVAGE PREP      "/>
    <x v="2"/>
    <x v="1"/>
    <x v="12"/>
    <s v="SP-INSP-FAILED"/>
    <n v="1"/>
    <n v="1"/>
    <x v="12"/>
    <n v="3"/>
    <x v="0"/>
    <x v="0"/>
    <x v="0"/>
    <n v="0"/>
    <n v="0"/>
    <n v="0"/>
    <n v="0"/>
    <n v="0"/>
    <n v="0"/>
    <x v="1"/>
    <x v="0"/>
    <x v="1"/>
    <x v="0"/>
  </r>
  <r>
    <s v="Shipment"/>
    <n v="99003300"/>
    <s v="GROUPE SEB JAPAN CO LTD                           "/>
    <n v="99003300"/>
    <x v="25"/>
    <s v="3770/000002"/>
    <n v="1370147567"/>
    <n v="20"/>
    <x v="35"/>
    <x v="35"/>
    <s v="R1"/>
    <n v="1500635464"/>
    <n v="55"/>
    <n v="635464"/>
    <s v="BI802570 KET APRECIA 0.8L SS/WHT JP               "/>
    <s v="S"/>
    <d v="2012-01-09T00:00:00"/>
    <m/>
    <s v="X"/>
    <x v="47"/>
    <n v="16"/>
    <n v="16"/>
    <d v="2012-01-09T00:00:00"/>
    <d v="2011-12-26T00:00:00"/>
    <n v="2880"/>
    <d v="2012-01-05T00:00:00"/>
    <n v="2880"/>
    <m/>
    <d v="2011-12-26T00:00:00"/>
    <n v="2880"/>
    <d v="2012-01-19T00:00:00"/>
    <d v="2012-01-05T00:00:00"/>
    <n v="2880"/>
    <n v="2880"/>
    <x v="12"/>
    <d v="2012-01-21T00:00:00"/>
    <m/>
    <n v="9321653224"/>
    <n v="20"/>
    <s v="TTNU5961713"/>
    <s v="KYOTO TOWER/KTWR1102"/>
    <m/>
    <s v="YANTIAN"/>
    <s v="FORWARDER-PROB/"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0"/>
    <s v="FORWARDER-PROB"/>
    <n v="1"/>
    <n v="1"/>
    <x v="11"/>
    <n v="1"/>
    <x v="0"/>
    <x v="0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5/000002"/>
    <n v="1370147568"/>
    <n v="20"/>
    <x v="35"/>
    <x v="35"/>
    <s v="R1"/>
    <n v="1500634595"/>
    <n v="55"/>
    <n v="634595"/>
    <s v="BF803570 KET APRECIA U.CLEAN 0.8L RED JP          "/>
    <s v="S"/>
    <d v="2012-01-17T00:00:00"/>
    <m/>
    <s v="X"/>
    <x v="47"/>
    <n v="12.88"/>
    <n v="12"/>
    <d v="2012-01-23T00:00:00"/>
    <d v="2012-01-09T00:00:00"/>
    <n v="2880"/>
    <d v="2012-01-09T00:00:00"/>
    <n v="2880"/>
    <m/>
    <d v="2012-01-09T00:00:00"/>
    <n v="2880"/>
    <d v="2012-01-30T00:00:00"/>
    <d v="2012-01-16T00:00:00"/>
    <n v="2880"/>
    <n v="2880"/>
    <x v="9"/>
    <d v="2012-01-28T00:00:00"/>
    <m/>
    <n v="9321653226"/>
    <n v="10"/>
    <s v="GATU4315941"/>
    <s v="MCC SHANGHAI/1201"/>
    <m/>
    <s v="YANTIAN"/>
    <m/>
    <m/>
    <s v="DOROTHEA LING"/>
    <s v="FO9"/>
    <s v="BEVERAGE                      "/>
    <s v="CONFIRMED"/>
    <n v="1"/>
    <n v="2"/>
    <d v="2012-01-14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5/000011"/>
    <n v="1370147568"/>
    <n v="30"/>
    <x v="35"/>
    <x v="35"/>
    <s v="R1"/>
    <n v="8000033203"/>
    <n v="55"/>
    <s v="BF802222A      "/>
    <s v="BF802222A KET APRECIA PLAST. 08L WHT/GR           "/>
    <s v="S"/>
    <d v="2012-01-10T00:00:00"/>
    <m/>
    <s v="X"/>
    <x v="47"/>
    <n v="11.99"/>
    <n v="12"/>
    <d v="2012-01-23T00:00:00"/>
    <d v="2012-01-09T00:00:00"/>
    <n v="2880"/>
    <d v="2012-01-09T00:00:00"/>
    <n v="2880"/>
    <m/>
    <m/>
    <m/>
    <d v="2012-01-23T00:00:00"/>
    <d v="2012-01-09T00:00:00"/>
    <n v="2880"/>
    <n v="2880"/>
    <x v="12"/>
    <d v="2012-01-21T00:00:00"/>
    <m/>
    <n v="9321653226"/>
    <n v="20"/>
    <s v="MSKU6200784"/>
    <s v="SILS/1201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785/000012"/>
    <n v="1370147568"/>
    <n v="40"/>
    <x v="35"/>
    <x v="35"/>
    <s v="R1"/>
    <n v="8000033204"/>
    <n v="55"/>
    <s v="BF802322A      "/>
    <s v="BF802322A KET APRECIA PLAST. 08L WHT/BL           "/>
    <s v="S"/>
    <d v="2012-01-19T00:00:00"/>
    <m/>
    <s v="X"/>
    <x v="47"/>
    <n v="11.99"/>
    <n v="12"/>
    <d v="2012-01-23T00:00:00"/>
    <d v="2012-01-09T00:00:00"/>
    <n v="5880"/>
    <d v="2012-01-09T00:00:00"/>
    <n v="5880"/>
    <m/>
    <d v="2012-01-09T00:00:00"/>
    <n v="5880"/>
    <d v="2012-02-04T00:00:00"/>
    <d v="2012-01-21T00:00:00"/>
    <n v="5880"/>
    <n v="5880"/>
    <x v="26"/>
    <d v="2012-02-04T00:00:00"/>
    <m/>
    <n v="9321653226"/>
    <n v="30"/>
    <s v="INBU5331886"/>
    <s v="POSEN"/>
    <m/>
    <s v="YANTIAN"/>
    <s v="NEWREQ-CUSTOMS/"/>
    <m/>
    <s v="DOROTHEA LING"/>
    <s v="FO9"/>
    <s v="BEVERAGE                      "/>
    <s v="CONFIRMED"/>
    <n v="1"/>
    <n v="3"/>
    <d v="2012-01-21T00:00:00"/>
    <s v="KITCHEN ELECTRICS             "/>
    <s v="BREAKFAST &amp; BREVAGE PREP      "/>
    <x v="2"/>
    <x v="1"/>
    <x v="8"/>
    <s v="NEWREQ-CUSTOMS"/>
    <n v="1"/>
    <n v="1"/>
    <x v="14"/>
    <n v="1"/>
    <x v="0"/>
    <x v="0"/>
    <x v="0"/>
    <n v="0"/>
    <n v="0"/>
    <n v="0"/>
    <n v="0"/>
    <n v="0"/>
    <n v="0"/>
    <x v="1"/>
    <x v="0"/>
    <x v="1"/>
    <x v="0"/>
  </r>
  <r>
    <s v="Shipment"/>
    <n v="99003300"/>
    <s v="GROUPE SEB JAPAN CO LTD                           "/>
    <n v="99003300"/>
    <x v="25"/>
    <s v="3785/000013"/>
    <n v="1370147568"/>
    <n v="50"/>
    <x v="35"/>
    <x v="35"/>
    <s v="R1"/>
    <n v="8000033205"/>
    <n v="55"/>
    <s v="BI802522A      "/>
    <s v="BI802522A KET APRECIA STAIN. STEEL 08L            "/>
    <s v="S"/>
    <d v="2012-01-19T00:00:00"/>
    <m/>
    <s v="X"/>
    <x v="47"/>
    <n v="16"/>
    <n v="12"/>
    <d v="2012-01-23T00:00:00"/>
    <d v="2012-01-09T00:00:00"/>
    <n v="2880"/>
    <d v="2012-01-09T00:00:00"/>
    <n v="2880"/>
    <m/>
    <d v="2012-01-16T00:00:00"/>
    <n v="2880"/>
    <d v="2012-02-04T00:00:00"/>
    <d v="2012-01-21T00:00:00"/>
    <n v="2880"/>
    <n v="2880"/>
    <x v="26"/>
    <d v="2012-02-04T00:00:00"/>
    <m/>
    <n v="9321653226"/>
    <n v="40"/>
    <s v="TEXU7375287"/>
    <s v="POSEN"/>
    <m/>
    <s v="YANTIAN"/>
    <s v="NEWREQ-CUSTOMS/"/>
    <m/>
    <s v="DOROTHEA LING"/>
    <s v="FO9"/>
    <s v="BEVERAGE                      "/>
    <s v="CONFIRMED"/>
    <n v="1"/>
    <n v="3"/>
    <d v="2012-01-21T00:00:00"/>
    <s v="KITCHEN ELECTRICS             "/>
    <s v="BREAKFAST &amp; BREVAGE PREP      "/>
    <x v="2"/>
    <x v="1"/>
    <x v="8"/>
    <s v="NEWREQ-CUSTOMS"/>
    <n v="1"/>
    <n v="1"/>
    <x v="14"/>
    <n v="1"/>
    <x v="0"/>
    <x v="0"/>
    <x v="0"/>
    <n v="0"/>
    <n v="0"/>
    <n v="0"/>
    <n v="0"/>
    <n v="0"/>
    <n v="0"/>
    <x v="1"/>
    <x v="0"/>
    <x v="1"/>
    <x v="0"/>
  </r>
  <r>
    <s v="Shipment"/>
    <n v="99003300"/>
    <s v="GROUPE SEB JAPAN CO LTD                           "/>
    <n v="99003300"/>
    <x v="25"/>
    <s v="3785/000003"/>
    <n v="1370147568"/>
    <n v="60"/>
    <x v="35"/>
    <x v="35"/>
    <s v="R1"/>
    <n v="1500634596"/>
    <n v="55"/>
    <n v="634596"/>
    <s v="BF803870 KET APRECIA U.CLEAN 0.8L BLK JP          "/>
    <s v="S"/>
    <d v="2012-01-10T00:00:00"/>
    <m/>
    <s v="X"/>
    <x v="47"/>
    <n v="12.88"/>
    <n v="12"/>
    <d v="2012-01-23T00:00:00"/>
    <d v="2012-01-09T00:00:00"/>
    <n v="2880"/>
    <d v="2012-01-09T00:00:00"/>
    <n v="2880"/>
    <m/>
    <m/>
    <m/>
    <d v="2012-01-23T00:00:00"/>
    <d v="2012-01-09T00:00:00"/>
    <n v="2880"/>
    <n v="2880"/>
    <x v="12"/>
    <d v="2012-01-21T00:00:00"/>
    <m/>
    <n v="9321653226"/>
    <n v="50"/>
    <s v="MSKU6200784"/>
    <s v="SILS/1201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785/000009"/>
    <n v="1370147568"/>
    <n v="120"/>
    <x v="35"/>
    <x v="35"/>
    <s v="R1"/>
    <n v="8000033201"/>
    <n v="55"/>
    <s v="BF802022A      "/>
    <s v="BF802022A KET APRECIA PLAST. 08L WHT/GR           "/>
    <s v="S"/>
    <d v="2012-01-17T00:00:00"/>
    <m/>
    <s v="X"/>
    <x v="47"/>
    <n v="11.99"/>
    <n v="12"/>
    <d v="2012-01-23T00:00:00"/>
    <d v="2012-01-09T00:00:00"/>
    <n v="8760"/>
    <d v="2012-01-09T00:00:00"/>
    <n v="8760"/>
    <m/>
    <d v="2012-01-09T00:00:00"/>
    <n v="14640"/>
    <d v="2012-01-30T00:00:00"/>
    <d v="2012-01-16T00:00:00"/>
    <n v="8760"/>
    <n v="2880"/>
    <x v="9"/>
    <d v="2012-01-28T00:00:00"/>
    <m/>
    <n v="9321653226"/>
    <n v="60"/>
    <s v="GATU4315941"/>
    <s v="MCC SHANGHAI/1201"/>
    <m/>
    <s v="YANTIAN"/>
    <m/>
    <m/>
    <s v="DOROTHEA LING"/>
    <s v="FO9"/>
    <s v="BEVERAGE                      "/>
    <s v="CONFIRMED"/>
    <n v="1"/>
    <n v="2"/>
    <d v="2012-01-14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5/000009"/>
    <n v="1370147568"/>
    <n v="120"/>
    <x v="35"/>
    <x v="35"/>
    <s v="R1"/>
    <n v="8000033201"/>
    <n v="55"/>
    <s v="BF802022A      "/>
    <s v="BF802022A KET APRECIA PLAST. 08L WHT/GR           "/>
    <s v="S"/>
    <d v="2012-01-17T00:00:00"/>
    <m/>
    <s v="X"/>
    <x v="47"/>
    <n v="11.99"/>
    <n v="12"/>
    <d v="2012-01-23T00:00:00"/>
    <d v="2012-01-09T00:00:00"/>
    <n v="8760"/>
    <d v="2012-01-09T00:00:00"/>
    <n v="8760"/>
    <m/>
    <d v="2012-01-09T00:00:00"/>
    <n v="14640"/>
    <d v="2012-01-30T00:00:00"/>
    <d v="2012-01-16T00:00:00"/>
    <n v="8760"/>
    <n v="5880"/>
    <x v="9"/>
    <d v="2012-01-28T00:00:00"/>
    <m/>
    <n v="9321653226"/>
    <n v="60"/>
    <s v="MRKU0223184"/>
    <s v="MCC SHANGHAI/1201"/>
    <m/>
    <s v="YANTIAN"/>
    <m/>
    <m/>
    <s v="DOROTHEA LING"/>
    <s v="FO9"/>
    <s v="BEVERAGE                      "/>
    <s v="CONFIRMED"/>
    <n v="1"/>
    <n v="2"/>
    <d v="2012-01-14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5/000010"/>
    <n v="1370147568"/>
    <n v="130"/>
    <x v="35"/>
    <x v="35"/>
    <s v="R1"/>
    <n v="8000033202"/>
    <n v="55"/>
    <s v="BF802922A      "/>
    <s v="BF802922A KET APRECIA PLAST. 08L WHT/PN           "/>
    <s v="S"/>
    <d v="2012-01-10T00:00:00"/>
    <m/>
    <s v="X"/>
    <x v="47"/>
    <n v="11.99"/>
    <n v="12"/>
    <d v="2012-01-23T00:00:00"/>
    <d v="2012-01-09T00:00:00"/>
    <n v="8760"/>
    <d v="2012-01-09T00:00:00"/>
    <n v="8760"/>
    <m/>
    <m/>
    <m/>
    <d v="2012-01-23T00:00:00"/>
    <d v="2012-01-09T00:00:00"/>
    <n v="8760"/>
    <n v="2880"/>
    <x v="12"/>
    <d v="2012-01-21T00:00:00"/>
    <m/>
    <n v="9321653226"/>
    <n v="70"/>
    <s v="MSKU6940420"/>
    <s v="SILS/1201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785/000010"/>
    <n v="1370147568"/>
    <n v="130"/>
    <x v="35"/>
    <x v="35"/>
    <s v="R1"/>
    <n v="8000033202"/>
    <n v="55"/>
    <s v="BF802922A      "/>
    <s v="BF802922A KET APRECIA PLAST. 08L WHT/PN           "/>
    <s v="S"/>
    <d v="2012-01-10T00:00:00"/>
    <m/>
    <s v="X"/>
    <x v="47"/>
    <n v="11.99"/>
    <n v="12"/>
    <d v="2012-01-23T00:00:00"/>
    <d v="2012-01-09T00:00:00"/>
    <n v="8760"/>
    <d v="2012-01-09T00:00:00"/>
    <n v="8760"/>
    <m/>
    <m/>
    <m/>
    <d v="2012-01-23T00:00:00"/>
    <d v="2012-01-09T00:00:00"/>
    <n v="8760"/>
    <n v="5880"/>
    <x v="12"/>
    <d v="2012-01-21T00:00:00"/>
    <m/>
    <n v="9321653226"/>
    <n v="70"/>
    <s v="MSKU6175510"/>
    <s v="SILS/1201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774/000003"/>
    <n v="1370147575"/>
    <n v="30"/>
    <x v="35"/>
    <x v="35"/>
    <s v="R1"/>
    <n v="8000033201"/>
    <n v="55"/>
    <s v="BF802022A      "/>
    <s v="BF802022A KET APRECIA PLAST. 08L WHT/GR           "/>
    <s v="S"/>
    <d v="2012-01-09T00:00:00"/>
    <m/>
    <s v="X"/>
    <x v="47"/>
    <n v="11.99"/>
    <n v="11"/>
    <d v="2012-01-09T00:00:00"/>
    <d v="2011-12-26T00:00:00"/>
    <n v="8760"/>
    <d v="2012-01-05T00:00:00"/>
    <n v="8760"/>
    <m/>
    <d v="2011-12-26T00:00:00"/>
    <n v="14640"/>
    <d v="2012-01-19T00:00:00"/>
    <d v="2012-01-05T00:00:00"/>
    <n v="8760"/>
    <n v="2880"/>
    <x v="12"/>
    <d v="2012-01-21T00:00:00"/>
    <m/>
    <n v="9321653227"/>
    <n v="10"/>
    <s v="TSLU6401904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74/000003"/>
    <n v="1370147575"/>
    <n v="30"/>
    <x v="35"/>
    <x v="35"/>
    <s v="R1"/>
    <n v="8000033201"/>
    <n v="55"/>
    <s v="BF802022A      "/>
    <s v="BF802022A KET APRECIA PLAST. 08L WHT/GR           "/>
    <s v="S"/>
    <d v="2012-01-09T00:00:00"/>
    <m/>
    <s v="X"/>
    <x v="47"/>
    <n v="11.99"/>
    <n v="11"/>
    <d v="2012-01-09T00:00:00"/>
    <d v="2011-12-26T00:00:00"/>
    <n v="8760"/>
    <d v="2012-01-05T00:00:00"/>
    <n v="8760"/>
    <m/>
    <d v="2011-12-26T00:00:00"/>
    <n v="14640"/>
    <d v="2012-01-19T00:00:00"/>
    <d v="2012-01-05T00:00:00"/>
    <n v="8760"/>
    <n v="5880"/>
    <x v="12"/>
    <d v="2012-01-21T00:00:00"/>
    <m/>
    <n v="9321653227"/>
    <n v="10"/>
    <s v="CLHU4664592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74/000004"/>
    <n v="1370147575"/>
    <n v="40"/>
    <x v="35"/>
    <x v="35"/>
    <s v="R1"/>
    <n v="8000033202"/>
    <n v="55"/>
    <s v="BF802922A      "/>
    <s v="BF802922A KET APRECIA PLAST. 08L WHT/PN           "/>
    <s v="S"/>
    <d v="2012-01-09T00:00:00"/>
    <m/>
    <s v="X"/>
    <x v="47"/>
    <n v="11.99"/>
    <n v="11"/>
    <d v="2012-01-09T00:00:00"/>
    <d v="2011-12-26T00:00:00"/>
    <n v="2880"/>
    <d v="2012-01-05T00:00:00"/>
    <n v="2880"/>
    <m/>
    <d v="2011-12-26T00:00:00"/>
    <n v="5760"/>
    <d v="2012-01-19T00:00:00"/>
    <d v="2012-01-05T00:00:00"/>
    <n v="2880"/>
    <n v="2880"/>
    <x v="12"/>
    <d v="2012-01-21T00:00:00"/>
    <m/>
    <n v="9321653227"/>
    <n v="20"/>
    <s v="TSLU6401904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0/000001"/>
    <n v="1370147579"/>
    <n v="10"/>
    <x v="35"/>
    <x v="35"/>
    <s v="R1"/>
    <n v="1500634594"/>
    <n v="55"/>
    <n v="634594"/>
    <s v="BF803170 KET APRECIA U.CLEAN 0.8L WHT JP          "/>
    <s v="S"/>
    <d v="2012-01-09T00:00:00"/>
    <m/>
    <s v="X"/>
    <x v="47"/>
    <n v="12.88"/>
    <n v="12"/>
    <d v="2012-01-16T00:00:00"/>
    <d v="2012-01-02T00:00:00"/>
    <n v="2880"/>
    <d v="2012-01-02T00:00:00"/>
    <n v="2880"/>
    <m/>
    <d v="2012-01-02T00:00:00"/>
    <n v="2880"/>
    <d v="2012-01-19T00:00:00"/>
    <d v="2012-01-05T00:00:00"/>
    <n v="2880"/>
    <n v="2880"/>
    <x v="12"/>
    <d v="2012-01-21T00:00:00"/>
    <m/>
    <n v="9321653229"/>
    <n v="10"/>
    <s v="TSLU6408719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0/000002"/>
    <n v="1370147579"/>
    <n v="20"/>
    <x v="35"/>
    <x v="35"/>
    <s v="R1"/>
    <n v="1500634595"/>
    <n v="55"/>
    <n v="634595"/>
    <s v="BF803570 KET APRECIA U.CLEAN 0.8L RED JP          "/>
    <s v="S"/>
    <d v="2012-01-09T00:00:00"/>
    <m/>
    <s v="X"/>
    <x v="47"/>
    <n v="12.88"/>
    <n v="12"/>
    <d v="2012-01-16T00:00:00"/>
    <d v="2012-01-02T00:00:00"/>
    <n v="2880"/>
    <d v="2012-01-02T00:00:00"/>
    <n v="2880"/>
    <m/>
    <d v="2012-01-02T00:00:00"/>
    <n v="2880"/>
    <d v="2012-01-19T00:00:00"/>
    <d v="2012-01-05T00:00:00"/>
    <n v="2880"/>
    <n v="2880"/>
    <x v="12"/>
    <d v="2012-01-21T00:00:00"/>
    <m/>
    <n v="9321653229"/>
    <n v="20"/>
    <s v="CLHU4760256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0/000003"/>
    <n v="1370147579"/>
    <n v="30"/>
    <x v="35"/>
    <x v="35"/>
    <s v="R1"/>
    <n v="1500634596"/>
    <n v="55"/>
    <n v="634596"/>
    <s v="BF803870 KET APRECIA U.CLEAN 0.8L BLK JP          "/>
    <s v="S"/>
    <d v="2012-01-09T00:00:00"/>
    <m/>
    <s v="X"/>
    <x v="47"/>
    <n v="12.88"/>
    <n v="12"/>
    <d v="2012-01-16T00:00:00"/>
    <d v="2012-01-02T00:00:00"/>
    <n v="2880"/>
    <d v="2012-01-02T00:00:00"/>
    <n v="2880"/>
    <m/>
    <d v="2012-01-02T00:00:00"/>
    <n v="2880"/>
    <d v="2012-01-19T00:00:00"/>
    <d v="2012-01-05T00:00:00"/>
    <n v="2880"/>
    <n v="2880"/>
    <x v="12"/>
    <d v="2012-01-21T00:00:00"/>
    <m/>
    <n v="9321653229"/>
    <n v="30"/>
    <s v="CLHU4760256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0/000005"/>
    <n v="1370147579"/>
    <n v="50"/>
    <x v="35"/>
    <x v="35"/>
    <s v="R1"/>
    <n v="8000033201"/>
    <n v="55"/>
    <s v="BF802022A      "/>
    <s v="BF802022A KET APRECIA PLAST. 08L WHT/GR           "/>
    <s v="S"/>
    <d v="2012-01-09T00:00:00"/>
    <m/>
    <s v="X"/>
    <x v="47"/>
    <n v="11.99"/>
    <n v="12"/>
    <d v="2012-01-16T00:00:00"/>
    <d v="2012-01-02T00:00:00"/>
    <n v="8760"/>
    <d v="2012-01-02T00:00:00"/>
    <n v="8760"/>
    <m/>
    <d v="2012-01-02T00:00:00"/>
    <n v="14640"/>
    <d v="2012-01-19T00:00:00"/>
    <d v="2012-01-05T00:00:00"/>
    <n v="8760"/>
    <n v="5880"/>
    <x v="12"/>
    <d v="2012-01-21T00:00:00"/>
    <m/>
    <n v="9321653229"/>
    <n v="40"/>
    <s v="TSLU6411754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0/000005"/>
    <n v="1370147579"/>
    <n v="50"/>
    <x v="35"/>
    <x v="35"/>
    <s v="R1"/>
    <n v="8000033201"/>
    <n v="55"/>
    <s v="BF802022A      "/>
    <s v="BF802022A KET APRECIA PLAST. 08L WHT/GR           "/>
    <s v="S"/>
    <d v="2012-01-09T00:00:00"/>
    <m/>
    <s v="X"/>
    <x v="47"/>
    <n v="11.99"/>
    <n v="12"/>
    <d v="2012-01-16T00:00:00"/>
    <d v="2012-01-02T00:00:00"/>
    <n v="8760"/>
    <d v="2012-01-02T00:00:00"/>
    <n v="8760"/>
    <m/>
    <d v="2012-01-02T00:00:00"/>
    <n v="14640"/>
    <d v="2012-01-19T00:00:00"/>
    <d v="2012-01-05T00:00:00"/>
    <n v="8760"/>
    <n v="2880"/>
    <x v="12"/>
    <d v="2012-01-21T00:00:00"/>
    <m/>
    <n v="9321653229"/>
    <n v="40"/>
    <s v="TTNU5961713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0/000006"/>
    <n v="1370147579"/>
    <n v="60"/>
    <x v="35"/>
    <x v="35"/>
    <s v="R1"/>
    <n v="8000033202"/>
    <n v="55"/>
    <s v="BF802922A      "/>
    <s v="BF802922A KET APRECIA PLAST. 08L WHT/PN           "/>
    <s v="S"/>
    <d v="2012-01-09T00:00:00"/>
    <m/>
    <s v="X"/>
    <x v="47"/>
    <n v="11.99"/>
    <n v="12"/>
    <d v="2012-01-16T00:00:00"/>
    <d v="2012-01-02T00:00:00"/>
    <n v="5880"/>
    <d v="2012-01-02T00:00:00"/>
    <n v="5880"/>
    <m/>
    <d v="2012-01-02T00:00:00"/>
    <n v="11760"/>
    <d v="2012-01-19T00:00:00"/>
    <d v="2012-01-05T00:00:00"/>
    <n v="5880"/>
    <n v="5880"/>
    <x v="12"/>
    <d v="2012-01-21T00:00:00"/>
    <m/>
    <n v="9321653229"/>
    <n v="50"/>
    <s v="TGHU4880154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0/000007"/>
    <n v="1370147579"/>
    <n v="70"/>
    <x v="35"/>
    <x v="35"/>
    <s v="R1"/>
    <n v="8000033204"/>
    <n v="55"/>
    <s v="BF802322A      "/>
    <s v="BF802322A KET APRECIA PLAST. 08L WHT/BL           "/>
    <s v="S"/>
    <d v="2012-01-09T00:00:00"/>
    <m/>
    <s v="X"/>
    <x v="47"/>
    <n v="11.99"/>
    <n v="12"/>
    <d v="2012-01-16T00:00:00"/>
    <d v="2012-01-02T00:00:00"/>
    <n v="2880"/>
    <d v="2012-01-02T00:00:00"/>
    <n v="2880"/>
    <m/>
    <d v="2012-01-02T00:00:00"/>
    <n v="5760"/>
    <d v="2012-01-19T00:00:00"/>
    <d v="2012-01-05T00:00:00"/>
    <n v="2880"/>
    <n v="2880"/>
    <x v="12"/>
    <d v="2012-01-21T00:00:00"/>
    <m/>
    <n v="9321653229"/>
    <n v="60"/>
    <s v="TSLU6408719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7/000003"/>
    <n v="1370147885"/>
    <n v="30"/>
    <x v="35"/>
    <x v="35"/>
    <s v="R1"/>
    <n v="8000033770"/>
    <n v="55"/>
    <s v="BF812121       "/>
    <s v="BF812121 KET MINI PLAST. 08L WHT KR               "/>
    <s v="S"/>
    <d v="2012-01-09T00:00:00"/>
    <m/>
    <s v="X"/>
    <x v="47"/>
    <n v="12.26"/>
    <n v="11"/>
    <d v="2012-01-17T00:00:00"/>
    <d v="2012-01-03T00:00:00"/>
    <n v="2880"/>
    <d v="2012-01-07T00:00:00"/>
    <n v="2880"/>
    <m/>
    <d v="2012-01-03T00:00:00"/>
    <n v="2880"/>
    <d v="2012-01-21T00:00:00"/>
    <d v="2012-01-07T00:00:00"/>
    <n v="2880"/>
    <n v="2880"/>
    <x v="12"/>
    <d v="2012-01-21T00:00:00"/>
    <m/>
    <n v="9321653230"/>
    <n v="10"/>
    <s v="MAEU6206573"/>
    <s v="CONVENT/1202"/>
    <m/>
    <s v="YANTIAN"/>
    <s v="C-POST-CONF(FRM WK52 TO WK01)"/>
    <m/>
    <s v="AGNES NUNES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7/000004"/>
    <n v="1370147885"/>
    <n v="40"/>
    <x v="35"/>
    <x v="35"/>
    <s v="R1"/>
    <n v="8000033197"/>
    <n v="55"/>
    <s v="BI81252A       "/>
    <s v="BI81252A KET MINI STAIN. STEEL 08L KR             "/>
    <s v="S"/>
    <d v="2012-01-09T00:00:00"/>
    <m/>
    <s v="X"/>
    <x v="47"/>
    <n v="16.14"/>
    <n v="11"/>
    <d v="2012-01-17T00:00:00"/>
    <d v="2012-01-03T00:00:00"/>
    <n v="2880"/>
    <d v="2012-01-07T00:00:00"/>
    <n v="2880"/>
    <m/>
    <d v="2012-01-03T00:00:00"/>
    <n v="2880"/>
    <d v="2012-01-21T00:00:00"/>
    <d v="2012-01-07T00:00:00"/>
    <n v="2880"/>
    <n v="2880"/>
    <x v="12"/>
    <d v="2012-01-21T00:00:00"/>
    <m/>
    <n v="9321653230"/>
    <n v="20"/>
    <s v="MAEU6206573"/>
    <s v="CONVENT/1202"/>
    <m/>
    <s v="YANTIAN"/>
    <m/>
    <m/>
    <s v="AGNES NUNES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3/000001"/>
    <n v="1370147890"/>
    <n v="10"/>
    <x v="35"/>
    <x v="35"/>
    <s v="R1"/>
    <n v="8000033197"/>
    <n v="55"/>
    <s v="BI81252A       "/>
    <s v="BI81252A KET MINI STAIN. STEEL 08L KR             "/>
    <s v="S"/>
    <d v="2012-01-09T00:00:00"/>
    <m/>
    <s v="X"/>
    <x v="47"/>
    <n v="16.14"/>
    <n v="14"/>
    <d v="2012-01-02T00:00:00"/>
    <d v="2011-12-19T00:00:00"/>
    <n v="2880"/>
    <d v="2012-01-09T00:00:00"/>
    <n v="2880"/>
    <m/>
    <d v="2011-12-19T00:00:00"/>
    <n v="2880"/>
    <d v="2012-01-23T00:00:00"/>
    <d v="2012-01-09T00:00:00"/>
    <n v="2880"/>
    <n v="2880"/>
    <x v="12"/>
    <d v="2012-01-21T00:00:00"/>
    <m/>
    <n v="9321653233"/>
    <n v="10"/>
    <s v="MSKU7567650"/>
    <s v="CONVENT/1202"/>
    <m/>
    <s v="YANTIAN"/>
    <s v="C-POST-CONF"/>
    <m/>
    <s v="AGNES NUNES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0863/000010"/>
    <n v="1370146858"/>
    <n v="10"/>
    <x v="56"/>
    <x v="56"/>
    <s v="J2"/>
    <n v="1110030053"/>
    <n v="6"/>
    <s v="$DA1510F2      "/>
    <s v="DA1510F2 TRAVEL IRON                              "/>
    <s v="S"/>
    <d v="2012-01-05T00:00:00"/>
    <m/>
    <s v="X"/>
    <x v="47"/>
    <n v="8.16"/>
    <n v="18304"/>
    <d v="2012-01-27T00:00:00"/>
    <d v="2011-12-23T00:00:00"/>
    <n v="3000"/>
    <d v="2012-01-01T00:00:00"/>
    <n v="3000"/>
    <m/>
    <d v="2011-12-23T00:00:00"/>
    <n v="3000"/>
    <d v="2012-02-05T00:00:00"/>
    <d v="2012-01-01T00:00:00"/>
    <n v="3000"/>
    <n v="3000"/>
    <x v="13"/>
    <d v="2012-02-05T00:00:00"/>
    <m/>
    <n v="9321653236"/>
    <n v="10"/>
    <s v="MAEU6219544"/>
    <s v="CMA CGM NERVAL/811W"/>
    <m/>
    <s v="HONG KONG"/>
    <s v="CONS-SHIPT/"/>
    <m/>
    <s v="KENUS WONG"/>
    <s v="FO9"/>
    <s v="LINEN CARE                    "/>
    <s v="CONFIRMED"/>
    <n v="1"/>
    <n v="52"/>
    <d v="2012-01-01T00:00:00"/>
    <s v="LINEN PERS HOME CARE          "/>
    <s v="LINEN CARE   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575/000010"/>
    <n v="1370147790"/>
    <n v="10"/>
    <x v="56"/>
    <x v="56"/>
    <s v="P1"/>
    <n v="8000004054"/>
    <n v="78"/>
    <s v="DJC141         "/>
    <s v="DJC141 YOGURT MAKER WHITE                         "/>
    <s v="S"/>
    <d v="2012-01-09T00:00:00"/>
    <m/>
    <s v="X"/>
    <x v="47"/>
    <n v="7.96"/>
    <n v="287"/>
    <d v="2012-02-24T00:00:00"/>
    <d v="2012-01-06T00:00:00"/>
    <n v="2000"/>
    <d v="2012-01-06T00:00:00"/>
    <n v="2000"/>
    <m/>
    <d v="2012-01-06T00:00:00"/>
    <n v="2000"/>
    <d v="2012-02-24T00:00:00"/>
    <d v="2012-01-06T00:00:00"/>
    <n v="2000"/>
    <n v="2000"/>
    <x v="6"/>
    <d v="2012-02-23T00:00:00"/>
    <m/>
    <n v="9321653238"/>
    <n v="10"/>
    <s v="TCKU3416348"/>
    <s v="MOL MAXIM/010W"/>
    <m/>
    <s v="YANTIAN"/>
    <m/>
    <m/>
    <s v="KENUS WONG"/>
    <s v="FO9"/>
    <s v="FOOD PREPARATION              "/>
    <s v="CONFIRMED"/>
    <n v="1"/>
    <n v="1"/>
    <d v="2012-01-05T00:00:00"/>
    <s v="KITCHEN ELECTRICS             "/>
    <s v="FOOD PREPARATION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654/000010"/>
    <n v="1370147795"/>
    <n v="10"/>
    <x v="56"/>
    <x v="56"/>
    <s v="P1"/>
    <n v="1500888531"/>
    <n v="78"/>
    <n v="888531"/>
    <s v="YG230131 YGT YOGURTO WHT PE                       "/>
    <s v="S"/>
    <d v="2012-01-05T00:00:00"/>
    <m/>
    <s v="X"/>
    <x v="47"/>
    <n v="13.55"/>
    <n v="492"/>
    <d v="2012-02-10T00:00:00"/>
    <d v="2011-12-23T00:00:00"/>
    <n v="1760"/>
    <d v="2012-01-03T00:00:00"/>
    <n v="1760"/>
    <m/>
    <d v="2011-12-23T00:00:00"/>
    <n v="1760"/>
    <d v="2012-02-21T00:00:00"/>
    <d v="2012-01-03T00:00:00"/>
    <n v="1760"/>
    <n v="1760"/>
    <x v="16"/>
    <d v="2012-02-21T00:00:00"/>
    <m/>
    <n v="9321653240"/>
    <n v="10"/>
    <s v="GLDU3296181"/>
    <s v="NYK VESTA/28W51"/>
    <m/>
    <s v="YANTIAN"/>
    <s v="C-POST-CONF/TP ISSUE"/>
    <m/>
    <s v="KENUS WONG"/>
    <s v="FO9"/>
    <s v="FOOD PREPARATION              "/>
    <s v="CONFIRMED"/>
    <n v="1"/>
    <n v="1"/>
    <d v="2012-01-03T00:00:00"/>
    <s v="KITCHEN ELECTRICS             "/>
    <s v="FOOD PREPARATION              "/>
    <x v="3"/>
    <x v="2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6095/000010"/>
    <n v="1370146651"/>
    <n v="10"/>
    <x v="27"/>
    <x v="27"/>
    <s v="R1"/>
    <n v="8000032476"/>
    <n v="27"/>
    <s v="FME214S        "/>
    <s v="FME214 12 CUP GLASS COFFEE MAKER PROGAMM          "/>
    <s v="S"/>
    <d v="2012-01-10T00:00:00"/>
    <m/>
    <s v="X"/>
    <x v="47"/>
    <n v="18.88"/>
    <n v="23"/>
    <d v="2012-02-02T00:00:00"/>
    <d v="2011-12-29T00:00:00"/>
    <n v="10840"/>
    <d v="2012-01-04T00:00:00"/>
    <n v="10840"/>
    <m/>
    <d v="2012-01-02T00:00:00"/>
    <n v="10840"/>
    <d v="2012-02-09T00:00:00"/>
    <d v="2012-01-05T00:00:00"/>
    <n v="10840"/>
    <n v="2208"/>
    <x v="7"/>
    <d v="2012-02-10T00:00:00"/>
    <m/>
    <n v="9321653242"/>
    <n v="10"/>
    <s v="CMAU5935829"/>
    <s v="CMA CGM DON PASCUALE"/>
    <m/>
    <s v="YANTIAN"/>
    <s v="C-POST-CONF( WK52 TO WK01) CMA CGM DON PASCUALE US549S 04/01/12 30/01/12"/>
    <m/>
    <s v="TWEETY LEUNG"/>
    <s v="FO9"/>
    <s v="BEVERAGE                      "/>
    <s v="CONFIRMED"/>
    <n v="1"/>
    <n v="1"/>
    <d v="2012-01-06T00:00:00"/>
    <s v="KITCHEN ELECTRICS             "/>
    <s v="BREAKFAST &amp; BREVAGE PREP      "/>
    <x v="2"/>
    <x v="1"/>
    <x v="1"/>
    <m/>
    <n v="0"/>
    <n v="0"/>
    <x v="1"/>
    <n v="5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6095/000010"/>
    <n v="1370146651"/>
    <n v="10"/>
    <x v="27"/>
    <x v="27"/>
    <s v="R1"/>
    <n v="8000032476"/>
    <n v="27"/>
    <s v="FME214S        "/>
    <s v="FME214 12 CUP GLASS COFFEE MAKER PROGAMM          "/>
    <s v="S"/>
    <d v="2012-01-10T00:00:00"/>
    <m/>
    <s v="X"/>
    <x v="47"/>
    <n v="18.88"/>
    <n v="23"/>
    <d v="2012-02-02T00:00:00"/>
    <d v="2011-12-29T00:00:00"/>
    <n v="10840"/>
    <d v="2012-01-04T00:00:00"/>
    <n v="10840"/>
    <m/>
    <d v="2012-01-02T00:00:00"/>
    <n v="10840"/>
    <d v="2012-02-09T00:00:00"/>
    <d v="2012-01-05T00:00:00"/>
    <n v="10840"/>
    <n v="2008"/>
    <x v="7"/>
    <d v="2012-02-10T00:00:00"/>
    <m/>
    <n v="9321653242"/>
    <n v="10"/>
    <s v="ECMU4597205"/>
    <s v="CMA CGM DON PASCUALE"/>
    <m/>
    <s v="YANTIAN"/>
    <s v="C-POST-CONF( WK52 TO WK01) CMA CGM DON PASCUALE US549S 04/01/12 30/01/12"/>
    <m/>
    <s v="TWEETY LEUNG"/>
    <s v="FO9"/>
    <s v="BEVERAGE                      "/>
    <s v="CONFIRMED"/>
    <n v="1"/>
    <n v="1"/>
    <d v="2012-01-06T00:00:00"/>
    <s v="KITCHEN ELECTRICS             "/>
    <s v="BREAKFAST &amp; BREVAGE PREP      "/>
    <x v="2"/>
    <x v="1"/>
    <x v="1"/>
    <m/>
    <n v="0"/>
    <n v="0"/>
    <x v="1"/>
    <n v="5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6095/000010"/>
    <n v="1370146651"/>
    <n v="10"/>
    <x v="27"/>
    <x v="27"/>
    <s v="R1"/>
    <n v="8000032476"/>
    <n v="27"/>
    <s v="FME214S        "/>
    <s v="FME214 12 CUP GLASS COFFEE MAKER PROGAMM          "/>
    <s v="S"/>
    <d v="2012-01-11T00:00:00"/>
    <m/>
    <s v="X"/>
    <x v="47"/>
    <n v="18.88"/>
    <n v="23"/>
    <d v="2012-02-02T00:00:00"/>
    <d v="2011-12-29T00:00:00"/>
    <n v="10840"/>
    <d v="2012-01-04T00:00:00"/>
    <n v="10840"/>
    <m/>
    <d v="2012-01-02T00:00:00"/>
    <n v="10840"/>
    <d v="2012-02-09T00:00:00"/>
    <d v="2012-01-05T00:00:00"/>
    <n v="10840"/>
    <n v="2208"/>
    <x v="5"/>
    <d v="2012-02-14T00:00:00"/>
    <m/>
    <n v="9321653242"/>
    <n v="10"/>
    <s v="HLXU6577250"/>
    <s v="ZIM ONTARIO 12E01/"/>
    <m/>
    <s v="YANTIAN"/>
    <s v="C-POST-CONF( WK52 TO WK01) CMA CGM DON PASCUALE US549S 04/01/12 30/01/12"/>
    <m/>
    <s v="TWEETY LEUNG"/>
    <s v="FO9"/>
    <s v="BEVERAGE                      "/>
    <s v="CONFIRMED"/>
    <n v="1"/>
    <n v="2"/>
    <d v="2012-01-10T00:00:00"/>
    <s v="KITCHEN ELECTRICS             "/>
    <s v="BREAKFAST &amp; BREVAGE PREP      "/>
    <x v="2"/>
    <x v="1"/>
    <x v="1"/>
    <m/>
    <n v="0"/>
    <n v="0"/>
    <x v="1"/>
    <n v="5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6095/000010"/>
    <n v="1370146651"/>
    <n v="10"/>
    <x v="27"/>
    <x v="27"/>
    <s v="R1"/>
    <n v="8000032476"/>
    <n v="27"/>
    <s v="FME214S        "/>
    <s v="FME214 12 CUP GLASS COFFEE MAKER PROGAMM          "/>
    <s v="S"/>
    <d v="2012-01-11T00:00:00"/>
    <m/>
    <s v="X"/>
    <x v="47"/>
    <n v="18.88"/>
    <n v="23"/>
    <d v="2012-02-02T00:00:00"/>
    <d v="2011-12-29T00:00:00"/>
    <n v="10840"/>
    <d v="2012-01-04T00:00:00"/>
    <n v="10840"/>
    <m/>
    <d v="2012-01-02T00:00:00"/>
    <n v="10840"/>
    <d v="2012-02-09T00:00:00"/>
    <d v="2012-01-05T00:00:00"/>
    <n v="10840"/>
    <n v="2208"/>
    <x v="5"/>
    <d v="2012-02-14T00:00:00"/>
    <m/>
    <n v="9321653242"/>
    <n v="10"/>
    <s v="SCZU5640110"/>
    <s v="ZIM ONTARIO 12E01/"/>
    <m/>
    <s v="YANTIAN"/>
    <s v="C-POST-CONF( WK52 TO WK01) CMA CGM DON PASCUALE US549S 04/01/12 30/01/12"/>
    <m/>
    <s v="TWEETY LEUNG"/>
    <s v="FO9"/>
    <s v="BEVERAGE                      "/>
    <s v="CONFIRMED"/>
    <n v="1"/>
    <n v="2"/>
    <d v="2012-01-10T00:00:00"/>
    <s v="KITCHEN ELECTRICS             "/>
    <s v="BREAKFAST &amp; BREVAGE PREP      "/>
    <x v="2"/>
    <x v="1"/>
    <x v="1"/>
    <m/>
    <n v="0"/>
    <n v="0"/>
    <x v="1"/>
    <n v="5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6095/000010"/>
    <n v="1370146651"/>
    <n v="10"/>
    <x v="27"/>
    <x v="27"/>
    <s v="R1"/>
    <n v="8000032476"/>
    <n v="27"/>
    <s v="FME214S        "/>
    <s v="FME214 12 CUP GLASS COFFEE MAKER PROGAMM          "/>
    <s v="S"/>
    <d v="2012-01-10T00:00:00"/>
    <m/>
    <s v="X"/>
    <x v="47"/>
    <n v="18.88"/>
    <n v="23"/>
    <d v="2012-02-02T00:00:00"/>
    <d v="2011-12-29T00:00:00"/>
    <n v="10840"/>
    <d v="2012-01-04T00:00:00"/>
    <n v="10840"/>
    <m/>
    <d v="2012-01-02T00:00:00"/>
    <n v="10840"/>
    <d v="2012-02-09T00:00:00"/>
    <d v="2012-01-05T00:00:00"/>
    <n v="10840"/>
    <n v="2208"/>
    <x v="7"/>
    <d v="2012-02-10T00:00:00"/>
    <m/>
    <n v="9321653242"/>
    <n v="10"/>
    <s v="GESU4163211"/>
    <s v="CMA CGM DON PASCUALE"/>
    <m/>
    <s v="YANTIAN"/>
    <s v="C-POST-CONF( WK52 TO WK01) CMA CGM DON PASCUALE US549S 04/01/12 30/01/12"/>
    <m/>
    <s v="TWEETY LEUNG"/>
    <s v="FO9"/>
    <s v="BEVERAGE                      "/>
    <s v="CONFIRMED"/>
    <n v="1"/>
    <n v="1"/>
    <d v="2012-01-06T00:00:00"/>
    <s v="KITCHEN ELECTRICS             "/>
    <s v="BREAKFAST &amp; BREVAGE PREP      "/>
    <x v="2"/>
    <x v="1"/>
    <x v="1"/>
    <m/>
    <n v="0"/>
    <n v="0"/>
    <x v="1"/>
    <n v="5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6049/000010"/>
    <n v="1370146677"/>
    <n v="10"/>
    <x v="27"/>
    <x v="27"/>
    <s v="N1"/>
    <n v="2100046968"/>
    <n v="52"/>
    <s v="WD700462       "/>
    <s v="WD700462 4 SQUARE BELGIAN WAFFLE MAKER            "/>
    <s v="S"/>
    <d v="2012-01-04T00:00:00"/>
    <m/>
    <s v="X"/>
    <x v="47"/>
    <n v="45.29"/>
    <n v="53031"/>
    <d v="2012-02-06T00:00:00"/>
    <d v="2012-01-02T00:00:00"/>
    <n v="1472"/>
    <d v="2012-01-02T00:00:00"/>
    <n v="1472"/>
    <m/>
    <d v="2012-01-02T00:00:00"/>
    <n v="1472"/>
    <d v="2012-02-06T00:00:00"/>
    <d v="2012-01-02T00:00:00"/>
    <n v="1472"/>
    <n v="1472"/>
    <x v="3"/>
    <d v="2012-02-06T00:00:00"/>
    <m/>
    <n v="9321653243"/>
    <n v="10"/>
    <s v="CPSU4206712"/>
    <s v="NYK REMUS 16E52/"/>
    <m/>
    <s v="SHENZHEN"/>
    <m/>
    <m/>
    <s v="TWEETY LEUNG"/>
    <s v="FO9"/>
    <s v="ELECTRICAL COOKING            "/>
    <s v="CONFIRMED"/>
    <n v="1"/>
    <n v="1"/>
    <d v="2012-01-02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2/000160"/>
    <n v="1370147544"/>
    <n v="160"/>
    <x v="27"/>
    <x v="27"/>
    <s v="N1"/>
    <n v="2100031396"/>
    <n v="52"/>
    <s v="SM601082       "/>
    <s v="SM601082 AVANTE SAND.MAKER ROWENTA ITA            "/>
    <s v="S"/>
    <d v="2012-01-05T00:00:00"/>
    <m/>
    <s v="X"/>
    <x v="47"/>
    <n v="15.84"/>
    <n v="13"/>
    <d v="2012-01-30T00:00:00"/>
    <d v="2012-01-02T00:00:00"/>
    <n v="1428"/>
    <d v="2012-01-02T00:00:00"/>
    <n v="1428"/>
    <m/>
    <d v="2012-01-02T00:00:00"/>
    <n v="1428"/>
    <d v="2012-01-30T00:00:00"/>
    <d v="2012-01-02T00:00:00"/>
    <n v="1428"/>
    <n v="1428"/>
    <x v="16"/>
    <d v="2012-01-31T00:00:00"/>
    <m/>
    <n v="9321653245"/>
    <n v="10"/>
    <s v="TRLU4310676"/>
    <s v="HANJIN AMSTERDAM/007"/>
    <m/>
    <s v="YANTIAN"/>
    <s v="waiting TP"/>
    <m/>
    <s v="JASON FAN"/>
    <s v="FO9"/>
    <s v="ELECTRICAL COOKING            "/>
    <s v="CONFIRMED"/>
    <n v="1"/>
    <n v="1"/>
    <d v="2012-01-03T00:00:00"/>
    <s v="KITCHEN ELECTRICS             "/>
    <s v="ELECTRICAL COOKING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58/000030"/>
    <n v="1370147546"/>
    <n v="30"/>
    <x v="27"/>
    <x v="27"/>
    <s v="N1"/>
    <n v="2100032649"/>
    <n v="52"/>
    <s v="SM150211       "/>
    <s v="SM150211 SAND MAKER CP30 GREY ITALIA              "/>
    <s v="S"/>
    <d v="2012-01-05T00:00:00"/>
    <m/>
    <s v="X"/>
    <x v="47"/>
    <n v="9.9"/>
    <n v="8"/>
    <d v="2012-01-30T00:00:00"/>
    <d v="2012-01-02T00:00:00"/>
    <n v="2352"/>
    <d v="2012-01-02T00:00:00"/>
    <n v="2352"/>
    <m/>
    <d v="2012-01-02T00:00:00"/>
    <n v="2352"/>
    <d v="2012-01-30T00:00:00"/>
    <d v="2012-01-02T00:00:00"/>
    <n v="2352"/>
    <n v="2352"/>
    <x v="16"/>
    <d v="2012-01-31T00:00:00"/>
    <m/>
    <n v="9321653246"/>
    <n v="10"/>
    <s v="TRLU4310676"/>
    <s v="HANJIN AMSTERDAM/007"/>
    <m/>
    <s v="YANTIAN"/>
    <s v="waiting TP"/>
    <m/>
    <s v="JASON FAN"/>
    <s v="FO9"/>
    <s v="ELECTRICAL COOKING            "/>
    <s v="CONFIRMED"/>
    <n v="1"/>
    <n v="1"/>
    <d v="2012-01-03T00:00:00"/>
    <s v="KITCHEN ELECTRICS             "/>
    <s v="ELECTRICAL COOKING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08/000001"/>
    <n v="1370147588"/>
    <n v="10"/>
    <x v="27"/>
    <x v="27"/>
    <s v="K9"/>
    <n v="8000031508"/>
    <n v="29"/>
    <s v="XP1500CA       "/>
    <s v="XP1500CA ESP COMBI STEAM NAFTA                    "/>
    <s v="S"/>
    <d v="2012-01-05T00:00:00"/>
    <m/>
    <s v="X"/>
    <x v="47"/>
    <n v="33"/>
    <n v="503647"/>
    <d v="2012-01-30T00:00:00"/>
    <d v="2011-12-26T00:00:00"/>
    <n v="1068"/>
    <d v="2011-12-26T00:00:00"/>
    <n v="1068"/>
    <m/>
    <d v="2011-12-26T00:00:00"/>
    <n v="1068"/>
    <d v="2012-01-30T00:00:00"/>
    <d v="2011-12-26T00:00:00"/>
    <n v="1068"/>
    <n v="1068"/>
    <x v="16"/>
    <d v="2012-02-07T00:00:00"/>
    <m/>
    <n v="9321653247"/>
    <n v="10"/>
    <s v="SUDU5964415"/>
    <s v="MONTE ROSA 201E/"/>
    <m/>
    <s v="YANTIAN"/>
    <m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2"/>
    <x v="1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0519/000010"/>
    <n v="1370147636"/>
    <n v="10"/>
    <x v="27"/>
    <x v="27"/>
    <s v="N1"/>
    <n v="2100041962"/>
    <n v="52"/>
    <s v="SW280233       "/>
    <s v="SW280233 SNACK TIME 2 PL  RUSSI UKR               "/>
    <s v="S"/>
    <d v="2012-01-10T00:00:00"/>
    <m/>
    <s v="X"/>
    <x v="47"/>
    <n v="15.71"/>
    <n v="550"/>
    <d v="2012-02-24T00:00:00"/>
    <d v="2012-01-06T00:00:00"/>
    <n v="1596"/>
    <d v="2012-01-06T00:00:00"/>
    <n v="1596"/>
    <m/>
    <d v="2012-01-06T00:00:00"/>
    <n v="1596"/>
    <d v="2012-02-24T00:00:00"/>
    <d v="2012-01-06T00:00:00"/>
    <n v="1596"/>
    <n v="1596"/>
    <x v="0"/>
    <d v="2012-02-27T00:00:00"/>
    <m/>
    <n v="9321653249"/>
    <n v="10"/>
    <s v="APZU3349783"/>
    <s v="HYUNDAI FORCE/017W"/>
    <m/>
    <s v="YANTIAN"/>
    <m/>
    <m/>
    <s v="KENUS WONG"/>
    <s v="FO9"/>
    <s v="ELECTRICAL COOKING            "/>
    <s v="CONFIRMED"/>
    <n v="1"/>
    <n v="2"/>
    <d v="2012-01-09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783/000010"/>
    <n v="1370147727"/>
    <n v="10"/>
    <x v="27"/>
    <x v="27"/>
    <s v="K9"/>
    <n v="8000032882"/>
    <n v="29"/>
    <s v="ES060010       "/>
    <s v="ES060010 ESP ALLEGRO BLK RU                       "/>
    <s v="S"/>
    <d v="2012-01-05T00:00:00"/>
    <m/>
    <s v="X"/>
    <x v="47"/>
    <n v="16.88"/>
    <n v="622"/>
    <d v="2012-02-17T00:00:00"/>
    <d v="2011-12-30T00:00:00"/>
    <n v="1100"/>
    <d v="2011-12-30T00:00:00"/>
    <n v="1100"/>
    <m/>
    <d v="2011-12-30T00:00:00"/>
    <n v="1100"/>
    <d v="2012-02-17T00:00:00"/>
    <d v="2011-12-30T00:00:00"/>
    <n v="1100"/>
    <n v="1100"/>
    <x v="16"/>
    <d v="2012-02-21T00:00:00"/>
    <m/>
    <n v="9321653250"/>
    <n v="10"/>
    <s v="TTNU5540170"/>
    <s v="NYK VESTA/28W51"/>
    <m/>
    <s v="YANTIAN"/>
    <s v="TP ISSUE"/>
    <m/>
    <s v="KENUS WONG"/>
    <s v="FO9"/>
    <s v="BEVERAGE                      "/>
    <s v="CONFIRMED"/>
    <n v="1"/>
    <n v="1"/>
    <d v="2012-01-03T00:00:00"/>
    <s v="KITCHEN ELECTRICS             "/>
    <s v="BREAKFAST &amp; BREVAGE PREP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0435/000010"/>
    <n v="1370147768"/>
    <n v="10"/>
    <x v="27"/>
    <x v="27"/>
    <s v="N1"/>
    <n v="2100032349"/>
    <n v="52"/>
    <s v="SM151134       "/>
    <s v="SM151134 SAND CP30 PRINCIPIO MLX EAST EU          "/>
    <s v="S"/>
    <d v="2012-01-05T00:00:00"/>
    <m/>
    <s v="X"/>
    <x v="47"/>
    <n v="8.17"/>
    <n v="286"/>
    <d v="2012-02-20T00:00:00"/>
    <d v="2012-01-02T00:00:00"/>
    <n v="2352"/>
    <d v="2012-01-02T00:00:00"/>
    <n v="2352"/>
    <m/>
    <d v="2012-01-02T00:00:00"/>
    <n v="2352"/>
    <d v="2012-02-20T00:00:00"/>
    <d v="2012-01-02T00:00:00"/>
    <n v="2352"/>
    <n v="2352"/>
    <x v="16"/>
    <d v="2012-02-21T00:00:00"/>
    <m/>
    <n v="9321653251"/>
    <n v="10"/>
    <s v="TTNU5540170"/>
    <s v="NYK VESTA/28W51"/>
    <m/>
    <s v="YANTIAN"/>
    <s v="TP ISSUE"/>
    <m/>
    <s v="KENUS WONG"/>
    <s v="FO9"/>
    <s v="ELECTRICAL COOKING            "/>
    <s v="CONFIRMED"/>
    <n v="1"/>
    <n v="1"/>
    <d v="2012-01-03T00:00:00"/>
    <s v="KITCHEN ELECTRICS             "/>
    <s v="ELECTRICAL COOKING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6050/000010"/>
    <n v="1370146678"/>
    <n v="10"/>
    <x v="27"/>
    <x v="27"/>
    <s v="N1"/>
    <n v="2100047436"/>
    <n v="52"/>
    <s v="WD700262       "/>
    <s v="WD700262 2 SQUARE BELGIAN WAFFLE MAKER            "/>
    <s v="S"/>
    <d v="2012-01-16T00:00:00"/>
    <m/>
    <s v="X"/>
    <x v="47"/>
    <n v="37.9"/>
    <n v="44"/>
    <d v="2012-02-10T00:00:00"/>
    <d v="2012-01-06T00:00:00"/>
    <n v="1472"/>
    <d v="2012-01-06T00:00:00"/>
    <n v="1472"/>
    <m/>
    <d v="2012-01-13T00:00:00"/>
    <n v="1472"/>
    <d v="2012-02-17T00:00:00"/>
    <d v="2012-01-13T00:00:00"/>
    <n v="1472"/>
    <n v="1472"/>
    <x v="17"/>
    <d v="2012-02-15T00:00:00"/>
    <m/>
    <n v="9321653252"/>
    <n v="10"/>
    <s v="APMU2833302"/>
    <s v="ARTHUR MAERSK 553S/"/>
    <m/>
    <s v="SHENZHEN"/>
    <m/>
    <m/>
    <s v="TWEETY LEUNG"/>
    <s v="FO9"/>
    <s v="ELECTRICAL COOKING            "/>
    <s v="CONFIRMED"/>
    <n v="1"/>
    <n v="2"/>
    <d v="2012-01-11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666/000010"/>
    <n v="1370147775"/>
    <n v="10"/>
    <x v="9"/>
    <x v="9"/>
    <s v="N3"/>
    <n v="1500634249"/>
    <n v="150"/>
    <n v="634249"/>
    <s v="CE400032 PRC MINUT'COOK 6L STAIN RU               "/>
    <s v="S"/>
    <d v="2012-01-06T00:00:00"/>
    <m/>
    <s v="X"/>
    <x v="47"/>
    <n v="36.67"/>
    <n v="1308"/>
    <d v="2012-02-24T00:00:00"/>
    <d v="2012-01-06T00:00:00"/>
    <n v="1220"/>
    <d v="2012-01-06T00:00:00"/>
    <n v="1220"/>
    <m/>
    <d v="2012-01-06T00:00:00"/>
    <n v="1220"/>
    <d v="2012-02-23T00:00:00"/>
    <d v="2012-01-05T00:00:00"/>
    <n v="1220"/>
    <n v="1220"/>
    <x v="6"/>
    <d v="2012-02-23T00:00:00"/>
    <m/>
    <n v="9321653258"/>
    <n v="10"/>
    <s v="TTNU4571109"/>
    <s v="MOL MAXIM/010W"/>
    <m/>
    <s v="YANTIAN"/>
    <m/>
    <m/>
    <s v="KENUS WONG"/>
    <s v="FO9"/>
    <s v="ELECTRICAL COOKING            "/>
    <s v="CONFIRMED"/>
    <n v="1"/>
    <n v="1"/>
    <d v="2012-01-05T00:00:00"/>
    <s v="KITCHEN ELECTRICS             "/>
    <s v="ELECTRICAL COOKING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1920/000010"/>
    <n v="1370147446"/>
    <n v="10"/>
    <x v="52"/>
    <x v="52"/>
    <s v="P1"/>
    <n v="1500813215"/>
    <n v="104"/>
    <n v="813215"/>
    <s v="GVX231 CFG BURR SANTA FE 2 BLK/MET GB             "/>
    <s v="S"/>
    <d v="2012-01-16T00:00:00"/>
    <m/>
    <s v="X"/>
    <x v="47"/>
    <n v="15.69"/>
    <n v="12"/>
    <d v="2012-02-06T00:00:00"/>
    <d v="2012-01-02T00:00:00"/>
    <n v="1368"/>
    <d v="2012-01-02T00:00:00"/>
    <n v="1368"/>
    <m/>
    <d v="2012-01-09T00:00:00"/>
    <n v="1368"/>
    <d v="2012-02-13T00:00:00"/>
    <d v="2012-01-09T00:00:00"/>
    <n v="1368"/>
    <n v="1368"/>
    <x v="23"/>
    <d v="2012-02-12T00:00:00"/>
    <m/>
    <n v="9321653260"/>
    <n v="10"/>
    <s v="MSKU3931276"/>
    <s v="SVENDBORG MAERSK 120"/>
    <m/>
    <s v="YANTIAN"/>
    <s v="LATE EDI(DOCS RECEIVED ON 10-Jan/ETD 8-Jan/Checking 13-jan)"/>
    <m/>
    <s v="KENUS WONG"/>
    <s v="FO9"/>
    <s v="FOOD PREPARATION              "/>
    <s v="CONFIRMED"/>
    <n v="1"/>
    <n v="1"/>
    <d v="2012-01-08T00:00:00"/>
    <s v="KITCHEN ELECTRICS             "/>
    <s v="FOOD PREPARATION              "/>
    <x v="1"/>
    <x v="1"/>
    <x v="1"/>
    <m/>
    <n v="0"/>
    <n v="0"/>
    <x v="1"/>
    <n v="3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622/000010"/>
    <n v="1370147601"/>
    <n v="10"/>
    <x v="52"/>
    <x v="52"/>
    <s v="P1"/>
    <n v="1500816687"/>
    <n v="107"/>
    <n v="816687"/>
    <s v="HB711188 HBL PREP'LINE NEW POWER WHT CIS          "/>
    <s v="S"/>
    <d v="2012-01-13T00:00:00"/>
    <m/>
    <s v="X"/>
    <x v="47"/>
    <n v="13.61"/>
    <n v="498"/>
    <d v="2012-02-17T00:00:00"/>
    <d v="2011-12-30T00:00:00"/>
    <n v="1432"/>
    <d v="2012-01-12T00:00:00"/>
    <n v="1432"/>
    <m/>
    <d v="2012-01-05T00:00:00"/>
    <n v="1432"/>
    <d v="2012-03-01T00:00:00"/>
    <d v="2012-01-12T00:00:00"/>
    <n v="1432"/>
    <n v="1432"/>
    <x v="10"/>
    <d v="2012-03-01T00:00:00"/>
    <m/>
    <n v="9321653261"/>
    <n v="10"/>
    <s v="OOLU1320599"/>
    <s v="NYK ORPHEUS/18W52"/>
    <m/>
    <s v="YANTIAN"/>
    <s v="CONS-SHIPT/"/>
    <m/>
    <s v="KENUS WONG"/>
    <s v="FO9"/>
    <s v="FOOD PREPARATION              "/>
    <s v="CONFIRMED"/>
    <n v="1"/>
    <n v="2"/>
    <d v="2012-01-12T00:00:00"/>
    <s v="KITCHEN ELECTRICS             "/>
    <s v="FOOD PREPARATION              "/>
    <x v="1"/>
    <x v="1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631/000010"/>
    <n v="1370147613"/>
    <n v="10"/>
    <x v="52"/>
    <x v="52"/>
    <s v="P1"/>
    <n v="1500816837"/>
    <n v="107"/>
    <n v="816837"/>
    <s v="HB713137 HBL PREP'LINE 700W WHT PL                "/>
    <s v="S"/>
    <d v="2012-01-05T00:00:00"/>
    <m/>
    <s v="X"/>
    <x v="47"/>
    <n v="18.18"/>
    <n v="660"/>
    <d v="2012-02-10T00:00:00"/>
    <d v="2011-12-23T00:00:00"/>
    <n v="3060"/>
    <d v="2012-01-05T00:00:00"/>
    <n v="3060"/>
    <m/>
    <d v="2011-12-29T00:00:00"/>
    <n v="3060"/>
    <d v="2012-02-23T00:00:00"/>
    <d v="2012-01-05T00:00:00"/>
    <n v="3060"/>
    <n v="3060"/>
    <x v="6"/>
    <d v="2012-02-23T00:00:00"/>
    <m/>
    <n v="9321653263"/>
    <n v="10"/>
    <s v="APHU7040716"/>
    <s v="MOL MAXIM/010W"/>
    <m/>
    <s v="YANTIAN"/>
    <s v="C-POST-CONF/"/>
    <m/>
    <s v="KENUS WONG"/>
    <s v="FO9"/>
    <s v="FOOD PREPARATION              "/>
    <s v="CONFIRMED"/>
    <n v="1"/>
    <n v="1"/>
    <d v="2012-01-05T00:00:00"/>
    <s v="KITCHEN ELECTRICS             "/>
    <s v="FOOD PREPARATION              "/>
    <x v="1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607/000010"/>
    <n v="1370147614"/>
    <n v="10"/>
    <x v="52"/>
    <x v="52"/>
    <s v="P1"/>
    <n v="1500816987"/>
    <n v="107"/>
    <n v="816987"/>
    <s v="HB715188 HBL PREP'LINE NEW POWER 700W WH          "/>
    <s v="S"/>
    <d v="2012-01-06T00:00:00"/>
    <m/>
    <s v="X"/>
    <x v="47"/>
    <n v="15.74"/>
    <n v="574"/>
    <d v="2012-02-17T00:00:00"/>
    <d v="2011-12-30T00:00:00"/>
    <n v="3060"/>
    <d v="2011-12-30T00:00:00"/>
    <n v="3060"/>
    <m/>
    <d v="2012-01-05T00:00:00"/>
    <n v="3060"/>
    <d v="2012-02-23T00:00:00"/>
    <d v="2012-01-05T00:00:00"/>
    <n v="3060"/>
    <n v="3060"/>
    <x v="6"/>
    <d v="2012-02-23T00:00:00"/>
    <m/>
    <n v="9321653264"/>
    <n v="10"/>
    <s v="TGHU7871285"/>
    <s v="MOL MAXIM/010W"/>
    <m/>
    <s v="YANTIAN"/>
    <m/>
    <m/>
    <s v="KENUS WONG"/>
    <s v="FO9"/>
    <s v="FOOD PREPARATION              "/>
    <s v="CONFIRMED"/>
    <n v="1"/>
    <n v="1"/>
    <d v="2012-01-05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630/000010"/>
    <n v="1370147625"/>
    <n v="10"/>
    <x v="52"/>
    <x v="52"/>
    <s v="P1"/>
    <n v="1500816837"/>
    <n v="107"/>
    <n v="816837"/>
    <s v="HB713137 HBL PREP'LINE 700W WHT PL                "/>
    <s v="S"/>
    <d v="2012-01-05T00:00:00"/>
    <m/>
    <s v="X"/>
    <x v="47"/>
    <n v="18.18"/>
    <n v="660"/>
    <d v="2012-02-10T00:00:00"/>
    <d v="2011-12-23T00:00:00"/>
    <n v="3060"/>
    <d v="2012-01-05T00:00:00"/>
    <n v="3060"/>
    <m/>
    <d v="2011-12-29T00:00:00"/>
    <n v="3060"/>
    <d v="2012-02-23T00:00:00"/>
    <d v="2012-01-05T00:00:00"/>
    <n v="3060"/>
    <n v="3060"/>
    <x v="6"/>
    <d v="2012-02-23T00:00:00"/>
    <m/>
    <n v="9321653265"/>
    <n v="10"/>
    <s v="APHU7147026"/>
    <s v="MOL MAXIM/010W"/>
    <m/>
    <s v="YANTIAN"/>
    <s v="C-POST-CONF/"/>
    <m/>
    <s v="KENUS WONG"/>
    <s v="FO9"/>
    <s v="FOOD PREPARATION              "/>
    <s v="CONFIRMED"/>
    <n v="1"/>
    <n v="1"/>
    <d v="2012-01-05T00:00:00"/>
    <s v="KITCHEN ELECTRICS             "/>
    <s v="FOOD PREPARATION              "/>
    <x v="1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717/000010"/>
    <n v="1370147787"/>
    <n v="10"/>
    <x v="52"/>
    <x v="52"/>
    <s v="P1"/>
    <n v="1500813268"/>
    <n v="104"/>
    <n v="813268"/>
    <s v="AR105G3E CFG DUO 2 BOWLS SS RED WE                "/>
    <s v="S"/>
    <d v="2012-01-21T00:00:00"/>
    <m/>
    <s v="X"/>
    <x v="47"/>
    <n v="12.23"/>
    <n v="435"/>
    <d v="2012-03-02T00:00:00"/>
    <d v="2012-01-13T00:00:00"/>
    <n v="3966"/>
    <d v="2012-01-13T00:00:00"/>
    <n v="3966"/>
    <m/>
    <d v="2012-01-13T00:00:00"/>
    <n v="3966"/>
    <d v="2012-03-08T00:00:00"/>
    <d v="2012-01-19T00:00:00"/>
    <n v="3966"/>
    <n v="3966"/>
    <x v="14"/>
    <d v="2012-03-09T00:00:00"/>
    <m/>
    <n v="9321653266"/>
    <n v="10"/>
    <s v="APZU3349633"/>
    <s v="MOL MATRIX/010W"/>
    <m/>
    <s v="YANTIAN"/>
    <s v="SAILING-SCHED-UPDATE/"/>
    <m/>
    <s v="KENUS WONG"/>
    <s v="FO9"/>
    <s v="FOOD PREPARATION              "/>
    <s v="CONFIRMED"/>
    <n v="1"/>
    <n v="3"/>
    <d v="2012-01-20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608/000010"/>
    <n v="1370147791"/>
    <n v="10"/>
    <x v="52"/>
    <x v="52"/>
    <s v="P1"/>
    <n v="1500816987"/>
    <n v="107"/>
    <n v="816987"/>
    <s v="HB715188 HBL PREP'LINE NEW POWER 700W WH          "/>
    <s v="S"/>
    <d v="2012-01-05T00:00:00"/>
    <m/>
    <s v="X"/>
    <x v="47"/>
    <n v="15.74"/>
    <n v="574"/>
    <d v="2012-02-17T00:00:00"/>
    <d v="2011-12-30T00:00:00"/>
    <n v="3060"/>
    <d v="2011-12-30T00:00:00"/>
    <n v="3060"/>
    <m/>
    <d v="2012-01-05T00:00:00"/>
    <n v="3060"/>
    <d v="2012-02-23T00:00:00"/>
    <d v="2012-01-05T00:00:00"/>
    <n v="3060"/>
    <n v="3060"/>
    <x v="6"/>
    <d v="2012-02-23T00:00:00"/>
    <m/>
    <n v="9321653267"/>
    <n v="10"/>
    <s v="DFSU6745268"/>
    <s v="MOL MAXIM/010W"/>
    <m/>
    <s v="YANTIAN"/>
    <m/>
    <m/>
    <s v="KENUS WONG"/>
    <s v="FO9"/>
    <s v="FOOD PREPARATION              "/>
    <s v="CONFIRMED"/>
    <n v="1"/>
    <n v="1"/>
    <d v="2012-01-05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650/000010"/>
    <n v="1370147794"/>
    <n v="10"/>
    <x v="52"/>
    <x v="52"/>
    <s v="P1"/>
    <n v="1500816837"/>
    <n v="107"/>
    <n v="816837"/>
    <s v="HB713137 HBL PREP'LINE 700W WHT PL                "/>
    <s v="S"/>
    <d v="2012-01-05T00:00:00"/>
    <m/>
    <s v="X"/>
    <x v="47"/>
    <n v="18.18"/>
    <n v="660"/>
    <d v="2012-02-17T00:00:00"/>
    <d v="2011-12-30T00:00:00"/>
    <n v="3060"/>
    <d v="2011-12-30T00:00:00"/>
    <n v="3060"/>
    <m/>
    <d v="2012-01-05T00:00:00"/>
    <n v="3060"/>
    <d v="2012-02-23T00:00:00"/>
    <d v="2012-01-05T00:00:00"/>
    <n v="3060"/>
    <n v="3060"/>
    <x v="6"/>
    <d v="2012-02-23T00:00:00"/>
    <m/>
    <n v="9321653269"/>
    <n v="10"/>
    <s v="FCIU9098346"/>
    <s v="MOL MAXIM/010W"/>
    <m/>
    <s v="YANTIAN"/>
    <m/>
    <m/>
    <s v="KENUS WONG"/>
    <s v="FO9"/>
    <s v="FOOD PREPARATION              "/>
    <s v="CONFIRMED"/>
    <n v="1"/>
    <n v="1"/>
    <d v="2012-01-05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571/000010"/>
    <n v="1370147805"/>
    <n v="10"/>
    <x v="52"/>
    <x v="52"/>
    <s v="P1"/>
    <n v="1500813231"/>
    <n v="104"/>
    <n v="813231"/>
    <s v="F2034210 CFG KM75 F203 BLK KRUPS FR               "/>
    <s v="S"/>
    <d v="2012-01-06T00:00:00"/>
    <m/>
    <s v="X"/>
    <x v="47"/>
    <n v="6.61"/>
    <n v="7557"/>
    <d v="2012-01-05T00:00:00"/>
    <d v="2012-01-04T00:00:00"/>
    <n v="5184"/>
    <d v="2012-01-04T00:00:00"/>
    <n v="5184"/>
    <m/>
    <d v="2012-01-07T00:00:00"/>
    <n v="5184"/>
    <d v="2012-01-06T00:00:00"/>
    <d v="2012-01-05T00:00:00"/>
    <n v="5184"/>
    <n v="5184"/>
    <x v="6"/>
    <d v="2012-01-06T00:00:00"/>
    <m/>
    <n v="9321653270"/>
    <n v="10"/>
    <s v="BY TRUCK"/>
    <s v="BY TRUCK"/>
    <m/>
    <s v="YANTIAN"/>
    <s v="SAILING-SCHED-UPDATE/"/>
    <m/>
    <s v="ZANDRA LAM"/>
    <s v="FO9"/>
    <s v="FOOD PREPARATION              "/>
    <s v="CONFIRMED"/>
    <n v="1"/>
    <n v="1"/>
    <d v="2012-01-05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839/000010"/>
    <n v="1370147826"/>
    <n v="10"/>
    <x v="52"/>
    <x v="52"/>
    <s v="P1"/>
    <n v="1500816840"/>
    <n v="107"/>
    <n v="816840"/>
    <s v="HB713141 HBL PREP'LINE 700W WHT EUR GSE           "/>
    <s v="S"/>
    <d v="2012-01-09T00:00:00"/>
    <m/>
    <s v="X"/>
    <x v="47"/>
    <n v="18.190000000000001"/>
    <n v="21"/>
    <d v="2012-01-12T00:00:00"/>
    <d v="2012-01-11T00:00:00"/>
    <n v="1320"/>
    <d v="2012-01-11T00:00:00"/>
    <n v="1320"/>
    <m/>
    <d v="2012-01-11T00:00:00"/>
    <n v="1320"/>
    <d v="2012-01-08T00:00:00"/>
    <d v="2012-01-07T00:00:00"/>
    <n v="1320"/>
    <n v="1320"/>
    <x v="12"/>
    <d v="2012-01-08T00:00:00"/>
    <m/>
    <n v="9321653272"/>
    <n v="10"/>
    <s v="BY TRUCK"/>
    <s v="BY TRUCK"/>
    <m/>
    <s v="YANTIAN"/>
    <s v="UNLOAD JAN07  2012"/>
    <m/>
    <s v="ZANDRA LAM"/>
    <s v="FO9"/>
    <s v="FOOD PREPARATION              "/>
    <s v="CONFIRMED"/>
    <n v="1"/>
    <n v="1"/>
    <d v="2012-01-07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14"/>
    <n v="1370147889"/>
    <n v="60"/>
    <x v="52"/>
    <x v="52"/>
    <s v="P1"/>
    <n v="1500816980"/>
    <n v="107"/>
    <n v="816980"/>
    <s v="HB715180 HBL PREP'LINE NEW POWER 700W WH          "/>
    <s v="S"/>
    <d v="2012-01-10T00:00:00"/>
    <m/>
    <s v="X"/>
    <x v="47"/>
    <n v="15.85"/>
    <n v="14"/>
    <d v="2012-01-17T00:00:00"/>
    <d v="2012-01-03T00:00:00"/>
    <n v="1320"/>
    <d v="2012-01-03T00:00:00"/>
    <n v="1320"/>
    <m/>
    <d v="2012-01-08T00:00:00"/>
    <n v="1320"/>
    <d v="2012-01-21T00:00:00"/>
    <d v="2012-01-07T00:00:00"/>
    <n v="1320"/>
    <n v="1320"/>
    <x v="12"/>
    <d v="2012-01-21T00:00:00"/>
    <m/>
    <n v="9321653274"/>
    <n v="10"/>
    <s v="POCU0599694"/>
    <s v="CONVENT/1202"/>
    <m/>
    <s v="YANTIAN"/>
    <s v="SAILING-SCHED-UPDATE/"/>
    <m/>
    <s v="AGNES NUNES"/>
    <s v="FO9"/>
    <s v="FOOD PREPARATION              "/>
    <s v="CONFIRMED"/>
    <n v="1"/>
    <n v="1"/>
    <d v="2012-01-07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5/000007"/>
    <n v="1370147568"/>
    <n v="100"/>
    <x v="28"/>
    <x v="28"/>
    <s v="R1"/>
    <n v="8000032519"/>
    <n v="55"/>
    <s v="BF203722       "/>
    <s v="BF203722 KET VIT.ECO 1L WHT/BLU JP                "/>
    <s v="S"/>
    <d v="2012-01-09T00:00:00"/>
    <m/>
    <s v="X"/>
    <x v="47"/>
    <n v="12.02"/>
    <n v="12"/>
    <d v="2012-01-23T00:00:00"/>
    <d v="2012-01-09T00:00:00"/>
    <n v="2673"/>
    <d v="2012-01-09T00:00:00"/>
    <n v="2673"/>
    <m/>
    <d v="2012-01-09T00:00:00"/>
    <n v="2673"/>
    <d v="2012-01-23T00:00:00"/>
    <d v="2012-01-09T00:00:00"/>
    <n v="2673"/>
    <n v="2673"/>
    <x v="12"/>
    <d v="2012-01-21T00:00:00"/>
    <m/>
    <n v="9321653277"/>
    <n v="10"/>
    <s v="CXDU1081230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5/000008"/>
    <n v="1370147568"/>
    <n v="110"/>
    <x v="28"/>
    <x v="28"/>
    <s v="R1"/>
    <n v="8000032520"/>
    <n v="55"/>
    <s v="BF203822       "/>
    <s v="BF203822 KET VIT.ECO 1L WHT/YEL JP                "/>
    <s v="S"/>
    <d v="2012-01-09T00:00:00"/>
    <m/>
    <s v="X"/>
    <x v="47"/>
    <n v="12.02"/>
    <n v="12"/>
    <d v="2012-01-23T00:00:00"/>
    <d v="2012-01-09T00:00:00"/>
    <n v="2673"/>
    <d v="2012-01-09T00:00:00"/>
    <n v="2673"/>
    <m/>
    <d v="2012-01-09T00:00:00"/>
    <n v="2673"/>
    <d v="2012-01-23T00:00:00"/>
    <d v="2012-01-09T00:00:00"/>
    <n v="2673"/>
    <n v="2673"/>
    <x v="12"/>
    <d v="2012-01-21T00:00:00"/>
    <m/>
    <n v="9321653277"/>
    <n v="20"/>
    <s v="CXDU1081230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74/000002"/>
    <n v="1370147575"/>
    <n v="20"/>
    <x v="28"/>
    <x v="28"/>
    <s v="R1"/>
    <n v="8000032518"/>
    <n v="55"/>
    <s v="BF203622       "/>
    <s v="BF203622 KET VIT.ECO 1L WHT/GRG JP                "/>
    <s v="S"/>
    <d v="2012-01-09T00:00:00"/>
    <m/>
    <s v="X"/>
    <x v="47"/>
    <n v="12.02"/>
    <n v="11"/>
    <d v="2012-01-09T00:00:00"/>
    <d v="2011-12-26T00:00:00"/>
    <n v="2673"/>
    <d v="2012-01-09T00:00:00"/>
    <n v="2673"/>
    <m/>
    <m/>
    <m/>
    <d v="2012-01-21T00:00:00"/>
    <d v="2012-01-07T00:00:00"/>
    <n v="2673"/>
    <n v="2673"/>
    <x v="12"/>
    <d v="2012-01-21T00:00:00"/>
    <m/>
    <n v="9321653278"/>
    <n v="10"/>
    <s v="DFSU2147571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0"/>
    <x v="0"/>
    <n v="0"/>
    <n v="0"/>
    <n v="1"/>
    <n v="0"/>
    <n v="0"/>
    <n v="1"/>
    <x v="0"/>
    <x v="0"/>
    <x v="1"/>
    <x v="1"/>
  </r>
  <r>
    <s v="Shipment"/>
    <n v="99003800"/>
    <s v="GROUPE SEB POLSKA SP. ZO.O                        "/>
    <n v="99003800"/>
    <x v="20"/>
    <s v="4500260965/000010"/>
    <n v="1370147328"/>
    <n v="10"/>
    <x v="40"/>
    <x v="40"/>
    <s v="L4"/>
    <n v="1830003097"/>
    <n v="5"/>
    <s v="CV4220F0       "/>
    <s v="CV4220F0 STUDIO DRY HAIR DRYER                    "/>
    <s v="S"/>
    <d v="2012-01-09T00:00:00"/>
    <m/>
    <s v="X"/>
    <x v="47"/>
    <n v="6.51"/>
    <n v="23"/>
    <d v="2012-02-06T00:00:00"/>
    <d v="2011-12-26T00:00:00"/>
    <n v="3000"/>
    <d v="2011-12-26T00:00:00"/>
    <n v="3000"/>
    <m/>
    <d v="2011-12-26T00:00:00"/>
    <n v="3000"/>
    <d v="2012-02-08T00:00:00"/>
    <d v="2011-12-28T00:00:00"/>
    <n v="3000"/>
    <n v="3000"/>
    <x v="2"/>
    <d v="2012-02-15T00:00:00"/>
    <m/>
    <n v="9321653281"/>
    <n v="10"/>
    <s v="MSKU2024305"/>
    <s v="EBBA MAERSK 1202/"/>
    <m/>
    <s v="YANTIAN"/>
    <s v="SAILING-SCHED-UPDATE/ CONS-SHIPT/"/>
    <m/>
    <s v="KENUS WONG"/>
    <s v="FO9"/>
    <s v="PERSONAL CARE                 "/>
    <s v="CONFIRMED"/>
    <n v="1"/>
    <n v="1"/>
    <d v="2012-01-04T00:00:00"/>
    <s v="LINEN PERS HOME CARE          "/>
    <s v="PERSONAL CARE                 "/>
    <x v="3"/>
    <x v="2"/>
    <x v="1"/>
    <m/>
    <n v="0"/>
    <n v="0"/>
    <x v="1"/>
    <n v="2"/>
    <x v="0"/>
    <x v="0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8941/000140"/>
    <n v="1370147543"/>
    <n v="140"/>
    <x v="40"/>
    <x v="40"/>
    <s v="L4"/>
    <n v="1830003207"/>
    <n v="5"/>
    <s v="CV8542E4       "/>
    <s v="CV8542E4 INFINIPRO 2200W HAIR DRYER               "/>
    <s v="S"/>
    <d v="2012-01-05T00:00:00"/>
    <m/>
    <s v="X"/>
    <x v="47"/>
    <n v="17.28"/>
    <n v="14879"/>
    <d v="2012-01-30T00:00:00"/>
    <d v="2012-01-02T00:00:00"/>
    <n v="3000"/>
    <d v="2012-01-02T00:00:00"/>
    <n v="3000"/>
    <m/>
    <d v="2012-01-02T00:00:00"/>
    <n v="3000"/>
    <d v="2012-01-30T00:00:00"/>
    <d v="2012-01-02T00:00:00"/>
    <n v="3000"/>
    <n v="3000"/>
    <x v="3"/>
    <d v="2012-01-30T00:00:00"/>
    <m/>
    <n v="9321653282"/>
    <n v="10"/>
    <s v="TTNU4867981"/>
    <s v="HANJIN AMSTERDAM/007"/>
    <m/>
    <s v="YANTIAN"/>
    <s v="CONS-SHIPT/"/>
    <m/>
    <s v="JASON FAN"/>
    <s v="FO9"/>
    <s v="PERSONAL CARE                 "/>
    <s v="CONFIRMED"/>
    <n v="1"/>
    <n v="1"/>
    <d v="2012-01-02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994/000010"/>
    <n v="1370147604"/>
    <n v="10"/>
    <x v="40"/>
    <x v="40"/>
    <s v="L4"/>
    <n v="1830003097"/>
    <n v="5"/>
    <s v="CV4220F0       "/>
    <s v="CV4220F0 STUDIO DRY HAIR DRYER                    "/>
    <s v="S"/>
    <d v="2012-01-09T00:00:00"/>
    <m/>
    <s v="X"/>
    <x v="47"/>
    <n v="6.51"/>
    <n v="234"/>
    <d v="2012-02-17T00:00:00"/>
    <d v="2011-12-30T00:00:00"/>
    <n v="3300"/>
    <d v="2012-01-07T00:00:00"/>
    <n v="3300"/>
    <m/>
    <d v="2011-12-30T00:00:00"/>
    <n v="3300"/>
    <d v="2012-02-25T00:00:00"/>
    <d v="2012-01-07T00:00:00"/>
    <n v="3300"/>
    <n v="3300"/>
    <x v="23"/>
    <d v="2012-02-26T00:00:00"/>
    <m/>
    <n v="9321653284"/>
    <n v="10"/>
    <s v="GLDU7006700"/>
    <s v="APL RUSSIA/020W"/>
    <m/>
    <s v="YANTIAN"/>
    <s v="CONS-SHIPT/"/>
    <m/>
    <s v="KENUS WONG"/>
    <s v="FO9"/>
    <s v="PERSONAL CARE                 "/>
    <s v="CONFIRMED"/>
    <n v="1"/>
    <n v="1"/>
    <d v="2012-01-08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124/000010"/>
    <n v="1370147691"/>
    <n v="10"/>
    <x v="40"/>
    <x v="40"/>
    <s v="L4"/>
    <n v="1830003060"/>
    <n v="5"/>
    <s v="CV4212F0       "/>
    <s v="CV4212F0 STUDIO DRY HAIR DRYER                    "/>
    <s v="S"/>
    <d v="2012-01-07T00:00:00"/>
    <m/>
    <s v="X"/>
    <x v="47"/>
    <n v="5.33"/>
    <n v="192"/>
    <d v="2012-02-24T00:00:00"/>
    <d v="2012-01-06T00:00:00"/>
    <n v="3600"/>
    <d v="2012-01-06T00:00:00"/>
    <n v="3600"/>
    <m/>
    <d v="2012-01-06T00:00:00"/>
    <n v="3600"/>
    <d v="2012-02-23T00:00:00"/>
    <d v="2012-01-05T00:00:00"/>
    <n v="3600"/>
    <n v="3600"/>
    <x v="6"/>
    <d v="2012-02-23T00:00:00"/>
    <m/>
    <n v="9321653286"/>
    <n v="10"/>
    <s v="APZU3276100"/>
    <s v="MOL MAXIM/010W"/>
    <m/>
    <s v="YANTIAN"/>
    <s v="CONS-SHIPT/"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125/000010"/>
    <n v="1370147693"/>
    <n v="10"/>
    <x v="40"/>
    <x v="40"/>
    <s v="L4"/>
    <n v="1830003089"/>
    <n v="5"/>
    <s v="CV4011F0       "/>
    <s v="CV4011F0 MOVELING HAIR DRYER                      "/>
    <s v="S"/>
    <d v="2012-01-06T00:00:00"/>
    <m/>
    <s v="X"/>
    <x v="47"/>
    <n v="4.24"/>
    <n v="151926"/>
    <d v="2012-02-10T00:00:00"/>
    <d v="2011-12-23T00:00:00"/>
    <n v="3300"/>
    <d v="2011-12-31T00:00:00"/>
    <n v="3300"/>
    <m/>
    <d v="2011-12-23T00:00:00"/>
    <n v="3300"/>
    <d v="2012-02-18T00:00:00"/>
    <d v="2011-12-31T00:00:00"/>
    <n v="3300"/>
    <n v="3300"/>
    <x v="13"/>
    <d v="2012-02-19T00:00:00"/>
    <m/>
    <n v="9321653287"/>
    <n v="10"/>
    <s v="APHU6726213"/>
    <s v="APL FINLAND/020W"/>
    <m/>
    <s v="YANTIAN"/>
    <s v="CONS-SHIPT/"/>
    <m/>
    <s v="KENUS WONG"/>
    <s v="FO9"/>
    <s v="PERSONAL CARE                 "/>
    <s v="CONFIRMED"/>
    <n v="1"/>
    <n v="52"/>
    <d v="2012-01-01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123/000010"/>
    <n v="1370147754"/>
    <n v="10"/>
    <x v="40"/>
    <x v="40"/>
    <s v="L4"/>
    <n v="1830003060"/>
    <n v="5"/>
    <s v="CV4212F0       "/>
    <s v="CV4212F0 STUDIO DRY HAIR DRYER                    "/>
    <s v="S"/>
    <d v="2012-01-09T00:00:00"/>
    <m/>
    <s v="X"/>
    <x v="47"/>
    <n v="5.33"/>
    <n v="192"/>
    <d v="2012-02-17T00:00:00"/>
    <d v="2011-12-30T00:00:00"/>
    <n v="3000"/>
    <d v="2012-01-07T00:00:00"/>
    <n v="3000"/>
    <m/>
    <d v="2011-12-30T00:00:00"/>
    <n v="3000"/>
    <d v="2012-02-25T00:00:00"/>
    <d v="2012-01-07T00:00:00"/>
    <n v="3000"/>
    <n v="3000"/>
    <x v="23"/>
    <d v="2012-02-26T00:00:00"/>
    <m/>
    <n v="9321653290"/>
    <n v="10"/>
    <s v="GLDU7006700"/>
    <s v="APL RUSSIA/020W"/>
    <m/>
    <s v="YANTIAN"/>
    <s v="CONS-SHIPT/"/>
    <m/>
    <s v="KENUS WONG"/>
    <s v="FO9"/>
    <s v="PERSONAL CARE                 "/>
    <s v="CONFIRMED"/>
    <n v="1"/>
    <n v="1"/>
    <d v="2012-01-08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959/000010"/>
    <n v="1370147774"/>
    <n v="10"/>
    <x v="40"/>
    <x v="40"/>
    <s v="L4"/>
    <n v="1830002964"/>
    <n v="175"/>
    <s v="CF3150F0       "/>
    <s v="CF3150F0 DIGITAL CURLER                           "/>
    <s v="S"/>
    <d v="2012-01-09T00:00:00"/>
    <m/>
    <s v="X"/>
    <x v="47"/>
    <n v="11.44"/>
    <n v="407"/>
    <d v="2012-02-17T00:00:00"/>
    <d v="2011-12-30T00:00:00"/>
    <n v="3000"/>
    <d v="2012-01-07T00:00:00"/>
    <n v="3000"/>
    <m/>
    <d v="2011-12-30T00:00:00"/>
    <n v="3000"/>
    <d v="2012-02-25T00:00:00"/>
    <d v="2012-01-07T00:00:00"/>
    <n v="3000"/>
    <n v="3000"/>
    <x v="23"/>
    <d v="2012-02-26T00:00:00"/>
    <m/>
    <n v="9321653291"/>
    <n v="10"/>
    <s v="GLDU7006700"/>
    <s v="APL RUSSIA/020W"/>
    <m/>
    <s v="YANTIAN"/>
    <s v="CONS-SHIPT/"/>
    <m/>
    <s v="KENUS WONG"/>
    <s v="FO9"/>
    <s v="PERSONAL CARE                 "/>
    <s v="CONFIRMED"/>
    <n v="1"/>
    <n v="1"/>
    <d v="2012-01-08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995/000010"/>
    <n v="1370147777"/>
    <n v="10"/>
    <x v="40"/>
    <x v="40"/>
    <s v="L4"/>
    <n v="1830003097"/>
    <n v="5"/>
    <s v="CV4220F0       "/>
    <s v="CV4220F0 STUDIO DRY HAIR DRYER                    "/>
    <s v="S"/>
    <d v="2012-01-07T00:00:00"/>
    <m/>
    <s v="X"/>
    <x v="47"/>
    <n v="6.51"/>
    <n v="234"/>
    <d v="2012-02-24T00:00:00"/>
    <d v="2012-01-06T00:00:00"/>
    <n v="3300"/>
    <d v="2012-01-14T00:00:00"/>
    <n v="3300"/>
    <m/>
    <d v="2012-01-14T00:00:00"/>
    <n v="4290"/>
    <d v="2012-03-03T00:00:00"/>
    <d v="2012-01-14T00:00:00"/>
    <n v="3300"/>
    <n v="2310"/>
    <x v="6"/>
    <d v="2012-02-23T00:00:00"/>
    <m/>
    <n v="9321653292"/>
    <n v="10"/>
    <s v="APZU3276100"/>
    <s v="MOL MAXIM/010W"/>
    <m/>
    <s v="YANTIAN"/>
    <s v="CONS-SHIPT/CONS-SHIPT/"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0"/>
    <s v="CONS-SHIPT"/>
    <n v="-3"/>
    <n v="-3"/>
    <x v="8"/>
    <n v="2"/>
    <x v="0"/>
    <x v="1"/>
    <x v="0"/>
    <n v="1"/>
    <n v="0"/>
    <n v="0"/>
    <n v="0"/>
    <n v="0"/>
    <n v="0"/>
    <x v="0"/>
    <x v="1"/>
    <x v="1"/>
    <x v="0"/>
  </r>
  <r>
    <s v="Shipment"/>
    <n v="99102353"/>
    <s v="THE BRANCH OF ZAO &quot;GROUPE SEB                     "/>
    <n v="99004801"/>
    <x v="1"/>
    <s v="9321651995/000010"/>
    <n v="1370147777"/>
    <n v="10"/>
    <x v="40"/>
    <x v="40"/>
    <s v="L4"/>
    <n v="1830003097"/>
    <n v="5"/>
    <s v="CV4220F0       "/>
    <s v="CV4220F0 STUDIO DRY HAIR DRYER                    "/>
    <s v="S"/>
    <d v="2012-01-18T00:00:00"/>
    <m/>
    <s v="X"/>
    <x v="47"/>
    <n v="6.51"/>
    <n v="234"/>
    <d v="2012-02-24T00:00:00"/>
    <d v="2012-01-06T00:00:00"/>
    <n v="3300"/>
    <d v="2012-01-14T00:00:00"/>
    <n v="3300"/>
    <m/>
    <d v="2012-01-14T00:00:00"/>
    <n v="4290"/>
    <d v="2012-03-03T00:00:00"/>
    <d v="2012-01-14T00:00:00"/>
    <n v="3300"/>
    <n v="990"/>
    <x v="19"/>
    <d v="2012-03-06T00:00:00"/>
    <m/>
    <n v="9321653292"/>
    <n v="10"/>
    <s v="TRLU5939241"/>
    <s v="MOL COMPETENCE/021W"/>
    <m/>
    <s v="YANTIAN"/>
    <s v="CONS-SHIPT/CONS-SHIPT/"/>
    <m/>
    <s v="KENUS WONG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76/000006"/>
    <n v="1370147891"/>
    <n v="60"/>
    <x v="40"/>
    <x v="40"/>
    <s v="L4"/>
    <n v="1830003040"/>
    <n v="131"/>
    <s v="CF7171K0       "/>
    <s v="CF7171K0 BASIC ROUND ODM STRAIGHTENER             "/>
    <s v="S"/>
    <d v="2012-01-09T00:00:00"/>
    <m/>
    <s v="X"/>
    <x v="47"/>
    <n v="9.4700000000000006"/>
    <n v="9"/>
    <d v="2012-01-17T00:00:00"/>
    <d v="2012-01-03T00:00:00"/>
    <n v="3000"/>
    <d v="2012-01-03T00:00:00"/>
    <n v="3000"/>
    <m/>
    <m/>
    <m/>
    <d v="2012-01-23T00:00:00"/>
    <d v="2012-01-09T00:00:00"/>
    <n v="3000"/>
    <n v="3000"/>
    <x v="23"/>
    <d v="2012-01-22T00:00:00"/>
    <m/>
    <n v="9321653293"/>
    <n v="10"/>
    <s v="NSSU0110856"/>
    <s v="HEUNG-A SINGAPORE/00"/>
    <m/>
    <s v="YANTIAN"/>
    <m/>
    <m/>
    <s v="AGNES NUNES"/>
    <s v="FO9"/>
    <s v="PERSONAL CARE                 "/>
    <s v="CONFIRMED"/>
    <n v="1"/>
    <n v="1"/>
    <d v="2012-01-08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1955/000010"/>
    <n v="1370147633"/>
    <n v="10"/>
    <x v="36"/>
    <x v="36"/>
    <s v="L4"/>
    <n v="1830002710"/>
    <n v="76"/>
    <s v="TN1110F0       "/>
    <s v="TN1110F0 MOVING HAIR CLIPPER                      "/>
    <s v="S"/>
    <d v="2012-01-19T00:00:00"/>
    <m/>
    <s v="X"/>
    <x v="47"/>
    <n v="6.42"/>
    <n v="232"/>
    <d v="2012-02-17T00:00:00"/>
    <d v="2011-12-30T00:00:00"/>
    <n v="3000"/>
    <d v="2012-01-14T00:00:00"/>
    <n v="3000"/>
    <m/>
    <d v="2012-02-17T00:00:00"/>
    <n v="3000"/>
    <d v="2012-03-03T00:00:00"/>
    <d v="2012-01-14T00:00:00"/>
    <n v="3000"/>
    <n v="3000"/>
    <x v="19"/>
    <d v="2012-03-06T00:00:00"/>
    <m/>
    <n v="9321653295"/>
    <n v="10"/>
    <s v="TRLU5939241"/>
    <s v="MOL COMPETENCE/021W"/>
    <m/>
    <s v="YANTIAN"/>
    <s v="CONS-SHIPT/SP-NO-FORECAST/"/>
    <m/>
    <s v="KENUS WONG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1914/000010"/>
    <n v="1370147703"/>
    <n v="10"/>
    <x v="36"/>
    <x v="36"/>
    <s v="L4"/>
    <n v="1895975001"/>
    <n v="76"/>
    <n v="95975001"/>
    <s v="HC103710 HAIR CLIPPER PERFECT LINE 9ACC           "/>
    <s v="S"/>
    <d v="2012-01-09T00:00:00"/>
    <m/>
    <s v="X"/>
    <x v="47"/>
    <n v="6.63"/>
    <n v="239"/>
    <d v="2012-02-10T00:00:00"/>
    <d v="2011-12-23T00:00:00"/>
    <n v="4504"/>
    <d v="2012-01-07T00:00:00"/>
    <n v="4504"/>
    <m/>
    <d v="2012-02-17T00:00:00"/>
    <n v="4504"/>
    <d v="2012-02-25T00:00:00"/>
    <d v="2012-01-07T00:00:00"/>
    <n v="4504"/>
    <n v="4504"/>
    <x v="12"/>
    <d v="2012-02-25T00:00:00"/>
    <m/>
    <n v="9321653296"/>
    <n v="10"/>
    <s v="APZU4528438"/>
    <s v="APL RUSSIA/020W"/>
    <m/>
    <s v="YANTIAN"/>
    <s v="CONS-SHIPT/SP-NO-FORECAST/"/>
    <m/>
    <s v="KENUS WONG"/>
    <s v="FO9"/>
    <s v="PERSONAL CARE                 "/>
    <s v="CONFIRMED"/>
    <n v="1"/>
    <n v="1"/>
    <d v="2012-01-07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2198/000010"/>
    <n v="1370147934"/>
    <n v="10"/>
    <x v="36"/>
    <x v="36"/>
    <s v="L4"/>
    <n v="1830002632"/>
    <n v="76"/>
    <s v="TN8110C4       "/>
    <s v="TN8110C4 HAIR CLIPPER EXPERTISE PRECISIO          "/>
    <s v="S"/>
    <d v="2012-01-09T00:00:00"/>
    <m/>
    <s v="X"/>
    <x v="47"/>
    <n v="15.42"/>
    <n v="14"/>
    <d v="2012-01-27T00:00:00"/>
    <d v="2011-12-23T00:00:00"/>
    <n v="3000"/>
    <d v="2012-01-06T00:00:00"/>
    <n v="3000"/>
    <m/>
    <d v="2011-12-30T00:00:00"/>
    <n v="3000"/>
    <d v="2012-02-10T00:00:00"/>
    <d v="2012-01-06T00:00:00"/>
    <n v="3000"/>
    <n v="3000"/>
    <x v="7"/>
    <d v="2012-02-10T00:00:00"/>
    <m/>
    <n v="9321653297"/>
    <n v="10"/>
    <s v="MRKU3219866"/>
    <s v="MAERSK ESSEN/1202"/>
    <m/>
    <s v="YANTIAN"/>
    <s v="CONS-SHIPT/"/>
    <m/>
    <s v="JASON FAN"/>
    <s v="FO9"/>
    <s v="PERSONAL CARE                 "/>
    <s v="CONFIRMED"/>
    <n v="1"/>
    <n v="1"/>
    <d v="2012-01-06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2193/000010"/>
    <n v="1370147935"/>
    <n v="10"/>
    <x v="36"/>
    <x v="36"/>
    <s v="L4"/>
    <n v="1895970001"/>
    <n v="76"/>
    <n v="95970001"/>
    <s v="95970001 HAIR CLIPPER PERFECT LINE                "/>
    <s v="S"/>
    <d v="2012-01-09T00:00:00"/>
    <m/>
    <s v="X"/>
    <x v="47"/>
    <n v="6.29"/>
    <n v="5"/>
    <d v="2012-01-27T00:00:00"/>
    <d v="2011-12-23T00:00:00"/>
    <n v="3000"/>
    <d v="2012-01-06T00:00:00"/>
    <n v="3000"/>
    <m/>
    <d v="2011-12-30T00:00:00"/>
    <n v="3000"/>
    <d v="2012-02-10T00:00:00"/>
    <d v="2012-01-06T00:00:00"/>
    <n v="3000"/>
    <n v="3000"/>
    <x v="7"/>
    <d v="2012-02-10T00:00:00"/>
    <m/>
    <n v="9321653298"/>
    <n v="10"/>
    <s v="MRKU3219866"/>
    <s v="MAERSK ESSEN/1202"/>
    <m/>
    <s v="YANTIAN"/>
    <s v="CONS-SHIPT/"/>
    <m/>
    <s v="JASON FAN"/>
    <s v="FO9"/>
    <s v="PERSONAL CARE                 "/>
    <s v="CONFIRMED"/>
    <n v="1"/>
    <n v="1"/>
    <d v="2012-01-06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1/000001"/>
    <n v="1370147572"/>
    <n v="10"/>
    <x v="61"/>
    <x v="61"/>
    <s v="L2"/>
    <n v="2100068470"/>
    <n v="51"/>
    <s v="BC2000J2       "/>
    <s v="BC2000J2 OPTIMO WHITE                             "/>
    <s v="S"/>
    <d v="2012-01-19T00:00:00"/>
    <m/>
    <s v="X"/>
    <x v="47"/>
    <n v="7.54"/>
    <n v="6"/>
    <d v="2012-01-23T00:00:00"/>
    <d v="2012-01-09T00:00:00"/>
    <n v="4404"/>
    <d v="2012-01-20T00:00:00"/>
    <n v="4404"/>
    <m/>
    <d v="2012-02-17T00:00:00"/>
    <n v="9612"/>
    <d v="2012-03-02T00:00:00"/>
    <d v="2012-02-17T00:00:00"/>
    <n v="4404"/>
    <n v="1200"/>
    <x v="4"/>
    <d v="2012-02-05T00:00:00"/>
    <m/>
    <n v="9321653299"/>
    <n v="10"/>
    <s v="HAHU2023029"/>
    <s v="GLORY OCEAN/1204E"/>
    <m/>
    <s v="SHANGHAI"/>
    <s v="SP-PROD-ISSUE/SP-PROD-ISSUE/BU-ETD-TEMP/"/>
    <m/>
    <s v="DOROTHEA LING"/>
    <s v="FO9"/>
    <s v="PERSONAL CARE                 "/>
    <s v="CONFIRMED"/>
    <n v="1"/>
    <n v="3"/>
    <d v="2012-01-22T00:00:00"/>
    <s v="LINEN PERS HOME CARE          "/>
    <s v="PERSONAL CARE                 "/>
    <x v="6"/>
    <x v="2"/>
    <x v="4"/>
    <s v="BU-ETD-TEMP"/>
    <n v="-3"/>
    <n v="-3"/>
    <x v="3"/>
    <n v="3"/>
    <x v="0"/>
    <x v="0"/>
    <x v="0"/>
    <n v="1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781/000002"/>
    <n v="1370147572"/>
    <n v="20"/>
    <x v="61"/>
    <x v="61"/>
    <s v="L2"/>
    <n v="2100068474"/>
    <n v="51"/>
    <s v="BC2001J2       "/>
    <s v="BC2001J2 OPTIMO RED                               "/>
    <s v="S"/>
    <d v="2012-01-19T00:00:00"/>
    <m/>
    <s v="X"/>
    <x v="47"/>
    <n v="7.54"/>
    <n v="6"/>
    <d v="2012-01-23T00:00:00"/>
    <d v="2012-01-09T00:00:00"/>
    <n v="4308"/>
    <d v="2012-01-20T00:00:00"/>
    <n v="4308"/>
    <m/>
    <d v="2012-02-17T00:00:00"/>
    <n v="11724"/>
    <d v="2012-03-02T00:00:00"/>
    <d v="2012-02-17T00:00:00"/>
    <n v="4308"/>
    <n v="1200"/>
    <x v="4"/>
    <d v="2012-02-05T00:00:00"/>
    <m/>
    <n v="9321653299"/>
    <n v="20"/>
    <s v="HAHU2023029"/>
    <s v="GLORY OCEAN/1204E"/>
    <m/>
    <s v="SHANGHAI"/>
    <s v="SP-PROD-ISSUE/SP-PROD-ISSUE/BU-ETD-TEMP/"/>
    <m/>
    <s v="DOROTHEA LING"/>
    <s v="FO9"/>
    <s v="PERSONAL CARE                 "/>
    <s v="CONFIRMED"/>
    <n v="1"/>
    <n v="3"/>
    <d v="2012-01-22T00:00:00"/>
    <s v="LINEN PERS HOME CARE          "/>
    <s v="PERSONAL CARE                 "/>
    <x v="6"/>
    <x v="2"/>
    <x v="4"/>
    <s v="BU-ETD-TEMP"/>
    <n v="-3"/>
    <n v="-3"/>
    <x v="3"/>
    <n v="3"/>
    <x v="0"/>
    <x v="0"/>
    <x v="0"/>
    <n v="1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781/000003"/>
    <n v="1370147572"/>
    <n v="30"/>
    <x v="61"/>
    <x v="61"/>
    <s v="L2"/>
    <n v="2100068476"/>
    <n v="51"/>
    <s v="BC2002J2       "/>
    <s v="BC2002J2 OPTIMO GREEN                             "/>
    <s v="S"/>
    <d v="2012-01-19T00:00:00"/>
    <m/>
    <s v="X"/>
    <x v="47"/>
    <n v="7.54"/>
    <n v="6"/>
    <d v="2012-01-23T00:00:00"/>
    <d v="2012-01-09T00:00:00"/>
    <n v="4308"/>
    <d v="2012-01-20T00:00:00"/>
    <n v="4308"/>
    <m/>
    <d v="2012-02-17T00:00:00"/>
    <n v="12924"/>
    <d v="2012-03-02T00:00:00"/>
    <d v="2012-02-17T00:00:00"/>
    <n v="4308"/>
    <n v="1200"/>
    <x v="4"/>
    <d v="2012-02-05T00:00:00"/>
    <m/>
    <n v="9321653299"/>
    <n v="30"/>
    <s v="HAHU2023029"/>
    <s v="GLORY OCEAN/1204E"/>
    <m/>
    <s v="SHANGHAI"/>
    <s v="SP-PROD-ISSUE/SP-PROD-ISSUE/BU-ETD-TEMP/"/>
    <m/>
    <s v="DOROTHEA LING"/>
    <s v="FO9"/>
    <s v="PERSONAL CARE                 "/>
    <s v="CONFIRMED"/>
    <n v="1"/>
    <n v="3"/>
    <d v="2012-01-22T00:00:00"/>
    <s v="LINEN PERS HOME CARE          "/>
    <s v="PERSONAL CARE                 "/>
    <x v="6"/>
    <x v="2"/>
    <x v="4"/>
    <s v="BU-ETD-TEMP"/>
    <n v="-3"/>
    <n v="-3"/>
    <x v="3"/>
    <n v="3"/>
    <x v="0"/>
    <x v="0"/>
    <x v="0"/>
    <n v="1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781/000004"/>
    <n v="1370147572"/>
    <n v="40"/>
    <x v="61"/>
    <x v="61"/>
    <s v="L2"/>
    <n v="2100068477"/>
    <n v="51"/>
    <s v="BC2100J2       "/>
    <s v="BC2100J2 OPTIMO GLASS BLACK                       "/>
    <s v="S"/>
    <d v="2012-01-19T00:00:00"/>
    <m/>
    <s v="X"/>
    <x v="47"/>
    <n v="9.1300000000000008"/>
    <n v="6"/>
    <d v="2012-01-23T00:00:00"/>
    <d v="2012-01-09T00:00:00"/>
    <n v="2004"/>
    <d v="2012-01-20T00:00:00"/>
    <n v="2004"/>
    <m/>
    <d v="2012-02-17T00:00:00"/>
    <n v="6012"/>
    <d v="2012-02-24T00:00:00"/>
    <d v="2012-02-10T00:00:00"/>
    <n v="2004"/>
    <n v="1200"/>
    <x v="4"/>
    <d v="2012-02-05T00:00:00"/>
    <m/>
    <n v="9321653299"/>
    <n v="40"/>
    <s v="HAHU2023029"/>
    <s v="GLORY OCEAN/1204E"/>
    <m/>
    <s v="SHANGHAI"/>
    <s v="SP-PROD-ISSUE/BU-ETD-TEMP/"/>
    <m/>
    <s v="DOROTHEA LING"/>
    <s v="FO9"/>
    <s v="PERSONAL CARE                 "/>
    <s v="CONFIRMED"/>
    <n v="1"/>
    <n v="3"/>
    <d v="2012-01-22T00:00:00"/>
    <s v="LINEN PERS HOME CARE          "/>
    <s v="PERSONAL CARE                 "/>
    <x v="6"/>
    <x v="2"/>
    <x v="4"/>
    <s v="BU-ETD-TEMP"/>
    <n v="-3"/>
    <n v="-3"/>
    <x v="3"/>
    <n v="2"/>
    <x v="0"/>
    <x v="0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2686/000010"/>
    <n v="1370147788"/>
    <n v="10"/>
    <x v="26"/>
    <x v="26"/>
    <s v="P1"/>
    <n v="1500831687"/>
    <n v="105"/>
    <n v="831687"/>
    <s v="JU400187 JUI FRUTTI PRO XL WHT/RED EE             "/>
    <s v="S"/>
    <d v="2012-01-06T00:00:00"/>
    <m/>
    <s v="X"/>
    <x v="47"/>
    <n v="27.06"/>
    <n v="957"/>
    <d v="2012-02-24T00:00:00"/>
    <d v="2012-01-06T00:00:00"/>
    <n v="1824"/>
    <d v="2012-01-06T00:00:00"/>
    <n v="1824"/>
    <m/>
    <d v="2012-01-06T00:00:00"/>
    <n v="1824"/>
    <d v="2012-02-24T00:00:00"/>
    <d v="2012-01-06T00:00:00"/>
    <n v="1824"/>
    <n v="1824"/>
    <x v="16"/>
    <d v="2012-02-21T00:00:00"/>
    <m/>
    <n v="9321653300"/>
    <n v="10"/>
    <s v="TCLU4021186"/>
    <s v="NYK VESTA/28W51"/>
    <m/>
    <s v="YANTIAN"/>
    <s v="TP ISSUE"/>
    <m/>
    <s v="KENUS WONG"/>
    <s v="FO9"/>
    <s v="FOOD PREPARATION              "/>
    <s v="CONFIRMED"/>
    <n v="1"/>
    <n v="1"/>
    <d v="2012-01-03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991/000010"/>
    <n v="1370147755"/>
    <n v="10"/>
    <x v="46"/>
    <x v="46"/>
    <s v="L4"/>
    <n v="1830003142"/>
    <n v="175"/>
    <s v="CF4032D0       "/>
    <s v="CF4032D0 MULTI STYLER APPLIANCE                   "/>
    <s v="S"/>
    <d v="2012-01-29T00:00:00"/>
    <m/>
    <s v="X"/>
    <x v="47"/>
    <n v="14.88"/>
    <n v="520"/>
    <d v="2012-02-24T00:00:00"/>
    <d v="2012-01-06T00:00:00"/>
    <n v="3000"/>
    <d v="2012-01-14T00:00:00"/>
    <n v="3000"/>
    <m/>
    <d v="2012-01-06T00:00:00"/>
    <n v="3000"/>
    <d v="2012-03-03T00:00:00"/>
    <d v="2012-01-14T00:00:00"/>
    <n v="3000"/>
    <n v="3000"/>
    <x v="4"/>
    <d v="2012-03-11T00:00:00"/>
    <m/>
    <n v="9321653310"/>
    <n v="10"/>
    <s v="TTNU5034491"/>
    <s v="MOL CHARISMA/009W"/>
    <m/>
    <s v="YANTIAN"/>
    <s v="SAILING-SCHED-UPDATE/CONS-SHIPT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1917/000010"/>
    <n v="1370147765"/>
    <n v="10"/>
    <x v="46"/>
    <x v="46"/>
    <s v="L4"/>
    <n v="1830001531"/>
    <n v="175"/>
    <s v="CF2002D0       "/>
    <s v="CF2002D0 CURLING IRON STRUCTURE                   "/>
    <s v="S"/>
    <d v="2012-01-29T00:00:00"/>
    <m/>
    <s v="X"/>
    <x v="47"/>
    <n v="3.08"/>
    <n v="109"/>
    <d v="2012-02-29T00:00:00"/>
    <d v="2012-01-11T00:00:00"/>
    <n v="4200"/>
    <d v="2012-01-21T00:00:00"/>
    <n v="4200"/>
    <m/>
    <d v="2012-01-11T00:00:00"/>
    <n v="4200"/>
    <d v="2012-03-10T00:00:00"/>
    <d v="2012-01-21T00:00:00"/>
    <n v="4200"/>
    <n v="4200"/>
    <x v="4"/>
    <d v="2012-03-11T00:00:00"/>
    <m/>
    <n v="9321653311"/>
    <n v="10"/>
    <s v="TGHU4857088"/>
    <s v="MOL CHARISMA/009W"/>
    <m/>
    <s v="YANTIAN"/>
    <s v="CONS-SHIPT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14/000001"/>
    <n v="1370147582"/>
    <n v="10"/>
    <x v="37"/>
    <x v="37"/>
    <s v="N3"/>
    <n v="1500635151"/>
    <n v="177"/>
    <n v="635151"/>
    <s v="FF140D50 FRYER PETIT 1L SS MX                     "/>
    <s v="S"/>
    <d v="2012-01-06T00:00:00"/>
    <m/>
    <s v="X"/>
    <x v="47"/>
    <n v="16.96"/>
    <n v="258133"/>
    <d v="2012-01-30T00:00:00"/>
    <d v="2011-12-26T00:00:00"/>
    <n v="2660"/>
    <d v="2011-12-26T00:00:00"/>
    <n v="2660"/>
    <m/>
    <d v="2011-12-26T00:00:00"/>
    <n v="2660"/>
    <d v="2012-01-30T00:00:00"/>
    <d v="2011-12-26T00:00:00"/>
    <n v="2660"/>
    <n v="2660"/>
    <x v="16"/>
    <d v="2012-02-07T00:00:00"/>
    <m/>
    <n v="9321653312"/>
    <n v="10"/>
    <s v="SUDU8732727"/>
    <s v="MONTE ROSA 201E/"/>
    <m/>
    <s v="YANTIAN"/>
    <s v="SP-LABOR"/>
    <m/>
    <s v="TWEETY LEUNG"/>
    <s v="FO9"/>
    <s v="ELECTRICAL COOKING            "/>
    <s v="CONFIRMED"/>
    <n v="1"/>
    <n v="1"/>
    <d v="2012-01-03T00:00:00"/>
    <s v="KITCHEN ELECTRICS             "/>
    <s v="ELECTRICAL COOKING            "/>
    <x v="1"/>
    <x v="1"/>
    <x v="17"/>
    <s v="SP-LABOR"/>
    <n v="1"/>
    <n v="1"/>
    <x v="17"/>
    <n v="1"/>
    <x v="0"/>
    <x v="0"/>
    <x v="0"/>
    <n v="0"/>
    <n v="0"/>
    <n v="0"/>
    <n v="0"/>
    <n v="0"/>
    <n v="0"/>
    <x v="1"/>
    <x v="0"/>
    <x v="1"/>
    <x v="0"/>
  </r>
  <r>
    <s v="Shipment"/>
    <n v="99006402"/>
    <s v="GROUPE SEB (Thailand) Ltd                         "/>
    <n v="99006402"/>
    <x v="8"/>
    <s v="532/000002"/>
    <n v="1370147451"/>
    <n v="20"/>
    <x v="47"/>
    <x v="47"/>
    <s v="P1"/>
    <n v="1500817841"/>
    <n v="36"/>
    <n v="817841"/>
    <s v="AY46R4 BLD EASY POWER 1V WHT M                    "/>
    <s v="S"/>
    <d v="2012-01-17T00:00:00"/>
    <m/>
    <s v="X"/>
    <x v="47"/>
    <n v="15.89"/>
    <n v="18"/>
    <d v="2012-02-10T00:00:00"/>
    <d v="2012-01-27T00:00:00"/>
    <n v="2408"/>
    <d v="2012-01-27T00:00:00"/>
    <n v="2408"/>
    <m/>
    <d v="2012-01-21T00:00:00"/>
    <n v="2408"/>
    <d v="2012-02-04T00:00:00"/>
    <d v="2012-01-21T00:00:00"/>
    <n v="2408"/>
    <n v="2408"/>
    <x v="8"/>
    <d v="2012-01-30T00:00:00"/>
    <m/>
    <n v="9321653313"/>
    <n v="10"/>
    <s v="ECMU4083910"/>
    <s v="TS CHINA QD311SCNC"/>
    <m/>
    <s v="YANTIAN"/>
    <m/>
    <m/>
    <s v="TWEETY LEUNG"/>
    <s v="FO9"/>
    <s v="FOOD PREPARATION              "/>
    <s v="CONFIRMED"/>
    <n v="1"/>
    <n v="3"/>
    <d v="2012-01-16T00:00:00"/>
    <s v="KITCHEN ELECTRICS             "/>
    <s v="FOOD PREPARATION              "/>
    <x v="2"/>
    <x v="1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0388/000010"/>
    <n v="1370147618"/>
    <n v="10"/>
    <x v="47"/>
    <x v="47"/>
    <s v="R1"/>
    <n v="8000030947"/>
    <n v="55"/>
    <s v="BAB1L4         "/>
    <s v="BAB1L4 KET OVEA                                   "/>
    <s v="S"/>
    <d v="2012-01-09T00:00:00"/>
    <m/>
    <s v="X"/>
    <x v="47"/>
    <n v="11.53"/>
    <n v="407"/>
    <d v="2012-02-17T00:00:00"/>
    <d v="2011-12-30T00:00:00"/>
    <n v="1878"/>
    <d v="2011-12-30T00:00:00"/>
    <n v="1878"/>
    <m/>
    <d v="2012-01-02T00:00:00"/>
    <n v="1878"/>
    <d v="2012-02-20T00:00:00"/>
    <d v="2012-01-02T00:00:00"/>
    <n v="1878"/>
    <n v="1878"/>
    <x v="6"/>
    <d v="2012-02-23T00:00:00"/>
    <m/>
    <n v="9321653314"/>
    <n v="10"/>
    <s v="GESU2131386"/>
    <s v="MOL MAXIM/010W"/>
    <m/>
    <s v="YANTIAN"/>
    <m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0348/000010"/>
    <n v="1370147638"/>
    <n v="10"/>
    <x v="47"/>
    <x v="47"/>
    <s v="R1"/>
    <n v="8000030532"/>
    <n v="55"/>
    <s v="BAB1L1         "/>
    <s v="BAB1L1 KET OVEA                                   "/>
    <s v="S"/>
    <d v="2012-01-10T00:00:00"/>
    <m/>
    <s v="X"/>
    <x v="47"/>
    <n v="11.53"/>
    <n v="407"/>
    <d v="2012-02-24T00:00:00"/>
    <d v="2012-01-06T00:00:00"/>
    <n v="1878"/>
    <d v="2012-01-06T00:00:00"/>
    <n v="1878"/>
    <m/>
    <d v="2012-01-09T00:00:00"/>
    <n v="1878"/>
    <d v="2012-02-27T00:00:00"/>
    <d v="2012-01-09T00:00:00"/>
    <n v="1878"/>
    <n v="1878"/>
    <x v="0"/>
    <d v="2012-02-27T00:00:00"/>
    <m/>
    <n v="9321653315"/>
    <n v="10"/>
    <s v="FSCU4568580"/>
    <s v="HYUNDAI FORCE/017W"/>
    <m/>
    <s v="YANTIAN"/>
    <m/>
    <m/>
    <s v="KENUS WONG"/>
    <s v="FO9"/>
    <s v="BEVERAGE                      "/>
    <s v="CONFIRMED"/>
    <n v="1"/>
    <n v="2"/>
    <d v="2012-01-09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591/000010"/>
    <n v="1370147697"/>
    <n v="10"/>
    <x v="47"/>
    <x v="47"/>
    <s v="P1"/>
    <n v="1500677888"/>
    <n v="36"/>
    <n v="677888"/>
    <s v="DAE288 BLD CHICAGO 2 GRE/BLK RU                   "/>
    <s v="S"/>
    <d v="2012-01-10T00:00:00"/>
    <m/>
    <s v="X"/>
    <x v="47"/>
    <n v="17.8"/>
    <n v="650"/>
    <d v="2012-02-24T00:00:00"/>
    <d v="2012-01-06T00:00:00"/>
    <n v="1300"/>
    <d v="2012-01-06T00:00:00"/>
    <n v="1300"/>
    <m/>
    <d v="2012-01-09T00:00:00"/>
    <n v="1300"/>
    <d v="2012-02-27T00:00:00"/>
    <d v="2012-01-09T00:00:00"/>
    <n v="1300"/>
    <n v="1300"/>
    <x v="0"/>
    <d v="2012-02-27T00:00:00"/>
    <m/>
    <n v="9321653316"/>
    <n v="10"/>
    <s v="TCLU4113852"/>
    <s v="HYUNDAI FORCE/017W"/>
    <m/>
    <s v="YANTIAN"/>
    <m/>
    <m/>
    <s v="KENUS WONG"/>
    <s v="FO9"/>
    <s v="FOOD PREPARATION              "/>
    <s v="CONFIRMED"/>
    <n v="1"/>
    <n v="2"/>
    <d v="2012-01-09T00:00:00"/>
    <s v="KITCHEN ELECTRICS             "/>
    <s v="FOOD PREPARATION  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0382/000010"/>
    <n v="1370147784"/>
    <n v="10"/>
    <x v="47"/>
    <x v="47"/>
    <s v="R1"/>
    <n v="8000030597"/>
    <n v="55"/>
    <s v="BAB1LE         "/>
    <s v="BAB1LE KET OVEA                                   "/>
    <s v="S"/>
    <d v="2012-01-10T00:00:00"/>
    <m/>
    <s v="X"/>
    <x v="47"/>
    <n v="11.53"/>
    <n v="407"/>
    <d v="2012-02-24T00:00:00"/>
    <d v="2012-01-06T00:00:00"/>
    <n v="1878"/>
    <d v="2012-01-06T00:00:00"/>
    <n v="1878"/>
    <m/>
    <d v="2012-01-09T00:00:00"/>
    <n v="1878"/>
    <d v="2012-02-27T00:00:00"/>
    <d v="2012-01-09T00:00:00"/>
    <n v="1878"/>
    <n v="1878"/>
    <x v="0"/>
    <d v="2012-02-27T00:00:00"/>
    <m/>
    <n v="9321653317"/>
    <n v="10"/>
    <s v="FSCU4568580"/>
    <s v="HYUNDAI FORCE/017W"/>
    <m/>
    <s v="YANTIAN"/>
    <m/>
    <m/>
    <s v="KENUS WONG"/>
    <s v="FO9"/>
    <s v="BEVERAGE                      "/>
    <s v="CONFIRMED"/>
    <n v="1"/>
    <n v="2"/>
    <d v="2012-01-09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0344/000010"/>
    <n v="1370147786"/>
    <n v="10"/>
    <x v="47"/>
    <x v="47"/>
    <s v="R1"/>
    <n v="8000030532"/>
    <n v="55"/>
    <s v="BAB1L1         "/>
    <s v="BAB1L1 KET OVEA                                   "/>
    <s v="S"/>
    <d v="2012-01-05T00:00:00"/>
    <m/>
    <s v="X"/>
    <x v="47"/>
    <n v="11.53"/>
    <n v="407"/>
    <d v="2012-02-10T00:00:00"/>
    <d v="2011-12-23T00:00:00"/>
    <n v="1878"/>
    <d v="2011-12-23T00:00:00"/>
    <n v="1878"/>
    <m/>
    <d v="2011-12-26T00:00:00"/>
    <n v="1878"/>
    <d v="2012-02-16T00:00:00"/>
    <d v="2011-12-29T00:00:00"/>
    <n v="1878"/>
    <n v="1878"/>
    <x v="16"/>
    <d v="2012-02-21T00:00:00"/>
    <m/>
    <n v="9321653318"/>
    <n v="10"/>
    <s v="TCKU2324329"/>
    <s v="NYK VESTA/28W51"/>
    <m/>
    <s v="YANTIAN"/>
    <s v="SP-INSP-FAILED/TP ISSUE"/>
    <m/>
    <s v="KENUS WONG"/>
    <s v="FO9"/>
    <s v="BEVERAGE                      "/>
    <s v="CONFIRMED"/>
    <n v="1"/>
    <n v="1"/>
    <d v="2012-01-03T00:00:00"/>
    <s v="KITCHEN ELECTRICS             "/>
    <s v="BREAKFAST &amp; BREVAGE PREP      "/>
    <x v="2"/>
    <x v="1"/>
    <x v="12"/>
    <s v="SP-INSP-FAILED"/>
    <n v="1"/>
    <n v="1"/>
    <x v="12"/>
    <n v="2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2699/000010"/>
    <n v="1370147796"/>
    <n v="10"/>
    <x v="47"/>
    <x v="47"/>
    <s v="P1"/>
    <n v="1500677891"/>
    <n v="36"/>
    <n v="677891"/>
    <s v="BL523D3E BLD SIMPLY INVENT SS BLK CIS             "/>
    <s v="S"/>
    <d v="2012-01-10T00:00:00"/>
    <m/>
    <s v="X"/>
    <x v="47"/>
    <n v="23.97"/>
    <n v="871"/>
    <d v="2012-02-24T00:00:00"/>
    <d v="2012-01-06T00:00:00"/>
    <n v="1080"/>
    <d v="2012-01-06T00:00:00"/>
    <n v="1080"/>
    <m/>
    <d v="2012-01-09T00:00:00"/>
    <n v="1080"/>
    <d v="2012-02-27T00:00:00"/>
    <d v="2012-01-09T00:00:00"/>
    <n v="1080"/>
    <n v="1080"/>
    <x v="0"/>
    <d v="2012-02-27T00:00:00"/>
    <m/>
    <n v="9321653319"/>
    <n v="10"/>
    <s v="TCLU4113852"/>
    <s v="HYUNDAI FORCE/017W"/>
    <m/>
    <s v="YANTIAN"/>
    <m/>
    <m/>
    <s v="KENUS WONG"/>
    <s v="FO9"/>
    <s v="FOOD PREPARATION              "/>
    <s v="CONFIRMED"/>
    <n v="1"/>
    <n v="2"/>
    <d v="2012-01-09T00:00:00"/>
    <s v="KITCHEN ELECTRICS             "/>
    <s v="FOOD PREPARATION  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18"/>
    <n v="1370147889"/>
    <n v="100"/>
    <x v="47"/>
    <x v="47"/>
    <s v="P1"/>
    <n v="1500677884"/>
    <n v="36"/>
    <n v="677884"/>
    <s v="BL5308KR BLD EVIDENCE BLK KR                      "/>
    <s v="S"/>
    <d v="2012-01-09T00:00:00"/>
    <m/>
    <s v="X"/>
    <x v="47"/>
    <n v="22.34"/>
    <n v="14"/>
    <d v="2012-01-17T00:00:00"/>
    <d v="2012-01-03T00:00:00"/>
    <n v="1134"/>
    <d v="2012-01-03T00:00:00"/>
    <n v="1134"/>
    <m/>
    <d v="2012-01-03T00:00:00"/>
    <n v="1134"/>
    <d v="2012-01-17T00:00:00"/>
    <d v="2012-01-03T00:00:00"/>
    <n v="1134"/>
    <n v="1134"/>
    <x v="12"/>
    <d v="2012-01-21T00:00:00"/>
    <m/>
    <n v="9321653320"/>
    <n v="10"/>
    <s v="PONU1828016"/>
    <s v="CONVENT/1202"/>
    <m/>
    <s v="YANTIAN"/>
    <m/>
    <m/>
    <s v="AGNES NUNES"/>
    <s v="FO9"/>
    <s v="FOOD PREPARATION              "/>
    <s v="CONFIRMED"/>
    <n v="1"/>
    <n v="1"/>
    <d v="2012-01-07T00:00:00"/>
    <s v="KITCHEN ELECTRICS             "/>
    <s v="FOOD PREPARATION  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48469/000010"/>
    <n v="1370146808"/>
    <n v="10"/>
    <x v="25"/>
    <x v="25"/>
    <s v="R1"/>
    <n v="1500576663"/>
    <n v="23"/>
    <n v="576663"/>
    <s v="TT365030 TOAS N.EXPRESS 2S +BW SS/BLK EU          "/>
    <s v="S"/>
    <d v="2012-01-11T00:00:00"/>
    <m/>
    <s v="X"/>
    <x v="47"/>
    <n v="11.61"/>
    <n v="10"/>
    <d v="2012-01-25T00:00:00"/>
    <d v="2011-12-28T00:00:00"/>
    <n v="1752"/>
    <d v="2011-12-28T00:00:00"/>
    <n v="1752"/>
    <m/>
    <d v="2011-12-28T00:00:00"/>
    <n v="1752"/>
    <d v="2012-01-30T00:00:00"/>
    <d v="2012-01-02T00:00:00"/>
    <n v="1752"/>
    <n v="1752"/>
    <x v="13"/>
    <d v="2012-01-29T00:00:00"/>
    <m/>
    <n v="9321653322"/>
    <n v="10"/>
    <s v="MRKU8204391"/>
    <s v="CHARLOTTE MAERSK 120"/>
    <m/>
    <s v="YANTIAN"/>
    <s v="BU-ETD-TEMP/LATE EDI"/>
    <m/>
    <s v="KENUS WONG"/>
    <s v="FO9"/>
    <s v="BEVERAGE                      "/>
    <s v="CONFIRMED"/>
    <n v="1"/>
    <n v="52"/>
    <d v="2012-01-01T00:00:00"/>
    <s v="KITCHEN ELECTRICS             "/>
    <s v="BREAKFAST &amp; BREVAGE PREP      "/>
    <x v="4"/>
    <x v="1"/>
    <x v="4"/>
    <s v="BU-ETD-TEMP"/>
    <n v="-3"/>
    <n v="-3"/>
    <x v="3"/>
    <n v="2"/>
    <x v="0"/>
    <x v="1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48467/000010"/>
    <n v="1370146814"/>
    <n v="10"/>
    <x v="25"/>
    <x v="25"/>
    <s v="R1"/>
    <n v="1500578101"/>
    <n v="23"/>
    <n v="578101"/>
    <s v="TL360130 TOAS NEW EXPRESS LS PLAST WHT E          "/>
    <s v="S"/>
    <d v="2012-01-18T00:00:00"/>
    <m/>
    <s v="X"/>
    <x v="47"/>
    <n v="11.63"/>
    <n v="10"/>
    <d v="2012-02-10T00:00:00"/>
    <d v="2012-01-13T00:00:00"/>
    <n v="2040"/>
    <d v="2012-01-13T00:00:00"/>
    <n v="1872"/>
    <m/>
    <m/>
    <m/>
    <d v="2012-02-13T00:00:00"/>
    <d v="2012-01-16T00:00:00"/>
    <n v="1872"/>
    <n v="1872"/>
    <x v="8"/>
    <d v="2012-02-13T00:00:00"/>
    <m/>
    <n v="9321653323"/>
    <n v="10"/>
    <s v="MRKU8228201"/>
    <s v="MAERSK TUKANG 1202/"/>
    <m/>
    <s v="YANTIAN"/>
    <s v="BU-ETD-TEMP/"/>
    <m/>
    <s v="KENUS WONG"/>
    <s v="FO9"/>
    <s v="BEVERAGE                      "/>
    <s v="CONFIRMED"/>
    <n v="1"/>
    <n v="3"/>
    <d v="2012-01-16T00:00:00"/>
    <s v="KITCHEN ELECTRICS             "/>
    <s v="BREAKFAST &amp; BREVAGE PREP      "/>
    <x v="4"/>
    <x v="1"/>
    <x v="4"/>
    <s v="BU-ETD-TEMP"/>
    <n v="-3"/>
    <n v="-3"/>
    <x v="3"/>
    <n v="1"/>
    <x v="0"/>
    <x v="1"/>
    <x v="0"/>
    <n v="0"/>
    <n v="0"/>
    <n v="1"/>
    <n v="0"/>
    <n v="0"/>
    <n v="1"/>
    <x v="0"/>
    <x v="0"/>
    <x v="1"/>
    <x v="1"/>
  </r>
  <r>
    <s v="Shipment"/>
    <n v="99007325"/>
    <s v="Spedition Hendricks GmbH &amp; Co.KG                  "/>
    <n v="99007300"/>
    <x v="17"/>
    <s v="4500260464/000010"/>
    <n v="1370146863"/>
    <n v="10"/>
    <x v="25"/>
    <x v="25"/>
    <s v="R1"/>
    <n v="1500576651"/>
    <n v="23"/>
    <n v="576651"/>
    <s v="TT110131 TOAS PRIN1BIS BLK DE                     "/>
    <s v="S"/>
    <d v="2012-01-09T00:00:00"/>
    <m/>
    <s v="X"/>
    <x v="47"/>
    <n v="7.31"/>
    <n v="6"/>
    <d v="2012-01-19T00:00:00"/>
    <d v="2011-12-15T00:00:00"/>
    <n v="2976"/>
    <d v="2012-01-05T00:00:00"/>
    <n v="2976"/>
    <m/>
    <m/>
    <m/>
    <d v="2012-02-09T00:00:00"/>
    <d v="2012-01-05T00:00:00"/>
    <n v="2976"/>
    <n v="156"/>
    <x v="13"/>
    <d v="2012-02-05T00:00:00"/>
    <m/>
    <n v="9321653324"/>
    <n v="10"/>
    <s v="CRXU3050847"/>
    <s v="HYUNDAI SPLENDOR/016"/>
    <m/>
    <s v="YANTIAN"/>
    <s v="CONS-SHIPT/"/>
    <m/>
    <s v="AGNES NUNES"/>
    <s v="FO9"/>
    <s v="BEVERAGE                      "/>
    <s v="CONFIRMED"/>
    <n v="1"/>
    <n v="52"/>
    <d v="2012-01-01T00:00:00"/>
    <s v="KITCHEN ELECTRICS             "/>
    <s v="BREAKFAST &amp; BREVAGE PREP      "/>
    <x v="4"/>
    <x v="1"/>
    <x v="10"/>
    <s v="CONS-SHIPT"/>
    <n v="-3"/>
    <n v="-3"/>
    <x v="8"/>
    <n v="1"/>
    <x v="0"/>
    <x v="0"/>
    <x v="1"/>
    <n v="0"/>
    <n v="0"/>
    <n v="1"/>
    <n v="0"/>
    <n v="0"/>
    <n v="1"/>
    <x v="0"/>
    <x v="0"/>
    <x v="1"/>
    <x v="1"/>
  </r>
  <r>
    <s v="Shipment"/>
    <n v="99007325"/>
    <s v="Spedition Hendricks GmbH &amp; Co.KG                  "/>
    <n v="99008300"/>
    <x v="15"/>
    <s v="4500261290/000010"/>
    <n v="1370147484"/>
    <n v="10"/>
    <x v="25"/>
    <x v="25"/>
    <s v="R1"/>
    <n v="1500573615"/>
    <n v="23"/>
    <n v="573615"/>
    <s v="LT177E30 TOAS SUBITO 2S BW MET/BLK EUR            "/>
    <s v="S"/>
    <d v="2012-01-13T00:00:00"/>
    <m/>
    <s v="X"/>
    <x v="47"/>
    <n v="10.210000000000001"/>
    <n v="9"/>
    <d v="2012-02-09T00:00:00"/>
    <d v="2012-01-05T00:00:00"/>
    <n v="2156"/>
    <d v="2012-01-05T00:00:00"/>
    <n v="2156"/>
    <m/>
    <d v="2012-01-05T00:00:00"/>
    <n v="2156"/>
    <d v="2012-02-16T00:00:00"/>
    <d v="2012-01-12T00:00:00"/>
    <n v="2156"/>
    <n v="2156"/>
    <x v="10"/>
    <d v="2012-02-16T00:00:00"/>
    <m/>
    <n v="9321653325"/>
    <n v="10"/>
    <s v="MOAU0696197"/>
    <s v="MOL MISSION/006W"/>
    <m/>
    <s v="YANTIAN"/>
    <s v="BU-ETD-TEMP/"/>
    <m/>
    <s v="AGNES NUNES"/>
    <s v="FO9"/>
    <s v="BEVERAGE                      "/>
    <s v="CONFIRMED"/>
    <n v="1"/>
    <n v="2"/>
    <d v="2012-01-12T00:00:00"/>
    <s v="KITCHEN ELECTRICS             "/>
    <s v="BREAKFAST &amp; BREVAGE PREP      "/>
    <x v="4"/>
    <x v="1"/>
    <x v="4"/>
    <s v="BU-ETD-TEMP"/>
    <n v="-3"/>
    <n v="-3"/>
    <x v="3"/>
    <n v="1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79/000001"/>
    <n v="1370147577"/>
    <n v="10"/>
    <x v="25"/>
    <x v="25"/>
    <s v="R9"/>
    <n v="1500573428"/>
    <n v="23"/>
    <n v="573428"/>
    <s v="TT356GJP TOAS APRECIA 2S WINE RED/BLK JP          "/>
    <s v="S"/>
    <d v="2012-01-10T00:00:00"/>
    <m/>
    <s v="X"/>
    <x v="47"/>
    <n v="14.68"/>
    <n v="12"/>
    <d v="2012-01-16T00:00:00"/>
    <d v="2012-01-02T00:00:00"/>
    <n v="2040"/>
    <d v="2012-01-02T00:00:00"/>
    <n v="2040"/>
    <m/>
    <d v="2012-01-02T00:00:00"/>
    <n v="2040"/>
    <d v="2012-01-16T00:00:00"/>
    <d v="2012-01-02T00:00:00"/>
    <n v="2040"/>
    <n v="2040"/>
    <x v="12"/>
    <d v="2012-01-21T00:00:00"/>
    <m/>
    <n v="9321653327"/>
    <n v="10"/>
    <s v="TSLU6401782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0475/000010"/>
    <n v="1370147715"/>
    <n v="10"/>
    <x v="25"/>
    <x v="25"/>
    <s v="R9"/>
    <n v="1500573601"/>
    <n v="23"/>
    <n v="573601"/>
    <s v="TT176130 TOAS SUBITO 2S H-D-C-I-N BL              "/>
    <s v="S"/>
    <d v="2012-01-13T00:00:00"/>
    <m/>
    <s v="X"/>
    <x v="47"/>
    <n v="8.94"/>
    <n v="299"/>
    <d v="2012-02-24T00:00:00"/>
    <d v="2012-01-06T00:00:00"/>
    <n v="2394"/>
    <d v="2012-01-06T00:00:00"/>
    <n v="2394"/>
    <m/>
    <d v="2012-01-06T00:00:00"/>
    <n v="2394"/>
    <d v="2012-03-01T00:00:00"/>
    <d v="2012-01-12T00:00:00"/>
    <n v="2394"/>
    <n v="2394"/>
    <x v="10"/>
    <d v="2012-03-01T00:00:00"/>
    <m/>
    <n v="9321653329"/>
    <n v="10"/>
    <s v="OOLU3674821"/>
    <s v="NYK ORPHEUS/18W52"/>
    <m/>
    <s v="YANTIAN"/>
    <m/>
    <m/>
    <s v="KENUS WONG"/>
    <s v="FO9"/>
    <s v="BEVERAGE                      "/>
    <s v="CONFIRMED"/>
    <n v="1"/>
    <n v="2"/>
    <d v="2012-01-12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390/000010"/>
    <n v="1370147842"/>
    <n v="10"/>
    <x v="25"/>
    <x v="25"/>
    <s v="R1"/>
    <n v="1500573708"/>
    <n v="23"/>
    <n v="573708"/>
    <s v="TL176530 TOAS SUBITO LS RED EUR                   "/>
    <s v="S"/>
    <d v="2012-01-11T00:00:00"/>
    <m/>
    <s v="X"/>
    <x v="47"/>
    <n v="13.1"/>
    <n v="15"/>
    <d v="2012-01-09T00:00:00"/>
    <d v="2012-01-08T00:00:00"/>
    <n v="2240"/>
    <d v="2012-01-08T00:00:00"/>
    <n v="2240"/>
    <m/>
    <d v="2012-01-08T00:00:00"/>
    <n v="2240"/>
    <d v="2012-01-09T00:00:00"/>
    <d v="2012-01-08T00:00:00"/>
    <n v="2240"/>
    <n v="2240"/>
    <x v="5"/>
    <d v="2012-01-11T00:00:00"/>
    <m/>
    <n v="9321653330"/>
    <n v="10"/>
    <m/>
    <m/>
    <m/>
    <s v="YANTIAN"/>
    <s v="UNLOAD JAN10 2012"/>
    <m/>
    <s v="ZANDRA LAM"/>
    <s v="FO9"/>
    <s v="BEVERAGE                      "/>
    <s v="CONFIRMED"/>
    <n v="1"/>
    <n v="2"/>
    <d v="2012-01-10T00:00:00"/>
    <s v="KITCHEN ELECTRICS             "/>
    <s v="BREAKFAST &amp; BREVAGE PREP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7/000006"/>
    <n v="1370147885"/>
    <n v="60"/>
    <x v="25"/>
    <x v="25"/>
    <s v="R1"/>
    <n v="1500573409"/>
    <n v="23"/>
    <n v="573409"/>
    <s v="TT356170 TOAS EXPRESS 3S BL/CHB KP/KR             "/>
    <s v="S"/>
    <d v="2012-01-13T00:00:00"/>
    <m/>
    <s v="X"/>
    <x v="47"/>
    <n v="10.28"/>
    <n v="11"/>
    <d v="2012-01-17T00:00:00"/>
    <d v="2012-01-03T00:00:00"/>
    <n v="2252"/>
    <d v="2012-01-03T00:00:00"/>
    <n v="2252"/>
    <m/>
    <d v="2012-01-03T00:00:00"/>
    <n v="2252"/>
    <d v="2012-01-17T00:00:00"/>
    <d v="2012-01-03T00:00:00"/>
    <n v="2252"/>
    <n v="2252"/>
    <x v="12"/>
    <d v="2012-01-21T00:00:00"/>
    <m/>
    <n v="9321653331"/>
    <n v="10"/>
    <s v="MSKU6842172"/>
    <s v="CONVENT/1202"/>
    <m/>
    <s v="YANTIAN"/>
    <m/>
    <m/>
    <s v="AGNES NUNES"/>
    <s v="FO9"/>
    <s v="BEVERAGE                      "/>
    <s v="CONFIRMED"/>
    <n v="1"/>
    <n v="1"/>
    <d v="2012-01-07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7/000007"/>
    <n v="1370147885"/>
    <n v="70"/>
    <x v="25"/>
    <x v="25"/>
    <s v="R9"/>
    <n v="1500578105"/>
    <n v="23"/>
    <n v="578105"/>
    <s v="TT111070 TOAS PRINCIPIO1BIS 2S LID WHT/G          "/>
    <s v="S"/>
    <d v="2012-01-13T00:00:00"/>
    <m/>
    <s v="X"/>
    <x v="47"/>
    <n v="7.58"/>
    <n v="11"/>
    <d v="2012-01-17T00:00:00"/>
    <d v="2012-01-03T00:00:00"/>
    <n v="2140"/>
    <d v="2012-01-03T00:00:00"/>
    <n v="2140"/>
    <m/>
    <d v="2012-01-03T00:00:00"/>
    <n v="2140"/>
    <d v="2012-01-17T00:00:00"/>
    <d v="2012-01-03T00:00:00"/>
    <n v="2140"/>
    <n v="2140"/>
    <x v="12"/>
    <d v="2012-01-21T00:00:00"/>
    <m/>
    <n v="9321653331"/>
    <n v="20"/>
    <s v="MSKU6842172"/>
    <s v="CONVENT/1202"/>
    <m/>
    <s v="YANTIAN"/>
    <s v="BU-ETD-TEMP/"/>
    <m/>
    <s v="AGNES NUNES"/>
    <s v="FO9"/>
    <s v="BEVERAGE                      "/>
    <s v="CONFIRMED"/>
    <n v="1"/>
    <n v="1"/>
    <d v="2012-01-07T00:00:00"/>
    <s v="KITCHEN ELECTRICS             "/>
    <s v="BREAKFAST &amp; BREVAGE PREP      "/>
    <x v="4"/>
    <x v="1"/>
    <x v="4"/>
    <s v="BU-ETD-TEMP"/>
    <n v="-3"/>
    <n v="-3"/>
    <x v="3"/>
    <n v="1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80/000005"/>
    <n v="1370147887"/>
    <n v="50"/>
    <x v="25"/>
    <x v="25"/>
    <s v="R1"/>
    <n v="1500573409"/>
    <n v="23"/>
    <n v="573409"/>
    <s v="TT356170 TOAS EXPRESS 3S BL/CHB KP/KR             "/>
    <s v="S"/>
    <d v="2012-01-17T00:00:00"/>
    <m/>
    <s v="X"/>
    <x v="47"/>
    <n v="10.28"/>
    <n v="9"/>
    <d v="2012-02-01T00:00:00"/>
    <d v="2012-01-18T00:00:00"/>
    <n v="2252"/>
    <d v="2012-01-18T00:00:00"/>
    <n v="2252"/>
    <m/>
    <d v="2012-01-18T00:00:00"/>
    <n v="2252"/>
    <d v="2012-01-28T00:00:00"/>
    <d v="2012-01-14T00:00:00"/>
    <n v="2252"/>
    <n v="2252"/>
    <x v="8"/>
    <d v="2012-01-30T00:00:00"/>
    <m/>
    <n v="9321653333"/>
    <n v="10"/>
    <s v="MSKU3683673"/>
    <s v="OTTO SCHULTE/1202"/>
    <m/>
    <s v="YANTIAN"/>
    <m/>
    <m/>
    <s v="AGNES NUNES"/>
    <s v="FO9"/>
    <s v="BEVERAGE                      "/>
    <s v="CONFIRMED"/>
    <n v="1"/>
    <n v="3"/>
    <d v="2012-01-16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0868/000010"/>
    <n v="1370146855"/>
    <n v="10"/>
    <x v="18"/>
    <x v="18"/>
    <s v="M5"/>
    <n v="2210015920"/>
    <n v="161"/>
    <s v="RO346901       "/>
    <s v="RO346901 VAC CLEANER COMPACTEO CYCLONIC           "/>
    <s v="S"/>
    <d v="2012-01-04T00:00:00"/>
    <m/>
    <s v="X"/>
    <x v="47"/>
    <n v="32.409999999999997"/>
    <n v="66919"/>
    <d v="2012-01-27T00:00:00"/>
    <d v="2011-12-23T00:00:00"/>
    <n v="1460"/>
    <d v="2012-01-03T00:00:00"/>
    <n v="1530"/>
    <m/>
    <d v="2011-12-27T00:00:00"/>
    <n v="1530"/>
    <d v="2012-02-07T00:00:00"/>
    <d v="2012-01-03T00:00:00"/>
    <n v="1530"/>
    <n v="1530"/>
    <x v="16"/>
    <d v="2012-02-07T00:00:00"/>
    <m/>
    <n v="9321653336"/>
    <n v="10"/>
    <s v="MAEU6326671"/>
    <s v="NEDLLOYD DRAKE/1202"/>
    <m/>
    <s v="SHANGHAI"/>
    <s v="C-POST-CONF"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1/000030"/>
    <n v="1370147543"/>
    <n v="30"/>
    <x v="18"/>
    <x v="18"/>
    <s v="M5"/>
    <n v="2210016380"/>
    <n v="74"/>
    <s v="RH7755IA       "/>
    <s v="RH7755IA POWERLINE BAGLESS RH7755 ECO             "/>
    <s v="S"/>
    <d v="2012-01-13T00:00:00"/>
    <m/>
    <s v="X"/>
    <x v="47"/>
    <n v="37.799999999999997"/>
    <n v="14879"/>
    <d v="2012-01-30T00:00:00"/>
    <d v="2012-01-02T00:00:00"/>
    <n v="520"/>
    <d v="2012-01-02T00:00:00"/>
    <n v="520"/>
    <m/>
    <d v="2012-01-06T00:00:00"/>
    <n v="520"/>
    <d v="2012-02-03T00:00:00"/>
    <d v="2012-01-06T00:00:00"/>
    <n v="520"/>
    <n v="520"/>
    <x v="5"/>
    <d v="2012-02-07T00:00:00"/>
    <m/>
    <n v="9321653339"/>
    <n v="10"/>
    <s v="OOLU7343734"/>
    <s v="BUSAN EXPRESS/04W01"/>
    <m/>
    <s v="SHANGHAI"/>
    <s v="SAILING-SCHED-UPDATED"/>
    <m/>
    <s v="JASON FAN"/>
    <s v="FO9"/>
    <s v="HOME CLEANING                 "/>
    <s v="CONFIRMED"/>
    <n v="1"/>
    <n v="2"/>
    <d v="2012-01-10T00:00:00"/>
    <s v="HOME CLEANING                 "/>
    <s v="HOME CLEANING                 "/>
    <x v="6"/>
    <x v="2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8941/000050"/>
    <n v="1370147543"/>
    <n v="50"/>
    <x v="18"/>
    <x v="18"/>
    <s v="M5"/>
    <n v="2210016490"/>
    <n v="74"/>
    <s v="RH7743IA       "/>
    <s v="RH7743IA POWERLINE BAGLESS CLEANER RH774          "/>
    <s v="S"/>
    <d v="2012-01-13T00:00:00"/>
    <m/>
    <s v="X"/>
    <x v="47"/>
    <n v="34.520000000000003"/>
    <n v="14879"/>
    <d v="2012-01-30T00:00:00"/>
    <d v="2012-01-02T00:00:00"/>
    <n v="1040"/>
    <d v="2012-01-02T00:00:00"/>
    <n v="1040"/>
    <m/>
    <d v="2012-01-06T00:00:00"/>
    <n v="1040"/>
    <d v="2012-02-03T00:00:00"/>
    <d v="2012-01-06T00:00:00"/>
    <n v="1040"/>
    <n v="1040"/>
    <x v="5"/>
    <d v="2012-02-07T00:00:00"/>
    <m/>
    <n v="9321653339"/>
    <n v="20"/>
    <s v="OOLU7550578"/>
    <s v="BUSAN EXPRESS/04W01"/>
    <m/>
    <s v="SHANGHAI"/>
    <s v="SAILING-SCHED-UPDATED"/>
    <m/>
    <s v="JASON FAN"/>
    <s v="FO9"/>
    <s v="HOME CLEANING                 "/>
    <s v="CONFIRMED"/>
    <n v="1"/>
    <n v="2"/>
    <d v="2012-01-10T00:00:00"/>
    <s v="HOME CLEANING                 "/>
    <s v="HOME CLEANING                 "/>
    <x v="6"/>
    <x v="2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8941/000060"/>
    <n v="1370147543"/>
    <n v="60"/>
    <x v="18"/>
    <x v="18"/>
    <s v="M5"/>
    <n v="2210016490"/>
    <n v="74"/>
    <s v="RH7743IA       "/>
    <s v="RH7743IA POWERLINE BAGLESS CLEANER RH774          "/>
    <s v="S"/>
    <d v="2012-01-10T00:00:00"/>
    <m/>
    <s v="X"/>
    <x v="47"/>
    <n v="34.520000000000003"/>
    <n v="14879"/>
    <d v="2012-02-06T00:00:00"/>
    <d v="2012-01-09T00:00:00"/>
    <n v="520"/>
    <d v="2012-01-09T00:00:00"/>
    <n v="520"/>
    <m/>
    <d v="2012-01-06T00:00:00"/>
    <n v="520"/>
    <d v="2012-02-05T00:00:00"/>
    <d v="2012-01-08T00:00:00"/>
    <n v="520"/>
    <n v="520"/>
    <x v="23"/>
    <d v="2012-02-05T00:00:00"/>
    <m/>
    <n v="9321653339"/>
    <n v="30"/>
    <s v="UACU8038123"/>
    <s v="XIN FU ZHOU/1202W"/>
    <m/>
    <s v="SHANGHAI"/>
    <m/>
    <m/>
    <s v="JASON FAN"/>
    <s v="FO9"/>
    <s v="HOME CLEANING                 "/>
    <s v="CONFIRMED"/>
    <n v="1"/>
    <n v="1"/>
    <d v="2012-01-08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1/000090"/>
    <n v="1370147543"/>
    <n v="90"/>
    <x v="18"/>
    <x v="18"/>
    <s v="M5"/>
    <n v="2210015543"/>
    <n v="161"/>
    <s v="RO342701       "/>
    <s v="RO342701 VAC CLEANER COMPACTEO CYCLONIC           "/>
    <s v="S"/>
    <d v="2012-01-10T00:00:00"/>
    <m/>
    <s v="X"/>
    <x v="47"/>
    <n v="30.83"/>
    <n v="14879"/>
    <d v="2012-01-30T00:00:00"/>
    <d v="2012-01-02T00:00:00"/>
    <n v="730"/>
    <d v="2012-01-02T00:00:00"/>
    <n v="730"/>
    <m/>
    <d v="2012-01-06T00:00:00"/>
    <n v="730"/>
    <d v="2012-02-05T00:00:00"/>
    <d v="2012-01-08T00:00:00"/>
    <n v="730"/>
    <n v="730"/>
    <x v="23"/>
    <d v="2012-02-05T00:00:00"/>
    <m/>
    <n v="9321653339"/>
    <n v="40"/>
    <s v="UACU8224262"/>
    <s v="XIN FU ZHOU/1202W"/>
    <m/>
    <s v="SHANGHAI"/>
    <m/>
    <m/>
    <s v="JASON FAN"/>
    <s v="FO9"/>
    <s v="HOME CLEANING                 "/>
    <s v="CONFIRMED"/>
    <n v="1"/>
    <n v="1"/>
    <d v="2012-01-08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1/000100"/>
    <n v="1370147543"/>
    <n v="100"/>
    <x v="18"/>
    <x v="18"/>
    <s v="M5"/>
    <n v="2210015543"/>
    <n v="161"/>
    <s v="RO342701       "/>
    <s v="RO342701 VAC CLEANER COMPACTEO CYCLONIC           "/>
    <s v="S"/>
    <d v="2012-01-10T00:00:00"/>
    <m/>
    <s v="X"/>
    <x v="47"/>
    <n v="30.83"/>
    <n v="14879"/>
    <d v="2012-02-06T00:00:00"/>
    <d v="2012-01-09T00:00:00"/>
    <n v="730"/>
    <d v="2012-01-09T00:00:00"/>
    <n v="730"/>
    <m/>
    <d v="2012-01-06T00:00:00"/>
    <n v="730"/>
    <d v="2012-02-05T00:00:00"/>
    <d v="2012-01-08T00:00:00"/>
    <n v="730"/>
    <n v="730"/>
    <x v="23"/>
    <d v="2012-02-05T00:00:00"/>
    <m/>
    <n v="9321653339"/>
    <n v="50"/>
    <s v="UACU8055049"/>
    <s v="XIN FU ZHOU/1202W"/>
    <m/>
    <s v="SHANGHAI"/>
    <m/>
    <m/>
    <s v="JASON FAN"/>
    <s v="FO9"/>
    <s v="HOME CLEANING                 "/>
    <s v="CONFIRMED"/>
    <n v="1"/>
    <n v="1"/>
    <d v="2012-01-08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1/000120"/>
    <n v="1370147543"/>
    <n v="120"/>
    <x v="18"/>
    <x v="18"/>
    <s v="M5"/>
    <n v="2210016200"/>
    <n v="74"/>
    <s v="RH7655IA       "/>
    <s v="RH7655IA POWERLINE STICK CLEANER ECO              "/>
    <s v="S"/>
    <d v="2012-01-13T00:00:00"/>
    <m/>
    <s v="X"/>
    <x v="47"/>
    <n v="35.479999999999997"/>
    <n v="14879"/>
    <d v="2012-01-30T00:00:00"/>
    <d v="2012-01-02T00:00:00"/>
    <n v="520"/>
    <d v="2012-01-02T00:00:00"/>
    <n v="520"/>
    <m/>
    <d v="2012-01-06T00:00:00"/>
    <n v="520"/>
    <d v="2012-02-03T00:00:00"/>
    <d v="2012-01-06T00:00:00"/>
    <n v="520"/>
    <n v="520"/>
    <x v="5"/>
    <d v="2012-02-07T00:00:00"/>
    <m/>
    <n v="9321653339"/>
    <n v="60"/>
    <s v="OOLU7343734"/>
    <s v="BUSAN EXPRESS/04W01"/>
    <m/>
    <s v="SHANGHAI"/>
    <s v="SAILING-SCHED-UPDATED"/>
    <m/>
    <s v="JASON FAN"/>
    <s v="FO9"/>
    <s v="HOME CLEANING                 "/>
    <s v="CONFIRMED"/>
    <n v="1"/>
    <n v="2"/>
    <d v="2012-01-10T00:00:00"/>
    <s v="HOME CLEANING                 "/>
    <s v="HOME CLEANING                 "/>
    <x v="6"/>
    <x v="2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8941/000130"/>
    <n v="1370147543"/>
    <n v="130"/>
    <x v="18"/>
    <x v="18"/>
    <s v="M5"/>
    <n v="2210015546"/>
    <n v="161"/>
    <s v="RO348601       "/>
    <s v="RO348601 VAC CLEANER COMPACTEO CYCLONIC           "/>
    <s v="S"/>
    <d v="2012-01-10T00:00:00"/>
    <m/>
    <s v="X"/>
    <x v="47"/>
    <n v="34.99"/>
    <n v="14879"/>
    <d v="2012-02-06T00:00:00"/>
    <d v="2012-01-09T00:00:00"/>
    <n v="730"/>
    <d v="2012-01-09T00:00:00"/>
    <n v="730"/>
    <m/>
    <d v="2012-01-06T00:00:00"/>
    <n v="730"/>
    <d v="2012-02-05T00:00:00"/>
    <d v="2012-01-08T00:00:00"/>
    <n v="730"/>
    <n v="730"/>
    <x v="23"/>
    <d v="2012-02-05T00:00:00"/>
    <m/>
    <n v="9321653339"/>
    <n v="70"/>
    <s v="UACU8055049"/>
    <s v="XIN FU ZHOU/1202W"/>
    <m/>
    <s v="SHANGHAI"/>
    <m/>
    <m/>
    <s v="JASON FAN"/>
    <s v="FO9"/>
    <s v="HOME CLEANING                 "/>
    <s v="CONFIRMED"/>
    <n v="1"/>
    <n v="1"/>
    <d v="2012-01-08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1/000170"/>
    <n v="1370147543"/>
    <n v="170"/>
    <x v="18"/>
    <x v="18"/>
    <s v="M5"/>
    <n v="2210016489"/>
    <n v="74"/>
    <s v="RH7737IA       "/>
    <s v="RH7737IA POWERLINE BAGLESS CLEANER RH773          "/>
    <s v="S"/>
    <d v="2012-01-10T00:00:00"/>
    <m/>
    <s v="X"/>
    <x v="47"/>
    <n v="30.17"/>
    <n v="14879"/>
    <d v="2012-02-06T00:00:00"/>
    <d v="2012-01-09T00:00:00"/>
    <n v="520"/>
    <d v="2012-01-09T00:00:00"/>
    <n v="520"/>
    <m/>
    <d v="2012-01-06T00:00:00"/>
    <n v="520"/>
    <d v="2012-02-05T00:00:00"/>
    <d v="2012-01-08T00:00:00"/>
    <n v="520"/>
    <n v="520"/>
    <x v="23"/>
    <d v="2012-02-05T00:00:00"/>
    <m/>
    <n v="9321653339"/>
    <n v="80"/>
    <s v="UACU8038123"/>
    <s v="XIN FU ZHOU/1202W"/>
    <m/>
    <s v="SHANGHAI"/>
    <m/>
    <m/>
    <s v="JASON FAN"/>
    <s v="FO9"/>
    <s v="HOME CLEANING                 "/>
    <s v="CONFIRMED"/>
    <n v="1"/>
    <n v="1"/>
    <d v="2012-01-08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1/000200"/>
    <n v="1370147543"/>
    <n v="200"/>
    <x v="18"/>
    <x v="18"/>
    <s v="M5"/>
    <n v="2210016199"/>
    <n v="74"/>
    <s v="RH7648IA       "/>
    <s v="RH7648IA POWERLINE STICK CLEANER                  "/>
    <s v="S"/>
    <d v="2012-01-13T00:00:00"/>
    <m/>
    <s v="X"/>
    <x v="47"/>
    <n v="30.09"/>
    <n v="14879"/>
    <d v="2012-01-30T00:00:00"/>
    <d v="2012-01-02T00:00:00"/>
    <n v="1040"/>
    <d v="2012-01-02T00:00:00"/>
    <n v="1040"/>
    <m/>
    <d v="2012-01-06T00:00:00"/>
    <n v="1040"/>
    <d v="2012-02-03T00:00:00"/>
    <d v="2012-01-06T00:00:00"/>
    <n v="1040"/>
    <n v="1040"/>
    <x v="5"/>
    <d v="2012-02-07T00:00:00"/>
    <m/>
    <n v="9321653339"/>
    <n v="90"/>
    <s v="OOLU7616525"/>
    <s v="BUSAN EXPRESS/04W01"/>
    <m/>
    <s v="SHANGHAI"/>
    <s v="SAILING-SCHED-UPDATED"/>
    <m/>
    <s v="JASON FAN"/>
    <s v="FO9"/>
    <s v="HOME CLEANING                 "/>
    <s v="CONFIRMED"/>
    <n v="1"/>
    <n v="2"/>
    <d v="2012-01-10T00:00:00"/>
    <s v="HOME CLEANING                 "/>
    <s v="HOME CLEANING                 "/>
    <x v="6"/>
    <x v="2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8942/000150"/>
    <n v="1370147544"/>
    <n v="150"/>
    <x v="18"/>
    <x v="18"/>
    <s v="M5"/>
    <n v="2210016201"/>
    <n v="74"/>
    <s v="RH7665IA       "/>
    <s v="RH7665IA POWERLINE STICK CLEANER ECO              "/>
    <s v="S"/>
    <d v="2012-01-16T00:00:00"/>
    <m/>
    <s v="X"/>
    <x v="47"/>
    <n v="36.32"/>
    <n v="13"/>
    <d v="2012-02-06T00:00:00"/>
    <d v="2012-01-09T00:00:00"/>
    <n v="520"/>
    <d v="2012-01-09T00:00:00"/>
    <n v="520"/>
    <m/>
    <d v="2012-01-06T00:00:00"/>
    <n v="520"/>
    <d v="2012-02-10T00:00:00"/>
    <d v="2012-01-13T00:00:00"/>
    <n v="520"/>
    <n v="520"/>
    <x v="9"/>
    <d v="2012-02-11T00:00:00"/>
    <m/>
    <n v="9321653340"/>
    <n v="10"/>
    <s v="OOLU3781007"/>
    <s v="APL HAMBURG/015W"/>
    <m/>
    <s v="SHANGHAI"/>
    <m/>
    <m/>
    <s v="JASON FAN"/>
    <s v="FO9"/>
    <s v="HOME CLEANING                 "/>
    <s v="CONFIRMED"/>
    <n v="1"/>
    <n v="2"/>
    <d v="2012-01-14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2/000170"/>
    <n v="1370147544"/>
    <n v="170"/>
    <x v="18"/>
    <x v="18"/>
    <s v="M5"/>
    <n v="2210016257"/>
    <n v="161"/>
    <s v="RO342301       "/>
    <s v="RO342301 VAC CLEANER COMPACTEO CYCLONIC           "/>
    <s v="S"/>
    <d v="2012-01-10T00:00:00"/>
    <m/>
    <s v="X"/>
    <x v="47"/>
    <n v="29.34"/>
    <n v="13"/>
    <d v="2012-02-01T00:00:00"/>
    <d v="2012-01-04T00:00:00"/>
    <n v="730"/>
    <d v="2012-01-04T00:00:00"/>
    <n v="730"/>
    <m/>
    <d v="2012-01-06T00:00:00"/>
    <n v="730"/>
    <d v="2012-02-05T00:00:00"/>
    <d v="2012-01-08T00:00:00"/>
    <n v="730"/>
    <n v="730"/>
    <x v="23"/>
    <d v="2012-02-05T00:00:00"/>
    <m/>
    <n v="9321653340"/>
    <n v="20"/>
    <s v="UACU8224262"/>
    <s v="XIN FU ZHOU/1202W"/>
    <m/>
    <s v="SHANGHAI"/>
    <m/>
    <m/>
    <s v="JASON FAN"/>
    <s v="FO9"/>
    <s v="HOME CLEANING                 "/>
    <s v="CONFIRMED"/>
    <n v="1"/>
    <n v="1"/>
    <d v="2012-01-08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52329/000010"/>
    <n v="1370147553"/>
    <n v="10"/>
    <x v="18"/>
    <x v="18"/>
    <s v="M5"/>
    <n v="2210016535"/>
    <n v="160"/>
    <s v="MO1523NA       "/>
    <s v="MO1523NA RED VAC CLEANER COMPACTEO                "/>
    <s v="S"/>
    <d v="2012-01-05T00:00:00"/>
    <m/>
    <s v="X"/>
    <x v="47"/>
    <n v="25.64"/>
    <n v="22489"/>
    <d v="2012-01-25T00:00:00"/>
    <d v="2011-12-28T00:00:00"/>
    <n v="1370"/>
    <d v="2011-12-28T00:00:00"/>
    <n v="1370"/>
    <m/>
    <d v="2011-12-28T00:00:00"/>
    <n v="1370"/>
    <d v="2012-01-22T00:00:00"/>
    <d v="2011-12-25T00:00:00"/>
    <n v="1370"/>
    <n v="1370"/>
    <x v="13"/>
    <d v="2012-01-29T00:00:00"/>
    <m/>
    <n v="9321653341"/>
    <n v="10"/>
    <s v="MSKU6512838"/>
    <s v="EBBA MAERSK 1202/"/>
    <m/>
    <s v="SHANGHAI"/>
    <m/>
    <m/>
    <s v="KENUS WONG"/>
    <s v="FO9"/>
    <s v="HOME CLEANING                 "/>
    <s v="CONFIRMED"/>
    <n v="1"/>
    <n v="52"/>
    <d v="2012-01-01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52330/000010"/>
    <n v="1370147555"/>
    <n v="10"/>
    <x v="18"/>
    <x v="18"/>
    <s v="M5"/>
    <n v="2210016535"/>
    <n v="160"/>
    <s v="MO1523NA       "/>
    <s v="MO1523NA RED VAC CLEANER COMPACTEO                "/>
    <s v="S"/>
    <d v="2012-01-05T00:00:00"/>
    <m/>
    <s v="X"/>
    <x v="47"/>
    <n v="25.64"/>
    <n v="22489"/>
    <d v="2012-01-25T00:00:00"/>
    <d v="2011-12-28T00:00:00"/>
    <n v="630"/>
    <d v="2011-12-28T00:00:00"/>
    <n v="630"/>
    <m/>
    <d v="2011-12-28T00:00:00"/>
    <n v="630"/>
    <d v="2012-01-22T00:00:00"/>
    <d v="2011-12-25T00:00:00"/>
    <n v="630"/>
    <n v="630"/>
    <x v="13"/>
    <d v="2012-01-29T00:00:00"/>
    <m/>
    <n v="9321653342"/>
    <n v="10"/>
    <s v="PONU0811770"/>
    <s v="EBBA MAERSK 1202/"/>
    <m/>
    <s v="SHANGHAI"/>
    <m/>
    <m/>
    <s v="KENUS WONG"/>
    <s v="FO9"/>
    <s v="HOME CLEANING                 "/>
    <s v="CONFIRMED"/>
    <n v="1"/>
    <n v="52"/>
    <d v="2012-01-01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830/000010"/>
    <n v="1370147610"/>
    <n v="10"/>
    <x v="18"/>
    <x v="18"/>
    <s v="M5"/>
    <n v="2210015545"/>
    <n v="161"/>
    <s v="RO344901       "/>
    <s v="RO344901 VAC CLEANER COMPACTEO CYCLONIC           "/>
    <s v="S"/>
    <d v="2012-01-04T00:00:00"/>
    <m/>
    <s v="X"/>
    <x v="47"/>
    <n v="31.33"/>
    <n v="1130"/>
    <d v="2012-02-24T00:00:00"/>
    <d v="2012-01-06T00:00:00"/>
    <n v="1710"/>
    <d v="2012-01-06T00:00:00"/>
    <n v="1710"/>
    <m/>
    <d v="2012-01-09T00:00:00"/>
    <n v="1710"/>
    <d v="2012-02-20T00:00:00"/>
    <d v="2012-01-02T00:00:00"/>
    <n v="1710"/>
    <n v="1710"/>
    <x v="16"/>
    <d v="2012-02-21T00:00:00"/>
    <m/>
    <n v="9321653343"/>
    <n v="10"/>
    <s v="APHU6374447"/>
    <s v="APL RUSSIA/020W"/>
    <m/>
    <s v="SHANGHAI"/>
    <s v="TP ISSUE"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840/000010"/>
    <n v="1370147626"/>
    <n v="10"/>
    <x v="18"/>
    <x v="18"/>
    <s v="M5"/>
    <n v="2210016764"/>
    <n v="161"/>
    <s v="RO334901       "/>
    <s v="RO334901 VAC CLEANER MINISPACE CYCLONIC           "/>
    <s v="S"/>
    <d v="2012-01-04T00:00:00"/>
    <m/>
    <s v="X"/>
    <x v="47"/>
    <n v="24.57"/>
    <n v="898"/>
    <d v="2012-02-24T00:00:00"/>
    <d v="2012-01-06T00:00:00"/>
    <n v="800"/>
    <d v="2012-01-06T00:00:00"/>
    <n v="800"/>
    <m/>
    <d v="2012-01-09T00:00:00"/>
    <n v="800"/>
    <d v="2012-02-20T00:00:00"/>
    <d v="2012-01-02T00:00:00"/>
    <n v="800"/>
    <n v="800"/>
    <x v="16"/>
    <d v="2012-02-21T00:00:00"/>
    <m/>
    <n v="9321653344"/>
    <n v="10"/>
    <s v="TTNU5283067"/>
    <s v="APL RUSSIA/020W"/>
    <m/>
    <s v="SHANGHAI"/>
    <s v="TP ISSUE"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213/000010"/>
    <n v="1370147642"/>
    <n v="10"/>
    <x v="18"/>
    <x v="18"/>
    <s v="M5"/>
    <n v="2210016257"/>
    <n v="161"/>
    <s v="RO342301       "/>
    <s v="RO342301 VAC CLEANER COMPACTEO CYCLONIC           "/>
    <s v="S"/>
    <d v="2012-01-04T00:00:00"/>
    <m/>
    <s v="X"/>
    <x v="47"/>
    <n v="29.34"/>
    <n v="1059"/>
    <d v="2012-02-17T00:00:00"/>
    <d v="2011-12-30T00:00:00"/>
    <n v="730"/>
    <d v="2011-12-30T00:00:00"/>
    <n v="730"/>
    <m/>
    <d v="2012-01-02T00:00:00"/>
    <n v="730"/>
    <d v="2012-02-20T00:00:00"/>
    <d v="2012-01-02T00:00:00"/>
    <n v="730"/>
    <n v="730"/>
    <x v="16"/>
    <d v="2012-02-21T00:00:00"/>
    <m/>
    <n v="9321653347"/>
    <n v="10"/>
    <s v="TRLU6505527"/>
    <s v="APL RUSSIA/020W"/>
    <m/>
    <s v="SHANGHAI"/>
    <s v="TP ISSUE"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201/000010"/>
    <n v="1370147648"/>
    <n v="10"/>
    <x v="18"/>
    <x v="18"/>
    <s v="M5"/>
    <n v="2210016281"/>
    <n v="160"/>
    <s v="RO1783R1       "/>
    <s v="RO1783R1 RED VAC CLEANER COMPACTEO UPGRA          "/>
    <s v="S"/>
    <d v="2012-01-05T00:00:00"/>
    <m/>
    <s v="X"/>
    <x v="47"/>
    <n v="29.42"/>
    <n v="1077"/>
    <d v="2012-02-17T00:00:00"/>
    <d v="2011-12-30T00:00:00"/>
    <n v="730"/>
    <d v="2011-12-30T00:00:00"/>
    <n v="730"/>
    <m/>
    <d v="2012-01-02T00:00:00"/>
    <n v="730"/>
    <d v="2012-02-20T00:00:00"/>
    <d v="2012-01-02T00:00:00"/>
    <n v="730"/>
    <n v="730"/>
    <x v="16"/>
    <d v="2012-02-21T00:00:00"/>
    <m/>
    <n v="9321653348"/>
    <n v="10"/>
    <s v="APZU4898411"/>
    <s v="APL RUSSIA/020W"/>
    <m/>
    <s v="SHANGHAI"/>
    <s v="TP ISSUE"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832/000010"/>
    <n v="1370147665"/>
    <n v="10"/>
    <x v="18"/>
    <x v="18"/>
    <s v="M5"/>
    <n v="2210016282"/>
    <n v="160"/>
    <s v="RO1795R1       "/>
    <s v="RO1795R1 BLACK VAC CLEANER COMPACTEO UPG          "/>
    <s v="S"/>
    <d v="2012-01-04T00:00:00"/>
    <m/>
    <s v="X"/>
    <x v="47"/>
    <n v="31.94"/>
    <n v="1168"/>
    <d v="2012-02-17T00:00:00"/>
    <d v="2011-12-30T00:00:00"/>
    <n v="1530"/>
    <d v="2011-12-30T00:00:00"/>
    <n v="1530"/>
    <m/>
    <d v="2012-01-02T00:00:00"/>
    <n v="1530"/>
    <d v="2012-02-19T00:00:00"/>
    <d v="2012-01-01T00:00:00"/>
    <n v="1530"/>
    <n v="1530"/>
    <x v="3"/>
    <d v="2012-02-20T00:00:00"/>
    <m/>
    <n v="9321653349"/>
    <n v="10"/>
    <s v="OOLU7913210"/>
    <s v="BUDAPEST EXPRESS/11W"/>
    <m/>
    <s v="SHANGHAI"/>
    <s v="TP ISSUE"/>
    <m/>
    <s v="KENUS WONG"/>
    <s v="FO9"/>
    <s v="HOME CLEANING                 "/>
    <s v="CONFIRMED"/>
    <n v="1"/>
    <n v="1"/>
    <d v="2012-01-02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834/000010"/>
    <n v="1370147666"/>
    <n v="10"/>
    <x v="18"/>
    <x v="18"/>
    <s v="M5"/>
    <n v="2210016183"/>
    <n v="160"/>
    <s v="RO1823R1       "/>
    <s v="RO1823R1 VACUUM CLEANER MINISPACE RO1823          "/>
    <s v="S"/>
    <d v="2012-01-10T00:00:00"/>
    <m/>
    <s v="X"/>
    <x v="47"/>
    <n v="21.3"/>
    <n v="776"/>
    <d v="2012-02-27T00:00:00"/>
    <d v="2012-01-09T00:00:00"/>
    <n v="800"/>
    <d v="2012-01-09T00:00:00"/>
    <n v="800"/>
    <m/>
    <d v="2012-01-09T00:00:00"/>
    <n v="800"/>
    <d v="2012-02-26T00:00:00"/>
    <d v="2012-01-08T00:00:00"/>
    <n v="800"/>
    <n v="800"/>
    <x v="0"/>
    <d v="2012-02-27T00:00:00"/>
    <m/>
    <n v="9321653350"/>
    <n v="10"/>
    <s v="OOLU7698950"/>
    <s v="OOCL NETHERLANDS/23W"/>
    <m/>
    <s v="SHANGHAI"/>
    <m/>
    <m/>
    <s v="KENUS WONG"/>
    <s v="FO9"/>
    <s v="HOME CLEANING                 "/>
    <s v="CONFIRMED"/>
    <n v="1"/>
    <n v="2"/>
    <d v="2012-01-09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185/000010"/>
    <n v="1370147716"/>
    <n v="10"/>
    <x v="18"/>
    <x v="18"/>
    <s v="M5"/>
    <n v="2210016184"/>
    <n v="160"/>
    <s v="RO1855R1       "/>
    <s v="RO1855R1 VACUUM CLEANER MINISPACE RO1855          "/>
    <s v="S"/>
    <d v="2012-01-10T00:00:00"/>
    <m/>
    <s v="X"/>
    <x v="47"/>
    <n v="22.38"/>
    <n v="814"/>
    <d v="2012-02-24T00:00:00"/>
    <d v="2012-01-06T00:00:00"/>
    <n v="800"/>
    <d v="2012-01-06T00:00:00"/>
    <n v="800"/>
    <m/>
    <d v="2012-01-09T00:00:00"/>
    <n v="800"/>
    <d v="2012-02-26T00:00:00"/>
    <d v="2012-01-08T00:00:00"/>
    <n v="800"/>
    <n v="800"/>
    <x v="0"/>
    <d v="2012-02-27T00:00:00"/>
    <m/>
    <n v="9321653352"/>
    <n v="10"/>
    <s v="OOLU7698950"/>
    <s v="OOCL NETHERLANDS/23W"/>
    <m/>
    <s v="SHANGHAI"/>
    <m/>
    <m/>
    <s v="KENUS WONG"/>
    <s v="FO9"/>
    <s v="HOME CLEANING                 "/>
    <s v="CONFIRMED"/>
    <n v="1"/>
    <n v="2"/>
    <d v="2012-01-09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967/000010"/>
    <n v="1370147720"/>
    <n v="10"/>
    <x v="18"/>
    <x v="18"/>
    <s v="M5"/>
    <n v="2210015546"/>
    <n v="161"/>
    <s v="RO348601       "/>
    <s v="RO348601 VAC CLEANER COMPACTEO CYCLONIC           "/>
    <s v="S"/>
    <d v="2012-01-04T00:00:00"/>
    <m/>
    <s v="X"/>
    <x v="47"/>
    <n v="34.99"/>
    <n v="1260"/>
    <d v="2012-03-02T00:00:00"/>
    <d v="2012-01-13T00:00:00"/>
    <n v="1530"/>
    <d v="2012-01-07T00:00:00"/>
    <n v="1530"/>
    <m/>
    <d v="2012-01-16T00:00:00"/>
    <n v="1530"/>
    <d v="2012-02-20T00:00:00"/>
    <d v="2012-01-02T00:00:00"/>
    <n v="1530"/>
    <n v="1530"/>
    <x v="16"/>
    <d v="2012-02-21T00:00:00"/>
    <m/>
    <n v="9321653353"/>
    <n v="10"/>
    <s v="TRLU4850904"/>
    <s v="APL RUSSIA/020W"/>
    <m/>
    <s v="SHANGHAI"/>
    <s v="C-PULLIN-CONF/TP ISSUE"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196/000010"/>
    <n v="1370147744"/>
    <n v="10"/>
    <x v="18"/>
    <x v="18"/>
    <s v="M5"/>
    <n v="2210016280"/>
    <n v="160"/>
    <s v="RO1767R1       "/>
    <s v="RO1767R1 WHITE VAC CLEANER COMPACTEO UPG          "/>
    <s v="S"/>
    <d v="2012-01-10T00:00:00"/>
    <m/>
    <s v="X"/>
    <x v="47"/>
    <n v="25.75"/>
    <n v="946"/>
    <d v="2012-02-27T00:00:00"/>
    <d v="2012-01-09T00:00:00"/>
    <n v="730"/>
    <d v="2012-01-09T00:00:00"/>
    <n v="730"/>
    <m/>
    <d v="2012-01-09T00:00:00"/>
    <n v="730"/>
    <d v="2012-02-26T00:00:00"/>
    <d v="2012-01-08T00:00:00"/>
    <n v="730"/>
    <n v="730"/>
    <x v="0"/>
    <d v="2012-02-27T00:00:00"/>
    <m/>
    <n v="9321653355"/>
    <n v="10"/>
    <s v="OOLU7529842"/>
    <s v="OOCL NETHERLANDS/23W"/>
    <m/>
    <s v="SHANGHAI"/>
    <m/>
    <m/>
    <s v="KENUS WONG"/>
    <s v="FO9"/>
    <s v="HOME CLEANING                 "/>
    <s v="CONFIRMED"/>
    <n v="1"/>
    <n v="2"/>
    <d v="2012-01-09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195/000010"/>
    <n v="1370147746"/>
    <n v="10"/>
    <x v="18"/>
    <x v="18"/>
    <s v="M5"/>
    <n v="2210016280"/>
    <n v="160"/>
    <s v="RO1767R1       "/>
    <s v="RO1767R1 WHITE VAC CLEANER COMPACTEO UPG          "/>
    <s v="S"/>
    <d v="2012-01-05T00:00:00"/>
    <m/>
    <s v="X"/>
    <x v="47"/>
    <n v="25.75"/>
    <n v="946"/>
    <d v="2012-02-17T00:00:00"/>
    <d v="2011-12-30T00:00:00"/>
    <n v="730"/>
    <d v="2011-12-30T00:00:00"/>
    <n v="730"/>
    <m/>
    <d v="2012-01-02T00:00:00"/>
    <n v="730"/>
    <d v="2012-02-20T00:00:00"/>
    <d v="2012-01-02T00:00:00"/>
    <n v="730"/>
    <n v="730"/>
    <x v="16"/>
    <d v="2012-02-21T00:00:00"/>
    <m/>
    <n v="9321653356"/>
    <n v="10"/>
    <s v="APZU4898411"/>
    <s v="APL RUSSIA/020W"/>
    <m/>
    <s v="SHANGHAI"/>
    <s v="TP ISSUE"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282/000010"/>
    <n v="1370147760"/>
    <n v="10"/>
    <x v="18"/>
    <x v="18"/>
    <s v="M5"/>
    <n v="2210016732"/>
    <n v="161"/>
    <s v="RO332101       "/>
    <s v="RO332101 VAC CLEANER MINISPACE CYCLONICR          "/>
    <s v="S"/>
    <d v="2012-01-04T00:00:00"/>
    <m/>
    <s v="X"/>
    <x v="47"/>
    <n v="23.47"/>
    <n v="859"/>
    <d v="2012-02-17T00:00:00"/>
    <d v="2011-12-30T00:00:00"/>
    <n v="800"/>
    <d v="2011-12-26T00:00:00"/>
    <n v="800"/>
    <m/>
    <d v="2012-01-02T00:00:00"/>
    <n v="800"/>
    <d v="2012-02-19T00:00:00"/>
    <d v="2012-01-01T00:00:00"/>
    <n v="800"/>
    <n v="800"/>
    <x v="3"/>
    <d v="2012-02-20T00:00:00"/>
    <m/>
    <n v="9321653357"/>
    <n v="10"/>
    <s v="OOLU1961289"/>
    <s v="BUDAPEST EXPRESS/11W"/>
    <m/>
    <s v="SHANGHAI"/>
    <s v="TP ISSUE"/>
    <m/>
    <s v="KENUS WONG"/>
    <s v="FO9"/>
    <s v="HOME CLEANING                 "/>
    <s v="CONFIRMED"/>
    <n v="1"/>
    <n v="1"/>
    <d v="2012-01-02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2742/000010"/>
    <n v="1370147959"/>
    <n v="10"/>
    <x v="18"/>
    <x v="18"/>
    <s v="M5"/>
    <n v="2210016181"/>
    <n v="160"/>
    <s v="RO178301       "/>
    <s v="RO178301 RED VAC CLEANER COMPACTEO UPGRA          "/>
    <s v="S"/>
    <d v="2012-01-06T00:00:00"/>
    <m/>
    <s v="X"/>
    <x v="47"/>
    <n v="27.56"/>
    <n v="24"/>
    <d v="2012-01-23T00:00:00"/>
    <d v="2011-12-26T00:00:00"/>
    <n v="730"/>
    <d v="2012-01-09T00:00:00"/>
    <n v="730"/>
    <m/>
    <d v="2011-12-26T00:00:00"/>
    <n v="730"/>
    <d v="2012-02-03T00:00:00"/>
    <d v="2012-01-06T00:00:00"/>
    <n v="730"/>
    <n v="730"/>
    <x v="7"/>
    <d v="2012-02-03T00:00:00"/>
    <m/>
    <n v="9321653359"/>
    <n v="10"/>
    <s v="SCMU2065510"/>
    <s v="CMA CGM FAUST/ME810W"/>
    <m/>
    <s v="SHANGHAI"/>
    <s v="C-POST-CONF"/>
    <m/>
    <s v="JASON FAN"/>
    <s v="FO9"/>
    <s v="HOME CLEANING                 "/>
    <s v="CONFIRMED"/>
    <n v="1"/>
    <n v="1"/>
    <d v="2012-01-06T00:00:00"/>
    <s v="HOME CLEANING                 "/>
    <s v="HOME CLEANING                 "/>
    <x v="6"/>
    <x v="2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58/000060"/>
    <n v="1370147546"/>
    <n v="60"/>
    <x v="41"/>
    <x v="41"/>
    <s v="A3"/>
    <n v="2100059080"/>
    <n v="240"/>
    <s v="M8000302       "/>
    <s v="M8000302 SALAD SPINNER SALAD BOWL CROCOP          "/>
    <s v="S"/>
    <d v="2012-01-06T00:00:00"/>
    <m/>
    <s v="X"/>
    <x v="47"/>
    <n v="3.7848000000000002"/>
    <n v="8"/>
    <d v="2012-01-30T00:00:00"/>
    <d v="2012-01-02T00:00:00"/>
    <n v="4032"/>
    <d v="2012-01-02T00:00:00"/>
    <n v="4032"/>
    <m/>
    <d v="2012-01-02T00:00:00"/>
    <n v="4032"/>
    <d v="2012-01-30T00:00:00"/>
    <d v="2012-01-02T00:00:00"/>
    <n v="4032"/>
    <n v="4032"/>
    <x v="6"/>
    <d v="2012-02-02T00:00:00"/>
    <m/>
    <n v="9321653361"/>
    <n v="10"/>
    <s v="UACU8315911"/>
    <s v="XIN PU DONG/1201W"/>
    <m/>
    <s v="YANTIAN"/>
    <s v="waiting TP"/>
    <m/>
    <s v="JASON FAN"/>
    <s v="FO9"/>
    <s v="COOKWARE                      "/>
    <s v="CONFIRMED"/>
    <n v="1"/>
    <n v="1"/>
    <d v="2012-01-05T00:00:00"/>
    <s v="COOKWARE                      "/>
    <s v="COOKWARE        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52405/000010"/>
    <n v="1370147923"/>
    <n v="10"/>
    <x v="41"/>
    <x v="41"/>
    <s v="A3"/>
    <n v="2100059080"/>
    <n v="240"/>
    <s v="M8000302       "/>
    <s v="M8000302 SALAD SPINNER SALAD BOWL CROCOP          "/>
    <s v="S"/>
    <d v="2012-01-18T00:00:00"/>
    <m/>
    <s v="X"/>
    <x v="47"/>
    <n v="3.7848000000000002"/>
    <n v="3"/>
    <d v="2012-02-17T00:00:00"/>
    <d v="2012-01-13T00:00:00"/>
    <n v="4032"/>
    <d v="2012-01-13T00:00:00"/>
    <n v="4032"/>
    <m/>
    <d v="2012-01-13T00:00:00"/>
    <n v="4032"/>
    <d v="2012-02-17T00:00:00"/>
    <d v="2012-01-13T00:00:00"/>
    <n v="4032"/>
    <n v="4032"/>
    <x v="21"/>
    <d v="2012-02-22T00:00:00"/>
    <m/>
    <n v="9321653362"/>
    <n v="10"/>
    <s v="OOLU7512156"/>
    <s v="APL HAMBURG/015W"/>
    <m/>
    <s v="YANTIAN"/>
    <m/>
    <m/>
    <s v="JASON FAN"/>
    <s v="FO9"/>
    <s v="COOKWARE                      "/>
    <s v="CONFIRMED"/>
    <n v="1"/>
    <n v="3"/>
    <d v="2012-01-18T00:00:00"/>
    <s v="COOKWARE                      "/>
    <s v="COOKWARE        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0670/000010"/>
    <n v="1370146632"/>
    <n v="10"/>
    <x v="11"/>
    <x v="11"/>
    <s v="J4"/>
    <n v="1830003715"/>
    <n v="1"/>
    <s v="FV1215E0       "/>
    <s v="FV1215E0 STEAM IRON INICIO 15                     "/>
    <s v="S"/>
    <d v="2012-01-12T00:00:00"/>
    <m/>
    <s v="X"/>
    <x v="47"/>
    <n v="7.6"/>
    <n v="46"/>
    <d v="2012-02-10T00:00:00"/>
    <d v="2012-01-06T00:00:00"/>
    <n v="4680"/>
    <d v="2012-01-06T00:00:00"/>
    <n v="4680"/>
    <m/>
    <d v="2012-01-06T00:00:00"/>
    <n v="4680"/>
    <d v="2012-02-11T00:00:00"/>
    <d v="2012-01-07T00:00:00"/>
    <n v="4680"/>
    <n v="4680"/>
    <x v="12"/>
    <d v="2012-02-11T00:00:00"/>
    <m/>
    <n v="9321653365"/>
    <n v="10"/>
    <s v="TRLU8624016"/>
    <s v="COSCO GERMANY/037W"/>
    <m/>
    <s v="XIAMEN"/>
    <m/>
    <m/>
    <s v="KENUS WONG"/>
    <s v="FO9"/>
    <s v="LINEN CARE                    "/>
    <s v="CONFIRMED"/>
    <n v="1"/>
    <n v="1"/>
    <d v="2012-01-07T00:00:00"/>
    <s v="LINEN PERS HOME CARE          "/>
    <s v="LINEN CARE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11/HKG/"/>
    <n v="1370147369"/>
    <n v="10"/>
    <x v="11"/>
    <x v="11"/>
    <s v="J4"/>
    <n v="1830003602"/>
    <n v="1"/>
    <s v="FV1210Y0       "/>
    <s v="FV1210Y0 STEAM IRON INICIO 10                     "/>
    <s v="S"/>
    <d v="2012-01-11T00:00:00"/>
    <m/>
    <s v="X"/>
    <x v="47"/>
    <n v="8.0299999999999994"/>
    <n v="8"/>
    <d v="2011-12-18T00:00:00"/>
    <d v="2011-12-18T00:00:00"/>
    <n v="600"/>
    <d v="2012-01-08T00:00:00"/>
    <n v="600"/>
    <m/>
    <d v="2011-12-18T00:00:00"/>
    <n v="600"/>
    <d v="2012-01-08T00:00:00"/>
    <d v="2012-01-08T00:00:00"/>
    <n v="600"/>
    <n v="600"/>
    <x v="23"/>
    <d v="2012-01-08T00:00:00"/>
    <m/>
    <n v="9321653368"/>
    <n v="10"/>
    <m/>
    <s v="GUO MAO 108"/>
    <m/>
    <s v="XIAMEN"/>
    <s v="C-LCL-SHIPMENT/"/>
    <m/>
    <s v="THOMAS HO"/>
    <s v="FO9"/>
    <s v="LINEN CARE                    "/>
    <s v="CONFIRMED"/>
    <n v="1"/>
    <n v="1"/>
    <d v="2012-01-08T00:00:00"/>
    <s v="LINEN PERS HOME CARE          "/>
    <s v="LINEN CARE                    "/>
    <x v="5"/>
    <x v="2"/>
    <x v="1"/>
    <m/>
    <n v="0"/>
    <n v="0"/>
    <x v="1"/>
    <n v="1"/>
    <x v="0"/>
    <x v="0"/>
    <x v="1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1714/000010"/>
    <n v="1370147448"/>
    <n v="10"/>
    <x v="11"/>
    <x v="11"/>
    <s v="J4"/>
    <n v="1830003475"/>
    <n v="1"/>
    <s v="FV1230G0       "/>
    <s v="FV1230G0 STEAM IRON INICIO 30                     "/>
    <s v="S"/>
    <d v="2012-01-10T00:00:00"/>
    <m/>
    <s v="X"/>
    <x v="47"/>
    <n v="9.11"/>
    <n v="6"/>
    <d v="2012-02-13T00:00:00"/>
    <d v="2012-01-09T00:00:00"/>
    <n v="4320"/>
    <d v="2012-01-09T00:00:00"/>
    <n v="4320"/>
    <m/>
    <d v="2012-01-09T00:00:00"/>
    <n v="4320"/>
    <d v="2012-02-12T00:00:00"/>
    <d v="2012-01-08T00:00:00"/>
    <n v="4320"/>
    <n v="4320"/>
    <x v="23"/>
    <d v="2012-02-12T00:00:00"/>
    <m/>
    <n v="9321653369"/>
    <n v="10"/>
    <s v="NYKU3465280"/>
    <s v="OOCL LONDON 10W01/"/>
    <m/>
    <s v="XIAMEN"/>
    <m/>
    <m/>
    <s v="KENUS WONG"/>
    <s v="FO9"/>
    <s v="LINEN CARE                    "/>
    <s v="CONFIRMED"/>
    <n v="1"/>
    <n v="1"/>
    <d v="2012-01-08T00:00:00"/>
    <s v="LINEN PERS HOME CARE          "/>
    <s v="LINEN CARE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09/000001"/>
    <n v="1370147592"/>
    <n v="10"/>
    <x v="11"/>
    <x v="11"/>
    <s v="J4"/>
    <n v="1830003143"/>
    <n v="64"/>
    <s v="IS5200Q0       "/>
    <s v="IS5200Q0 GARMENT STEAMER STEAM CONTROL            "/>
    <s v="S"/>
    <d v="2012-02-09T00:00:00"/>
    <m/>
    <s v="X"/>
    <x v="47"/>
    <n v="33.36"/>
    <n v="510961"/>
    <d v="2012-01-23T00:00:00"/>
    <d v="2011-12-19T00:00:00"/>
    <n v="450"/>
    <d v="2011-12-19T00:00:00"/>
    <n v="450"/>
    <m/>
    <d v="2011-12-17T00:00:00"/>
    <n v="450"/>
    <d v="2012-01-23T00:00:00"/>
    <d v="2011-12-19T00:00:00"/>
    <n v="450"/>
    <n v="450"/>
    <x v="3"/>
    <d v="2012-02-06T00:00:00"/>
    <m/>
    <n v="9321653370"/>
    <n v="10"/>
    <s v="GVCU4039775"/>
    <s v="CMA CGM VERLAINE"/>
    <m/>
    <s v="XIAMEN"/>
    <s v="C-POST-CONF/WRONG DOCUMENT FROM SUPPLIER"/>
    <m/>
    <s v="TWEETY LEUNG"/>
    <s v="FO9"/>
    <s v="LINEN CARE                    "/>
    <s v="CONFIRMED"/>
    <n v="1"/>
    <n v="1"/>
    <d v="2012-01-02T00:00:00"/>
    <s v="LINEN PERS HOME CARE          "/>
    <s v="LINEN CARE                    "/>
    <x v="5"/>
    <x v="2"/>
    <x v="3"/>
    <s v="C-POST-CONF"/>
    <n v="-3"/>
    <n v="-3"/>
    <x v="0"/>
    <n v="2"/>
    <x v="0"/>
    <x v="0"/>
    <x v="1"/>
    <n v="0"/>
    <n v="0"/>
    <n v="0"/>
    <n v="0"/>
    <n v="0"/>
    <n v="0"/>
    <x v="1"/>
    <x v="0"/>
    <x v="1"/>
    <x v="0"/>
  </r>
  <r>
    <s v="Shipment"/>
    <n v="99103498"/>
    <s v="GSE/DSV BLP WAREHOUSE YANTIAN                     "/>
    <n v="99005151"/>
    <x v="18"/>
    <s v="9321651829/000010"/>
    <n v="1370147801"/>
    <n v="10"/>
    <x v="11"/>
    <x v="11"/>
    <s v="P1"/>
    <n v="1500675360"/>
    <n v="106"/>
    <n v="675360"/>
    <s v="HM101060 BATTEUR B/R MLX ARAB.                    "/>
    <s v="S"/>
    <d v="2012-01-17T00:00:00"/>
    <m/>
    <s v="X"/>
    <x v="47"/>
    <n v="8.3800000000000008"/>
    <n v="9"/>
    <d v="2012-01-12T00:00:00"/>
    <d v="2012-01-09T00:00:00"/>
    <n v="1002"/>
    <d v="2012-01-09T00:00:00"/>
    <n v="1002"/>
    <m/>
    <d v="2012-01-10T00:00:00"/>
    <n v="1002"/>
    <d v="2012-01-13T00:00:00"/>
    <d v="2012-01-10T00:00:00"/>
    <n v="1002"/>
    <n v="1002"/>
    <x v="24"/>
    <d v="2012-01-16T00:00:00"/>
    <m/>
    <n v="9321653373"/>
    <n v="10"/>
    <m/>
    <m/>
    <m/>
    <s v="XIAMEN"/>
    <m/>
    <m/>
    <s v="ZANDRA LAM"/>
    <s v="FO9"/>
    <s v="FOOD PREPARATION              "/>
    <s v="CONFIRMED"/>
    <n v="1"/>
    <n v="2"/>
    <d v="2012-01-13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822/000010"/>
    <n v="1370147803"/>
    <n v="10"/>
    <x v="11"/>
    <x v="11"/>
    <s v="P1"/>
    <n v="1500675345"/>
    <n v="106"/>
    <n v="675345"/>
    <s v="HM101045 HAND MIXER PRINCIPIO 2                   "/>
    <s v="S"/>
    <d v="2012-01-09T00:00:00"/>
    <m/>
    <s v="X"/>
    <x v="47"/>
    <n v="7.88"/>
    <n v="9"/>
    <d v="2012-01-05T00:00:00"/>
    <d v="2012-01-02T00:00:00"/>
    <n v="1002"/>
    <d v="2012-01-02T00:00:00"/>
    <n v="1002"/>
    <m/>
    <m/>
    <m/>
    <d v="2012-01-08T00:00:00"/>
    <d v="2012-01-05T00:00:00"/>
    <n v="1002"/>
    <n v="1002"/>
    <x v="6"/>
    <d v="2012-01-08T00:00:00"/>
    <m/>
    <n v="9321653374"/>
    <n v="10"/>
    <s v="BY TRUCK"/>
    <s v="BY TRUCK"/>
    <m/>
    <s v="XIAMEN"/>
    <m/>
    <m/>
    <s v="ZANDRA LAM"/>
    <s v="FO9"/>
    <s v="FOOD PREPARATION              "/>
    <s v="CONFIRMED"/>
    <n v="1"/>
    <n v="1"/>
    <d v="2012-01-05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47425/000010"/>
    <n v="1370146662"/>
    <n v="10"/>
    <x v="20"/>
    <x v="20"/>
    <s v="A7"/>
    <n v="8700800214"/>
    <n v="205"/>
    <n v="59905"/>
    <s v="59905 ASPARAGUS POT  INOX ALL -CLAD               "/>
    <s v="S"/>
    <d v="2012-01-06T00:00:00"/>
    <m/>
    <s v="X"/>
    <x v="47"/>
    <n v="14.75"/>
    <n v="17"/>
    <d v="2012-02-06T00:00:00"/>
    <d v="2012-01-02T00:00:00"/>
    <n v="1000"/>
    <d v="2012-01-02T00:00:00"/>
    <n v="1000"/>
    <m/>
    <d v="2012-01-02T00:00:00"/>
    <n v="1000"/>
    <d v="2012-02-06T00:00:00"/>
    <d v="2012-01-02T00:00:00"/>
    <n v="1000"/>
    <n v="1000"/>
    <x v="13"/>
    <d v="2012-02-05T00:00:00"/>
    <m/>
    <n v="9321653377"/>
    <n v="10"/>
    <s v="TCLU8226939"/>
    <s v="ITAL LAGUNA 0608-036"/>
    <m/>
    <s v="YANTIAN"/>
    <s v="LATE EDI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7424/000010"/>
    <n v="1370146663"/>
    <n v="10"/>
    <x v="20"/>
    <x v="20"/>
    <s v="A7"/>
    <n v="8700800204"/>
    <n v="205"/>
    <n v="59912"/>
    <s v="59912 12 QT MULTICOOKER                           "/>
    <s v="S"/>
    <d v="2012-01-06T00:00:00"/>
    <m/>
    <s v="X"/>
    <x v="47"/>
    <n v="38.619999999999997"/>
    <n v="45"/>
    <d v="2012-02-10T00:00:00"/>
    <d v="2012-01-06T00:00:00"/>
    <n v="1500"/>
    <d v="2012-01-06T00:00:00"/>
    <n v="1500"/>
    <m/>
    <d v="2012-01-06T00:00:00"/>
    <n v="1500"/>
    <d v="2012-02-06T00:00:00"/>
    <d v="2012-01-02T00:00:00"/>
    <n v="1500"/>
    <n v="1500"/>
    <x v="13"/>
    <d v="2012-02-05T00:00:00"/>
    <m/>
    <n v="9321653378"/>
    <n v="10"/>
    <s v="FCIU8292146"/>
    <s v="ITAL LAGUNA 0608-036"/>
    <m/>
    <s v="YANTIAN"/>
    <s v="LATE EDI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7448/000010"/>
    <n v="1370146664"/>
    <n v="10"/>
    <x v="20"/>
    <x v="20"/>
    <s v="A7"/>
    <n v="8701000492"/>
    <n v="235"/>
    <s v="T181           "/>
    <s v="T181 WS 7 PCE TOOL SET                            "/>
    <s v="S"/>
    <d v="2012-01-06T00:00:00"/>
    <m/>
    <s v="X"/>
    <x v="47"/>
    <n v="26.14"/>
    <n v="31"/>
    <d v="2012-02-06T00:00:00"/>
    <d v="2012-01-02T00:00:00"/>
    <n v="1500"/>
    <d v="2012-01-02T00:00:00"/>
    <n v="1500"/>
    <m/>
    <d v="2012-01-02T00:00:00"/>
    <n v="1500"/>
    <d v="2012-02-06T00:00:00"/>
    <d v="2012-01-02T00:00:00"/>
    <n v="1500"/>
    <n v="1500"/>
    <x v="13"/>
    <d v="2012-02-05T00:00:00"/>
    <m/>
    <n v="9321653379"/>
    <n v="10"/>
    <s v="LTIU8006025"/>
    <s v="ITAL LAGUNA 0608-036"/>
    <m/>
    <s v="YANTIAN"/>
    <s v="LATE EDI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0505/000010"/>
    <n v="1370147635"/>
    <n v="10"/>
    <x v="53"/>
    <x v="53"/>
    <s v="R1"/>
    <n v="1500574008"/>
    <n v="23"/>
    <n v="574008"/>
    <s v="TT225131 TOASTER SIMPLY INVENTS 2SL               "/>
    <s v="S"/>
    <d v="2012-01-05T00:00:00"/>
    <m/>
    <s v="X"/>
    <x v="47"/>
    <n v="8.57"/>
    <n v="308"/>
    <d v="2012-02-17T00:00:00"/>
    <d v="2011-12-30T00:00:00"/>
    <n v="1884"/>
    <d v="2011-12-30T00:00:00"/>
    <n v="1884"/>
    <m/>
    <d v="2011-12-30T00:00:00"/>
    <n v="1884"/>
    <d v="2012-02-23T00:00:00"/>
    <d v="2012-01-05T00:00:00"/>
    <n v="1884"/>
    <n v="1884"/>
    <x v="6"/>
    <d v="2012-02-23T00:00:00"/>
    <m/>
    <n v="9321653381"/>
    <n v="10"/>
    <s v="TRLU6460335"/>
    <s v="MOL MAXIM/010W"/>
    <m/>
    <s v="YANTIAN"/>
    <m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0694/000010"/>
    <n v="1370147700"/>
    <n v="10"/>
    <x v="53"/>
    <x v="53"/>
    <s v="R1"/>
    <n v="8000032781"/>
    <n v="55"/>
    <s v="KI201640       "/>
    <s v="KI201640 KET REMINISCE BLK                        "/>
    <s v="S"/>
    <d v="2012-01-05T00:00:00"/>
    <m/>
    <s v="X"/>
    <x v="47"/>
    <n v="17.48"/>
    <n v="622"/>
    <d v="2012-02-06T00:00:00"/>
    <d v="2011-12-19T00:00:00"/>
    <n v="2019"/>
    <d v="2012-01-05T00:00:00"/>
    <n v="2019"/>
    <m/>
    <d v="2011-12-19T00:00:00"/>
    <n v="2019"/>
    <d v="2012-02-23T00:00:00"/>
    <d v="2012-01-05T00:00:00"/>
    <n v="2019"/>
    <n v="2019"/>
    <x v="6"/>
    <d v="2012-02-23T00:00:00"/>
    <m/>
    <n v="9321653382"/>
    <n v="10"/>
    <s v="TRLU6460335"/>
    <s v="MOL MAXIM/010W"/>
    <m/>
    <s v="YANTIAN"/>
    <s v="C-POST-CONF/"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0688/000010"/>
    <n v="1370147714"/>
    <n v="10"/>
    <x v="53"/>
    <x v="53"/>
    <s v="R1"/>
    <n v="8000032656"/>
    <n v="55"/>
    <s v="KI201540       "/>
    <s v="KI201540 KET REMINISCE STAIN/BLK                  "/>
    <s v="S"/>
    <d v="2012-01-05T00:00:00"/>
    <m/>
    <s v="X"/>
    <x v="47"/>
    <n v="16.850000000000001"/>
    <n v="600"/>
    <d v="2012-02-17T00:00:00"/>
    <d v="2011-12-30T00:00:00"/>
    <n v="4092"/>
    <d v="2011-12-30T00:00:00"/>
    <n v="4092"/>
    <m/>
    <d v="2011-12-30T00:00:00"/>
    <n v="4092"/>
    <d v="2012-02-23T00:00:00"/>
    <d v="2012-01-05T00:00:00"/>
    <n v="4092"/>
    <n v="4092"/>
    <x v="6"/>
    <d v="2012-02-23T00:00:00"/>
    <m/>
    <n v="9321653383"/>
    <n v="10"/>
    <s v="TGHU4531907"/>
    <s v="MOL MAXIM/010W"/>
    <m/>
    <s v="YANTIAN"/>
    <m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0415/000010"/>
    <n v="1370147771"/>
    <n v="10"/>
    <x v="53"/>
    <x v="53"/>
    <s v="R1"/>
    <n v="1500539646"/>
    <n v="23"/>
    <n v="539646"/>
    <s v="539646 TOAS LC WHT/GRG RU                         "/>
    <s v="S"/>
    <d v="2012-01-05T00:00:00"/>
    <m/>
    <s v="X"/>
    <x v="47"/>
    <n v="7.37"/>
    <n v="271"/>
    <d v="2012-02-17T00:00:00"/>
    <d v="2011-12-30T00:00:00"/>
    <n v="5292"/>
    <d v="2011-12-30T00:00:00"/>
    <n v="5292"/>
    <m/>
    <d v="2011-12-30T00:00:00"/>
    <n v="5292"/>
    <d v="2012-02-23T00:00:00"/>
    <d v="2012-01-05T00:00:00"/>
    <n v="5292"/>
    <n v="5292"/>
    <x v="6"/>
    <d v="2012-02-23T00:00:00"/>
    <m/>
    <n v="9321653384"/>
    <n v="10"/>
    <s v="GESU5736642"/>
    <s v="MOL MAXIM/010W"/>
    <m/>
    <s v="YANTIAN"/>
    <m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1/000160"/>
    <n v="1370147543"/>
    <n v="160"/>
    <x v="4"/>
    <x v="4"/>
    <s v="M5"/>
    <n v="2210016090"/>
    <n v="68"/>
    <s v="RH857501       "/>
    <s v="RH857501 CORDLESS HANDSTICK-24V                   "/>
    <s v="S"/>
    <d v="2012-01-06T00:00:00"/>
    <m/>
    <s v="X"/>
    <x v="47"/>
    <n v="57.2"/>
    <n v="14879"/>
    <d v="2012-01-30T00:00:00"/>
    <d v="2012-01-02T00:00:00"/>
    <n v="1652"/>
    <d v="2012-01-02T00:00:00"/>
    <n v="1722"/>
    <m/>
    <d v="2012-01-02T00:00:00"/>
    <n v="1722"/>
    <d v="2012-01-30T00:00:00"/>
    <d v="2012-01-02T00:00:00"/>
    <n v="1722"/>
    <n v="1722"/>
    <x v="2"/>
    <d v="2012-02-01T00:00:00"/>
    <m/>
    <n v="9321653388"/>
    <n v="10"/>
    <s v="OOLU7304384"/>
    <s v="CHINA EXPRESS/08W52"/>
    <m/>
    <s v="YANTIAN"/>
    <m/>
    <m/>
    <s v="JASON FAN"/>
    <s v="FO9"/>
    <s v="HOME CLEANING                 "/>
    <s v="CONFIRMED"/>
    <n v="1"/>
    <n v="1"/>
    <d v="2012-01-04T00:00:00"/>
    <s v="HOME CLEANING                 "/>
    <s v="HOME CLEANING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2/000080"/>
    <n v="1370147544"/>
    <n v="80"/>
    <x v="4"/>
    <x v="4"/>
    <s v="M5"/>
    <n v="2210015096"/>
    <n v="68"/>
    <s v="RH856501       "/>
    <s v="RH856501 CORDLESS HANDSTICK-24V                   "/>
    <s v="S"/>
    <d v="2012-01-06T00:00:00"/>
    <m/>
    <s v="X"/>
    <x v="47"/>
    <n v="54.33"/>
    <n v="13"/>
    <d v="2012-01-30T00:00:00"/>
    <d v="2012-01-02T00:00:00"/>
    <n v="826"/>
    <d v="2012-01-02T00:00:00"/>
    <n v="826"/>
    <m/>
    <d v="2012-01-02T00:00:00"/>
    <n v="826"/>
    <d v="2012-01-30T00:00:00"/>
    <d v="2012-01-02T00:00:00"/>
    <n v="826"/>
    <n v="826"/>
    <x v="2"/>
    <d v="2012-02-01T00:00:00"/>
    <m/>
    <n v="9321653389"/>
    <n v="10"/>
    <s v="FSCU3341972"/>
    <s v="CHINA EXPRESS/08W52"/>
    <m/>
    <s v="YANTIAN"/>
    <m/>
    <m/>
    <s v="JASON FAN"/>
    <s v="FO9"/>
    <s v="HOME CLEANING                 "/>
    <s v="CONFIRMED"/>
    <n v="1"/>
    <n v="1"/>
    <d v="2012-01-04T00:00:00"/>
    <s v="HOME CLEANING                 "/>
    <s v="HOME CLEANING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2/000130"/>
    <n v="1370147544"/>
    <n v="130"/>
    <x v="4"/>
    <x v="4"/>
    <s v="M5"/>
    <n v="2210015093"/>
    <n v="68"/>
    <s v="RH854801       "/>
    <s v="RH854801 CORDLESS HANDSTICK-18V                   "/>
    <s v="S"/>
    <d v="2012-01-11T00:00:00"/>
    <m/>
    <s v="X"/>
    <x v="47"/>
    <n v="47.98"/>
    <n v="13"/>
    <d v="2012-02-06T00:00:00"/>
    <d v="2012-01-09T00:00:00"/>
    <n v="826"/>
    <d v="2012-01-09T00:00:00"/>
    <n v="826"/>
    <m/>
    <d v="2012-01-09T00:00:00"/>
    <n v="826"/>
    <d v="2012-02-06T00:00:00"/>
    <d v="2012-01-09T00:00:00"/>
    <n v="826"/>
    <n v="826"/>
    <x v="0"/>
    <d v="2012-02-06T00:00:00"/>
    <m/>
    <n v="9321653389"/>
    <n v="20"/>
    <s v="UACU8229140"/>
    <s v="HANJIN BRUSSELS/0070"/>
    <m/>
    <s v="YANTIAN"/>
    <m/>
    <m/>
    <s v="JASON FAN"/>
    <s v="FO9"/>
    <s v="HOME CLEANING                 "/>
    <s v="CONFIRMED"/>
    <n v="1"/>
    <n v="2"/>
    <d v="2012-01-09T00:00:00"/>
    <s v="HOME CLEANING                 "/>
    <s v="HOME CLEANING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2/000140"/>
    <n v="1370147544"/>
    <n v="140"/>
    <x v="4"/>
    <x v="4"/>
    <s v="M5"/>
    <n v="2210015093"/>
    <n v="68"/>
    <s v="RH854801       "/>
    <s v="RH854801 CORDLESS HANDSTICK-18V                   "/>
    <s v="S"/>
    <d v="2012-01-19T00:00:00"/>
    <m/>
    <s v="X"/>
    <x v="47"/>
    <n v="47.98"/>
    <n v="13"/>
    <d v="2012-02-13T00:00:00"/>
    <d v="2012-01-16T00:00:00"/>
    <n v="826"/>
    <d v="2012-01-16T00:00:00"/>
    <n v="826"/>
    <m/>
    <d v="2012-01-16T00:00:00"/>
    <n v="826"/>
    <d v="2012-02-13T00:00:00"/>
    <d v="2012-01-16T00:00:00"/>
    <n v="826"/>
    <n v="826"/>
    <x v="19"/>
    <d v="2012-02-14T00:00:00"/>
    <m/>
    <n v="9321653389"/>
    <n v="30"/>
    <s v="OOLU7509297"/>
    <s v="APL HAMBURG"/>
    <m/>
    <s v="YANTIAN"/>
    <m/>
    <m/>
    <s v="JASON FAN"/>
    <s v="FO9"/>
    <s v="HOME CLEANING                 "/>
    <s v="CONFIRMED"/>
    <n v="1"/>
    <n v="3"/>
    <d v="2012-01-17T00:00:00"/>
    <s v="HOME CLEANING                 "/>
    <s v="HOME CLEANING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0867/000010"/>
    <n v="1370146852"/>
    <n v="10"/>
    <x v="38"/>
    <x v="38"/>
    <s v="L4"/>
    <n v="1830002979"/>
    <n v="76"/>
    <s v="TN5030E0       "/>
    <s v="TN5030E0 WET &amp; DRY HAIR CLIPPER                   "/>
    <s v="S"/>
    <d v="2012-01-17T00:00:00"/>
    <m/>
    <s v="X"/>
    <x v="47"/>
    <n v="10.31"/>
    <n v="21"/>
    <d v="2012-01-27T00:00:00"/>
    <d v="2011-12-23T00:00:00"/>
    <n v="3000"/>
    <d v="2012-01-03T00:00:00"/>
    <n v="3000"/>
    <m/>
    <d v="2011-12-23T00:00:00"/>
    <n v="3000"/>
    <d v="2012-02-09T00:00:00"/>
    <d v="2012-01-05T00:00:00"/>
    <n v="3000"/>
    <n v="3000"/>
    <x v="6"/>
    <d v="2012-02-09T00:00:00"/>
    <m/>
    <n v="9321653395"/>
    <n v="10"/>
    <s v="MRKU8217980"/>
    <s v="NEDLLOYD DRAKE/1202"/>
    <m/>
    <s v="YANTIAN"/>
    <s v="CONS-SHIPT/"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0866/000010"/>
    <n v="1370146856"/>
    <n v="10"/>
    <x v="38"/>
    <x v="38"/>
    <s v="L4"/>
    <n v="1830002709"/>
    <n v="76"/>
    <s v="TN1050F0       "/>
    <s v="TN1050F0 HAIR CLIPPER DRIVER                      "/>
    <s v="S"/>
    <d v="2012-01-17T00:00:00"/>
    <m/>
    <s v="X"/>
    <x v="47"/>
    <n v="6.23"/>
    <n v="13"/>
    <d v="2012-01-27T00:00:00"/>
    <d v="2011-12-23T00:00:00"/>
    <n v="3000"/>
    <d v="2012-01-03T00:00:00"/>
    <n v="3000"/>
    <m/>
    <d v="2011-12-23T00:00:00"/>
    <n v="3000"/>
    <d v="2012-02-09T00:00:00"/>
    <d v="2012-01-05T00:00:00"/>
    <n v="3000"/>
    <n v="3000"/>
    <x v="6"/>
    <d v="2012-02-09T00:00:00"/>
    <m/>
    <n v="9321653396"/>
    <n v="10"/>
    <s v="MRKU8217980"/>
    <s v="NEDLLOYD DRAKE/1202"/>
    <m/>
    <s v="YANTIAN"/>
    <s v="CONS-SHIPT/"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2/000030"/>
    <n v="1370147544"/>
    <n v="30"/>
    <x v="38"/>
    <x v="38"/>
    <s v="L4"/>
    <n v="1830002979"/>
    <n v="76"/>
    <s v="TN5030E0       "/>
    <s v="TN5030E0 WET &amp; DRY HAIR CLIPPER                   "/>
    <s v="S"/>
    <d v="2012-01-16T00:00:00"/>
    <m/>
    <s v="X"/>
    <x v="47"/>
    <n v="10.31"/>
    <n v="13"/>
    <d v="2012-02-06T00:00:00"/>
    <d v="2012-01-09T00:00:00"/>
    <n v="3000"/>
    <d v="2012-01-09T00:00:00"/>
    <n v="3000"/>
    <m/>
    <d v="2012-01-09T00:00:00"/>
    <n v="3000"/>
    <d v="2012-02-06T00:00:00"/>
    <d v="2012-01-09T00:00:00"/>
    <n v="3000"/>
    <n v="3000"/>
    <x v="17"/>
    <d v="2012-02-08T00:00:00"/>
    <m/>
    <n v="9321653397"/>
    <n v="10"/>
    <s v="OOLU1011455"/>
    <s v="BUSAN EXPRESS/04W01"/>
    <m/>
    <s v="YANTIAN"/>
    <m/>
    <m/>
    <s v="JASON FAN"/>
    <s v="FO9"/>
    <s v="PERSONAL CARE                 "/>
    <s v="CONFIRMED"/>
    <n v="1"/>
    <n v="2"/>
    <d v="2012-01-11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2/000090"/>
    <n v="1370147544"/>
    <n v="90"/>
    <x v="38"/>
    <x v="38"/>
    <s v="L4"/>
    <n v="1830002709"/>
    <n v="76"/>
    <s v="TN1050F0       "/>
    <s v="TN1050F0 HAIR CLIPPER DRIVER                      "/>
    <s v="S"/>
    <d v="2012-01-19T00:00:00"/>
    <m/>
    <s v="X"/>
    <x v="47"/>
    <n v="6.23"/>
    <n v="13"/>
    <d v="2012-02-06T00:00:00"/>
    <d v="2012-01-09T00:00:00"/>
    <n v="3000"/>
    <d v="2012-01-09T00:00:00"/>
    <n v="3000"/>
    <m/>
    <d v="2012-01-09T00:00:00"/>
    <n v="3000"/>
    <d v="2012-02-13T00:00:00"/>
    <d v="2012-01-16T00:00:00"/>
    <n v="3000"/>
    <n v="3000"/>
    <x v="19"/>
    <d v="2012-02-14T00:00:00"/>
    <m/>
    <n v="9321653397"/>
    <n v="20"/>
    <s v="UACU8241681"/>
    <s v="HANJIN BASEL"/>
    <m/>
    <s v="YANTIAN"/>
    <s v="CONS-SHIPT/"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8942/000100"/>
    <n v="1370147544"/>
    <n v="100"/>
    <x v="38"/>
    <x v="38"/>
    <s v="L4"/>
    <n v="1830003856"/>
    <n v="76"/>
    <s v="TN5040E4       "/>
    <s v="TN5040E4 WET&amp;DRY PRECISION HAIR CLIPPER           "/>
    <s v="S"/>
    <d v="2012-01-16T00:00:00"/>
    <m/>
    <s v="X"/>
    <x v="47"/>
    <n v="13.59"/>
    <n v="13"/>
    <d v="2012-02-06T00:00:00"/>
    <d v="2012-01-09T00:00:00"/>
    <n v="3000"/>
    <d v="2012-01-09T00:00:00"/>
    <n v="3000"/>
    <m/>
    <d v="2012-01-09T00:00:00"/>
    <n v="3000"/>
    <d v="2012-02-06T00:00:00"/>
    <d v="2012-01-09T00:00:00"/>
    <n v="3000"/>
    <n v="3000"/>
    <x v="17"/>
    <d v="2012-02-08T00:00:00"/>
    <m/>
    <n v="9321653397"/>
    <n v="30"/>
    <s v="OOLU1011455"/>
    <s v="BUSAN EXPRESS/04W01"/>
    <m/>
    <s v="YANTIAN"/>
    <m/>
    <m/>
    <s v="JASON FAN"/>
    <s v="FO9"/>
    <s v="PERSONAL CARE                 "/>
    <s v="CONFIRMED"/>
    <n v="1"/>
    <n v="2"/>
    <d v="2012-01-11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983/000010"/>
    <n v="1370147596"/>
    <n v="10"/>
    <x v="38"/>
    <x v="38"/>
    <s v="L4"/>
    <n v="1830003003"/>
    <n v="76"/>
    <s v="TN5030D0       "/>
    <s v="TN5030D0 WET &amp; DRY HAIR CLIPPER                   "/>
    <s v="S"/>
    <d v="2012-01-09T00:00:00"/>
    <m/>
    <s v="X"/>
    <x v="47"/>
    <n v="10.25"/>
    <n v="365"/>
    <d v="2012-02-17T00:00:00"/>
    <d v="2011-12-30T00:00:00"/>
    <n v="3000"/>
    <d v="2012-01-07T00:00:00"/>
    <n v="3000"/>
    <m/>
    <d v="2011-12-30T00:00:00"/>
    <n v="3000"/>
    <d v="2012-02-26T00:00:00"/>
    <d v="2012-01-08T00:00:00"/>
    <n v="3000"/>
    <n v="3000"/>
    <x v="12"/>
    <d v="2012-02-25T00:00:00"/>
    <m/>
    <n v="9321653398"/>
    <n v="10"/>
    <s v="APZU4528438"/>
    <s v="APL RUSSIA/020W"/>
    <m/>
    <s v="YANTIAN"/>
    <s v="CONS-SHIPT/C-PULLIN-CONF/"/>
    <m/>
    <s v="KENUS WONG"/>
    <s v="FO9"/>
    <s v="PERSONAL CARE                 "/>
    <s v="CONFIRMED"/>
    <n v="1"/>
    <n v="1"/>
    <d v="2012-01-07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948/000010"/>
    <n v="1370147615"/>
    <n v="10"/>
    <x v="38"/>
    <x v="38"/>
    <s v="L4"/>
    <n v="1830002709"/>
    <n v="76"/>
    <s v="TN1050F0       "/>
    <s v="TN1050F0 HAIR CLIPPER DRIVER                      "/>
    <s v="S"/>
    <d v="2012-01-09T00:00:00"/>
    <m/>
    <s v="X"/>
    <x v="47"/>
    <n v="6.23"/>
    <n v="223"/>
    <d v="2012-02-10T00:00:00"/>
    <d v="2011-12-23T00:00:00"/>
    <n v="3800"/>
    <d v="2012-01-07T00:00:00"/>
    <n v="3800"/>
    <m/>
    <d v="2011-12-23T00:00:00"/>
    <n v="3800"/>
    <d v="2012-02-26T00:00:00"/>
    <d v="2012-01-08T00:00:00"/>
    <n v="3800"/>
    <n v="3800"/>
    <x v="12"/>
    <d v="2012-02-25T00:00:00"/>
    <m/>
    <n v="9321653399"/>
    <n v="10"/>
    <s v="APZU4528438"/>
    <s v="APL RUSSIA/020W"/>
    <m/>
    <s v="YANTIAN"/>
    <s v="CONS-SHIPT/"/>
    <m/>
    <s v="KENUS WONG"/>
    <s v="FO9"/>
    <s v="PERSONAL CARE                 "/>
    <s v="CONFIRMED"/>
    <n v="1"/>
    <n v="1"/>
    <d v="2012-01-07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949/000010"/>
    <n v="1370147745"/>
    <n v="10"/>
    <x v="38"/>
    <x v="38"/>
    <s v="L4"/>
    <n v="1830002709"/>
    <n v="76"/>
    <s v="TN1050F0       "/>
    <s v="TN1050F0 HAIR CLIPPER DRIVER                      "/>
    <s v="S"/>
    <d v="2012-01-12T00:00:00"/>
    <m/>
    <s v="X"/>
    <x v="47"/>
    <n v="6.23"/>
    <n v="223"/>
    <d v="2012-02-22T00:00:00"/>
    <d v="2012-01-04T00:00:00"/>
    <n v="3400"/>
    <d v="2012-01-13T00:00:00"/>
    <n v="3400"/>
    <m/>
    <d v="2012-01-04T00:00:00"/>
    <n v="3400"/>
    <d v="2012-02-29T00:00:00"/>
    <d v="2012-01-11T00:00:00"/>
    <n v="3400"/>
    <n v="3400"/>
    <x v="10"/>
    <d v="2012-03-01T00:00:00"/>
    <m/>
    <n v="9321653400"/>
    <n v="10"/>
    <s v="OOLU1752910"/>
    <s v="NYK ORPHEUS/18W52"/>
    <m/>
    <s v="YANTIAN"/>
    <s v="CONS-SHIPT/"/>
    <m/>
    <s v="KENUS WONG"/>
    <s v="FO9"/>
    <s v="PERSONAL CARE                 "/>
    <s v="CONFIRMED"/>
    <n v="1"/>
    <n v="2"/>
    <d v="2012-01-12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844/000010"/>
    <n v="1370147724"/>
    <n v="10"/>
    <x v="54"/>
    <x v="54"/>
    <s v="L4"/>
    <n v="1830002959"/>
    <n v="15"/>
    <s v="MR4011F0       "/>
    <s v="MR4011F0 COMPACT MIRROR                           "/>
    <s v="S"/>
    <d v="2012-01-09T00:00:00"/>
    <m/>
    <s v="X"/>
    <x v="47"/>
    <n v="7.14"/>
    <n v="270"/>
    <d v="2012-02-24T00:00:00"/>
    <d v="2012-01-06T00:00:00"/>
    <n v="2004"/>
    <d v="2012-01-07T00:00:00"/>
    <n v="2004"/>
    <m/>
    <d v="2012-01-06T00:00:00"/>
    <n v="2004"/>
    <d v="2012-02-25T00:00:00"/>
    <d v="2012-01-07T00:00:00"/>
    <n v="2004"/>
    <n v="2004"/>
    <x v="12"/>
    <d v="2012-02-25T00:00:00"/>
    <m/>
    <n v="9321653401"/>
    <n v="10"/>
    <s v="APZU4528438"/>
    <s v="APL RUSSIA/020W"/>
    <m/>
    <s v="YANTIAN"/>
    <m/>
    <m/>
    <s v="KENUS WONG"/>
    <s v="FO9"/>
    <s v="PERSONAL CARE                 "/>
    <s v="CONFIRMED"/>
    <n v="1"/>
    <n v="1"/>
    <d v="2012-01-07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0689/000010"/>
    <n v="1370146628"/>
    <n v="10"/>
    <x v="13"/>
    <x v="13"/>
    <s v="A3"/>
    <n v="2100067598"/>
    <n v="205"/>
    <s v="E8924474       "/>
    <s v="E8924474 D.OV20LID JO SS PROF V4 UNCOAT           "/>
    <s v="S"/>
    <d v="2012-02-03T00:00:00"/>
    <m/>
    <s v="X"/>
    <x v="47"/>
    <n v="14.68"/>
    <n v="94"/>
    <d v="2012-02-12T00:00:00"/>
    <d v="2012-01-08T00:00:00"/>
    <n v="1000"/>
    <d v="2012-01-08T00:00:00"/>
    <n v="1000"/>
    <m/>
    <d v="2012-01-08T00:00:00"/>
    <n v="1000"/>
    <d v="2012-02-20T00:00:00"/>
    <d v="2012-01-16T00:00:00"/>
    <n v="1000"/>
    <n v="1000"/>
    <x v="8"/>
    <d v="2012-02-20T00:00:00"/>
    <m/>
    <n v="9321653402"/>
    <n v="10"/>
    <s v="TEXU7390851"/>
    <s v="HYUNDAI BRAVE/KX477W"/>
    <m/>
    <s v="YANTIAN"/>
    <s v="SAILING-SCHED-UPDATE/FORWARDER-PROB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0"/>
    <s v="FORWARDER-PROB"/>
    <n v="1"/>
    <n v="1"/>
    <x v="11"/>
    <n v="2"/>
    <x v="0"/>
    <x v="0"/>
    <x v="0"/>
    <n v="0"/>
    <n v="0"/>
    <n v="0"/>
    <n v="0"/>
    <n v="0"/>
    <n v="0"/>
    <x v="1"/>
    <x v="0"/>
    <x v="1"/>
    <x v="0"/>
  </r>
  <r>
    <s v="Shipment"/>
    <n v="99002222"/>
    <s v="GROUPE SEB NORDIC A/S                             "/>
    <n v="99002200"/>
    <x v="5"/>
    <s v="4500260690/000010"/>
    <n v="1370146634"/>
    <n v="10"/>
    <x v="13"/>
    <x v="13"/>
    <s v="A3"/>
    <n v="2100067599"/>
    <n v="205"/>
    <s v="E8924674       "/>
    <s v="E8924674 D.OV24LID JO SS PROF V4 UNCOAT           "/>
    <s v="S"/>
    <d v="2012-02-03T00:00:00"/>
    <m/>
    <s v="X"/>
    <x v="47"/>
    <n v="18.03"/>
    <n v="115"/>
    <d v="2012-02-12T00:00:00"/>
    <d v="2012-01-08T00:00:00"/>
    <n v="1000"/>
    <d v="2012-01-08T00:00:00"/>
    <n v="1000"/>
    <m/>
    <d v="2012-01-08T00:00:00"/>
    <n v="1000"/>
    <d v="2012-02-20T00:00:00"/>
    <d v="2012-01-16T00:00:00"/>
    <n v="1000"/>
    <n v="1000"/>
    <x v="8"/>
    <d v="2012-02-20T00:00:00"/>
    <m/>
    <n v="9321653403"/>
    <n v="10"/>
    <s v="TEXU7390851"/>
    <s v="HYUNDAI BRAVE/KX477W"/>
    <m/>
    <s v="YANTIAN"/>
    <s v="SAILING-SCHED-UPDATE/FORWARDER-PROB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0"/>
    <s v="FORWARDER-PROB"/>
    <n v="1"/>
    <n v="1"/>
    <x v="11"/>
    <n v="2"/>
    <x v="0"/>
    <x v="0"/>
    <x v="0"/>
    <n v="0"/>
    <n v="0"/>
    <n v="0"/>
    <n v="0"/>
    <n v="0"/>
    <n v="0"/>
    <x v="1"/>
    <x v="0"/>
    <x v="1"/>
    <x v="0"/>
  </r>
  <r>
    <s v="Shipment"/>
    <n v="99002222"/>
    <s v="GROUPE SEB NORDIC A/S                             "/>
    <n v="99002200"/>
    <x v="5"/>
    <s v="4500260687/000010"/>
    <n v="1370146637"/>
    <n v="10"/>
    <x v="13"/>
    <x v="13"/>
    <s v="A3"/>
    <n v="2100067594"/>
    <n v="205"/>
    <s v="E8922274       "/>
    <s v="E8922274 SCP16LID JO SS PROF V4 UNCOAT J          "/>
    <s v="S"/>
    <d v="2012-02-03T00:00:00"/>
    <m/>
    <s v="X"/>
    <x v="47"/>
    <n v="11.08"/>
    <n v="71"/>
    <d v="2012-02-10T00:00:00"/>
    <d v="2012-01-06T00:00:00"/>
    <n v="1000"/>
    <d v="2012-01-06T00:00:00"/>
    <n v="1000"/>
    <m/>
    <d v="2012-01-06T00:00:00"/>
    <n v="1000"/>
    <d v="2012-02-20T00:00:00"/>
    <d v="2012-01-16T00:00:00"/>
    <n v="1000"/>
    <n v="1000"/>
    <x v="8"/>
    <d v="2012-02-20T00:00:00"/>
    <m/>
    <n v="9321653404"/>
    <n v="10"/>
    <s v="TEXU7390851"/>
    <s v="HYUNDAI BRAVE/KX477W"/>
    <m/>
    <s v="YANTIAN"/>
    <s v="SAILING-SCHED-UPDATE/FORWARDER-PROB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0"/>
    <s v="FORWARDER-PROB"/>
    <n v="1"/>
    <n v="1"/>
    <x v="11"/>
    <n v="2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47444/000010"/>
    <n v="1370146667"/>
    <n v="10"/>
    <x v="13"/>
    <x v="13"/>
    <s v="A7"/>
    <n v="8701000461"/>
    <n v="235"/>
    <s v="T177           "/>
    <s v="T177 13&quot; SPLATTER SCREEN                          "/>
    <s v="S"/>
    <d v="2012-01-10T00:00:00"/>
    <m/>
    <s v="X"/>
    <x v="47"/>
    <n v="10.38"/>
    <n v="12"/>
    <d v="2012-02-06T00:00:00"/>
    <d v="2012-01-02T00:00:00"/>
    <n v="1998"/>
    <d v="2012-01-02T00:00:00"/>
    <n v="1998"/>
    <m/>
    <d v="2012-01-02T00:00:00"/>
    <n v="1998"/>
    <d v="2012-02-08T00:00:00"/>
    <d v="2012-01-04T00:00:00"/>
    <n v="1998"/>
    <n v="1998"/>
    <x v="7"/>
    <d v="2012-02-10T00:00:00"/>
    <m/>
    <n v="9321653405"/>
    <n v="10"/>
    <s v="IKSU8302473"/>
    <s v="CMA CGM DON PASCUALE"/>
    <m/>
    <s v="YANTI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1245/000010"/>
    <n v="1370147475"/>
    <n v="10"/>
    <x v="13"/>
    <x v="13"/>
    <s v="A3"/>
    <n v="2100064856"/>
    <n v="205"/>
    <s v="C806S154       "/>
    <s v="C806S154 SET 10P SAT&amp;GLAS VOLUPTY SS UNC          "/>
    <s v="S"/>
    <d v="2012-02-02T00:00:00"/>
    <m/>
    <s v="X"/>
    <x v="47"/>
    <n v="46.44"/>
    <n v="165"/>
    <d v="2012-03-05T00:00:00"/>
    <d v="2012-01-23T00:00:00"/>
    <n v="500"/>
    <d v="2012-01-23T00:00:00"/>
    <n v="500"/>
    <m/>
    <d v="2012-01-16T00:00:00"/>
    <n v="500"/>
    <d v="2012-03-07T00:00:00"/>
    <d v="2012-01-25T00:00:00"/>
    <n v="500"/>
    <n v="500"/>
    <x v="15"/>
    <d v="2012-03-08T00:00:00"/>
    <m/>
    <n v="9321653408"/>
    <n v="10"/>
    <s v="MRKU0198878"/>
    <s v="EUGEN MAERSK 1202/"/>
    <m/>
    <s v="YANTIAN"/>
    <s v="FORWARDER-PROB/"/>
    <m/>
    <s v="KENUS WONG"/>
    <s v="FO9"/>
    <s v="COOKWARE                      "/>
    <s v="CONFIRMED"/>
    <n v="1"/>
    <n v="4"/>
    <d v="2012-01-26T00:00:00"/>
    <s v="COOKWARE                      "/>
    <s v="COOKWARE                      "/>
    <x v="5"/>
    <x v="2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489/000010"/>
    <n v="1370147675"/>
    <n v="10"/>
    <x v="13"/>
    <x v="13"/>
    <s v="A3"/>
    <n v="2100064858"/>
    <n v="205"/>
    <s v="C806S854       "/>
    <s v="C806S854 SET 8P SAT&amp;GLAS VOLUPTY SS UNCO          "/>
    <s v="S"/>
    <d v="2012-01-13T00:00:00"/>
    <m/>
    <s v="X"/>
    <x v="47"/>
    <n v="37.85"/>
    <n v="1339"/>
    <d v="2012-02-22T00:00:00"/>
    <d v="2012-01-04T00:00:00"/>
    <n v="500"/>
    <d v="2012-01-16T00:00:00"/>
    <n v="500"/>
    <m/>
    <d v="2012-01-04T00:00:00"/>
    <n v="500"/>
    <d v="2012-02-29T00:00:00"/>
    <d v="2012-01-11T00:00:00"/>
    <n v="500"/>
    <n v="500"/>
    <x v="10"/>
    <d v="2012-03-01T00:00:00"/>
    <m/>
    <n v="9321653410"/>
    <n v="10"/>
    <s v="TTNU1713811"/>
    <s v="NYK ORPHEUS/18W52"/>
    <m/>
    <s v="YANTIAN"/>
    <m/>
    <m/>
    <s v="KENUS WONG"/>
    <s v="FO9"/>
    <s v="COOKWARE                      "/>
    <s v="CONFIRMED"/>
    <n v="1"/>
    <n v="2"/>
    <d v="2012-01-12T00:00:00"/>
    <s v="COOKWARE                      "/>
    <s v="COOKWARE                      "/>
    <x v="5"/>
    <x v="2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483/000010"/>
    <n v="1370147687"/>
    <n v="10"/>
    <x v="13"/>
    <x v="13"/>
    <s v="A3"/>
    <n v="2100064857"/>
    <n v="205"/>
    <s v="C806S754       "/>
    <s v="C806S754 SET 7P SAT&amp;GLAS VOLUPTY SS UNCO          "/>
    <s v="S"/>
    <d v="2012-01-13T00:00:00"/>
    <m/>
    <s v="X"/>
    <x v="47"/>
    <n v="30.69"/>
    <n v="1089"/>
    <d v="2012-02-22T00:00:00"/>
    <d v="2012-01-04T00:00:00"/>
    <n v="500"/>
    <d v="2012-01-14T00:00:00"/>
    <n v="500"/>
    <m/>
    <d v="2012-01-14T00:00:00"/>
    <n v="694"/>
    <d v="2012-03-03T00:00:00"/>
    <d v="2012-01-14T00:00:00"/>
    <n v="500"/>
    <n v="306"/>
    <x v="10"/>
    <d v="2012-03-01T00:00:00"/>
    <m/>
    <n v="9321653411"/>
    <n v="10"/>
    <s v="TTNU1713811"/>
    <s v="NYK ORPHEUS/18W52"/>
    <m/>
    <s v="YANTIAN"/>
    <s v="CONS-SHIPT/"/>
    <m/>
    <s v="KENUS WONG"/>
    <s v="FO9"/>
    <s v="COOKWARE                      "/>
    <s v="CONFIRMED"/>
    <n v="1"/>
    <n v="2"/>
    <d v="2012-01-12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2483/000010"/>
    <n v="1370147687"/>
    <n v="10"/>
    <x v="13"/>
    <x v="13"/>
    <s v="A3"/>
    <n v="2100064857"/>
    <n v="205"/>
    <s v="C806S754       "/>
    <s v="C806S754 SET 7P SAT&amp;GLAS VOLUPTY SS UNCO          "/>
    <s v="S"/>
    <d v="2012-02-03T00:00:00"/>
    <m/>
    <s v="X"/>
    <x v="47"/>
    <n v="30.69"/>
    <n v="1089"/>
    <d v="2012-02-22T00:00:00"/>
    <d v="2012-01-04T00:00:00"/>
    <n v="500"/>
    <d v="2012-01-14T00:00:00"/>
    <n v="500"/>
    <m/>
    <d v="2012-01-14T00:00:00"/>
    <n v="694"/>
    <d v="2012-03-03T00:00:00"/>
    <d v="2012-01-14T00:00:00"/>
    <n v="500"/>
    <n v="194"/>
    <x v="19"/>
    <d v="2012-03-06T00:00:00"/>
    <m/>
    <n v="9321653411"/>
    <n v="10"/>
    <s v="TRLU5939241"/>
    <s v="MOL COMPETENCE/021W"/>
    <m/>
    <s v="YANTIAN"/>
    <s v="CONS-SHIPT/"/>
    <m/>
    <s v="KENUS WO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77/000001"/>
    <n v="1370147885"/>
    <n v="10"/>
    <x v="13"/>
    <x v="13"/>
    <s v="A3"/>
    <n v="2100054943"/>
    <n v="205"/>
    <s v="C8372312       "/>
    <s v="C8372312 SCP18+CV EASY GRIP SS UNCOAT KO          "/>
    <s v="S"/>
    <d v="2012-01-11T00:00:00"/>
    <m/>
    <s v="X"/>
    <x v="47"/>
    <n v="7.58"/>
    <n v="11"/>
    <d v="2012-01-17T00:00:00"/>
    <d v="2012-01-03T00:00:00"/>
    <n v="1000"/>
    <d v="2012-01-03T00:00:00"/>
    <n v="1000"/>
    <m/>
    <d v="2012-01-03T00:00:00"/>
    <n v="1000"/>
    <d v="2012-01-17T00:00:00"/>
    <d v="2012-01-03T00:00:00"/>
    <n v="1000"/>
    <n v="1000"/>
    <x v="12"/>
    <d v="2012-01-21T00:00:00"/>
    <m/>
    <n v="9321653414"/>
    <n v="10"/>
    <s v="MRKU8212777"/>
    <s v="CONVENT/1202"/>
    <m/>
    <s v="YANTIAN"/>
    <m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7/000002"/>
    <n v="1370147885"/>
    <n v="20"/>
    <x v="13"/>
    <x v="13"/>
    <s v="A3"/>
    <n v="2100057815"/>
    <n v="205"/>
    <s v="C8374312       "/>
    <s v="C8374312 D.OV18LID EASY GRIP SS UNCOAT K          "/>
    <s v="S"/>
    <d v="2012-01-11T00:00:00"/>
    <m/>
    <s v="X"/>
    <x v="47"/>
    <n v="7.78"/>
    <n v="11"/>
    <d v="2012-01-17T00:00:00"/>
    <d v="2012-01-03T00:00:00"/>
    <n v="1000"/>
    <d v="2012-01-03T00:00:00"/>
    <n v="1000"/>
    <m/>
    <d v="2012-01-03T00:00:00"/>
    <n v="1000"/>
    <d v="2012-01-17T00:00:00"/>
    <d v="2012-01-03T00:00:00"/>
    <n v="1000"/>
    <n v="1000"/>
    <x v="12"/>
    <d v="2012-01-21T00:00:00"/>
    <m/>
    <n v="9321653414"/>
    <n v="20"/>
    <s v="MRKU8212777"/>
    <s v="CONVENT/1202"/>
    <m/>
    <s v="YANTIAN"/>
    <m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15/000001"/>
    <n v="1370147586"/>
    <n v="10"/>
    <x v="39"/>
    <x v="39"/>
    <s v="L2"/>
    <n v="2100035176"/>
    <n v="48"/>
    <s v="PX1250M0       "/>
    <s v="PX1250M0 BOTTEL WARMER MLX MEXICO                 "/>
    <s v="S"/>
    <d v="2012-01-09T00:00:00"/>
    <m/>
    <s v="X"/>
    <x v="47"/>
    <n v="5.34"/>
    <n v="87192"/>
    <d v="2012-01-30T00:00:00"/>
    <d v="2011-12-26T00:00:00"/>
    <n v="1008"/>
    <d v="2011-12-26T00:00:00"/>
    <n v="1008"/>
    <m/>
    <d v="2011-12-26T00:00:00"/>
    <n v="1008"/>
    <d v="2012-01-30T00:00:00"/>
    <d v="2011-12-26T00:00:00"/>
    <n v="1008"/>
    <n v="1008"/>
    <x v="16"/>
    <d v="2012-02-07T00:00:00"/>
    <m/>
    <n v="9321653416"/>
    <n v="10"/>
    <s v="SUDU8899859"/>
    <s v="MONTE ROSA VOY 201E"/>
    <m/>
    <s v="YANTIAN"/>
    <s v="worng EDI P/L"/>
    <m/>
    <s v="TWEETY LEUNG"/>
    <s v="FO9"/>
    <s v="PERSONAL CARE                 "/>
    <s v="CONFIRMED"/>
    <n v="1"/>
    <n v="1"/>
    <d v="2012-01-03T00:00:00"/>
    <s v="LINEN PERS HOME CARE          "/>
    <s v="PERSONAL CARE                 "/>
    <x v="4"/>
    <x v="1"/>
    <x v="1"/>
    <m/>
    <n v="0"/>
    <n v="0"/>
    <x v="1"/>
    <n v="2"/>
    <x v="0"/>
    <x v="0"/>
    <x v="0"/>
    <n v="0"/>
    <n v="0"/>
    <n v="0"/>
    <n v="0"/>
    <n v="0"/>
    <n v="0"/>
    <x v="1"/>
    <x v="0"/>
    <x v="1"/>
    <x v="0"/>
  </r>
  <r>
    <s v="Shipment"/>
    <n v="99003300"/>
    <s v="GROUPE SEB JAPAN CO LTD                           "/>
    <n v="99003300"/>
    <x v="25"/>
    <s v="3772/000002"/>
    <n v="1370147578"/>
    <n v="20"/>
    <x v="2"/>
    <x v="2"/>
    <s v="R1"/>
    <n v="1500634652"/>
    <n v="27"/>
    <n v="634652"/>
    <s v="CM111870 FCM APRECIA (CM806) 6C BLK JP            "/>
    <s v="S"/>
    <d v="2012-01-19T00:00:00"/>
    <m/>
    <s v="X"/>
    <x v="47"/>
    <n v="8.8000000000000007"/>
    <n v="8"/>
    <d v="2012-01-09T00:00:00"/>
    <d v="2011-12-26T00:00:00"/>
    <n v="3394"/>
    <d v="2011-12-26T00:00:00"/>
    <n v="3394"/>
    <m/>
    <m/>
    <m/>
    <d v="2012-02-01T00:00:00"/>
    <d v="2012-01-18T00:00:00"/>
    <n v="3394"/>
    <n v="3394"/>
    <x v="14"/>
    <d v="2012-02-03T00:00:00"/>
    <m/>
    <n v="9321653418"/>
    <n v="20"/>
    <s v="TSLU6402264"/>
    <s v="KYOTO TOWER/KTWR1200"/>
    <m/>
    <s v="YANTIAN"/>
    <s v="BU-ETD-TEMP/"/>
    <m/>
    <s v="DOROTHEA LING"/>
    <s v="FO9"/>
    <s v="BEVERAGE                      "/>
    <s v="CONFIRMED"/>
    <n v="1"/>
    <n v="3"/>
    <d v="2012-01-20T00:00:00"/>
    <s v="KITCHEN ELECTRICS             "/>
    <s v="BREAKFAST &amp; BREVAGE PREP      "/>
    <x v="1"/>
    <x v="1"/>
    <x v="4"/>
    <s v="BU-ETD-TEMP"/>
    <n v="-3"/>
    <n v="-3"/>
    <x v="3"/>
    <n v="1"/>
    <x v="0"/>
    <x v="0"/>
    <x v="0"/>
    <n v="0"/>
    <n v="0"/>
    <n v="0"/>
    <n v="0"/>
    <n v="0"/>
    <n v="0"/>
    <x v="0"/>
    <x v="1"/>
    <x v="1"/>
    <x v="0"/>
  </r>
  <r>
    <s v="Shipment"/>
    <n v="99003300"/>
    <s v="GROUPE SEB JAPAN CO LTD                           "/>
    <n v="99003300"/>
    <x v="25"/>
    <s v="3772/000004"/>
    <n v="1370147578"/>
    <n v="40"/>
    <x v="2"/>
    <x v="2"/>
    <s v="R1"/>
    <n v="1500635027"/>
    <n v="27"/>
    <n v="635027"/>
    <s v="CM111171 FCM APRECIA (CM806) 6C WHT/PINK          "/>
    <s v="S"/>
    <d v="2012-01-19T00:00:00"/>
    <m/>
    <s v="X"/>
    <x v="47"/>
    <n v="8.8000000000000007"/>
    <n v="8"/>
    <d v="2012-01-09T00:00:00"/>
    <d v="2011-12-26T00:00:00"/>
    <n v="3394"/>
    <d v="2011-12-26T00:00:00"/>
    <n v="3394"/>
    <m/>
    <m/>
    <m/>
    <d v="2012-02-01T00:00:00"/>
    <d v="2012-01-18T00:00:00"/>
    <n v="3394"/>
    <n v="2"/>
    <x v="14"/>
    <d v="2012-02-03T00:00:00"/>
    <m/>
    <n v="9321653418"/>
    <n v="40"/>
    <s v="TSLU6402264"/>
    <s v="KYOTO TOWER/KTWR1200"/>
    <m/>
    <s v="YANTIAN"/>
    <s v="BU-ETD-TEMP/"/>
    <m/>
    <s v="DOROTHEA LING"/>
    <s v="FO9"/>
    <s v="BEVERAGE                      "/>
    <s v="CONFIRMED"/>
    <n v="1"/>
    <n v="3"/>
    <d v="2012-01-20T00:00:00"/>
    <s v="KITCHEN ELECTRICS             "/>
    <s v="BREAKFAST &amp; BREVAGE PREP      "/>
    <x v="1"/>
    <x v="1"/>
    <x v="4"/>
    <s v="BU-ETD-TEMP"/>
    <n v="-3"/>
    <n v="-3"/>
    <x v="3"/>
    <n v="1"/>
    <x v="0"/>
    <x v="0"/>
    <x v="0"/>
    <n v="0"/>
    <n v="0"/>
    <n v="0"/>
    <n v="0"/>
    <n v="0"/>
    <n v="0"/>
    <x v="0"/>
    <x v="1"/>
    <x v="1"/>
    <x v="0"/>
  </r>
  <r>
    <s v="Shipment"/>
    <n v="99003300"/>
    <s v="GROUPE SEB JAPAN CO LTD                           "/>
    <n v="99003300"/>
    <x v="25"/>
    <s v="3772/000004"/>
    <n v="1370147578"/>
    <n v="40"/>
    <x v="2"/>
    <x v="2"/>
    <s v="R1"/>
    <n v="1500635027"/>
    <n v="27"/>
    <n v="635027"/>
    <s v="CM111171 FCM APRECIA (CM806) 6C WHT/PINK          "/>
    <s v="S"/>
    <d v="2012-01-19T00:00:00"/>
    <m/>
    <s v="X"/>
    <x v="47"/>
    <n v="8.8000000000000007"/>
    <n v="8"/>
    <d v="2012-01-09T00:00:00"/>
    <d v="2011-12-26T00:00:00"/>
    <n v="3394"/>
    <d v="2011-12-26T00:00:00"/>
    <n v="3394"/>
    <m/>
    <m/>
    <m/>
    <d v="2012-02-01T00:00:00"/>
    <d v="2012-01-18T00:00:00"/>
    <n v="3394"/>
    <n v="3392"/>
    <x v="14"/>
    <d v="2012-02-03T00:00:00"/>
    <m/>
    <n v="9321653418"/>
    <n v="40"/>
    <s v="TTNU4871390"/>
    <s v="KYOTO TOWER/KTWR1200"/>
    <m/>
    <s v="YANTIAN"/>
    <s v="BU-ETD-TEMP/"/>
    <m/>
    <s v="DOROTHEA LING"/>
    <s v="FO9"/>
    <s v="BEVERAGE                      "/>
    <s v="CONFIRMED"/>
    <n v="1"/>
    <n v="3"/>
    <d v="2012-01-20T00:00:00"/>
    <s v="KITCHEN ELECTRICS             "/>
    <s v="BREAKFAST &amp; BREVAGE PREP      "/>
    <x v="1"/>
    <x v="1"/>
    <x v="4"/>
    <s v="BU-ETD-TEMP"/>
    <n v="-3"/>
    <n v="-3"/>
    <x v="3"/>
    <n v="1"/>
    <x v="0"/>
    <x v="0"/>
    <x v="0"/>
    <n v="0"/>
    <n v="0"/>
    <n v="0"/>
    <n v="0"/>
    <n v="0"/>
    <n v="0"/>
    <x v="0"/>
    <x v="1"/>
    <x v="1"/>
    <x v="0"/>
  </r>
  <r>
    <s v="Shipment"/>
    <n v="99103498"/>
    <s v="GSE/DSV BLP WAREHOUSE YANTIAN                     "/>
    <n v="99005151"/>
    <x v="18"/>
    <s v="9321650330/000010"/>
    <n v="1370147807"/>
    <n v="10"/>
    <x v="2"/>
    <x v="2"/>
    <s v="R1"/>
    <n v="1500634513"/>
    <n v="27"/>
    <n v="634513"/>
    <s v="FG110800 FCM SUBITO 10C BLK/RED FR                "/>
    <s v="S"/>
    <d v="2012-01-09T00:00:00"/>
    <m/>
    <s v="X"/>
    <x v="47"/>
    <n v="9.16"/>
    <n v="11"/>
    <d v="2012-02-06T00:00:00"/>
    <d v="2012-02-05T00:00:00"/>
    <n v="1332"/>
    <d v="2012-01-14T00:00:00"/>
    <n v="1332"/>
    <m/>
    <d v="2012-01-18T00:00:00"/>
    <n v="1332"/>
    <d v="2012-01-08T00:00:00"/>
    <d v="2012-01-07T00:00:00"/>
    <n v="1332"/>
    <n v="1332"/>
    <x v="12"/>
    <d v="2012-01-08T00:00:00"/>
    <m/>
    <n v="9321653419"/>
    <n v="10"/>
    <s v="BY TRUCK"/>
    <s v="BY TRUCK"/>
    <m/>
    <s v="YANTIAN"/>
    <s v="SP-OVERCAP/SP-HOLIDAY/"/>
    <m/>
    <s v="ZANDRA LAM"/>
    <s v="FO9"/>
    <s v="BEVERAGE                      "/>
    <s v="CONFIRMED"/>
    <n v="1"/>
    <n v="1"/>
    <d v="2012-01-07T00:00:00"/>
    <s v="KITCHEN ELECTRICS             "/>
    <s v="BREAKFAST &amp; BREVAGE PREP      "/>
    <x v="1"/>
    <x v="1"/>
    <x v="11"/>
    <s v="SP-OVERCAP"/>
    <n v="-3"/>
    <n v="-3"/>
    <x v="9"/>
    <n v="2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80/000003"/>
    <n v="1370147887"/>
    <n v="30"/>
    <x v="2"/>
    <x v="2"/>
    <s v="R1"/>
    <n v="8000033534"/>
    <n v="27"/>
    <s v="CM3088KR       "/>
    <s v="CM3088KR FCM CM308 6C BLK/STAIN KR                "/>
    <s v="S"/>
    <d v="2012-01-17T00:00:00"/>
    <m/>
    <s v="X"/>
    <x v="47"/>
    <n v="7.18"/>
    <n v="9"/>
    <d v="2012-02-01T00:00:00"/>
    <d v="2012-01-18T00:00:00"/>
    <n v="1947"/>
    <d v="2012-01-18T00:00:00"/>
    <n v="1947"/>
    <m/>
    <d v="2012-01-18T00:00:00"/>
    <n v="1947"/>
    <d v="2012-01-30T00:00:00"/>
    <d v="2012-01-16T00:00:00"/>
    <n v="1947"/>
    <n v="1947"/>
    <x v="8"/>
    <d v="2012-01-30T00:00:00"/>
    <m/>
    <n v="9321653421"/>
    <n v="10"/>
    <s v="MSKU7265877"/>
    <s v="OTTO SCHULTE/1202"/>
    <m/>
    <s v="YANTIAN"/>
    <m/>
    <m/>
    <s v="AGNES NUNES"/>
    <s v="FO9"/>
    <s v="BEVERAGE                      "/>
    <s v="CONFIRMED"/>
    <n v="1"/>
    <n v="3"/>
    <d v="2012-01-16T00:00:00"/>
    <s v="KITCHEN ELECTRICS             "/>
    <s v="BREAKFAST &amp; BREVAGE PREP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13"/>
    <n v="1370147889"/>
    <n v="50"/>
    <x v="2"/>
    <x v="2"/>
    <s v="R1"/>
    <n v="8000033534"/>
    <n v="27"/>
    <s v="CM3088KR       "/>
    <s v="CM3088KR FCM CM308 6C BLK/STAIN KR                "/>
    <s v="S"/>
    <d v="2012-01-09T00:00:00"/>
    <m/>
    <s v="X"/>
    <x v="47"/>
    <n v="7.18"/>
    <n v="14"/>
    <d v="2012-01-17T00:00:00"/>
    <d v="2012-01-03T00:00:00"/>
    <n v="3969"/>
    <d v="2012-01-03T00:00:00"/>
    <n v="3969"/>
    <m/>
    <d v="2011-12-30T00:00:00"/>
    <n v="3969"/>
    <d v="2012-01-17T00:00:00"/>
    <d v="2012-01-03T00:00:00"/>
    <n v="3969"/>
    <n v="3969"/>
    <x v="12"/>
    <d v="2012-01-21T00:00:00"/>
    <m/>
    <n v="9321653422"/>
    <n v="10"/>
    <s v="MAEU6308678"/>
    <s v="CONVENT/1202"/>
    <m/>
    <s v="YANTIAN"/>
    <m/>
    <m/>
    <s v="AGNES NUNES"/>
    <s v="FO9"/>
    <s v="BEVERAGE                      "/>
    <s v="CONFIRMED"/>
    <n v="1"/>
    <n v="1"/>
    <d v="2012-01-07T00:00:00"/>
    <s v="KITCHEN ELECTRICS             "/>
    <s v="BREAKFAST &amp; BREVAGE PREP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388/000010"/>
    <n v="1370147849"/>
    <n v="10"/>
    <x v="42"/>
    <x v="42"/>
    <s v="N1"/>
    <n v="2100044136"/>
    <n v="50"/>
    <s v="GC300134       "/>
    <s v="GC300134 GRIL TEFAL 1 ULTRACOMPACT 600            "/>
    <s v="S"/>
    <d v="2012-01-06T00:00:00"/>
    <m/>
    <s v="X"/>
    <x v="47"/>
    <n v="19.350000000000001"/>
    <n v="22803"/>
    <d v="2012-01-09T00:00:00"/>
    <d v="2012-01-08T00:00:00"/>
    <n v="1092"/>
    <d v="2012-01-08T00:00:00"/>
    <n v="1092"/>
    <m/>
    <d v="2012-01-08T00:00:00"/>
    <n v="1092"/>
    <d v="2012-01-09T00:00:00"/>
    <d v="2012-01-08T00:00:00"/>
    <n v="1092"/>
    <n v="1092"/>
    <x v="2"/>
    <d v="2012-01-05T00:00:00"/>
    <m/>
    <n v="9321653425"/>
    <n v="10"/>
    <s v="BY TRUCK"/>
    <s v="BY TRUCK"/>
    <m/>
    <s v="YANTIAN"/>
    <m/>
    <m/>
    <s v="ZANDRA LAM"/>
    <s v="FO9"/>
    <s v="ELECTRICAL COOKING            "/>
    <s v="CONFIRMED"/>
    <n v="1"/>
    <n v="1"/>
    <d v="2012-01-04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384/000010"/>
    <n v="1370147851"/>
    <n v="10"/>
    <x v="42"/>
    <x v="42"/>
    <s v="N1"/>
    <n v="2100064931"/>
    <n v="50"/>
    <s v="GC300143       "/>
    <s v="GC300143 GRILL UC600 SILV-COUNTR 230/240          "/>
    <s v="S"/>
    <d v="2012-01-06T00:00:00"/>
    <m/>
    <s v="X"/>
    <x v="47"/>
    <n v="19.95"/>
    <n v="23507"/>
    <d v="2012-01-05T00:00:00"/>
    <d v="2012-01-04T00:00:00"/>
    <n v="1092"/>
    <d v="2012-01-04T00:00:00"/>
    <n v="1092"/>
    <m/>
    <d v="2012-01-04T00:00:00"/>
    <n v="1092"/>
    <d v="2012-01-05T00:00:00"/>
    <d v="2012-01-04T00:00:00"/>
    <n v="1092"/>
    <n v="1092"/>
    <x v="2"/>
    <d v="2012-01-05T00:00:00"/>
    <m/>
    <n v="9321653426"/>
    <n v="10"/>
    <s v="BY TRUCK"/>
    <s v="BY TRUCK"/>
    <m/>
    <s v="YANTIAN"/>
    <m/>
    <m/>
    <s v="ZANDRA LAM"/>
    <s v="FO9"/>
    <s v="ELECTRICAL COOKING            "/>
    <s v="CONFIRMED"/>
    <n v="1"/>
    <n v="1"/>
    <d v="2012-01-04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0859/000010"/>
    <n v="1370146851"/>
    <n v="10"/>
    <x v="42"/>
    <x v="42"/>
    <s v="N1"/>
    <n v="2100059181"/>
    <n v="50"/>
    <s v="GC305012       "/>
    <s v="GC305012 GRIL UC 600 A12 CLASSIC TEF EUR          "/>
    <s v="S"/>
    <d v="2012-01-06T00:00:00"/>
    <m/>
    <s v="X"/>
    <x v="47"/>
    <n v="24.71"/>
    <n v="51"/>
    <d v="2012-01-27T00:00:00"/>
    <d v="2011-12-23T00:00:00"/>
    <n v="840"/>
    <d v="2012-01-05T00:00:00"/>
    <n v="840"/>
    <m/>
    <d v="2011-12-23T00:00:00"/>
    <n v="840"/>
    <d v="2012-02-05T00:00:00"/>
    <d v="2012-01-01T00:00:00"/>
    <n v="840"/>
    <n v="840"/>
    <x v="13"/>
    <d v="2012-02-05T00:00:00"/>
    <m/>
    <n v="9321653427"/>
    <n v="10"/>
    <s v="MSKU7203598"/>
    <s v="CMA CGM NERVAL/811W"/>
    <m/>
    <s v="YANTIAN"/>
    <s v="C-POST-CONF/"/>
    <m/>
    <s v="KENUS WONG"/>
    <s v="FO9"/>
    <s v="ELECTRICAL COOKING            "/>
    <s v="CONFIRMED"/>
    <n v="1"/>
    <n v="52"/>
    <d v="2012-01-01T00:00:00"/>
    <s v="KITCHEN ELECTRICS             "/>
    <s v="ELECTRICAL COOKING            "/>
    <x v="2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1/000110"/>
    <n v="1370147543"/>
    <n v="110"/>
    <x v="42"/>
    <x v="42"/>
    <s v="N1"/>
    <n v="2100062463"/>
    <n v="50"/>
    <s v="GR305012       "/>
    <s v="GR305012 GRILL UC600 A12 CLASSIC ROWENTA          "/>
    <s v="S"/>
    <d v="2012-01-05T00:00:00"/>
    <m/>
    <s v="X"/>
    <x v="47"/>
    <n v="24.71"/>
    <n v="14879"/>
    <d v="2012-01-30T00:00:00"/>
    <d v="2012-01-02T00:00:00"/>
    <n v="840"/>
    <d v="2012-01-02T00:00:00"/>
    <n v="840"/>
    <m/>
    <d v="2012-01-02T00:00:00"/>
    <n v="840"/>
    <d v="2012-01-30T00:00:00"/>
    <d v="2012-01-02T00:00:00"/>
    <n v="840"/>
    <n v="840"/>
    <x v="6"/>
    <d v="2012-02-02T00:00:00"/>
    <m/>
    <n v="9321653428"/>
    <n v="10"/>
    <s v="UACU8020320"/>
    <s v="XIN PU DONG/1201W"/>
    <m/>
    <s v="YANTIAN"/>
    <m/>
    <m/>
    <s v="JASON FAN"/>
    <s v="FO9"/>
    <s v="ELECTRICAL COOKING            "/>
    <s v="CONFIRMED"/>
    <n v="1"/>
    <n v="1"/>
    <d v="2012-01-05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1/000180"/>
    <n v="1370147543"/>
    <n v="180"/>
    <x v="42"/>
    <x v="42"/>
    <s v="N1"/>
    <n v="2100063795"/>
    <n v="50"/>
    <s v="GC206015       "/>
    <s v="GC206015 GRIL MINUTE GRILL A12 ROW IT             "/>
    <s v="S"/>
    <d v="2012-01-05T00:00:00"/>
    <m/>
    <s v="X"/>
    <x v="47"/>
    <n v="20.99"/>
    <n v="14879"/>
    <d v="2012-01-30T00:00:00"/>
    <d v="2012-01-02T00:00:00"/>
    <n v="1026"/>
    <d v="2012-01-02T00:00:00"/>
    <n v="1026"/>
    <m/>
    <d v="2012-01-02T00:00:00"/>
    <n v="1026"/>
    <d v="2012-01-30T00:00:00"/>
    <d v="2012-01-02T00:00:00"/>
    <n v="1026"/>
    <n v="1026"/>
    <x v="6"/>
    <d v="2012-02-02T00:00:00"/>
    <m/>
    <n v="9321653429"/>
    <n v="10"/>
    <s v="UACU8020320"/>
    <s v="XIN PU DONG/1201W"/>
    <m/>
    <s v="YANTIAN"/>
    <m/>
    <m/>
    <s v="JASON FAN"/>
    <s v="FO9"/>
    <s v="ELECTRICAL COOKING            "/>
    <s v="CONFIRMED"/>
    <n v="1"/>
    <n v="1"/>
    <d v="2012-01-05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1/000190"/>
    <n v="1370147543"/>
    <n v="190"/>
    <x v="42"/>
    <x v="42"/>
    <s v="N1"/>
    <n v="2100063795"/>
    <n v="50"/>
    <s v="GC206015       "/>
    <s v="GC206015 GRIL MINUTE GRILL A12 ROW IT             "/>
    <s v="S"/>
    <d v="2012-01-16T00:00:00"/>
    <m/>
    <s v="X"/>
    <x v="47"/>
    <n v="20.99"/>
    <n v="14879"/>
    <d v="2012-02-06T00:00:00"/>
    <d v="2012-01-09T00:00:00"/>
    <n v="1026"/>
    <d v="2012-01-09T00:00:00"/>
    <n v="1026"/>
    <m/>
    <d v="2012-01-09T00:00:00"/>
    <n v="1026"/>
    <d v="2012-02-06T00:00:00"/>
    <d v="2012-01-09T00:00:00"/>
    <n v="1026"/>
    <n v="1026"/>
    <x v="24"/>
    <d v="2012-02-10T00:00:00"/>
    <m/>
    <n v="9321653429"/>
    <n v="20"/>
    <s v="OOLU7533164"/>
    <s v="BUSAN EXPRESS/04W01"/>
    <m/>
    <s v="YANTIAN"/>
    <m/>
    <m/>
    <s v="JASON FAN"/>
    <s v="FO9"/>
    <s v="ELECTRICAL COOKING            "/>
    <s v="CONFIRMED"/>
    <n v="1"/>
    <n v="2"/>
    <d v="2012-01-13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826/000010"/>
    <n v="1370147867"/>
    <n v="10"/>
    <x v="57"/>
    <x v="57"/>
    <s v="P1"/>
    <n v="1500833662"/>
    <n v="105"/>
    <n v="833662"/>
    <s v="JU500160 JUI JUICE MACHINE WHT MO                 "/>
    <s v="S"/>
    <d v="2012-01-09T00:00:00"/>
    <m/>
    <s v="X"/>
    <x v="47"/>
    <n v="24.92"/>
    <n v="29"/>
    <d v="2012-01-05T00:00:00"/>
    <d v="2012-01-04T00:00:00"/>
    <n v="1020"/>
    <d v="2012-01-04T00:00:00"/>
    <n v="1040"/>
    <m/>
    <d v="2012-01-11T00:00:00"/>
    <n v="1040"/>
    <d v="2012-01-12T00:00:00"/>
    <d v="2012-01-11T00:00:00"/>
    <n v="1040"/>
    <n v="1040"/>
    <x v="6"/>
    <d v="2012-01-06T00:00:00"/>
    <m/>
    <n v="9321653432"/>
    <n v="10"/>
    <s v="BY TRUCK"/>
    <s v="BY TRUCK"/>
    <m/>
    <s v="YANTIAN"/>
    <m/>
    <m/>
    <s v="ZANDRA LAM"/>
    <s v="FO9"/>
    <s v="FOOD PREPARATION              "/>
    <s v="CONFIRMED"/>
    <n v="1"/>
    <n v="1"/>
    <d v="2012-01-05T00:00:00"/>
    <s v="KITCHEN ELECTRICS             "/>
    <s v="FOOD PREPARATION              "/>
    <x v="7"/>
    <x v="3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887/000010"/>
    <n v="1370147688"/>
    <n v="10"/>
    <x v="62"/>
    <x v="62"/>
    <s v="R1"/>
    <n v="1500635095"/>
    <n v="55"/>
    <n v="635095"/>
    <s v="KO102B30 KET TRAVEL'CITY 0.5 L GRE EE             "/>
    <s v="S"/>
    <d v="2012-01-12T00:00:00"/>
    <m/>
    <s v="X"/>
    <x v="47"/>
    <n v="9.36"/>
    <n v="346"/>
    <d v="2012-02-17T00:00:00"/>
    <d v="2011-12-30T00:00:00"/>
    <n v="3600"/>
    <d v="2011-12-30T00:00:00"/>
    <n v="3600"/>
    <m/>
    <d v="2011-12-30T00:00:00"/>
    <n v="3600"/>
    <d v="2012-02-17T00:00:00"/>
    <d v="2011-12-30T00:00:00"/>
    <n v="3600"/>
    <n v="3600"/>
    <x v="17"/>
    <d v="2012-02-29T00:00:00"/>
    <m/>
    <n v="9321653433"/>
    <n v="10"/>
    <s v="OOLU3702121"/>
    <s v="OOCL NETHERLANDS/23W"/>
    <m/>
    <s v="YANTIAN"/>
    <s v="SAILING-SCHED-UPDATE"/>
    <m/>
    <s v="KENUS WONG"/>
    <s v="FO9"/>
    <s v="BEVERAGE                      "/>
    <s v="CONFIRMED"/>
    <n v="1"/>
    <n v="2"/>
    <d v="2012-01-11T00:00:00"/>
    <s v="KITCHEN ELECTRICS             "/>
    <s v="BREAKFAST &amp; BREVAGE PREP      "/>
    <x v="2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0528/000010"/>
    <n v="1370147701"/>
    <n v="10"/>
    <x v="62"/>
    <x v="62"/>
    <s v="R1"/>
    <n v="8000032444"/>
    <n v="55"/>
    <s v="BY520040       "/>
    <s v="BY520040 KET LYRIS 2L                             "/>
    <s v="S"/>
    <d v="2012-01-12T00:00:00"/>
    <m/>
    <s v="X"/>
    <x v="47"/>
    <n v="19.18"/>
    <n v="694"/>
    <d v="2012-02-24T00:00:00"/>
    <d v="2012-01-06T00:00:00"/>
    <n v="2442"/>
    <d v="2012-01-06T00:00:00"/>
    <n v="2442"/>
    <m/>
    <d v="2012-01-06T00:00:00"/>
    <n v="2442"/>
    <d v="2012-02-24T00:00:00"/>
    <d v="2012-01-06T00:00:00"/>
    <n v="2442"/>
    <n v="2442"/>
    <x v="17"/>
    <d v="2012-02-29T00:00:00"/>
    <m/>
    <n v="9321653434"/>
    <n v="10"/>
    <s v="OOLU7706758"/>
    <s v="OOCL NETHERLANDS/23W"/>
    <m/>
    <s v="YANTIAN"/>
    <m/>
    <m/>
    <s v="KENUS WONG"/>
    <s v="FO9"/>
    <s v="BEVERAGE                      "/>
    <s v="CONFIRMED"/>
    <n v="1"/>
    <n v="2"/>
    <d v="2012-01-11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0739/000010"/>
    <n v="1370147743"/>
    <n v="10"/>
    <x v="62"/>
    <x v="62"/>
    <s v="N3"/>
    <n v="1500576715"/>
    <n v="57"/>
    <n v="576715"/>
    <s v="MW200131 COMPA MONO WHITE D1                      "/>
    <s v="S"/>
    <d v="2012-01-12T00:00:00"/>
    <m/>
    <s v="X"/>
    <x v="47"/>
    <n v="31.34"/>
    <n v="1144"/>
    <d v="2012-02-17T00:00:00"/>
    <d v="2011-12-30T00:00:00"/>
    <n v="448"/>
    <d v="2011-12-30T00:00:00"/>
    <n v="448"/>
    <m/>
    <d v="2011-12-30T00:00:00"/>
    <n v="448"/>
    <d v="2012-02-17T00:00:00"/>
    <d v="2011-12-30T00:00:00"/>
    <n v="448"/>
    <n v="448"/>
    <x v="16"/>
    <d v="2012-02-21T00:00:00"/>
    <m/>
    <n v="9321653435"/>
    <n v="10"/>
    <s v="TTNU4478130"/>
    <s v="OOCL NETHERLANDS/23W"/>
    <m/>
    <s v="YANTIAN"/>
    <s v="SUPPLIER LATE DOC"/>
    <m/>
    <s v="KENUS WONG"/>
    <s v="FO9"/>
    <s v="ELECTRICAL COOKING            "/>
    <s v="CONFIRMED"/>
    <n v="1"/>
    <n v="1"/>
    <d v="2012-01-03T00:00:00"/>
    <s v="KITCHEN ELECTRICS             "/>
    <s v="ELECTRICAL COOKING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0759/000010"/>
    <n v="1370147767"/>
    <n v="10"/>
    <x v="62"/>
    <x v="62"/>
    <s v="R1"/>
    <n v="8000032937"/>
    <n v="55"/>
    <s v="KO102140       "/>
    <s v="KO102140 KET TRAVEL'CITY 0.5L WTH/GRG RU          "/>
    <s v="S"/>
    <d v="2012-01-12T00:00:00"/>
    <m/>
    <s v="X"/>
    <x v="47"/>
    <n v="8.73"/>
    <n v="316"/>
    <d v="2012-02-24T00:00:00"/>
    <d v="2012-01-06T00:00:00"/>
    <n v="5784"/>
    <d v="2012-01-06T00:00:00"/>
    <n v="5784"/>
    <m/>
    <d v="2012-01-06T00:00:00"/>
    <n v="5784"/>
    <d v="2012-02-24T00:00:00"/>
    <d v="2012-01-06T00:00:00"/>
    <n v="5784"/>
    <n v="5784"/>
    <x v="17"/>
    <d v="2012-02-29T00:00:00"/>
    <m/>
    <n v="9321653436"/>
    <n v="10"/>
    <s v="OOLU7706758"/>
    <s v="OOCL NETHERLANDS/23W"/>
    <m/>
    <s v="SHENZHEN"/>
    <m/>
    <m/>
    <s v="KENUS WONG"/>
    <s v="FO9"/>
    <s v="BEVERAGE                      "/>
    <s v="CONFIRMED"/>
    <n v="1"/>
    <n v="2"/>
    <d v="2012-01-11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0747/000010"/>
    <n v="1370147769"/>
    <n v="10"/>
    <x v="62"/>
    <x v="62"/>
    <s v="N3"/>
    <n v="1500576714"/>
    <n v="57"/>
    <n v="576714"/>
    <s v="MW220131 COMPA MECAGRIL WHI D1                    "/>
    <s v="S"/>
    <d v="2012-01-12T00:00:00"/>
    <m/>
    <s v="X"/>
    <x v="47"/>
    <n v="34.81"/>
    <n v="1269"/>
    <d v="2012-02-22T00:00:00"/>
    <d v="2012-01-04T00:00:00"/>
    <n v="448"/>
    <d v="2012-01-04T00:00:00"/>
    <n v="448"/>
    <m/>
    <d v="2012-01-04T00:00:00"/>
    <n v="448"/>
    <d v="2012-02-22T00:00:00"/>
    <d v="2012-01-04T00:00:00"/>
    <n v="448"/>
    <n v="448"/>
    <x v="16"/>
    <d v="2012-02-21T00:00:00"/>
    <m/>
    <n v="9321653437"/>
    <n v="10"/>
    <s v="TGHU1732981"/>
    <s v="OOCL NETHERLANDS/23W"/>
    <m/>
    <s v="YANTIAN"/>
    <s v="SUPPLIER LATE DOC"/>
    <m/>
    <s v="KENUS WONG"/>
    <s v="FO9"/>
    <s v="ELECTRICAL COOKING            "/>
    <s v="CONFIRMED"/>
    <n v="1"/>
    <n v="1"/>
    <d v="2012-01-03T00:00:00"/>
    <s v="KITCHEN ELECTRICS             "/>
    <s v="ELECTRICAL COOKING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48471/000010"/>
    <n v="1370146813"/>
    <n v="10"/>
    <x v="3"/>
    <x v="3"/>
    <s v="R1"/>
    <n v="1500635428"/>
    <n v="27"/>
    <n v="635428"/>
    <s v="CM430D31 FCM NEW EXPRESS 10/15C MET EUR           "/>
    <s v="S"/>
    <d v="2012-01-11T00:00:00"/>
    <m/>
    <s v="X"/>
    <x v="47"/>
    <n v="15.49"/>
    <n v="13"/>
    <d v="2012-02-09T00:00:00"/>
    <d v="2012-01-12T00:00:00"/>
    <n v="724"/>
    <d v="2012-01-12T00:00:00"/>
    <n v="724"/>
    <m/>
    <d v="2012-01-12T00:00:00"/>
    <n v="724"/>
    <d v="2012-02-09T00:00:00"/>
    <d v="2012-01-12T00:00:00"/>
    <n v="724"/>
    <n v="724"/>
    <x v="5"/>
    <d v="2012-02-07T00:00:00"/>
    <m/>
    <n v="9321653440"/>
    <n v="10"/>
    <s v="MRKU8226019"/>
    <s v="MAERSK ENFIELD 1202/"/>
    <m/>
    <s v="YANTIAN"/>
    <m/>
    <m/>
    <s v="KENUS WONG"/>
    <s v="FO9"/>
    <s v="BEVERAGE                      "/>
    <s v="CONFIRMED"/>
    <n v="1"/>
    <n v="2"/>
    <d v="2012-01-10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0704/000010"/>
    <n v="1370147770"/>
    <n v="10"/>
    <x v="3"/>
    <x v="3"/>
    <s v="R1"/>
    <n v="8000032850"/>
    <n v="27"/>
    <s v="CM410530       "/>
    <s v="CM410530 COFFEE MAKER 10/15T GLASS JUG            "/>
    <s v="S"/>
    <d v="2012-01-05T00:00:00"/>
    <m/>
    <s v="X"/>
    <x v="47"/>
    <n v="11.36"/>
    <n v="398"/>
    <d v="2012-02-17T00:00:00"/>
    <d v="2011-12-30T00:00:00"/>
    <n v="1500"/>
    <d v="2011-12-30T00:00:00"/>
    <n v="1500"/>
    <m/>
    <d v="2011-12-30T00:00:00"/>
    <n v="1500"/>
    <d v="2012-02-17T00:00:00"/>
    <d v="2011-12-30T00:00:00"/>
    <n v="1500"/>
    <n v="1500"/>
    <x v="16"/>
    <d v="2012-02-21T00:00:00"/>
    <m/>
    <n v="9321653442"/>
    <n v="10"/>
    <s v="OOLU7240211"/>
    <s v="NYK VESTA/28W51"/>
    <m/>
    <s v="YANTIAN"/>
    <s v="TP ISSUE"/>
    <m/>
    <s v="KENUS WONG"/>
    <s v="FO9"/>
    <s v="BEVERAGE                      "/>
    <s v="CONFIRMED"/>
    <n v="1"/>
    <n v="1"/>
    <d v="2012-01-03T00:00:00"/>
    <s v="KITCHEN ELECTRICS             "/>
    <s v="BREAKFAST &amp; BREVAGE PREP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7410/000010"/>
    <n v="1370146652"/>
    <n v="10"/>
    <x v="63"/>
    <x v="63"/>
    <s v="N3"/>
    <n v="1500632304"/>
    <n v="179"/>
    <n v="632304"/>
    <s v="SD700450 STMC CERAMIC US                          "/>
    <s v="S"/>
    <d v="2012-01-05T00:00:00"/>
    <m/>
    <s v="X"/>
    <x v="47"/>
    <n v="36.5"/>
    <n v="43032"/>
    <d v="2012-02-16T00:00:00"/>
    <d v="2012-01-12T00:00:00"/>
    <n v="952"/>
    <d v="2012-01-01T00:00:00"/>
    <n v="952"/>
    <m/>
    <d v="2012-01-12T00:00:00"/>
    <n v="952"/>
    <d v="2012-02-06T00:00:00"/>
    <d v="2012-01-02T00:00:00"/>
    <n v="952"/>
    <n v="952"/>
    <x v="3"/>
    <d v="2012-02-06T00:00:00"/>
    <m/>
    <n v="9321653443"/>
    <n v="10"/>
    <s v="HLXU4375049"/>
    <s v="NYK REMUS 16E52/"/>
    <m/>
    <s v="YANTIAN"/>
    <s v="C-PULLIN-CONF/"/>
    <m/>
    <s v="TWEETY LEUNG"/>
    <s v="FO9"/>
    <s v="ELECTRICAL COOKING            "/>
    <s v="CONFIRMED"/>
    <n v="1"/>
    <n v="1"/>
    <d v="2012-01-02T00:00:00"/>
    <s v="KITCHEN ELECTRICS             "/>
    <s v="ELECTRICAL COOKING            "/>
    <x v="4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731/000010"/>
    <n v="1370147758"/>
    <n v="10"/>
    <x v="64"/>
    <x v="64"/>
    <s v="N3"/>
    <n v="1500633211"/>
    <n v="32"/>
    <n v="633211"/>
    <s v="MV100030 STMC CPCT PRINC 5L RU                    "/>
    <s v="S"/>
    <d v="2012-01-07T00:00:00"/>
    <m/>
    <s v="X"/>
    <x v="47"/>
    <n v="9.82"/>
    <n v="352"/>
    <d v="2012-02-24T00:00:00"/>
    <d v="2012-01-06T00:00:00"/>
    <n v="2880"/>
    <d v="2012-01-06T00:00:00"/>
    <n v="2880"/>
    <m/>
    <d v="2012-01-06T00:00:00"/>
    <n v="2880"/>
    <d v="2012-02-24T00:00:00"/>
    <d v="2012-01-06T00:00:00"/>
    <n v="2880"/>
    <n v="2880"/>
    <x v="6"/>
    <d v="2012-02-23T00:00:00"/>
    <m/>
    <n v="9321653445"/>
    <n v="10"/>
    <s v="APZU4423632"/>
    <s v="MOL MAXIM/010W"/>
    <m/>
    <s v="YANTIAN"/>
    <m/>
    <m/>
    <s v="KENUS WONG"/>
    <s v="FO9"/>
    <s v="ELECTRICAL COOKING            "/>
    <s v="CONFIRMED"/>
    <n v="1"/>
    <n v="1"/>
    <d v="2012-01-05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391/000010"/>
    <n v="1370147841"/>
    <n v="10"/>
    <x v="64"/>
    <x v="64"/>
    <s v="N3"/>
    <n v="1500633211"/>
    <n v="32"/>
    <n v="633211"/>
    <s v="MV100030 STMC CPCT PRINC 5L RU                    "/>
    <s v="S"/>
    <d v="2012-01-09T00:00:00"/>
    <m/>
    <s v="X"/>
    <x v="47"/>
    <n v="9.82"/>
    <n v="11"/>
    <d v="2012-01-09T00:00:00"/>
    <d v="2012-01-08T00:00:00"/>
    <n v="1200"/>
    <d v="2012-01-08T00:00:00"/>
    <n v="1200"/>
    <m/>
    <d v="2012-01-08T00:00:00"/>
    <n v="1200"/>
    <d v="2012-01-09T00:00:00"/>
    <d v="2012-01-08T00:00:00"/>
    <n v="1200"/>
    <n v="1200"/>
    <x v="6"/>
    <d v="2012-01-06T00:00:00"/>
    <m/>
    <n v="9321653446"/>
    <n v="10"/>
    <s v="BY TRUCK"/>
    <s v="BY TRUCK"/>
    <m/>
    <s v="YANTIAN"/>
    <s v="UNLOAD JAN05 2012"/>
    <m/>
    <s v="ZANDRA LAM"/>
    <s v="FO9"/>
    <s v="ELECTRICAL COOKING            "/>
    <s v="CONFIRMED"/>
    <n v="1"/>
    <n v="1"/>
    <d v="2012-01-05T00:00:00"/>
    <s v="KITCHEN ELECTRICS             "/>
    <s v="ELECTRICAL COOKING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836/000010"/>
    <n v="1370147605"/>
    <n v="10"/>
    <x v="65"/>
    <x v="65"/>
    <s v="R1"/>
    <n v="1500634692"/>
    <n v="55"/>
    <n v="634692"/>
    <s v="KO300030 KET AQUA PLAST WHT/GRE EE                "/>
    <s v="S"/>
    <d v="2012-01-05T00:00:00"/>
    <m/>
    <s v="X"/>
    <x v="47"/>
    <n v="10.210000000000001"/>
    <n v="376"/>
    <d v="2012-02-24T00:00:00"/>
    <d v="2012-01-06T00:00:00"/>
    <n v="2960"/>
    <d v="2012-01-06T00:00:00"/>
    <n v="2960"/>
    <m/>
    <d v="2012-01-06T00:00:00"/>
    <n v="2960"/>
    <d v="2012-02-17T00:00:00"/>
    <d v="2011-12-30T00:00:00"/>
    <n v="2960"/>
    <n v="2960"/>
    <x v="6"/>
    <d v="2012-02-23T00:00:00"/>
    <m/>
    <n v="9321653447"/>
    <n v="10"/>
    <s v="APZU4510906"/>
    <s v="MOL MAXIM/010W"/>
    <m/>
    <s v="YANTIAN"/>
    <m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845/000010"/>
    <n v="1370147779"/>
    <n v="10"/>
    <x v="65"/>
    <x v="65"/>
    <s v="R1"/>
    <n v="1500634690"/>
    <n v="55"/>
    <n v="634690"/>
    <s v="KO300530 KET AQUA PLAST BLK EE                    "/>
    <s v="S"/>
    <d v="2012-01-05T00:00:00"/>
    <m/>
    <s v="X"/>
    <x v="47"/>
    <n v="10.26"/>
    <n v="378"/>
    <d v="2012-02-24T00:00:00"/>
    <d v="2012-01-06T00:00:00"/>
    <n v="2960"/>
    <d v="2012-01-06T00:00:00"/>
    <n v="2960"/>
    <m/>
    <d v="2012-01-06T00:00:00"/>
    <n v="2960"/>
    <d v="2012-02-17T00:00:00"/>
    <d v="2011-12-30T00:00:00"/>
    <n v="2960"/>
    <n v="2960"/>
    <x v="6"/>
    <d v="2012-02-23T00:00:00"/>
    <m/>
    <n v="9321653449"/>
    <n v="10"/>
    <s v="APZU4510906"/>
    <s v="MOL MAXIM/010W"/>
    <m/>
    <s v="YANTIAN"/>
    <m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09"/>
    <n v="1370147889"/>
    <n v="240"/>
    <x v="65"/>
    <x v="65"/>
    <s v="R1"/>
    <n v="8000032364"/>
    <n v="55"/>
    <s v="KO300021       "/>
    <s v="KO300021 KET AQUA                                 "/>
    <s v="S"/>
    <d v="2012-01-09T00:00:00"/>
    <m/>
    <s v="X"/>
    <x v="47"/>
    <n v="10.199999999999999"/>
    <n v="14"/>
    <d v="2012-01-17T00:00:00"/>
    <d v="2012-01-03T00:00:00"/>
    <n v="5920"/>
    <d v="2012-01-03T00:00:00"/>
    <n v="5920"/>
    <m/>
    <d v="2012-01-03T00:00:00"/>
    <n v="5920"/>
    <d v="2012-01-10T00:00:00"/>
    <d v="2011-12-27T00:00:00"/>
    <n v="5920"/>
    <n v="5920"/>
    <x v="12"/>
    <d v="2012-01-21T00:00:00"/>
    <m/>
    <n v="9321653450"/>
    <n v="10"/>
    <s v="MSKU6122491"/>
    <s v="CONVENT/1202"/>
    <m/>
    <s v="YANTIAN"/>
    <m/>
    <m/>
    <s v="AGNES NUNES"/>
    <s v="FO9"/>
    <s v="BEVERAGE                      "/>
    <s v="CONFIRMED"/>
    <n v="1"/>
    <n v="1"/>
    <d v="2012-01-07T00:00:00"/>
    <s v="KITCHEN ELECTRICS             "/>
    <s v="BREAKFAST &amp; BREVAGE PREP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7296"/>
    <s v="SOCIMAR                                           "/>
    <n v="99005151"/>
    <x v="18"/>
    <s v="9321648518/000010"/>
    <n v="1370146828"/>
    <n v="10"/>
    <x v="10"/>
    <x v="10"/>
    <s v="P1"/>
    <n v="1500818462"/>
    <n v="104"/>
    <n v="818462"/>
    <s v="A3270162 MLTT 1.2.3 A327 WHT MA                   "/>
    <s v="S"/>
    <d v="2012-01-10T00:00:00"/>
    <m/>
    <s v="X"/>
    <x v="47"/>
    <n v="16.93"/>
    <n v="20"/>
    <d v="2012-01-05T00:00:00"/>
    <d v="2012-01-05T00:00:00"/>
    <n v="2856"/>
    <d v="2012-01-05T00:00:00"/>
    <n v="2856"/>
    <m/>
    <d v="2012-01-09T00:00:00"/>
    <n v="2856"/>
    <d v="2012-01-16T00:00:00"/>
    <d v="2012-01-16T00:00:00"/>
    <n v="2856"/>
    <n v="2856"/>
    <x v="17"/>
    <d v="2012-01-11T00:00:00"/>
    <m/>
    <n v="9321653451"/>
    <n v="10"/>
    <s v="MSCU5011534 / F"/>
    <s v="MSC SENTOSA / 21201A"/>
    <m/>
    <s v="JAKARTA"/>
    <s v="NEWREQ-CUSTOMS/"/>
    <m/>
    <s v="RITA CHOW"/>
    <s v="FO9"/>
    <s v="FOOD PREPARATION              "/>
    <s v="CONFIRMED"/>
    <n v="1"/>
    <n v="2"/>
    <d v="2012-01-11T00:00:00"/>
    <s v="KITCHEN ELECTRICS             "/>
    <s v="FOOD PREPARATION              "/>
    <x v="2"/>
    <x v="1"/>
    <x v="8"/>
    <s v="NEWREQ-CUSTOMS"/>
    <n v="1"/>
    <n v="1"/>
    <x v="14"/>
    <n v="1"/>
    <x v="0"/>
    <x v="1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32/000004"/>
    <n v="1370147451"/>
    <n v="170"/>
    <x v="10"/>
    <x v="10"/>
    <s v="P1"/>
    <n v="1500818463"/>
    <n v="104"/>
    <n v="818463"/>
    <s v="MF327170 MLTT A327 700W WHT SG                    "/>
    <s v="S"/>
    <d v="2012-01-27T00:00:00"/>
    <m/>
    <s v="X"/>
    <x v="47"/>
    <n v="16.93"/>
    <n v="18"/>
    <d v="2012-02-08T00:00:00"/>
    <d v="2012-01-25T00:00:00"/>
    <n v="1344"/>
    <d v="2012-01-25T00:00:00"/>
    <n v="1344"/>
    <m/>
    <m/>
    <m/>
    <d v="2012-02-08T00:00:00"/>
    <d v="2012-01-25T00:00:00"/>
    <n v="1344"/>
    <n v="1344"/>
    <x v="27"/>
    <d v="2012-02-08T00:00:00"/>
    <m/>
    <n v="9321653452"/>
    <n v="30"/>
    <s v="OOLU1099395"/>
    <s v="PONA VOY 011N"/>
    <m/>
    <s v="SURABAYA"/>
    <s v="SP-HOLIDAY/"/>
    <m/>
    <s v="TWEETY LEUNG"/>
    <s v="FO9"/>
    <s v="FOOD PREPARATION              "/>
    <s v="CONFIRMED"/>
    <n v="1"/>
    <n v="4"/>
    <d v="2012-01-25T00:00:00"/>
    <s v="KITCHEN ELECTRICS             "/>
    <s v="FOOD PREPARATION              "/>
    <x v="2"/>
    <x v="1"/>
    <x v="7"/>
    <s v="SP-HOLIDAY"/>
    <n v="-3"/>
    <n v="-3"/>
    <x v="6"/>
    <n v="1"/>
    <x v="0"/>
    <x v="1"/>
    <x v="0"/>
    <n v="0"/>
    <n v="0"/>
    <n v="1"/>
    <n v="0"/>
    <n v="0"/>
    <n v="1"/>
    <x v="0"/>
    <x v="0"/>
    <x v="1"/>
    <x v="1"/>
  </r>
  <r>
    <s v="Shipment"/>
    <n v="99003600"/>
    <s v="GROUPE SEB ISTANBUL EV ALETLERI                   "/>
    <n v="99003600"/>
    <x v="13"/>
    <s v="4500260864/000010"/>
    <n v="1370146853"/>
    <n v="10"/>
    <x v="17"/>
    <x v="17"/>
    <s v="L4"/>
    <n v="1830003219"/>
    <n v="131"/>
    <s v="SF4412E4       "/>
    <s v="SF4412E4 LISS &amp; CURL STRAIGHTENER                 "/>
    <s v="S"/>
    <d v="2012-01-06T00:00:00"/>
    <m/>
    <s v="X"/>
    <x v="47"/>
    <n v="10.85"/>
    <n v="22587"/>
    <d v="2012-01-27T00:00:00"/>
    <d v="2011-12-23T00:00:00"/>
    <n v="3000"/>
    <d v="2012-01-01T00:00:00"/>
    <n v="3000"/>
    <m/>
    <d v="2011-12-23T00:00:00"/>
    <n v="3000"/>
    <d v="2012-02-05T00:00:00"/>
    <d v="2012-01-01T00:00:00"/>
    <n v="3000"/>
    <n v="3000"/>
    <x v="13"/>
    <d v="2012-02-05T00:00:00"/>
    <m/>
    <n v="9321653454"/>
    <n v="10"/>
    <s v="MSKU6817267"/>
    <s v="CMA CGM NERVAL/811W"/>
    <m/>
    <s v="YANTIAN"/>
    <s v="CONS-SHIPT/"/>
    <m/>
    <s v="KENUS WONG"/>
    <s v="FO9"/>
    <s v="PERSONAL CARE                 "/>
    <s v="CONFIRMED"/>
    <n v="1"/>
    <n v="52"/>
    <d v="2012-01-01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1/000020"/>
    <n v="1370147543"/>
    <n v="20"/>
    <x v="17"/>
    <x v="17"/>
    <s v="L4"/>
    <n v="1830003754"/>
    <n v="131"/>
    <s v="SF1032F0       "/>
    <s v="SF1032F0 STRAIGHTENER INTERNATIONAL PROM          "/>
    <s v="S"/>
    <d v="2012-01-05T00:00:00"/>
    <m/>
    <s v="X"/>
    <x v="47"/>
    <n v="5.84"/>
    <n v="14879"/>
    <d v="2012-01-30T00:00:00"/>
    <d v="2012-01-02T00:00:00"/>
    <n v="3006"/>
    <d v="2012-01-02T00:00:00"/>
    <n v="3006"/>
    <m/>
    <d v="2012-01-02T00:00:00"/>
    <n v="3006"/>
    <d v="2012-01-30T00:00:00"/>
    <d v="2012-01-02T00:00:00"/>
    <n v="3006"/>
    <n v="3006"/>
    <x v="16"/>
    <d v="2012-01-31T00:00:00"/>
    <m/>
    <n v="9321653458"/>
    <n v="10"/>
    <s v="CRXU4969427"/>
    <s v="HANJIN AMSTERDAM/007"/>
    <m/>
    <s v="HONG KONG"/>
    <m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1/000150"/>
    <n v="1370147543"/>
    <n v="150"/>
    <x v="17"/>
    <x v="17"/>
    <s v="L4"/>
    <n v="1830003099"/>
    <n v="5"/>
    <s v="CV4952F0       "/>
    <s v="CV4952F0 POWERLINE HAIR DRYER                     "/>
    <s v="S"/>
    <d v="2012-01-05T00:00:00"/>
    <m/>
    <s v="X"/>
    <x v="47"/>
    <n v="7.07"/>
    <n v="14879"/>
    <d v="2012-01-30T00:00:00"/>
    <d v="2012-01-02T00:00:00"/>
    <n v="3000"/>
    <d v="2012-01-02T00:00:00"/>
    <n v="3000"/>
    <m/>
    <d v="2012-01-02T00:00:00"/>
    <n v="3000"/>
    <d v="2012-01-30T00:00:00"/>
    <d v="2012-01-02T00:00:00"/>
    <n v="3000"/>
    <n v="3000"/>
    <x v="16"/>
    <d v="2012-01-31T00:00:00"/>
    <m/>
    <n v="9321653458"/>
    <n v="20"/>
    <s v="CRXU4969427"/>
    <s v="HANJIN AMSTERDAM/007"/>
    <m/>
    <s v="YANTIAN"/>
    <m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2/000010"/>
    <n v="1370147544"/>
    <n v="10"/>
    <x v="17"/>
    <x v="17"/>
    <s v="L4"/>
    <n v="1830003751"/>
    <n v="5"/>
    <s v="CV8655E0       "/>
    <s v="CV8655E0 HAIR DRYER AC MOTOR INIFINIPRO           "/>
    <s v="S"/>
    <d v="2012-01-05T00:00:00"/>
    <m/>
    <s v="X"/>
    <x v="47"/>
    <n v="13.17"/>
    <n v="13"/>
    <d v="2012-02-03T00:00:00"/>
    <d v="2012-01-06T00:00:00"/>
    <n v="3000"/>
    <d v="2012-01-06T00:00:00"/>
    <n v="3000"/>
    <m/>
    <d v="2012-01-06T00:00:00"/>
    <n v="3000"/>
    <d v="2012-01-30T00:00:00"/>
    <d v="2012-01-02T00:00:00"/>
    <n v="3000"/>
    <n v="3000"/>
    <x v="16"/>
    <d v="2012-01-31T00:00:00"/>
    <m/>
    <n v="9321653459"/>
    <n v="10"/>
    <s v="CRXU4969427"/>
    <s v="HANJIN AMSTERDAM/007"/>
    <m/>
    <s v="HONG KONG"/>
    <s v="CONS-SHIPT/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2/000020"/>
    <n v="1370147544"/>
    <n v="20"/>
    <x v="17"/>
    <x v="17"/>
    <s v="L4"/>
    <n v="1830003751"/>
    <n v="5"/>
    <s v="CV8655E0       "/>
    <s v="CV8655E0 HAIR DRYER AC MOTOR INIFINIPRO           "/>
    <s v="S"/>
    <d v="2012-01-06T00:00:00"/>
    <m/>
    <s v="X"/>
    <x v="47"/>
    <n v="13.17"/>
    <n v="13"/>
    <d v="2012-02-10T00:00:00"/>
    <d v="2012-01-13T00:00:00"/>
    <n v="9000"/>
    <d v="2012-01-09T00:00:00"/>
    <n v="9000"/>
    <m/>
    <d v="2012-01-13T00:00:00"/>
    <n v="9000"/>
    <d v="2012-01-31T00:00:00"/>
    <d v="2012-01-03T00:00:00"/>
    <n v="9000"/>
    <n v="7280"/>
    <x v="2"/>
    <d v="2012-02-01T00:00:00"/>
    <m/>
    <n v="9321653459"/>
    <n v="20"/>
    <s v="OOLU8312379"/>
    <s v="CHINA EXPRESS/08W52"/>
    <m/>
    <s v="HONG KONG"/>
    <s v="CONS-SHIPT/waiting TP"/>
    <m/>
    <s v="JASON FAN"/>
    <s v="FO9"/>
    <s v="PERSONAL CARE                 "/>
    <s v="CONFIRMED"/>
    <n v="1"/>
    <n v="1"/>
    <d v="2012-01-04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2/000020"/>
    <n v="1370147544"/>
    <n v="20"/>
    <x v="17"/>
    <x v="17"/>
    <s v="L4"/>
    <n v="1830003751"/>
    <n v="5"/>
    <s v="CV8655E0       "/>
    <s v="CV8655E0 HAIR DRYER AC MOTOR INIFINIPRO           "/>
    <s v="S"/>
    <d v="2012-01-05T00:00:00"/>
    <m/>
    <s v="X"/>
    <x v="47"/>
    <n v="13.17"/>
    <n v="13"/>
    <d v="2012-02-10T00:00:00"/>
    <d v="2012-01-13T00:00:00"/>
    <n v="9000"/>
    <d v="2012-01-09T00:00:00"/>
    <n v="9000"/>
    <m/>
    <d v="2012-01-13T00:00:00"/>
    <n v="9000"/>
    <d v="2012-01-31T00:00:00"/>
    <d v="2012-01-03T00:00:00"/>
    <n v="9000"/>
    <n v="1720"/>
    <x v="16"/>
    <d v="2012-01-31T00:00:00"/>
    <m/>
    <n v="9321653459"/>
    <n v="20"/>
    <s v="UACU3435597"/>
    <s v="HANJIN AMSTERDAM/007"/>
    <m/>
    <s v="HONG KONG"/>
    <s v="CONS-SHIPT/waiting TP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2/000060"/>
    <n v="1370147544"/>
    <n v="60"/>
    <x v="17"/>
    <x v="17"/>
    <s v="L4"/>
    <n v="1830003835"/>
    <n v="5"/>
    <s v="CV8652E0       "/>
    <s v="CV8652E0 INFINIPRO HAIR DRYER                     "/>
    <s v="S"/>
    <d v="2012-01-06T00:00:00"/>
    <m/>
    <s v="X"/>
    <x v="47"/>
    <n v="11.86"/>
    <n v="13"/>
    <d v="2012-02-06T00:00:00"/>
    <d v="2012-01-09T00:00:00"/>
    <n v="3000"/>
    <d v="2012-01-09T00:00:00"/>
    <n v="3000"/>
    <m/>
    <d v="2012-01-09T00:00:00"/>
    <n v="6000"/>
    <d v="2012-01-31T00:00:00"/>
    <d v="2012-01-03T00:00:00"/>
    <n v="3000"/>
    <n v="3000"/>
    <x v="2"/>
    <d v="2012-02-01T00:00:00"/>
    <m/>
    <n v="9321653459"/>
    <n v="30"/>
    <s v="GETU5937928"/>
    <s v="CHINA EXPRESS/08W52"/>
    <m/>
    <s v="HONG KONG"/>
    <s v="CONS-SHIPT/waiting TP"/>
    <m/>
    <s v="JASON FAN"/>
    <s v="FO9"/>
    <s v="PERSONAL CARE                 "/>
    <s v="CONFIRMED"/>
    <n v="1"/>
    <n v="1"/>
    <d v="2012-01-04T00:00:00"/>
    <s v="LINEN PERS HOME CARE          "/>
    <s v="PERSONAL CARE                 "/>
    <x v="3"/>
    <x v="2"/>
    <x v="10"/>
    <s v="CONS-SHIPT"/>
    <n v="-3"/>
    <n v="-3"/>
    <x v="8"/>
    <n v="2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290/000010"/>
    <n v="1370147600"/>
    <n v="10"/>
    <x v="17"/>
    <x v="17"/>
    <s v="L4"/>
    <n v="1830003962"/>
    <n v="175"/>
    <s v="CF8232F0       "/>
    <s v="CF8232F0 HAIR BRUSH 1200W 5 ATTACHEMENTS          "/>
    <s v="S"/>
    <d v="2012-01-07T00:00:00"/>
    <m/>
    <s v="X"/>
    <x v="47"/>
    <n v="10.77"/>
    <n v="377"/>
    <d v="2012-02-22T00:00:00"/>
    <d v="2012-01-04T00:00:00"/>
    <n v="3000"/>
    <d v="2012-01-04T00:00:00"/>
    <n v="3000"/>
    <m/>
    <d v="2012-01-04T00:00:00"/>
    <n v="3000"/>
    <d v="2012-02-23T00:00:00"/>
    <d v="2012-01-05T00:00:00"/>
    <n v="3000"/>
    <n v="3000"/>
    <x v="6"/>
    <d v="2012-02-23T00:00:00"/>
    <m/>
    <n v="9321653460"/>
    <n v="10"/>
    <s v="TRLU6660478"/>
    <s v="MOL MAXIM/010W"/>
    <m/>
    <s v="HONG KONG"/>
    <s v="CONS-SHIPT/"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126/000010"/>
    <n v="1370147646"/>
    <n v="10"/>
    <x v="17"/>
    <x v="17"/>
    <s v="L4"/>
    <n v="1830003098"/>
    <n v="5"/>
    <s v="CV4942F0       "/>
    <s v="CV4942F0 POWERLINE HAIR DRYER                     "/>
    <s v="S"/>
    <d v="2012-01-06T00:00:00"/>
    <m/>
    <s v="X"/>
    <x v="47"/>
    <n v="6.5"/>
    <n v="248"/>
    <d v="2012-02-10T00:00:00"/>
    <d v="2011-12-23T00:00:00"/>
    <n v="3300"/>
    <d v="2012-01-10T00:00:00"/>
    <n v="3300"/>
    <m/>
    <d v="2011-12-23T00:00:00"/>
    <n v="3300"/>
    <d v="2012-02-21T00:00:00"/>
    <d v="2012-01-03T00:00:00"/>
    <n v="3300"/>
    <n v="3300"/>
    <x v="16"/>
    <d v="2012-02-21T00:00:00"/>
    <m/>
    <n v="9321653461"/>
    <n v="10"/>
    <s v="OOLU8174650"/>
    <s v="NYK VESTA/28W51"/>
    <m/>
    <s v="YANTIAN"/>
    <s v="CONS-SHIPT/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103774"/>
    <s v="BW OF THE BRANCH OF ZAO                           "/>
    <n v="99004801"/>
    <x v="1"/>
    <s v="9321652289/000010"/>
    <n v="1370147659"/>
    <n v="10"/>
    <x v="17"/>
    <x v="17"/>
    <s v="L4"/>
    <n v="1830003962"/>
    <n v="175"/>
    <s v="CF8232F0       "/>
    <s v="CF8232F0 HAIR BRUSH 1200W 5 ATTACHEMENTS          "/>
    <s v="S"/>
    <d v="2012-01-04T00:00:00"/>
    <m/>
    <s v="X"/>
    <x v="47"/>
    <n v="10.77"/>
    <n v="377"/>
    <d v="2012-02-10T00:00:00"/>
    <d v="2011-12-23T00:00:00"/>
    <n v="3000"/>
    <d v="2012-01-03T00:00:00"/>
    <n v="3000"/>
    <m/>
    <d v="2011-12-23T00:00:00"/>
    <n v="3000"/>
    <d v="2012-02-21T00:00:00"/>
    <d v="2012-01-03T00:00:00"/>
    <n v="3000"/>
    <n v="3000"/>
    <x v="16"/>
    <d v="2012-02-21T00:00:00"/>
    <m/>
    <n v="9321653463"/>
    <n v="10"/>
    <s v="OOLU3766912"/>
    <s v="NYK VESTA/28W51"/>
    <m/>
    <s v="HONG KONG"/>
    <s v="CONS-SHIPT/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143/000010"/>
    <n v="1370147753"/>
    <n v="10"/>
    <x v="17"/>
    <x v="17"/>
    <s v="L4"/>
    <n v="1830003217"/>
    <n v="131"/>
    <s v="SF4412D4       "/>
    <s v="SF4412D4 LISS &amp; CURL STRAIGHTENER                 "/>
    <s v="S"/>
    <d v="2012-01-06T00:00:00"/>
    <m/>
    <s v="X"/>
    <x v="47"/>
    <n v="10.85"/>
    <n v="394"/>
    <d v="2012-02-17T00:00:00"/>
    <d v="2011-12-30T00:00:00"/>
    <n v="3000"/>
    <d v="2011-12-30T00:00:00"/>
    <n v="3000"/>
    <m/>
    <d v="2011-12-30T00:00:00"/>
    <n v="3000"/>
    <d v="2012-02-21T00:00:00"/>
    <d v="2012-01-03T00:00:00"/>
    <n v="3000"/>
    <n v="3000"/>
    <x v="16"/>
    <d v="2012-02-21T00:00:00"/>
    <m/>
    <n v="9321653464"/>
    <n v="10"/>
    <s v="OOLU8174650"/>
    <s v="NYK VESTA/28W51"/>
    <m/>
    <s v="YANTIAN"/>
    <s v="CONS-SHIPT/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119/000010"/>
    <n v="1370147757"/>
    <n v="10"/>
    <x v="17"/>
    <x v="17"/>
    <s v="L4"/>
    <n v="1830003080"/>
    <n v="131"/>
    <s v="SF3012F4       "/>
    <s v="SF3012F4 ECO ELITE STRAIGHTENER                   "/>
    <s v="S"/>
    <d v="2012-01-07T00:00:00"/>
    <m/>
    <s v="X"/>
    <x v="47"/>
    <n v="7.42"/>
    <n v="260"/>
    <d v="2012-02-27T00:00:00"/>
    <d v="2012-01-09T00:00:00"/>
    <n v="4200"/>
    <d v="2012-01-09T00:00:00"/>
    <n v="4200"/>
    <m/>
    <d v="2012-01-09T00:00:00"/>
    <n v="4200"/>
    <d v="2012-02-23T00:00:00"/>
    <d v="2012-01-05T00:00:00"/>
    <n v="4200"/>
    <n v="4200"/>
    <x v="6"/>
    <d v="2012-02-23T00:00:00"/>
    <m/>
    <n v="9321653465"/>
    <n v="10"/>
    <s v="TCLU8651590"/>
    <s v="MOL MAXIM/010W"/>
    <m/>
    <s v="YANTIAN"/>
    <s v="CONS-SHIPT/"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142/000010"/>
    <n v="1370147762"/>
    <n v="10"/>
    <x v="17"/>
    <x v="17"/>
    <s v="L4"/>
    <n v="1830003099"/>
    <n v="5"/>
    <s v="CV4952F0       "/>
    <s v="CV4952F0 POWERLINE HAIR DRYER                     "/>
    <s v="S"/>
    <d v="2012-01-06T00:00:00"/>
    <m/>
    <s v="X"/>
    <x v="47"/>
    <n v="7.07"/>
    <n v="257"/>
    <d v="2012-02-10T00:00:00"/>
    <d v="2011-12-23T00:00:00"/>
    <n v="3600"/>
    <d v="2012-01-10T00:00:00"/>
    <n v="3600"/>
    <m/>
    <d v="2011-12-23T00:00:00"/>
    <n v="3600"/>
    <d v="2012-02-21T00:00:00"/>
    <d v="2012-01-03T00:00:00"/>
    <n v="3600"/>
    <n v="3600"/>
    <x v="16"/>
    <d v="2012-02-21T00:00:00"/>
    <m/>
    <n v="9321653466"/>
    <n v="10"/>
    <s v="OOLU8174650"/>
    <s v="NYK VESTA/28W51"/>
    <m/>
    <s v="YANTIAN"/>
    <s v="CONS-SHIPT/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835/000010"/>
    <n v="1370147792"/>
    <n v="10"/>
    <x v="17"/>
    <x v="17"/>
    <s v="L4"/>
    <n v="1830003664"/>
    <n v="131"/>
    <s v="SF1022F0       "/>
    <s v="SF1022F0 ECO ODM STRAIGHTENER COMPACT LI          "/>
    <s v="S"/>
    <d v="2012-01-19T00:00:00"/>
    <m/>
    <s v="X"/>
    <x v="47"/>
    <n v="5.75"/>
    <n v="207"/>
    <d v="2012-02-24T00:00:00"/>
    <d v="2012-01-06T00:00:00"/>
    <n v="3300"/>
    <d v="2012-01-18T00:00:00"/>
    <n v="3300"/>
    <m/>
    <d v="2012-01-06T00:00:00"/>
    <n v="3300"/>
    <d v="2012-03-07T00:00:00"/>
    <d v="2012-01-18T00:00:00"/>
    <n v="3300"/>
    <n v="3300"/>
    <x v="21"/>
    <d v="2012-03-07T00:00:00"/>
    <m/>
    <n v="9321653467"/>
    <n v="10"/>
    <s v="OOLU8590317"/>
    <s v="OOCL CALIFORNIA/29W0"/>
    <m/>
    <s v="HONG KONG"/>
    <s v="CONS-SHIPT/"/>
    <m/>
    <s v="KENUS WONG"/>
    <s v="FO9"/>
    <s v="PERSONAL CARE                 "/>
    <s v="CONFIRMED"/>
    <n v="1"/>
    <n v="3"/>
    <d v="2012-01-18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6/000002"/>
    <n v="1370147891"/>
    <n v="20"/>
    <x v="17"/>
    <x v="17"/>
    <s v="L4"/>
    <n v="1830003177"/>
    <n v="5"/>
    <s v="CV4414K0       "/>
    <s v="CV4414K0 HAIR DRYER HAIR STUDIO 1800W RE          "/>
    <s v="S"/>
    <d v="2012-01-10T00:00:00"/>
    <m/>
    <s v="X"/>
    <x v="47"/>
    <n v="9.23"/>
    <n v="9"/>
    <d v="2012-01-17T00:00:00"/>
    <d v="2012-01-03T00:00:00"/>
    <n v="3000"/>
    <d v="2012-01-03T00:00:00"/>
    <n v="3000"/>
    <m/>
    <d v="2012-01-03T00:00:00"/>
    <n v="3000"/>
    <d v="2012-01-21T00:00:00"/>
    <d v="2012-01-07T00:00:00"/>
    <n v="3000"/>
    <n v="3000"/>
    <x v="12"/>
    <d v="2012-01-21T00:00:00"/>
    <m/>
    <n v="9321653468"/>
    <n v="10"/>
    <s v="PONU1476168"/>
    <s v="CONVENT/1202"/>
    <m/>
    <s v="YANTIAN"/>
    <s v="CONS-SHIPT/"/>
    <m/>
    <s v="AGNES NUNES"/>
    <s v="FO9"/>
    <s v="PERSONAL CARE                 "/>
    <s v="CONFIRMED"/>
    <n v="1"/>
    <n v="1"/>
    <d v="2012-01-07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6/000003"/>
    <n v="1370147891"/>
    <n v="30"/>
    <x v="17"/>
    <x v="17"/>
    <s v="L4"/>
    <n v="1830003294"/>
    <n v="5"/>
    <s v="CV4550K0       "/>
    <s v="CV4550K0 COLLECTION HAIR DRYER                    "/>
    <s v="S"/>
    <d v="2012-01-10T00:00:00"/>
    <m/>
    <s v="X"/>
    <x v="47"/>
    <n v="7.74"/>
    <n v="9"/>
    <d v="2012-01-17T00:00:00"/>
    <d v="2012-01-03T00:00:00"/>
    <n v="3000"/>
    <d v="2012-01-03T00:00:00"/>
    <n v="3000"/>
    <m/>
    <d v="2012-01-03T00:00:00"/>
    <n v="3000"/>
    <d v="2012-01-21T00:00:00"/>
    <d v="2012-01-07T00:00:00"/>
    <n v="3000"/>
    <n v="3000"/>
    <x v="12"/>
    <d v="2012-01-21T00:00:00"/>
    <m/>
    <n v="9321653468"/>
    <n v="20"/>
    <s v="PONU1476168"/>
    <s v="CONVENT/1202"/>
    <m/>
    <s v="YANTIAN"/>
    <s v="CONS-SHIPT/"/>
    <m/>
    <s v="AGNES NUNES"/>
    <s v="FO9"/>
    <s v="PERSONAL CARE                 "/>
    <s v="CONFIRMED"/>
    <n v="1"/>
    <n v="1"/>
    <d v="2012-01-07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6/000008"/>
    <n v="1370147891"/>
    <n v="80"/>
    <x v="17"/>
    <x v="17"/>
    <s v="L4"/>
    <n v="1830003255"/>
    <n v="131"/>
    <s v="SF4412K0       "/>
    <s v="SF4412K0 CURL &amp; LISS STRAIGHTENER                 "/>
    <s v="S"/>
    <d v="2012-01-10T00:00:00"/>
    <m/>
    <s v="X"/>
    <x v="47"/>
    <n v="10.41"/>
    <n v="9"/>
    <d v="2012-01-17T00:00:00"/>
    <d v="2012-01-03T00:00:00"/>
    <n v="3000"/>
    <d v="2012-01-03T00:00:00"/>
    <n v="3000"/>
    <m/>
    <d v="2012-01-03T00:00:00"/>
    <n v="3000"/>
    <d v="2012-01-21T00:00:00"/>
    <d v="2012-01-07T00:00:00"/>
    <n v="3000"/>
    <n v="3000"/>
    <x v="12"/>
    <d v="2012-01-21T00:00:00"/>
    <m/>
    <n v="9321653468"/>
    <n v="30"/>
    <s v="PONU1476168"/>
    <s v="CONVENT/1202"/>
    <m/>
    <s v="SHENZHEN"/>
    <s v="CONS-SHIPT/"/>
    <m/>
    <s v="AGNES NUNES"/>
    <s v="FO9"/>
    <s v="PERSONAL CARE                 "/>
    <s v="CONFIRMED"/>
    <n v="1"/>
    <n v="1"/>
    <d v="2012-01-07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1709/000010"/>
    <n v="1370147905"/>
    <n v="10"/>
    <x v="17"/>
    <x v="17"/>
    <s v="L4"/>
    <n v="1830003109"/>
    <n v="5"/>
    <s v="CV4942C0       "/>
    <s v="CV4942C0 POWERLINE HAIR DRYER                     "/>
    <s v="S"/>
    <d v="2012-01-18T00:00:00"/>
    <m/>
    <s v="X"/>
    <x v="47"/>
    <n v="6.49"/>
    <n v="6"/>
    <d v="2012-01-27T00:00:00"/>
    <d v="2011-12-23T00:00:00"/>
    <n v="3006"/>
    <d v="2012-01-17T00:00:00"/>
    <n v="3006"/>
    <m/>
    <d v="2012-01-24T00:00:00"/>
    <n v="4602"/>
    <d v="2012-02-28T00:00:00"/>
    <d v="2012-01-24T00:00:00"/>
    <n v="3006"/>
    <n v="1410"/>
    <x v="19"/>
    <d v="2012-02-21T00:00:00"/>
    <m/>
    <n v="9321653469"/>
    <n v="10"/>
    <s v="APZU3382610"/>
    <s v="APL DHAKA/002W"/>
    <m/>
    <s v="YANTIAN"/>
    <s v="CONS-SHIPT/CONS-SHIPT/C-POST-CONF/"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3"/>
    <x v="0"/>
    <x v="0"/>
    <x v="0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1709/000010"/>
    <n v="1370147905"/>
    <n v="10"/>
    <x v="17"/>
    <x v="17"/>
    <s v="L4"/>
    <n v="1830003109"/>
    <n v="5"/>
    <s v="CV4942C0       "/>
    <s v="CV4942C0 POWERLINE HAIR DRYER                     "/>
    <s v="S"/>
    <d v="2012-01-30T00:00:00"/>
    <m/>
    <s v="X"/>
    <x v="47"/>
    <n v="6.49"/>
    <n v="6"/>
    <d v="2012-01-27T00:00:00"/>
    <d v="2011-12-23T00:00:00"/>
    <n v="3006"/>
    <d v="2012-01-17T00:00:00"/>
    <n v="3006"/>
    <m/>
    <d v="2012-01-24T00:00:00"/>
    <n v="4602"/>
    <d v="2012-02-28T00:00:00"/>
    <d v="2012-01-24T00:00:00"/>
    <n v="3006"/>
    <n v="1596"/>
    <x v="15"/>
    <d v="2012-03-01T00:00:00"/>
    <m/>
    <n v="9321653469"/>
    <n v="10"/>
    <s v="TRLU8991264"/>
    <s v="APL ITALY/002W"/>
    <m/>
    <s v="YANTIAN"/>
    <s v="CONS-SHIPT/CONS-SHIPT/C-POST-CONF/"/>
    <m/>
    <s v="JASON FAN"/>
    <s v="FO9"/>
    <s v="PERSONAL CARE                 "/>
    <s v="CONFIRMED"/>
    <n v="1"/>
    <n v="4"/>
    <d v="2012-01-26T00:00:00"/>
    <s v="LINEN PERS HOME CARE          "/>
    <s v="PERSONAL CARE                 "/>
    <x v="3"/>
    <x v="2"/>
    <x v="10"/>
    <s v="CONS-SHIPT"/>
    <n v="-3"/>
    <n v="-3"/>
    <x v="8"/>
    <n v="3"/>
    <x v="0"/>
    <x v="0"/>
    <x v="0"/>
    <n v="1"/>
    <n v="0"/>
    <n v="0"/>
    <n v="0"/>
    <n v="0"/>
    <n v="0"/>
    <x v="0"/>
    <x v="1"/>
    <x v="1"/>
    <x v="0"/>
  </r>
  <r>
    <s v="Shipment"/>
    <n v="99006103"/>
    <s v="SAS GROUPE SEB FRANCE                             "/>
    <n v="99006100"/>
    <x v="3"/>
    <s v="9321651708/000010"/>
    <n v="1370147906"/>
    <n v="10"/>
    <x v="17"/>
    <x v="17"/>
    <s v="L4"/>
    <n v="1830003073"/>
    <n v="5"/>
    <s v="CV4930C0       "/>
    <s v="CV4930C0 POWERLINE HAIR DRYER                     "/>
    <s v="S"/>
    <d v="2012-01-09T00:00:00"/>
    <m/>
    <s v="X"/>
    <x v="47"/>
    <n v="8.27"/>
    <n v="7"/>
    <d v="2012-01-27T00:00:00"/>
    <d v="2011-12-23T00:00:00"/>
    <n v="3006"/>
    <d v="2012-01-03T00:00:00"/>
    <n v="3006"/>
    <m/>
    <d v="2011-12-23T00:00:00"/>
    <n v="3006"/>
    <d v="2012-02-07T00:00:00"/>
    <d v="2012-01-03T00:00:00"/>
    <n v="3006"/>
    <n v="3006"/>
    <x v="16"/>
    <d v="2012-02-07T00:00:00"/>
    <m/>
    <n v="9321653470"/>
    <n v="10"/>
    <s v="APZU4491956"/>
    <s v="H.VANCOUVER/007W"/>
    <m/>
    <s v="YANTIAN"/>
    <s v="CONS-SHIPT/LATE DOC FROM FORWARDER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1715/000010"/>
    <n v="1370147955"/>
    <n v="10"/>
    <x v="17"/>
    <x v="17"/>
    <s v="L4"/>
    <n v="1830003786"/>
    <n v="5"/>
    <s v="CV8652C0       "/>
    <s v="CV8652C0 INFINIPRO HAIR DRYER                     "/>
    <s v="S"/>
    <d v="2012-01-09T00:00:00"/>
    <m/>
    <s v="X"/>
    <x v="47"/>
    <n v="11.69"/>
    <n v="10"/>
    <d v="2012-01-27T00:00:00"/>
    <d v="2011-12-23T00:00:00"/>
    <n v="3000"/>
    <d v="2012-01-05T00:00:00"/>
    <n v="3000"/>
    <m/>
    <d v="2011-12-23T00:00:00"/>
    <n v="3000"/>
    <d v="2012-02-07T00:00:00"/>
    <d v="2012-01-03T00:00:00"/>
    <n v="3000"/>
    <n v="3000"/>
    <x v="16"/>
    <d v="2012-02-07T00:00:00"/>
    <m/>
    <n v="9321653471"/>
    <n v="10"/>
    <s v="APZU4491956"/>
    <s v="H.VANCOUVER/007W"/>
    <m/>
    <s v="HONG KONG"/>
    <s v="CONS-SHIPT/LATE DOC FROM FORWARDER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3741/000010"/>
    <n v="1370146670"/>
    <n v="10"/>
    <x v="14"/>
    <x v="14"/>
    <s v="J2"/>
    <n v="1110019213"/>
    <n v="64"/>
    <s v="               "/>
    <s v="GS2010U1 STEAMBRUSH ULTRASTEAM                    "/>
    <s v="S"/>
    <d v="2012-01-17T00:00:00"/>
    <m/>
    <s v="X"/>
    <x v="47"/>
    <n v="9.4700000000000006"/>
    <n v="11"/>
    <d v="2012-02-15T00:00:00"/>
    <d v="2012-01-11T00:00:00"/>
    <n v="3501"/>
    <d v="2012-01-11T00:00:00"/>
    <n v="3501"/>
    <m/>
    <d v="2012-01-13T00:00:00"/>
    <n v="3501"/>
    <d v="2012-02-17T00:00:00"/>
    <d v="2012-01-13T00:00:00"/>
    <n v="3501"/>
    <n v="3501"/>
    <x v="9"/>
    <d v="2012-02-18T00:00:00"/>
    <m/>
    <n v="9321653472"/>
    <n v="10"/>
    <s v="TGHU0059285"/>
    <s v="CMA CGM TANCREDI/US5"/>
    <m/>
    <s v="NINGBO"/>
    <m/>
    <m/>
    <s v="TWEETY LEUNG"/>
    <s v="FO9"/>
    <s v="LINEN CARE                    "/>
    <s v="CONFIRMED"/>
    <n v="1"/>
    <n v="2"/>
    <d v="2012-01-14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1723/000010"/>
    <n v="1370147438"/>
    <n v="10"/>
    <x v="14"/>
    <x v="14"/>
    <s v="J4"/>
    <n v="1830003765"/>
    <n v="1"/>
    <s v="FV3761G0       "/>
    <s v="FV3761G0 STEAM IRON MAESTRO 61                    "/>
    <s v="S"/>
    <d v="2012-01-16T00:00:00"/>
    <m/>
    <s v="X"/>
    <x v="47"/>
    <n v="9.33"/>
    <n v="6"/>
    <d v="2012-02-06T00:00:00"/>
    <d v="2012-01-02T00:00:00"/>
    <n v="2592"/>
    <d v="2012-01-02T00:00:00"/>
    <n v="2592"/>
    <m/>
    <d v="2011-12-31T00:00:00"/>
    <n v="2592"/>
    <d v="2012-02-11T00:00:00"/>
    <d v="2012-01-07T00:00:00"/>
    <n v="2592"/>
    <n v="2592"/>
    <x v="23"/>
    <d v="2012-02-12T00:00:00"/>
    <m/>
    <n v="9321653475"/>
    <n v="10"/>
    <s v="CMAU1527222"/>
    <s v="XIN SHANGHAI 0063W/"/>
    <m/>
    <s v="NINGBO"/>
    <s v="C-POST-CONF/LATE EDI"/>
    <m/>
    <s v="KENUS WONG"/>
    <s v="FO9"/>
    <s v="LINEN CARE                    "/>
    <s v="CONFIRMED"/>
    <n v="1"/>
    <n v="1"/>
    <d v="2012-01-08T00:00:00"/>
    <s v="LINEN PERS HOME CARE          "/>
    <s v="LINEN CARE                    "/>
    <x v="6"/>
    <x v="2"/>
    <x v="3"/>
    <s v="C-POST-CONF"/>
    <n v="-3"/>
    <n v="-3"/>
    <x v="0"/>
    <n v="2"/>
    <x v="0"/>
    <x v="1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32/000009"/>
    <n v="1370147451"/>
    <n v="220"/>
    <x v="14"/>
    <x v="14"/>
    <s v="J4"/>
    <n v="1830003926"/>
    <n v="1"/>
    <s v="FV1140T0       "/>
    <s v="FV1140T0 STEAM IRON  CALORE 1                     "/>
    <s v="S"/>
    <d v="2012-01-31T00:00:00"/>
    <m/>
    <s v="X"/>
    <x v="47"/>
    <n v="5.0599999999999996"/>
    <n v="18"/>
    <d v="2012-01-31T00:00:00"/>
    <d v="2012-01-17T00:00:00"/>
    <n v="5220"/>
    <d v="2012-01-17T00:00:00"/>
    <n v="5220"/>
    <m/>
    <m/>
    <m/>
    <d v="2012-02-02T00:00:00"/>
    <d v="2012-01-19T00:00:00"/>
    <n v="5220"/>
    <n v="5220"/>
    <x v="26"/>
    <d v="2012-02-04T00:00:00"/>
    <m/>
    <n v="9321653476"/>
    <n v="70"/>
    <s v="ZIMU2780693"/>
    <s v="NINOS 122S"/>
    <m/>
    <s v="NINGBO"/>
    <s v="C-ETD-TEMP/"/>
    <m/>
    <s v="TWEETY LEUNG"/>
    <s v="FO9"/>
    <s v="LINEN CARE                    "/>
    <s v="CONFIRMED"/>
    <n v="1"/>
    <n v="3"/>
    <d v="2012-01-21T00:00:00"/>
    <s v="LINEN PERS HOME CARE          "/>
    <s v="LINEN CARE                    "/>
    <x v="6"/>
    <x v="2"/>
    <x v="16"/>
    <s v="C-ETD-TEMP"/>
    <n v="-3"/>
    <n v="-3"/>
    <x v="7"/>
    <n v="1"/>
    <x v="0"/>
    <x v="1"/>
    <x v="0"/>
    <n v="0"/>
    <n v="0"/>
    <n v="1"/>
    <n v="0"/>
    <n v="0"/>
    <n v="1"/>
    <x v="0"/>
    <x v="0"/>
    <x v="1"/>
    <x v="1"/>
  </r>
  <r>
    <s v="Shipment"/>
    <n v="99002102"/>
    <s v="GROUPE SEB ITALIA S.p.a                           "/>
    <n v="99002102"/>
    <x v="14"/>
    <s v="4600078941/000010"/>
    <n v="1370147543"/>
    <n v="10"/>
    <x v="14"/>
    <x v="14"/>
    <s v="J2"/>
    <n v="1110019443"/>
    <n v="1"/>
    <s v="               "/>
    <s v="DX1250F1 STEAM IRON                               "/>
    <s v="S"/>
    <d v="2012-01-09T00:00:00"/>
    <m/>
    <s v="X"/>
    <x v="47"/>
    <n v="9.23"/>
    <n v="14879"/>
    <d v="2012-01-30T00:00:00"/>
    <d v="2012-01-02T00:00:00"/>
    <n v="3450"/>
    <d v="2012-01-02T00:00:00"/>
    <n v="3450"/>
    <m/>
    <d v="2012-01-03T00:00:00"/>
    <n v="3450"/>
    <d v="2012-01-31T00:00:00"/>
    <d v="2012-01-03T00:00:00"/>
    <n v="3450"/>
    <n v="3450"/>
    <x v="16"/>
    <d v="2012-01-31T00:00:00"/>
    <m/>
    <n v="9321653478"/>
    <n v="10"/>
    <s v="UACU3244184"/>
    <s v="XIN PU DONG/1201W"/>
    <m/>
    <s v="NINGBO"/>
    <m/>
    <m/>
    <s v="JASON FAN"/>
    <s v="FO9"/>
    <s v="LINEN CARE                    "/>
    <s v="CONFIRMED"/>
    <n v="1"/>
    <n v="1"/>
    <d v="2012-01-03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05/HKG/"/>
    <n v="1370147363"/>
    <n v="10"/>
    <x v="6"/>
    <x v="6"/>
    <s v="N3"/>
    <n v="1500577909"/>
    <n v="53"/>
    <n v="577909"/>
    <s v="OF265870 OVEN DELICE 24L CV BLK HK                "/>
    <s v="S"/>
    <d v="2012-01-10T00:00:00"/>
    <m/>
    <s v="X"/>
    <x v="47"/>
    <n v="51.48"/>
    <n v="55"/>
    <d v="2011-12-30T00:00:00"/>
    <d v="2011-12-30T00:00:00"/>
    <n v="240"/>
    <d v="2012-01-06T00:00:00"/>
    <n v="240"/>
    <m/>
    <d v="2011-12-23T00:00:00"/>
    <n v="240"/>
    <d v="2012-01-06T00:00:00"/>
    <d v="2012-01-06T00:00:00"/>
    <n v="240"/>
    <n v="240"/>
    <x v="7"/>
    <d v="2012-01-06T00:00:00"/>
    <m/>
    <n v="9321653480"/>
    <n v="10"/>
    <s v="MRKU8168503"/>
    <s v="WANGFOONG 3"/>
    <m/>
    <s v="ZHUHAI"/>
    <s v="C-POST-CONF/"/>
    <m/>
    <s v="THOMAS HO"/>
    <s v="FO9"/>
    <s v="ELECTRICAL COOKING            "/>
    <s v="CONFIRMED"/>
    <n v="1"/>
    <n v="1"/>
    <d v="2012-01-06T00:00:00"/>
    <s v="KITCHEN ELECTRICS             "/>
    <s v="ELECTRICAL COOKING            "/>
    <x v="2"/>
    <x v="1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823/000010"/>
    <n v="1370147658"/>
    <n v="10"/>
    <x v="6"/>
    <x v="6"/>
    <s v="N3"/>
    <n v="1500573956"/>
    <n v="116"/>
    <n v="573956"/>
    <s v="OW502430 BDM XXL BAGUETTE RELIFT RU               "/>
    <s v="S"/>
    <d v="2012-01-07T00:00:00"/>
    <m/>
    <s v="X"/>
    <x v="47"/>
    <n v="48.39"/>
    <n v="1768"/>
    <d v="2012-02-17T00:00:00"/>
    <d v="2011-12-30T00:00:00"/>
    <n v="870"/>
    <d v="2011-12-30T00:00:00"/>
    <n v="870"/>
    <m/>
    <d v="2011-12-30T00:00:00"/>
    <n v="870"/>
    <d v="2012-02-22T00:00:00"/>
    <d v="2012-01-04T00:00:00"/>
    <n v="870"/>
    <n v="870"/>
    <x v="2"/>
    <d v="2012-02-22T00:00:00"/>
    <m/>
    <n v="9321653482"/>
    <n v="10"/>
    <s v="OOLU7600200"/>
    <s v="JIN LONG 308/***"/>
    <m/>
    <s v="ZHUHAI"/>
    <s v="TP ISSUE"/>
    <m/>
    <s v="KENUS WONG"/>
    <s v="FO9"/>
    <s v="ELECTRICAL COOKING            "/>
    <s v="CONFIRMED"/>
    <n v="1"/>
    <n v="1"/>
    <d v="2012-01-04T00:00:00"/>
    <s v="KITCHEN ELECTRICS             "/>
    <s v="ELECTRICAL COOKING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824/000010"/>
    <n v="1370147668"/>
    <n v="10"/>
    <x v="6"/>
    <x v="6"/>
    <s v="N3"/>
    <n v="1500573956"/>
    <n v="116"/>
    <n v="573956"/>
    <s v="OW502430 BDM XXL BAGUETTE RELIFT RU               "/>
    <s v="S"/>
    <d v="2012-01-07T00:00:00"/>
    <m/>
    <s v="X"/>
    <x v="47"/>
    <n v="48.39"/>
    <n v="1768"/>
    <d v="2012-02-24T00:00:00"/>
    <d v="2012-01-06T00:00:00"/>
    <n v="870"/>
    <d v="2012-01-06T00:00:00"/>
    <n v="870"/>
    <m/>
    <d v="2012-01-06T00:00:00"/>
    <n v="870"/>
    <d v="2012-02-22T00:00:00"/>
    <d v="2012-01-04T00:00:00"/>
    <n v="870"/>
    <n v="870"/>
    <x v="2"/>
    <d v="2012-02-22T00:00:00"/>
    <m/>
    <n v="9321653483"/>
    <n v="10"/>
    <s v="OOLU7926768"/>
    <s v="JIN LONG 308/***"/>
    <m/>
    <s v="ZHUHAI"/>
    <s v="TP ISSUE"/>
    <m/>
    <s v="KENUS WONG"/>
    <s v="FO9"/>
    <s v="ELECTRICAL COOKING            "/>
    <s v="CONFIRMED"/>
    <n v="1"/>
    <n v="1"/>
    <d v="2012-01-04T00:00:00"/>
    <s v="KITCHEN ELECTRICS             "/>
    <s v="ELECTRICAL COOKING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4/000003"/>
    <n v="1370147884"/>
    <n v="30"/>
    <x v="6"/>
    <x v="6"/>
    <s v="R1"/>
    <n v="1500635081"/>
    <n v="27"/>
    <n v="635081"/>
    <s v="CM130870 FCM NOVEO 10C BLK KR                     "/>
    <s v="S"/>
    <d v="2012-01-09T00:00:00"/>
    <m/>
    <s v="X"/>
    <x v="47"/>
    <n v="10.85"/>
    <n v="6"/>
    <d v="2012-01-02T00:00:00"/>
    <d v="2011-12-19T00:00:00"/>
    <n v="933"/>
    <d v="2011-12-19T00:00:00"/>
    <n v="933"/>
    <m/>
    <d v="2012-02-12T00:00:00"/>
    <n v="933"/>
    <d v="2012-01-18T00:00:00"/>
    <d v="2012-01-04T00:00:00"/>
    <n v="933"/>
    <n v="933"/>
    <x v="6"/>
    <d v="2012-01-19T00:00:00"/>
    <m/>
    <n v="9321653484"/>
    <n v="10"/>
    <s v="KMTU8209823"/>
    <s v="ZHONG HANG 915/12010"/>
    <m/>
    <s v="ZHUHAI"/>
    <s v="SP-BOTTLENECK/"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2"/>
    <x v="1"/>
    <x v="6"/>
    <s v="SP-BOTTLENECK"/>
    <n v="1"/>
    <n v="1"/>
    <x v="16"/>
    <n v="1"/>
    <x v="0"/>
    <x v="0"/>
    <x v="1"/>
    <n v="1"/>
    <n v="0"/>
    <n v="0"/>
    <n v="0"/>
    <n v="0"/>
    <n v="0"/>
    <x v="0"/>
    <x v="1"/>
    <x v="1"/>
    <x v="0"/>
  </r>
  <r>
    <s v="Shipment"/>
    <n v="99005400"/>
    <s v="GROUPE SEB KOREA                                  "/>
    <n v="99005400"/>
    <x v="6"/>
    <s v="3175/000012"/>
    <n v="1370147889"/>
    <n v="40"/>
    <x v="6"/>
    <x v="6"/>
    <s v="R1"/>
    <n v="1500635081"/>
    <n v="27"/>
    <n v="635081"/>
    <s v="CM130870 FCM NOVEO 10C BLK KR                     "/>
    <s v="S"/>
    <d v="2012-01-09T00:00:00"/>
    <m/>
    <s v="X"/>
    <x v="47"/>
    <n v="10.85"/>
    <n v="14"/>
    <d v="2012-01-17T00:00:00"/>
    <d v="2012-01-03T00:00:00"/>
    <n v="933"/>
    <d v="2012-01-03T00:00:00"/>
    <n v="933"/>
    <m/>
    <d v="2012-02-15T00:00:00"/>
    <n v="933"/>
    <d v="2012-01-18T00:00:00"/>
    <d v="2012-01-04T00:00:00"/>
    <n v="933"/>
    <n v="933"/>
    <x v="6"/>
    <d v="2012-01-19T00:00:00"/>
    <m/>
    <n v="9321653485"/>
    <n v="10"/>
    <s v="KMTU8209823"/>
    <s v="ZHONG HANG 915/12010"/>
    <m/>
    <s v="ZHUHAI"/>
    <s v="SP-BOTTLENECK/"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2"/>
    <x v="1"/>
    <x v="6"/>
    <s v="SP-BOTTLENECK"/>
    <n v="1"/>
    <n v="1"/>
    <x v="16"/>
    <n v="1"/>
    <x v="0"/>
    <x v="1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75/000010"/>
    <n v="1370147889"/>
    <n v="250"/>
    <x v="6"/>
    <x v="6"/>
    <s v="R1"/>
    <n v="1500634643"/>
    <n v="55"/>
    <n v="634643"/>
    <s v="KO280870 KET NOVEO 0.8L PLAST BLK KR              "/>
    <s v="S"/>
    <d v="2012-01-09T00:00:00"/>
    <m/>
    <s v="X"/>
    <x v="47"/>
    <n v="9.6"/>
    <n v="14"/>
    <d v="2012-01-17T00:00:00"/>
    <d v="2012-01-03T00:00:00"/>
    <n v="1996"/>
    <d v="2012-01-03T00:00:00"/>
    <n v="1996"/>
    <m/>
    <d v="2012-02-17T00:00:00"/>
    <n v="1996"/>
    <d v="2012-01-18T00:00:00"/>
    <d v="2012-01-04T00:00:00"/>
    <n v="1996"/>
    <n v="1063"/>
    <x v="6"/>
    <d v="2012-01-19T00:00:00"/>
    <m/>
    <n v="9321653485"/>
    <n v="20"/>
    <s v="KMTU7316447"/>
    <s v="ZHONG HANG 915/12010"/>
    <m/>
    <s v="ZHUHAI"/>
    <s v="SP-BOTTLENECK/"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2"/>
    <x v="1"/>
    <x v="6"/>
    <s v="SP-BOTTLENECK"/>
    <n v="1"/>
    <n v="1"/>
    <x v="16"/>
    <n v="1"/>
    <x v="0"/>
    <x v="1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75/000010"/>
    <n v="1370147889"/>
    <n v="250"/>
    <x v="6"/>
    <x v="6"/>
    <s v="R1"/>
    <n v="1500634643"/>
    <n v="55"/>
    <n v="634643"/>
    <s v="KO280870 KET NOVEO 0.8L PLAST BLK KR              "/>
    <s v="S"/>
    <d v="2012-01-09T00:00:00"/>
    <m/>
    <s v="X"/>
    <x v="47"/>
    <n v="9.6"/>
    <n v="14"/>
    <d v="2012-01-17T00:00:00"/>
    <d v="2012-01-03T00:00:00"/>
    <n v="1996"/>
    <d v="2012-01-03T00:00:00"/>
    <n v="1996"/>
    <m/>
    <d v="2012-02-17T00:00:00"/>
    <n v="1996"/>
    <d v="2012-01-18T00:00:00"/>
    <d v="2012-01-04T00:00:00"/>
    <n v="1996"/>
    <n v="933"/>
    <x v="6"/>
    <d v="2012-01-19T00:00:00"/>
    <m/>
    <n v="9321653485"/>
    <n v="20"/>
    <s v="KMTU7316447"/>
    <s v="ZHONG HANG 915/12010"/>
    <m/>
    <s v="ZHUHAI"/>
    <s v="SP-BOTTLENECK/"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2"/>
    <x v="1"/>
    <x v="6"/>
    <s v="SP-BOTTLENECK"/>
    <n v="1"/>
    <n v="1"/>
    <x v="16"/>
    <n v="1"/>
    <x v="0"/>
    <x v="1"/>
    <x v="0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2316/000010"/>
    <n v="1370147956"/>
    <n v="10"/>
    <x v="6"/>
    <x v="6"/>
    <s v="N3"/>
    <n v="1500577904"/>
    <n v="53"/>
    <n v="577904"/>
    <s v="OF265800 OVEN DELICE COMP.CONV 24L BLK F          "/>
    <s v="S"/>
    <d v="2012-01-10T00:00:00"/>
    <m/>
    <s v="X"/>
    <x v="47"/>
    <n v="47.67"/>
    <n v="42"/>
    <d v="2012-01-27T00:00:00"/>
    <d v="2011-12-23T00:00:00"/>
    <n v="550"/>
    <d v="2012-01-04T00:00:00"/>
    <n v="550"/>
    <m/>
    <d v="2011-12-27T00:00:00"/>
    <n v="550"/>
    <d v="2012-02-08T00:00:00"/>
    <d v="2012-01-04T00:00:00"/>
    <n v="550"/>
    <n v="550"/>
    <x v="6"/>
    <d v="2012-02-09T00:00:00"/>
    <m/>
    <n v="9321653487"/>
    <n v="10"/>
    <s v="TCLU8519731"/>
    <s v="APL PORTUGAL/002W"/>
    <m/>
    <s v="ZHUHAI"/>
    <s v="C-POST-NEG/LATE DOC FROM FORWARDER"/>
    <m/>
    <s v="JASON FAN"/>
    <s v="FO9"/>
    <s v="ELECTRICAL COOKING            "/>
    <s v="CONFIRMED"/>
    <n v="1"/>
    <n v="1"/>
    <d v="2012-01-05T00:00:00"/>
    <s v="KITCHEN ELECTRICS             "/>
    <s v="ELECTRICAL COOKING            "/>
    <x v="2"/>
    <x v="1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48468/000010"/>
    <n v="1370146812"/>
    <n v="10"/>
    <x v="43"/>
    <x v="43"/>
    <s v="R1"/>
    <n v="1500635427"/>
    <n v="55"/>
    <n v="635427"/>
    <s v="KI210036 KET EXPRESS 1.5L SS BLK EUR              "/>
    <s v="S"/>
    <d v="2012-01-17T00:00:00"/>
    <m/>
    <s v="X"/>
    <x v="47"/>
    <n v="14.46"/>
    <n v="12"/>
    <d v="2012-02-09T00:00:00"/>
    <d v="2012-01-12T00:00:00"/>
    <n v="2100"/>
    <d v="2012-01-12T00:00:00"/>
    <n v="2100"/>
    <m/>
    <d v="2012-01-16T00:00:00"/>
    <n v="2100"/>
    <d v="2012-02-10T00:00:00"/>
    <d v="2012-01-13T00:00:00"/>
    <n v="2100"/>
    <n v="2100"/>
    <x v="8"/>
    <d v="2012-02-13T00:00:00"/>
    <m/>
    <n v="9321653488"/>
    <n v="10"/>
    <s v="MRKU8235155"/>
    <s v="MAERSK TUKANG 1202/"/>
    <m/>
    <s v="SHENZHEN"/>
    <s v="C-ETD-TEMP/"/>
    <m/>
    <s v="KENUS WONG"/>
    <s v="FO9"/>
    <s v="BEVERAGE                      "/>
    <s v="CONFIRMED"/>
    <n v="1"/>
    <n v="3"/>
    <d v="2012-01-16T00:00:00"/>
    <s v="KITCHEN ELECTRICS             "/>
    <s v="BREAKFAST &amp; BREVAGE PREP      "/>
    <x v="1"/>
    <x v="1"/>
    <x v="16"/>
    <s v="C-ETD-TEMP"/>
    <n v="-3"/>
    <n v="-3"/>
    <x v="7"/>
    <n v="1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9432/000010"/>
    <n v="1370147088"/>
    <n v="10"/>
    <x v="43"/>
    <x v="43"/>
    <s v="R9"/>
    <n v="1500576611"/>
    <n v="23"/>
    <n v="576611"/>
    <s v="TT550015 TOAS T'N'EGG BLK E                       "/>
    <s v="S"/>
    <d v="2012-01-19T00:00:00"/>
    <m/>
    <s v="X"/>
    <x v="47"/>
    <n v="16.489999999999998"/>
    <n v="11"/>
    <d v="2012-02-13T00:00:00"/>
    <d v="2012-01-09T00:00:00"/>
    <n v="1350"/>
    <d v="2012-01-09T00:00:00"/>
    <n v="1350"/>
    <m/>
    <d v="2012-01-12T00:00:00"/>
    <n v="1350"/>
    <d v="2012-02-22T00:00:00"/>
    <d v="2012-01-18T00:00:00"/>
    <n v="1350"/>
    <n v="1350"/>
    <x v="21"/>
    <d v="2012-02-22T00:00:00"/>
    <m/>
    <n v="9321653489"/>
    <n v="10"/>
    <s v="MRKU8233893"/>
    <s v="GJERTRUD MAERSK 121W"/>
    <m/>
    <s v="SHENZHEN"/>
    <s v="SP-INSP-FAILED/"/>
    <m/>
    <s v="KENUS WONG"/>
    <s v="FO9"/>
    <s v="BEVERAGE                      "/>
    <s v="CONFIRMED"/>
    <n v="1"/>
    <n v="3"/>
    <d v="2012-01-18T00:00:00"/>
    <s v="KITCHEN ELECTRICS             "/>
    <s v="BREAKFAST &amp; BREVAGE PREP      "/>
    <x v="1"/>
    <x v="1"/>
    <x v="12"/>
    <s v="SP-INSP-FAILED"/>
    <n v="1"/>
    <n v="1"/>
    <x v="12"/>
    <n v="1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1869/000010"/>
    <n v="1370147640"/>
    <n v="10"/>
    <x v="43"/>
    <x v="43"/>
    <s v="N3"/>
    <n v="1500578109"/>
    <n v="116"/>
    <n v="578109"/>
    <s v="OW110E31 BDM HOME BREAD 900G BLK/MET EE           "/>
    <s v="S"/>
    <d v="2012-01-05T00:00:00"/>
    <m/>
    <s v="X"/>
    <x v="47"/>
    <n v="34.799999999999997"/>
    <n v="1238"/>
    <d v="2012-02-17T00:00:00"/>
    <d v="2011-12-30T00:00:00"/>
    <n v="1372"/>
    <d v="2011-12-30T00:00:00"/>
    <n v="1372"/>
    <m/>
    <d v="2012-01-01T00:00:00"/>
    <n v="1372"/>
    <d v="2012-02-19T00:00:00"/>
    <d v="2012-01-01T00:00:00"/>
    <n v="1372"/>
    <n v="1372"/>
    <x v="16"/>
    <d v="2012-02-21T00:00:00"/>
    <m/>
    <n v="9321653497"/>
    <n v="10"/>
    <s v="OOLU5761416"/>
    <s v="NYK VESTA/28W51"/>
    <m/>
    <s v="SHENZHEN"/>
    <s v="SP-NO-FORECAST/TP ISSUE/FOB ISSUE"/>
    <m/>
    <s v="KENUS WONG"/>
    <s v="FO9"/>
    <s v="ELECTRICAL COOKING            "/>
    <s v="CONFIRMED"/>
    <n v="1"/>
    <n v="1"/>
    <d v="2012-01-03T00:00:00"/>
    <s v="KITCHEN ELECTRICS             "/>
    <s v="ELECTRICAL COOKING            "/>
    <x v="1"/>
    <x v="1"/>
    <x v="14"/>
    <s v="SP-NO-FORECAST"/>
    <n v="-3"/>
    <n v="-3"/>
    <x v="15"/>
    <n v="3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658/000010"/>
    <n v="1370147645"/>
    <n v="10"/>
    <x v="43"/>
    <x v="43"/>
    <s v="N3"/>
    <n v="1500576659"/>
    <n v="116"/>
    <n v="576659"/>
    <s v="OW110130 BDM HOME BREAD PR 900G WHT EUR           "/>
    <s v="S"/>
    <d v="2012-01-05T00:00:00"/>
    <m/>
    <s v="X"/>
    <x v="47"/>
    <n v="32.89"/>
    <n v="1170"/>
    <d v="2012-02-24T00:00:00"/>
    <d v="2012-01-06T00:00:00"/>
    <n v="1372"/>
    <d v="2011-12-26T00:00:00"/>
    <n v="1372"/>
    <m/>
    <d v="2012-01-01T00:00:00"/>
    <n v="1372"/>
    <d v="2012-02-21T00:00:00"/>
    <d v="2012-01-03T00:00:00"/>
    <n v="1372"/>
    <n v="1372"/>
    <x v="16"/>
    <d v="2012-02-21T00:00:00"/>
    <m/>
    <n v="9321653499"/>
    <n v="10"/>
    <s v="FCIU8119510"/>
    <s v="NYK VESTA/28W51"/>
    <m/>
    <s v="YANTIAN"/>
    <s v="SAILING-SCHED-UPDATE/C-POST-CONF/TP ISSUE"/>
    <m/>
    <s v="KENUS WONG"/>
    <s v="FO9"/>
    <s v="ELECTRICAL COOKING            "/>
    <s v="CONFIRMED"/>
    <n v="1"/>
    <n v="1"/>
    <d v="2012-01-03T00:00:00"/>
    <s v="KITCHEN ELECTRICS             "/>
    <s v="ELECTRICAL COOKING            "/>
    <x v="1"/>
    <x v="1"/>
    <x v="3"/>
    <s v="C-POST-CONF"/>
    <n v="-3"/>
    <n v="-3"/>
    <x v="0"/>
    <n v="3"/>
    <x v="0"/>
    <x v="1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1655/000010"/>
    <n v="1370147652"/>
    <n v="10"/>
    <x v="43"/>
    <x v="43"/>
    <s v="N3"/>
    <n v="1500576659"/>
    <n v="116"/>
    <n v="576659"/>
    <s v="OW110130 BDM HOME BREAD PR 900G WHT EUR           "/>
    <s v="S"/>
    <d v="2012-01-19T00:00:00"/>
    <m/>
    <s v="X"/>
    <x v="47"/>
    <n v="32.89"/>
    <n v="1170"/>
    <d v="2012-02-22T00:00:00"/>
    <d v="2012-01-04T00:00:00"/>
    <n v="1372"/>
    <d v="2012-01-23T00:00:00"/>
    <n v="1372"/>
    <m/>
    <d v="2012-01-23T00:00:00"/>
    <n v="1372"/>
    <d v="2012-03-06T00:00:00"/>
    <d v="2012-01-17T00:00:00"/>
    <n v="1372"/>
    <n v="1372"/>
    <x v="21"/>
    <d v="2012-03-07T00:00:00"/>
    <m/>
    <n v="9321653500"/>
    <n v="10"/>
    <s v="OOLU8636423"/>
    <s v="OOCL CALIFORNIA/29W0"/>
    <m/>
    <s v="YANTIAN"/>
    <s v="SP-OVERCAP/"/>
    <m/>
    <s v="KENUS WONG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1580/000010"/>
    <n v="1370147676"/>
    <n v="10"/>
    <x v="43"/>
    <x v="43"/>
    <s v="R1"/>
    <n v="1500634579"/>
    <n v="55"/>
    <n v="634579"/>
    <s v="KI210032 KET EVOLUTIVE 1.5L SS/BLK RU             "/>
    <s v="S"/>
    <d v="2012-01-05T00:00:00"/>
    <m/>
    <s v="X"/>
    <x v="47"/>
    <n v="14.34"/>
    <n v="510"/>
    <d v="2012-02-24T00:00:00"/>
    <d v="2012-01-06T00:00:00"/>
    <n v="2100"/>
    <d v="2012-01-06T00:00:00"/>
    <n v="2100"/>
    <m/>
    <d v="2012-01-01T00:00:00"/>
    <n v="2100"/>
    <d v="2012-02-19T00:00:00"/>
    <d v="2012-01-01T00:00:00"/>
    <n v="2100"/>
    <n v="2100"/>
    <x v="16"/>
    <d v="2012-02-21T00:00:00"/>
    <m/>
    <n v="9321653501"/>
    <n v="10"/>
    <s v="TCKU2321063"/>
    <s v="NYK VESTA/28W51"/>
    <m/>
    <s v="YANTIAN"/>
    <s v="TP ISSUE"/>
    <m/>
    <s v="KENUS WONG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653/000010"/>
    <n v="1370147678"/>
    <n v="10"/>
    <x v="43"/>
    <x v="43"/>
    <s v="N3"/>
    <n v="1500576659"/>
    <n v="116"/>
    <n v="576659"/>
    <s v="OW110130 BDM HOME BREAD PR 900G WHT EUR           "/>
    <s v="S"/>
    <d v="2012-01-19T00:00:00"/>
    <m/>
    <s v="X"/>
    <x v="47"/>
    <n v="32.89"/>
    <n v="1170"/>
    <d v="2012-02-22T00:00:00"/>
    <d v="2012-01-04T00:00:00"/>
    <n v="1372"/>
    <d v="2012-01-23T00:00:00"/>
    <n v="1372"/>
    <m/>
    <d v="2012-01-23T00:00:00"/>
    <n v="1372"/>
    <d v="2012-03-06T00:00:00"/>
    <d v="2012-01-17T00:00:00"/>
    <n v="1372"/>
    <n v="1372"/>
    <x v="21"/>
    <d v="2012-03-07T00:00:00"/>
    <m/>
    <n v="9321653502"/>
    <n v="10"/>
    <s v="OOLU8944982"/>
    <s v="OOCL CALIFORNIA/29W0"/>
    <m/>
    <s v="YANTIAN"/>
    <s v="SP-OVERCAP/"/>
    <m/>
    <s v="KENUS WONG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1659/000010"/>
    <n v="1370147690"/>
    <n v="10"/>
    <x v="43"/>
    <x v="43"/>
    <s v="N3"/>
    <n v="1500576659"/>
    <n v="116"/>
    <n v="576659"/>
    <s v="OW110130 BDM HOME BREAD PR 900G WHT EUR           "/>
    <s v="S"/>
    <d v="2012-01-31T00:00:00"/>
    <m/>
    <s v="X"/>
    <x v="47"/>
    <n v="32.89"/>
    <n v="1170"/>
    <d v="2012-02-24T00:00:00"/>
    <d v="2012-01-06T00:00:00"/>
    <n v="1372"/>
    <d v="2012-01-06T00:00:00"/>
    <n v="1372"/>
    <m/>
    <d v="2012-02-13T00:00:00"/>
    <n v="1372"/>
    <d v="2012-03-06T00:00:00"/>
    <d v="2012-01-17T00:00:00"/>
    <n v="1372"/>
    <n v="1372"/>
    <x v="21"/>
    <d v="2012-03-07T00:00:00"/>
    <m/>
    <n v="9321653503"/>
    <n v="10"/>
    <s v="TCLU8448031"/>
    <s v="OOCL CALIFORNIA29W03"/>
    <m/>
    <s v="YANTIAN"/>
    <s v="SP-OVERCAP/"/>
    <m/>
    <s v="KENUS WONG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1"/>
    <s v="SP-OVERCAP"/>
    <n v="-3"/>
    <n v="-3"/>
    <x v="9"/>
    <n v="1"/>
    <x v="0"/>
    <x v="0"/>
    <x v="0"/>
    <n v="1"/>
    <n v="0"/>
    <n v="0"/>
    <n v="0"/>
    <n v="0"/>
    <n v="0"/>
    <x v="0"/>
    <x v="1"/>
    <x v="1"/>
    <x v="0"/>
  </r>
  <r>
    <s v="Shipment"/>
    <n v="99102353"/>
    <s v="THE BRANCH OF ZAO &quot;GROUPE SEB                     "/>
    <n v="99004801"/>
    <x v="1"/>
    <s v="9321651657/000010"/>
    <n v="1370147692"/>
    <n v="10"/>
    <x v="43"/>
    <x v="43"/>
    <s v="N3"/>
    <n v="1500576659"/>
    <n v="116"/>
    <n v="576659"/>
    <s v="OW110130 BDM HOME BREAD PR 900G WHT EUR           "/>
    <s v="S"/>
    <d v="2012-01-19T00:00:00"/>
    <m/>
    <s v="X"/>
    <x v="47"/>
    <n v="32.89"/>
    <n v="1170"/>
    <d v="2012-02-24T00:00:00"/>
    <d v="2012-01-06T00:00:00"/>
    <n v="1372"/>
    <d v="2012-01-06T00:00:00"/>
    <n v="1372"/>
    <m/>
    <d v="2012-02-13T00:00:00"/>
    <n v="1372"/>
    <d v="2012-03-06T00:00:00"/>
    <d v="2012-01-17T00:00:00"/>
    <n v="1372"/>
    <n v="1372"/>
    <x v="21"/>
    <d v="2012-03-07T00:00:00"/>
    <m/>
    <n v="9321653504"/>
    <n v="10"/>
    <s v="OOLU8042490"/>
    <s v="OOCL CALIFORNIA/29W0"/>
    <m/>
    <s v="YANTIAN"/>
    <s v="SP-OVERCAP/"/>
    <m/>
    <s v="KENUS WONG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1"/>
    <s v="SP-OVERCAP"/>
    <n v="-3"/>
    <n v="-3"/>
    <x v="9"/>
    <n v="1"/>
    <x v="0"/>
    <x v="0"/>
    <x v="0"/>
    <n v="1"/>
    <n v="0"/>
    <n v="0"/>
    <n v="0"/>
    <n v="0"/>
    <n v="0"/>
    <x v="0"/>
    <x v="1"/>
    <x v="1"/>
    <x v="0"/>
  </r>
  <r>
    <s v="Shipment"/>
    <n v="99102353"/>
    <s v="THE BRANCH OF ZAO &quot;GROUPE SEB                     "/>
    <n v="99004801"/>
    <x v="1"/>
    <s v="9321651654/000010"/>
    <n v="1370147694"/>
    <n v="10"/>
    <x v="43"/>
    <x v="43"/>
    <s v="N3"/>
    <n v="1500576659"/>
    <n v="116"/>
    <n v="576659"/>
    <s v="OW110130 BDM HOME BREAD PR 900G WHT EUR           "/>
    <s v="S"/>
    <d v="2012-01-19T00:00:00"/>
    <m/>
    <s v="X"/>
    <x v="47"/>
    <n v="32.89"/>
    <n v="1170"/>
    <d v="2012-02-22T00:00:00"/>
    <d v="2012-01-04T00:00:00"/>
    <n v="1372"/>
    <d v="2012-01-23T00:00:00"/>
    <n v="1372"/>
    <m/>
    <d v="2012-01-23T00:00:00"/>
    <n v="1372"/>
    <d v="2012-03-06T00:00:00"/>
    <d v="2012-01-17T00:00:00"/>
    <n v="1372"/>
    <n v="1372"/>
    <x v="21"/>
    <d v="2012-03-07T00:00:00"/>
    <m/>
    <n v="9321653505"/>
    <n v="10"/>
    <s v="OOLU8574810"/>
    <s v="OOCL CALIFORNIA/29W0"/>
    <m/>
    <s v="YANTIAN"/>
    <s v="SP-OVERCAP/"/>
    <m/>
    <s v="KENUS WONG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1872/000010"/>
    <n v="1370147722"/>
    <n v="10"/>
    <x v="43"/>
    <x v="43"/>
    <s v="N3"/>
    <n v="1500578109"/>
    <n v="116"/>
    <n v="578109"/>
    <s v="OW110E31 BDM HOME BREAD 900G BLK/MET EE           "/>
    <s v="S"/>
    <d v="2012-01-05T00:00:00"/>
    <m/>
    <s v="X"/>
    <x v="47"/>
    <n v="34.799999999999997"/>
    <n v="1238"/>
    <d v="2012-02-24T00:00:00"/>
    <d v="2012-01-06T00:00:00"/>
    <n v="1372"/>
    <d v="2011-12-26T00:00:00"/>
    <n v="1372"/>
    <m/>
    <d v="2012-01-02T00:00:00"/>
    <n v="1372"/>
    <d v="2012-02-20T00:00:00"/>
    <d v="2012-01-02T00:00:00"/>
    <n v="1372"/>
    <n v="1372"/>
    <x v="16"/>
    <d v="2012-02-21T00:00:00"/>
    <m/>
    <n v="9321653506"/>
    <n v="10"/>
    <s v="OOLU8050200"/>
    <s v="NYK VESTA/28W51"/>
    <m/>
    <s v="SHENZHEN"/>
    <s v="SAILING-SCHED-UPDATE/SP-NO-FORECAST/TP ISSUE/FOB ISSUE"/>
    <m/>
    <s v="KENUS WONG"/>
    <s v="FO9"/>
    <s v="ELECTRICAL COOKING            "/>
    <s v="CONFIRMED"/>
    <n v="1"/>
    <n v="1"/>
    <d v="2012-01-03T00:00:00"/>
    <s v="KITCHEN ELECTRICS             "/>
    <s v="ELECTRICAL COOKING            "/>
    <x v="1"/>
    <x v="1"/>
    <x v="14"/>
    <s v="SP-NO-FORECAST"/>
    <n v="-3"/>
    <n v="-3"/>
    <x v="15"/>
    <n v="4"/>
    <x v="0"/>
    <x v="1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1656/000010"/>
    <n v="1370147761"/>
    <n v="10"/>
    <x v="43"/>
    <x v="43"/>
    <s v="N3"/>
    <n v="1500576659"/>
    <n v="116"/>
    <n v="576659"/>
    <s v="OW110130 BDM HOME BREAD PR 900G WHT EUR           "/>
    <s v="S"/>
    <d v="2012-01-19T00:00:00"/>
    <m/>
    <s v="X"/>
    <x v="47"/>
    <n v="32.89"/>
    <n v="1170"/>
    <d v="2012-02-22T00:00:00"/>
    <d v="2012-01-04T00:00:00"/>
    <n v="1372"/>
    <d v="2012-01-23T00:00:00"/>
    <n v="1372"/>
    <m/>
    <d v="2012-01-23T00:00:00"/>
    <n v="1372"/>
    <d v="2012-03-06T00:00:00"/>
    <d v="2012-01-17T00:00:00"/>
    <n v="1372"/>
    <n v="1372"/>
    <x v="21"/>
    <d v="2012-03-07T00:00:00"/>
    <m/>
    <n v="9321653507"/>
    <n v="10"/>
    <s v="TRLU8201647"/>
    <s v="OOCL CALIFORNIA/29W0"/>
    <m/>
    <s v="YANTIAN"/>
    <s v="SP-OVERCAP/"/>
    <m/>
    <s v="KENUS WONG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1661/000010"/>
    <n v="1370147778"/>
    <n v="10"/>
    <x v="43"/>
    <x v="43"/>
    <s v="N3"/>
    <n v="1500576659"/>
    <n v="116"/>
    <n v="576659"/>
    <s v="OW110130 BDM HOME BREAD PR 900G WHT EUR           "/>
    <s v="S"/>
    <d v="2012-01-19T00:00:00"/>
    <m/>
    <s v="X"/>
    <x v="47"/>
    <n v="32.89"/>
    <n v="1170"/>
    <d v="2012-02-27T00:00:00"/>
    <d v="2012-01-09T00:00:00"/>
    <n v="1372"/>
    <d v="2012-01-09T00:00:00"/>
    <n v="1372"/>
    <m/>
    <d v="2012-02-13T00:00:00"/>
    <n v="1372"/>
    <d v="2012-03-06T00:00:00"/>
    <d v="2012-01-17T00:00:00"/>
    <n v="1372"/>
    <n v="1372"/>
    <x v="21"/>
    <d v="2012-03-07T00:00:00"/>
    <m/>
    <n v="9321653508"/>
    <n v="10"/>
    <s v="TGHU9709925"/>
    <s v="OOCL CALIFORNIA/29W0"/>
    <m/>
    <s v="YANTIAN"/>
    <s v="SP-OVERCAP/"/>
    <m/>
    <s v="KENUS WONG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1"/>
    <s v="SP-OVERCAP"/>
    <n v="-3"/>
    <n v="-3"/>
    <x v="9"/>
    <n v="1"/>
    <x v="0"/>
    <x v="0"/>
    <x v="0"/>
    <n v="1"/>
    <n v="0"/>
    <n v="0"/>
    <n v="0"/>
    <n v="0"/>
    <n v="0"/>
    <x v="0"/>
    <x v="1"/>
    <x v="1"/>
    <x v="0"/>
  </r>
  <r>
    <s v="Shipment"/>
    <n v="99005400"/>
    <s v="GROUPE SEB KOREA                                  "/>
    <n v="99005400"/>
    <x v="6"/>
    <s v="3175/000011"/>
    <n v="1370147889"/>
    <n v="30"/>
    <x v="43"/>
    <x v="43"/>
    <s v="R1"/>
    <n v="1500634608"/>
    <n v="55"/>
    <n v="634608"/>
    <s v="KI210070 KET EVOLUTIVE 1.5L SS BLK KR             "/>
    <s v="S"/>
    <d v="2012-01-10T00:00:00"/>
    <m/>
    <s v="X"/>
    <x v="47"/>
    <n v="14.33"/>
    <n v="14"/>
    <d v="2012-01-17T00:00:00"/>
    <d v="2012-01-03T00:00:00"/>
    <n v="2100"/>
    <d v="2012-01-03T00:00:00"/>
    <n v="2100"/>
    <m/>
    <d v="2012-01-01T00:00:00"/>
    <n v="2100"/>
    <d v="2012-01-15T00:00:00"/>
    <d v="2012-01-01T00:00:00"/>
    <n v="2100"/>
    <n v="2100"/>
    <x v="23"/>
    <d v="2012-01-22T00:00:00"/>
    <m/>
    <n v="9321653509"/>
    <n v="10"/>
    <s v="PONU0813813"/>
    <s v="CONVENT/1202"/>
    <m/>
    <s v="YANTIAN"/>
    <m/>
    <m/>
    <s v="AGNES NUNES"/>
    <s v="FO9"/>
    <s v="BEVERAGE                      "/>
    <s v="CONFIRMED"/>
    <n v="1"/>
    <n v="1"/>
    <d v="2012-01-08T00:00:00"/>
    <s v="KITCHEN ELECTRICS             "/>
    <s v="BREAKFAST &amp; BREVAGE PREP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1841/000010"/>
    <n v="1370147442"/>
    <n v="10"/>
    <x v="66"/>
    <x v="66"/>
    <s v="R1"/>
    <n v="1500635426"/>
    <n v="55"/>
    <n v="635426"/>
    <s v="KI111D15 KET OXFORD 1.7L SS BLK GB                "/>
    <s v="S"/>
    <d v="2012-01-18T00:00:00"/>
    <m/>
    <s v="X"/>
    <x v="47"/>
    <n v="15.79"/>
    <n v="11"/>
    <d v="2012-02-13T00:00:00"/>
    <d v="2012-01-09T00:00:00"/>
    <n v="2079"/>
    <d v="2012-01-09T00:00:00"/>
    <n v="2079"/>
    <m/>
    <d v="2012-01-12T00:00:00"/>
    <n v="2079"/>
    <d v="2012-02-16T00:00:00"/>
    <d v="2012-01-12T00:00:00"/>
    <n v="2079"/>
    <n v="2079"/>
    <x v="8"/>
    <d v="2012-02-20T00:00:00"/>
    <m/>
    <n v="9321653510"/>
    <n v="10"/>
    <s v="MAEU6794749"/>
    <s v="MAERSK TUKANG 1202/"/>
    <m/>
    <s v="YANTIAN"/>
    <s v="SP-HOLIDAY/"/>
    <m/>
    <s v="KENUS WONG"/>
    <s v="FO9"/>
    <s v="BEVERAGE                      "/>
    <s v="CONFIRMED"/>
    <n v="1"/>
    <n v="3"/>
    <d v="2012-01-16T00:00:00"/>
    <s v="KITCHEN ELECTRICS             "/>
    <s v="BREAKFAST &amp; BREVAGE PREP      "/>
    <x v="1"/>
    <x v="1"/>
    <x v="7"/>
    <s v="SP-HOLIDAY"/>
    <n v="-3"/>
    <n v="-3"/>
    <x v="6"/>
    <n v="1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71/000001"/>
    <n v="1370147571"/>
    <n v="10"/>
    <x v="59"/>
    <x v="59"/>
    <s v="P1"/>
    <n v="1500677892"/>
    <n v="36"/>
    <n v="677892"/>
    <s v="BL126G71 BLD MINI MULTI MILL CHOP RED JP          "/>
    <s v="S"/>
    <d v="2012-01-19T00:00:00"/>
    <m/>
    <s v="X"/>
    <x v="47"/>
    <n v="21.4"/>
    <n v="19"/>
    <d v="2012-01-09T00:00:00"/>
    <d v="2011-12-26T00:00:00"/>
    <n v="3400"/>
    <d v="2012-01-18T00:00:00"/>
    <n v="3400"/>
    <m/>
    <d v="2011-12-26T00:00:00"/>
    <n v="3400"/>
    <d v="2012-02-01T00:00:00"/>
    <d v="2012-01-18T00:00:00"/>
    <n v="3400"/>
    <n v="3400"/>
    <x v="26"/>
    <d v="2012-02-04T00:00:00"/>
    <m/>
    <n v="9321653512"/>
    <n v="10"/>
    <s v="MRKU3275432"/>
    <s v="POSEN"/>
    <m/>
    <s v="SHENZHEN"/>
    <s v="C-ETD-TEMP/"/>
    <m/>
    <s v="DOROTHEA LING"/>
    <s v="FO9"/>
    <s v="FOOD PREPARATION              "/>
    <s v="CONFIRMED"/>
    <n v="1"/>
    <n v="3"/>
    <d v="2012-01-21T00:00:00"/>
    <s v="KITCHEN ELECTRICS             "/>
    <s v="FOOD PREPARATION              "/>
    <x v="4"/>
    <x v="1"/>
    <x v="16"/>
    <s v="C-ETD-TEMP"/>
    <n v="-3"/>
    <n v="-3"/>
    <x v="7"/>
    <n v="1"/>
    <x v="0"/>
    <x v="0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71/000002"/>
    <n v="1370147571"/>
    <n v="20"/>
    <x v="59"/>
    <x v="59"/>
    <s v="P1"/>
    <n v="1500677893"/>
    <n v="36"/>
    <n v="677893"/>
    <s v="BL123171 BLD MINI MULTI +MILL YEL JP              "/>
    <s v="S"/>
    <d v="2012-01-19T00:00:00"/>
    <m/>
    <s v="X"/>
    <x v="47"/>
    <n v="15.9"/>
    <n v="19"/>
    <d v="2012-01-09T00:00:00"/>
    <d v="2011-12-26T00:00:00"/>
    <n v="3400"/>
    <d v="2012-01-18T00:00:00"/>
    <n v="3400"/>
    <m/>
    <d v="2011-12-26T00:00:00"/>
    <n v="3400"/>
    <d v="2012-02-01T00:00:00"/>
    <d v="2012-01-18T00:00:00"/>
    <n v="3400"/>
    <n v="3400"/>
    <x v="26"/>
    <d v="2012-02-04T00:00:00"/>
    <m/>
    <n v="9321653512"/>
    <n v="20"/>
    <s v="MRKU3275432"/>
    <s v="POSEN"/>
    <m/>
    <s v="SHENZHEN"/>
    <s v="C-ETD-TEMP/"/>
    <m/>
    <s v="DOROTHEA LING"/>
    <s v="FO9"/>
    <s v="FOOD PREPARATION              "/>
    <s v="CONFIRMED"/>
    <n v="1"/>
    <n v="3"/>
    <d v="2012-01-21T00:00:00"/>
    <s v="KITCHEN ELECTRICS             "/>
    <s v="FOOD PREPARATION              "/>
    <x v="4"/>
    <x v="1"/>
    <x v="16"/>
    <s v="C-ETD-TEMP"/>
    <n v="-3"/>
    <n v="-3"/>
    <x v="7"/>
    <n v="1"/>
    <x v="0"/>
    <x v="0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76/000001"/>
    <n v="1370147581"/>
    <n v="10"/>
    <x v="59"/>
    <x v="59"/>
    <s v="P1"/>
    <n v="1500677892"/>
    <n v="36"/>
    <n v="677892"/>
    <s v="BL126G71 BLD MINI MULTI MILL CHOP RED JP          "/>
    <s v="S"/>
    <d v="2012-01-19T00:00:00"/>
    <m/>
    <s v="X"/>
    <x v="47"/>
    <n v="21.4"/>
    <n v="19"/>
    <d v="2012-01-16T00:00:00"/>
    <d v="2012-01-02T00:00:00"/>
    <n v="3400"/>
    <d v="2012-01-18T00:00:00"/>
    <n v="3400"/>
    <m/>
    <d v="2012-01-02T00:00:00"/>
    <n v="3400"/>
    <d v="2012-02-01T00:00:00"/>
    <d v="2012-01-18T00:00:00"/>
    <n v="3400"/>
    <n v="3400"/>
    <x v="26"/>
    <d v="2012-02-04T00:00:00"/>
    <m/>
    <n v="9321653513"/>
    <n v="10"/>
    <s v="MRKU2000446"/>
    <s v="POSEN"/>
    <m/>
    <s v="SHENZHEN"/>
    <s v="C-ETD-TEMP/"/>
    <m/>
    <s v="DOROTHEA LING"/>
    <s v="FO9"/>
    <s v="FOOD PREPARATION              "/>
    <s v="CONFIRMED"/>
    <n v="1"/>
    <n v="3"/>
    <d v="2012-01-21T00:00:00"/>
    <s v="KITCHEN ELECTRICS             "/>
    <s v="FOOD PREPARATION              "/>
    <x v="4"/>
    <x v="1"/>
    <x v="16"/>
    <s v="C-ETD-TEMP"/>
    <n v="-3"/>
    <n v="-3"/>
    <x v="7"/>
    <n v="1"/>
    <x v="0"/>
    <x v="0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76/000002"/>
    <n v="1370147581"/>
    <n v="20"/>
    <x v="59"/>
    <x v="59"/>
    <s v="P1"/>
    <n v="1500677893"/>
    <n v="36"/>
    <n v="677893"/>
    <s v="BL123171 BLD MINI MULTI +MILL YEL JP              "/>
    <s v="S"/>
    <d v="2012-01-19T00:00:00"/>
    <m/>
    <s v="X"/>
    <x v="47"/>
    <n v="15.9"/>
    <n v="19"/>
    <d v="2012-01-16T00:00:00"/>
    <d v="2012-01-02T00:00:00"/>
    <n v="3400"/>
    <d v="2012-01-18T00:00:00"/>
    <n v="3400"/>
    <m/>
    <d v="2012-01-02T00:00:00"/>
    <n v="3400"/>
    <d v="2012-02-01T00:00:00"/>
    <d v="2012-01-18T00:00:00"/>
    <n v="3400"/>
    <n v="3400"/>
    <x v="26"/>
    <d v="2012-02-04T00:00:00"/>
    <m/>
    <n v="9321653513"/>
    <n v="20"/>
    <s v="MRKU2000446"/>
    <s v="POSEN"/>
    <m/>
    <s v="SHENZHEN"/>
    <s v="C-ETD-TEMP/"/>
    <m/>
    <s v="DOROTHEA LING"/>
    <s v="FO9"/>
    <s v="FOOD PREPARATION              "/>
    <s v="CONFIRMED"/>
    <n v="1"/>
    <n v="3"/>
    <d v="2012-01-21T00:00:00"/>
    <s v="KITCHEN ELECTRICS             "/>
    <s v="FOOD PREPARATION              "/>
    <x v="4"/>
    <x v="1"/>
    <x v="16"/>
    <s v="C-ETD-TEMP"/>
    <n v="-3"/>
    <n v="-3"/>
    <x v="7"/>
    <n v="1"/>
    <x v="0"/>
    <x v="0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19"/>
    <n v="1370147889"/>
    <n v="110"/>
    <x v="59"/>
    <x v="59"/>
    <s v="P1"/>
    <n v="1500677881"/>
    <n v="36"/>
    <n v="677881"/>
    <s v="BL1201KR BLD MINI MULT+MHAC/CFG WHT KR            "/>
    <s v="S"/>
    <d v="2012-01-09T00:00:00"/>
    <m/>
    <s v="X"/>
    <x v="47"/>
    <n v="13.45"/>
    <n v="14"/>
    <d v="2012-01-17T00:00:00"/>
    <d v="2012-01-03T00:00:00"/>
    <n v="2800"/>
    <d v="2012-01-03T00:00:00"/>
    <n v="2800"/>
    <m/>
    <d v="2012-01-03T00:00:00"/>
    <n v="2800"/>
    <d v="2012-01-17T00:00:00"/>
    <d v="2012-01-03T00:00:00"/>
    <n v="2800"/>
    <n v="2800"/>
    <x v="12"/>
    <d v="2012-01-21T00:00:00"/>
    <m/>
    <n v="9321653514"/>
    <n v="10"/>
    <s v="MSKU6391551"/>
    <s v="CONVENT/1202"/>
    <m/>
    <s v="YANTIAN"/>
    <m/>
    <m/>
    <s v="AGNES NUNES"/>
    <s v="FO9"/>
    <s v="FOOD PREPARATION              "/>
    <s v="CONFIRMED"/>
    <n v="1"/>
    <n v="1"/>
    <d v="2012-01-07T00:00:00"/>
    <s v="KITCHEN ELECTRICS             "/>
    <s v="FOOD PREPARATION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20"/>
    <n v="1370147889"/>
    <n v="120"/>
    <x v="59"/>
    <x v="59"/>
    <s v="P1"/>
    <n v="1500677873"/>
    <n v="36"/>
    <n v="677873"/>
    <s v="BL126DKR BLD MINI MULTI+MH+MAC MET KR             "/>
    <s v="S"/>
    <d v="2012-01-09T00:00:00"/>
    <m/>
    <s v="X"/>
    <x v="47"/>
    <n v="16.29"/>
    <n v="14"/>
    <d v="2012-01-17T00:00:00"/>
    <d v="2012-01-03T00:00:00"/>
    <n v="2800"/>
    <d v="2012-01-03T00:00:00"/>
    <n v="2800"/>
    <m/>
    <d v="2012-01-03T00:00:00"/>
    <n v="2800"/>
    <d v="2012-01-17T00:00:00"/>
    <d v="2012-01-03T00:00:00"/>
    <n v="2800"/>
    <n v="2800"/>
    <x v="12"/>
    <d v="2012-01-21T00:00:00"/>
    <m/>
    <n v="9321653514"/>
    <n v="20"/>
    <s v="MSKU6391551"/>
    <s v="CONVENT/1202"/>
    <m/>
    <s v="YANTIAN"/>
    <m/>
    <m/>
    <s v="AGNES NUNES"/>
    <s v="FO9"/>
    <s v="FOOD PREPARATION              "/>
    <s v="CONFIRMED"/>
    <n v="1"/>
    <n v="1"/>
    <d v="2012-01-07T00:00:00"/>
    <s v="KITCHEN ELECTRICS             "/>
    <s v="FOOD PREPARATION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0961/000010"/>
    <n v="1370147330"/>
    <n v="10"/>
    <x v="44"/>
    <x v="44"/>
    <s v="P1"/>
    <n v="1500814284"/>
    <n v="106"/>
    <n v="814284"/>
    <s v="HM411184 HMX PREPLINE 450W BLC EE                 "/>
    <s v="S"/>
    <d v="2012-01-09T00:00:00"/>
    <m/>
    <s v="X"/>
    <x v="47"/>
    <n v="12.72"/>
    <n v="47"/>
    <d v="2012-02-06T00:00:00"/>
    <d v="2011-12-26T00:00:00"/>
    <n v="1002"/>
    <d v="2011-12-26T00:00:00"/>
    <n v="1002"/>
    <m/>
    <d v="2011-12-26T00:00:00"/>
    <n v="1002"/>
    <d v="2012-02-06T00:00:00"/>
    <d v="2011-12-26T00:00:00"/>
    <n v="1002"/>
    <n v="1002"/>
    <x v="2"/>
    <d v="2012-02-15T00:00:00"/>
    <m/>
    <n v="9321653516"/>
    <n v="10"/>
    <s v="MSKU2024305"/>
    <s v="EBBA MAERSK 1202/"/>
    <m/>
    <s v="YANTIAN"/>
    <s v="CONS-SHIPT"/>
    <m/>
    <s v="KENUS WONG"/>
    <s v="FO9"/>
    <s v="FOOD PREPARATION              "/>
    <s v="CONFIRMED"/>
    <n v="1"/>
    <n v="1"/>
    <d v="2012-01-04T00:00:00"/>
    <s v="KITCHEN ELECTRICS             "/>
    <s v="FOOD PREPARATION              "/>
    <x v="2"/>
    <x v="1"/>
    <x v="10"/>
    <s v="CONS-SHIPT"/>
    <n v="-3"/>
    <n v="-3"/>
    <x v="8"/>
    <n v="1"/>
    <x v="0"/>
    <x v="0"/>
    <x v="0"/>
    <n v="0"/>
    <n v="0"/>
    <n v="0"/>
    <n v="0"/>
    <n v="0"/>
    <n v="0"/>
    <x v="1"/>
    <x v="0"/>
    <x v="1"/>
    <x v="0"/>
  </r>
  <r>
    <s v="Shipment"/>
    <n v="99008200"/>
    <s v="GROUPE SEB IBERICA                                "/>
    <n v="99008200"/>
    <x v="21"/>
    <s v="9321650683/000010"/>
    <n v="1370147458"/>
    <n v="10"/>
    <x v="44"/>
    <x v="44"/>
    <s v="P1"/>
    <n v="1500833645"/>
    <n v="105"/>
    <n v="833645"/>
    <s v="JU200045 JUI VITAE WHT/YEL ES                     "/>
    <s v="S"/>
    <d v="2012-01-17T00:00:00"/>
    <m/>
    <s v="X"/>
    <x v="47"/>
    <n v="12.7"/>
    <n v="12"/>
    <d v="2012-01-16T00:00:00"/>
    <d v="2011-12-19T00:00:00"/>
    <n v="2320"/>
    <d v="2012-01-02T00:00:00"/>
    <n v="2320"/>
    <m/>
    <d v="2011-12-19T00:00:00"/>
    <n v="2320"/>
    <d v="2012-02-04T00:00:00"/>
    <d v="2012-01-07T00:00:00"/>
    <n v="2320"/>
    <n v="2320"/>
    <x v="23"/>
    <d v="2012-02-05T00:00:00"/>
    <m/>
    <n v="9321653518"/>
    <n v="10"/>
    <s v="PONU0223545"/>
    <s v="MAERSK SANTANA 1202"/>
    <m/>
    <s v="SHENZHEN"/>
    <s v="SAILING-SCHED-UPDATE/C-POST-CONF/FORWARDER LATE DOC"/>
    <m/>
    <s v="JASON FAN"/>
    <s v="FO9"/>
    <s v="FOOD PREPARATION              "/>
    <s v="CONFIRMED"/>
    <n v="1"/>
    <n v="1"/>
    <d v="2012-01-08T00:00:00"/>
    <s v="KITCHEN ELECTRICS             "/>
    <s v="FOOD PREPARATION              "/>
    <x v="2"/>
    <x v="1"/>
    <x v="3"/>
    <s v="C-POST-CONF"/>
    <n v="-3"/>
    <n v="-3"/>
    <x v="0"/>
    <n v="3"/>
    <x v="0"/>
    <x v="0"/>
    <x v="1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1314/000010"/>
    <n v="1370147476"/>
    <n v="10"/>
    <x v="44"/>
    <x v="44"/>
    <s v="P1"/>
    <n v="1500814332"/>
    <n v="106"/>
    <n v="814332"/>
    <s v="HM412131 HMX/STAND PREP'LINE 450W WHT IT          "/>
    <s v="S"/>
    <d v="2012-01-07T00:00:00"/>
    <m/>
    <s v="X"/>
    <x v="47"/>
    <n v="15.01"/>
    <n v="55"/>
    <d v="2012-02-13T00:00:00"/>
    <d v="2012-01-02T00:00:00"/>
    <n v="1400"/>
    <d v="2012-01-02T00:00:00"/>
    <n v="1400"/>
    <m/>
    <d v="2012-01-02T00:00:00"/>
    <n v="1400"/>
    <d v="2012-02-15T00:00:00"/>
    <d v="2012-01-04T00:00:00"/>
    <n v="1400"/>
    <n v="1400"/>
    <x v="2"/>
    <d v="2012-02-15T00:00:00"/>
    <m/>
    <n v="9321653519"/>
    <n v="10"/>
    <s v="MRKU8206624"/>
    <s v="EBBA MAERSK 1202/"/>
    <m/>
    <s v="YANTIAN"/>
    <s v="SAILING-SCHED-UPDATE/"/>
    <m/>
    <s v="KENUS WONG"/>
    <s v="FO9"/>
    <s v="FOOD PREPARATION              "/>
    <s v="CONFIRMED"/>
    <n v="1"/>
    <n v="1"/>
    <d v="2012-01-04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843/000010"/>
    <n v="1370147839"/>
    <n v="10"/>
    <x v="44"/>
    <x v="44"/>
    <s v="P1"/>
    <n v="1500831461"/>
    <n v="105"/>
    <n v="831461"/>
    <s v="ZN355161 JUI ELEA DUO WHT/CAS SA                  "/>
    <s v="S"/>
    <d v="2012-01-13T00:00:00"/>
    <m/>
    <s v="X"/>
    <x v="47"/>
    <n v="21.35"/>
    <n v="25"/>
    <d v="2012-01-12T00:00:00"/>
    <d v="2012-01-11T00:00:00"/>
    <n v="500"/>
    <d v="2012-01-11T00:00:00"/>
    <n v="500"/>
    <m/>
    <d v="2012-01-11T00:00:00"/>
    <n v="500"/>
    <d v="2012-01-12T00:00:00"/>
    <d v="2012-01-11T00:00:00"/>
    <n v="500"/>
    <n v="500"/>
    <x v="10"/>
    <d v="2012-01-13T00:00:00"/>
    <m/>
    <n v="9321653522"/>
    <n v="10"/>
    <s v="BY TRUCK"/>
    <s v="BY TRUCK"/>
    <m/>
    <s v="YANTIAN"/>
    <s v="UNLOAD JAN12"/>
    <m/>
    <s v="ZANDRA LAM"/>
    <s v="FO9"/>
    <s v="FOOD PREPARATION              "/>
    <s v="CONFIRMED"/>
    <n v="1"/>
    <n v="2"/>
    <d v="2012-01-12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7/000005"/>
    <n v="1370147885"/>
    <n v="50"/>
    <x v="44"/>
    <x v="44"/>
    <s v="P1"/>
    <n v="1500831381"/>
    <n v="105"/>
    <n v="831381"/>
    <s v="ZN350CKR JUI ELEA MET/BLK KR                      "/>
    <s v="S"/>
    <d v="2012-01-09T00:00:00"/>
    <m/>
    <s v="X"/>
    <x v="47"/>
    <n v="21.35"/>
    <n v="11"/>
    <d v="2012-01-17T00:00:00"/>
    <d v="2012-01-03T00:00:00"/>
    <n v="1056"/>
    <d v="2012-01-03T00:00:00"/>
    <n v="1056"/>
    <m/>
    <d v="2012-01-03T00:00:00"/>
    <n v="1056"/>
    <d v="2012-01-21T00:00:00"/>
    <d v="2012-01-07T00:00:00"/>
    <n v="1056"/>
    <n v="1056"/>
    <x v="12"/>
    <d v="2012-01-21T00:00:00"/>
    <m/>
    <n v="9321653524"/>
    <n v="10"/>
    <s v="POCU0658797"/>
    <s v="CONVENT/1202"/>
    <m/>
    <s v="HONG KONG"/>
    <s v="SAILING-SCHED-UPDATE/"/>
    <m/>
    <s v="AGNES NUNES"/>
    <s v="FO9"/>
    <s v="FOOD PREPARATION              "/>
    <s v="CONFIRMED"/>
    <n v="1"/>
    <n v="1"/>
    <d v="2012-01-07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15"/>
    <n v="1370147889"/>
    <n v="70"/>
    <x v="67"/>
    <x v="67"/>
    <s v="P1"/>
    <n v="1500854670"/>
    <n v="107"/>
    <n v="854670"/>
    <s v="HB501880 HBL MASTERCHEF 700W BLK KR               "/>
    <s v="S"/>
    <d v="2012-01-17T00:00:00"/>
    <m/>
    <s v="X"/>
    <x v="47"/>
    <n v="26.22"/>
    <n v="14"/>
    <d v="2012-01-17T00:00:00"/>
    <d v="2012-01-03T00:00:00"/>
    <n v="2280"/>
    <d v="2012-01-14T00:00:00"/>
    <n v="2280"/>
    <m/>
    <d v="2012-01-03T00:00:00"/>
    <n v="2280"/>
    <d v="2012-01-28T00:00:00"/>
    <d v="2012-01-14T00:00:00"/>
    <n v="2280"/>
    <n v="2280"/>
    <x v="8"/>
    <d v="2012-01-30T00:00:00"/>
    <m/>
    <n v="9321653527"/>
    <n v="10"/>
    <s v="MSKU5720544"/>
    <s v="OTTO SCHULTE/1202"/>
    <m/>
    <s v="YANTIAN"/>
    <s v="MATSPEC-CHG/"/>
    <m/>
    <s v="AGNES NUNES"/>
    <s v="FO9"/>
    <s v="FOOD PREPARATION              "/>
    <s v="CONFIRMED"/>
    <n v="1"/>
    <n v="3"/>
    <d v="2012-01-16T00:00:00"/>
    <s v="KITCHEN ELECTRICS             "/>
    <s v="FOOD PREPARATION              "/>
    <x v="2"/>
    <x v="1"/>
    <x v="5"/>
    <s v="MATSPEC-CHG"/>
    <n v="-3"/>
    <n v="-3"/>
    <x v="5"/>
    <n v="1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9418/000010"/>
    <n v="1370147094"/>
    <n v="10"/>
    <x v="68"/>
    <x v="68"/>
    <s v="N3"/>
    <n v="1500634223"/>
    <n v="177"/>
    <n v="634223"/>
    <s v="FR101415 EASY PRO BOWL ENAMEL 3L                  "/>
    <s v="S"/>
    <d v="2012-01-10T00:00:00"/>
    <m/>
    <s v="X"/>
    <x v="47"/>
    <n v="19"/>
    <n v="14"/>
    <d v="2012-02-13T00:00:00"/>
    <d v="2012-01-09T00:00:00"/>
    <n v="746"/>
    <d v="2012-01-09T00:00:00"/>
    <n v="746"/>
    <m/>
    <d v="2012-01-09T00:00:00"/>
    <n v="746"/>
    <d v="2012-02-13T00:00:00"/>
    <d v="2012-01-09T00:00:00"/>
    <n v="746"/>
    <n v="746"/>
    <x v="23"/>
    <d v="2012-02-12T00:00:00"/>
    <m/>
    <n v="9321653528"/>
    <n v="10"/>
    <s v="MRKU8225012"/>
    <s v="SVENDBORG MAERSK 120"/>
    <m/>
    <s v="YANTIAN"/>
    <m/>
    <m/>
    <s v="KENUS WONG"/>
    <s v="FO9"/>
    <s v="ELECTRICAL COOKING            "/>
    <s v="CONFIRMED"/>
    <n v="1"/>
    <n v="1"/>
    <d v="2012-01-08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200"/>
    <s v="TEFAL SAS                                         "/>
    <n v="99001200"/>
    <x v="31"/>
    <s v="9321652600/000020"/>
    <n v="1370147542"/>
    <n v="20"/>
    <x v="48"/>
    <x v="48"/>
    <s v="A3"/>
    <n v="2100057718"/>
    <n v="235"/>
    <s v="K0081312       "/>
    <s v="K0081312 WOK SPAT STD NEW INT BLACK/MER           "/>
    <s v="S"/>
    <d v="2012-01-19T00:00:00"/>
    <m/>
    <s v="X"/>
    <x v="47"/>
    <n v="1.417"/>
    <n v="1"/>
    <d v="2012-01-27T00:00:00"/>
    <d v="2011-12-23T00:00:00"/>
    <n v="6960"/>
    <d v="2012-01-03T00:00:00"/>
    <n v="6960"/>
    <m/>
    <m/>
    <m/>
    <d v="2012-02-21T00:00:00"/>
    <d v="2012-01-17T00:00:00"/>
    <n v="6960"/>
    <n v="6960"/>
    <x v="21"/>
    <d v="2012-02-22T00:00:00"/>
    <m/>
    <n v="9321653530"/>
    <n v="20"/>
    <s v="TRLU4821470"/>
    <s v="APL HAMBURG/015W"/>
    <m/>
    <s v="SHENZHEN"/>
    <s v="SP-QLY/CONS-SHIPT/"/>
    <m/>
    <s v="JASON FAN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3"/>
    <s v="CONS-SHIPT"/>
    <n v="1"/>
    <n v="-3"/>
    <x v="8"/>
    <n v="2"/>
    <x v="0"/>
    <x v="0"/>
    <x v="0"/>
    <n v="0"/>
    <n v="0"/>
    <n v="0"/>
    <n v="0"/>
    <n v="0"/>
    <n v="0"/>
    <x v="0"/>
    <x v="1"/>
    <x v="1"/>
    <x v="0"/>
  </r>
  <r>
    <s v="Shipment"/>
    <n v="99001200"/>
    <s v="TEFAL SAS                                         "/>
    <n v="99001200"/>
    <x v="31"/>
    <s v="9321652600/000030"/>
    <n v="1370147542"/>
    <n v="30"/>
    <x v="48"/>
    <x v="48"/>
    <s v="A3"/>
    <n v="2100057733"/>
    <n v="232"/>
    <s v="K0050612       "/>
    <s v="K0050612 CAN OPEN STD NEW INTENS GAD BLA          "/>
    <s v="S"/>
    <d v="2012-01-19T00:00:00"/>
    <m/>
    <s v="X"/>
    <x v="47"/>
    <n v="3.57"/>
    <n v="1"/>
    <d v="2012-01-27T00:00:00"/>
    <d v="2011-12-23T00:00:00"/>
    <n v="2880"/>
    <d v="2012-01-17T00:00:00"/>
    <n v="2880"/>
    <m/>
    <m/>
    <m/>
    <d v="2012-02-21T00:00:00"/>
    <d v="2012-01-17T00:00:00"/>
    <n v="2880"/>
    <n v="2880"/>
    <x v="21"/>
    <d v="2012-02-22T00:00:00"/>
    <m/>
    <n v="9321653530"/>
    <n v="30"/>
    <s v="TRLU4821470"/>
    <s v="APL HAMBURG/015W"/>
    <m/>
    <s v="SHENZHEN"/>
    <s v="CONS-SHIPT/"/>
    <m/>
    <s v="JASON FAN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0"/>
    <n v="1"/>
    <n v="0"/>
    <n v="0"/>
    <n v="1"/>
    <x v="0"/>
    <x v="0"/>
    <x v="1"/>
    <x v="1"/>
  </r>
  <r>
    <s v="Shipment"/>
    <n v="99001200"/>
    <s v="TEFAL SAS                                         "/>
    <n v="99001200"/>
    <x v="31"/>
    <s v="9321652600/000040"/>
    <n v="1370147542"/>
    <n v="40"/>
    <x v="48"/>
    <x v="48"/>
    <s v="A3"/>
    <n v="2100057735"/>
    <n v="232"/>
    <s v="K0050812       "/>
    <s v="K0050812 POTATO MASHER STD NEW INTENS GA          "/>
    <s v="S"/>
    <d v="2012-01-19T00:00:00"/>
    <m/>
    <s v="X"/>
    <x v="47"/>
    <n v="2.2069999999999999"/>
    <n v="1"/>
    <d v="2012-01-27T00:00:00"/>
    <d v="2011-12-23T00:00:00"/>
    <n v="2880"/>
    <d v="2012-01-17T00:00:00"/>
    <n v="2880"/>
    <m/>
    <m/>
    <m/>
    <d v="2012-02-21T00:00:00"/>
    <d v="2012-01-17T00:00:00"/>
    <n v="2880"/>
    <n v="2880"/>
    <x v="21"/>
    <d v="2012-02-22T00:00:00"/>
    <m/>
    <n v="9321653530"/>
    <n v="40"/>
    <s v="TRLU4821470"/>
    <s v="APL HAMBURG/015W"/>
    <m/>
    <s v="SHENZHEN"/>
    <s v="CONS-SHIPT/"/>
    <m/>
    <s v="JASON FAN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0"/>
    <n v="1"/>
    <n v="0"/>
    <n v="0"/>
    <n v="1"/>
    <x v="0"/>
    <x v="0"/>
    <x v="1"/>
    <x v="1"/>
  </r>
  <r>
    <s v="Shipment"/>
    <n v="99001200"/>
    <s v="TEFAL SAS                                         "/>
    <n v="99001200"/>
    <x v="31"/>
    <s v="9321652600/000050"/>
    <n v="1370147542"/>
    <n v="50"/>
    <x v="48"/>
    <x v="48"/>
    <s v="A3"/>
    <n v="2100057734"/>
    <n v="232"/>
    <s v="K0050712       "/>
    <s v="K0050712 GARLIC PRESS STD NEW INTENS GAD          "/>
    <s v="S"/>
    <d v="2012-01-19T00:00:00"/>
    <m/>
    <s v="X"/>
    <x v="47"/>
    <n v="2.915"/>
    <n v="1"/>
    <d v="2012-01-27T00:00:00"/>
    <d v="2011-12-23T00:00:00"/>
    <n v="3600"/>
    <d v="2012-01-17T00:00:00"/>
    <n v="3600"/>
    <m/>
    <m/>
    <m/>
    <d v="2012-02-21T00:00:00"/>
    <d v="2012-01-17T00:00:00"/>
    <n v="3600"/>
    <n v="3600"/>
    <x v="21"/>
    <d v="2012-02-22T00:00:00"/>
    <m/>
    <n v="9321653530"/>
    <n v="50"/>
    <s v="TRLU4821470"/>
    <s v="APL HAMBURG/015W"/>
    <m/>
    <s v="SHENZHEN"/>
    <s v="CONS-SHIPT/"/>
    <m/>
    <s v="JASON FAN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79/000001"/>
    <n v="1370147888"/>
    <n v="10"/>
    <x v="48"/>
    <x v="48"/>
    <s v="A3"/>
    <n v="2100057722"/>
    <n v="235"/>
    <s v="K0070112       "/>
    <s v="K0070112 STD SPOON NEW GOUR BLACK/GR TEF          "/>
    <s v="S"/>
    <d v="2012-01-10T00:00:00"/>
    <m/>
    <s v="X"/>
    <x v="47"/>
    <n v="2.141"/>
    <n v="2"/>
    <d v="2012-01-17T00:00:00"/>
    <d v="2012-01-03T00:00:00"/>
    <n v="3660"/>
    <d v="2012-01-03T00:00:00"/>
    <n v="3360"/>
    <m/>
    <d v="2012-01-03T00:00:00"/>
    <n v="3660"/>
    <d v="2012-01-17T00:00:00"/>
    <d v="2012-01-03T00:00:00"/>
    <n v="3360"/>
    <n v="3360"/>
    <x v="12"/>
    <d v="2012-01-21T00:00:00"/>
    <m/>
    <n v="9321653531"/>
    <n v="10"/>
    <s v="APMU2836718"/>
    <s v="CONVENT/1202"/>
    <m/>
    <s v="SHENZHEN"/>
    <s v="CONS-SHIPT/"/>
    <m/>
    <s v="AGNES NUNES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52411/000010"/>
    <n v="1370147901"/>
    <n v="10"/>
    <x v="48"/>
    <x v="48"/>
    <s v="A3"/>
    <n v="2100061836"/>
    <n v="235"/>
    <s v="K0190514       "/>
    <s v="K0190514 ICING SPATULA CHOCOL ACCES SILI          "/>
    <s v="S"/>
    <d v="2012-01-19T00:00:00"/>
    <m/>
    <s v="X"/>
    <x v="47"/>
    <n v="2.319"/>
    <n v="2"/>
    <d v="2012-01-27T00:00:00"/>
    <d v="2011-12-23T00:00:00"/>
    <n v="2640"/>
    <d v="2012-01-17T00:00:00"/>
    <n v="2640"/>
    <m/>
    <d v="2011-12-23T00:00:00"/>
    <n v="2640"/>
    <d v="2012-02-21T00:00:00"/>
    <d v="2012-01-17T00:00:00"/>
    <n v="2640"/>
    <n v="2640"/>
    <x v="21"/>
    <d v="2012-02-22T00:00:00"/>
    <m/>
    <n v="9321653532"/>
    <n v="10"/>
    <s v="TRLU4821470"/>
    <s v="APL HAMBURG/015W"/>
    <m/>
    <s v="HONG KONG"/>
    <s v="CONS-SHIPT/CONS-SHIPT/"/>
    <m/>
    <s v="JASON FAN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9429/000010"/>
    <n v="1370147087"/>
    <n v="10"/>
    <x v="69"/>
    <x v="69"/>
    <s v="R1"/>
    <n v="1500576631"/>
    <n v="23"/>
    <n v="576631"/>
    <s v="TT390015 TOAS EVOLUTIVE 2S GB                     "/>
    <s v="S"/>
    <d v="2012-01-10T00:00:00"/>
    <m/>
    <s v="X"/>
    <x v="47"/>
    <n v="13.12"/>
    <n v="10"/>
    <d v="2012-02-13T00:00:00"/>
    <d v="2012-01-09T00:00:00"/>
    <n v="1792"/>
    <d v="2012-01-09T00:00:00"/>
    <n v="1792"/>
    <m/>
    <d v="2012-01-14T00:00:00"/>
    <n v="1792"/>
    <d v="2012-02-18T00:00:00"/>
    <d v="2012-01-14T00:00:00"/>
    <n v="1792"/>
    <n v="1792"/>
    <x v="23"/>
    <d v="2012-02-12T00:00:00"/>
    <m/>
    <n v="9321653535"/>
    <n v="10"/>
    <s v="MRKU8222008"/>
    <s v="SVENDBORG MAERSK 120"/>
    <m/>
    <s v="YANTIAN"/>
    <m/>
    <m/>
    <s v="KENUS WONG"/>
    <s v="FO9"/>
    <s v="BEVERAGE                      "/>
    <s v="CONFIRMED"/>
    <n v="1"/>
    <n v="1"/>
    <d v="2012-01-08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17/HKG/"/>
    <n v="1370147374"/>
    <n v="10"/>
    <x v="60"/>
    <x v="60"/>
    <s v="L4"/>
    <n v="1830003838"/>
    <n v="5"/>
    <s v="CV3620Y0       "/>
    <s v="CV3620Y0 CHARMING HAIR DRYER                      "/>
    <s v="S"/>
    <d v="2012-01-11T00:00:00"/>
    <m/>
    <s v="X"/>
    <x v="47"/>
    <n v="6.39"/>
    <n v="7"/>
    <d v="2012-01-19T00:00:00"/>
    <d v="2012-01-05T00:00:00"/>
    <n v="1002"/>
    <d v="2012-01-03T00:00:00"/>
    <n v="1002"/>
    <m/>
    <d v="2012-01-02T00:00:00"/>
    <n v="1002"/>
    <d v="2012-01-16T00:00:00"/>
    <d v="2012-01-02T00:00:00"/>
    <n v="1002"/>
    <n v="1002"/>
    <x v="23"/>
    <d v="2012-01-22T00:00:00"/>
    <m/>
    <n v="9321653536"/>
    <n v="10"/>
    <s v="GESU1401888"/>
    <s v="ING ADRIAN"/>
    <m/>
    <s v="NINGBO"/>
    <m/>
    <m/>
    <s v="THOMAS HO"/>
    <s v="FO9"/>
    <s v="PERSONAL CARE                 "/>
    <s v="CONFIRMED"/>
    <n v="1"/>
    <n v="1"/>
    <d v="2012-01-08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2/000070"/>
    <n v="1370147544"/>
    <n v="70"/>
    <x v="60"/>
    <x v="60"/>
    <s v="L4"/>
    <n v="1830003864"/>
    <n v="175"/>
    <s v="CF3312F0       "/>
    <s v="CF3312F0 CURLING TONG                             "/>
    <s v="S"/>
    <d v="2012-01-17T00:00:00"/>
    <m/>
    <s v="X"/>
    <x v="47"/>
    <n v="5.65"/>
    <n v="13"/>
    <d v="2012-02-06T00:00:00"/>
    <d v="2012-01-09T00:00:00"/>
    <n v="3006"/>
    <d v="2012-01-09T00:00:00"/>
    <n v="3006"/>
    <m/>
    <d v="2012-01-12T00:00:00"/>
    <n v="3006"/>
    <d v="2012-02-11T00:00:00"/>
    <d v="2012-01-14T00:00:00"/>
    <n v="3006"/>
    <n v="3006"/>
    <x v="11"/>
    <d v="2012-02-12T00:00:00"/>
    <m/>
    <n v="9321653537"/>
    <n v="10"/>
    <s v="HJCU8441999"/>
    <s v="HANJIN PUNTA ARENAS/"/>
    <m/>
    <s v="NINGBO"/>
    <m/>
    <m/>
    <s v="JASON FAN"/>
    <s v="FO9"/>
    <s v="PERSONAL CARE                 "/>
    <s v="CONFIRMED"/>
    <n v="1"/>
    <n v="2"/>
    <d v="2012-01-15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254/000010"/>
    <n v="1370147647"/>
    <n v="10"/>
    <x v="60"/>
    <x v="60"/>
    <s v="L4"/>
    <n v="1830003864"/>
    <n v="175"/>
    <s v="CF3312F0       "/>
    <s v="CF3312F0 CURLING TONG                             "/>
    <s v="S"/>
    <d v="2012-01-18T00:00:00"/>
    <m/>
    <s v="X"/>
    <x v="47"/>
    <n v="5.65"/>
    <n v="214"/>
    <d v="2012-02-22T00:00:00"/>
    <d v="2012-01-04T00:00:00"/>
    <n v="3000"/>
    <d v="2012-01-12T00:00:00"/>
    <n v="3000"/>
    <m/>
    <d v="2012-01-05T00:00:00"/>
    <n v="3000"/>
    <d v="2012-03-01T00:00:00"/>
    <d v="2012-01-12T00:00:00"/>
    <n v="3000"/>
    <n v="3000"/>
    <x v="10"/>
    <d v="2012-03-01T00:00:00"/>
    <m/>
    <n v="9321653538"/>
    <n v="10"/>
    <s v="MSKU4391378"/>
    <s v="GJERTRUD MAERSK/121W"/>
    <m/>
    <s v="NINGBO"/>
    <s v="CONS-SHIPT/"/>
    <m/>
    <s v="KENUS WONG"/>
    <s v="FO9"/>
    <s v="PERSONAL CARE                 "/>
    <s v="CONFIRMED"/>
    <n v="1"/>
    <n v="2"/>
    <d v="2012-01-12T00:00:00"/>
    <s v="LINEN PERS HOME CARE          "/>
    <s v="PERSONAL CARE                 "/>
    <x v="6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837/000010"/>
    <n v="1370147695"/>
    <n v="10"/>
    <x v="60"/>
    <x v="60"/>
    <s v="L4"/>
    <n v="1830003867"/>
    <n v="175"/>
    <s v="CF3345F0       "/>
    <s v="CF3345F0 CONIC CURLING TONG                       "/>
    <s v="S"/>
    <d v="2012-01-18T00:00:00"/>
    <m/>
    <s v="X"/>
    <x v="47"/>
    <n v="10.47"/>
    <n v="396"/>
    <d v="2012-02-24T00:00:00"/>
    <d v="2012-01-06T00:00:00"/>
    <n v="3000"/>
    <d v="2012-01-06T00:00:00"/>
    <n v="2562"/>
    <m/>
    <d v="2012-01-05T00:00:00"/>
    <n v="2562"/>
    <d v="2012-03-01T00:00:00"/>
    <d v="2012-01-12T00:00:00"/>
    <n v="2562"/>
    <n v="2562"/>
    <x v="10"/>
    <d v="2012-03-01T00:00:00"/>
    <m/>
    <n v="9321653539"/>
    <n v="10"/>
    <s v="MSKU4391378"/>
    <s v="GJERTRUD MAERSK/121W"/>
    <m/>
    <s v="NINGBO"/>
    <m/>
    <m/>
    <s v="KENUS WONG"/>
    <s v="FO9"/>
    <s v="PERSONAL CARE                 "/>
    <s v="CONFIRMED"/>
    <n v="1"/>
    <n v="2"/>
    <d v="2012-01-12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838/000010"/>
    <n v="1370147696"/>
    <n v="10"/>
    <x v="60"/>
    <x v="60"/>
    <s v="L4"/>
    <n v="1830003919"/>
    <n v="175"/>
    <s v="CF3322F0       "/>
    <s v="CF3322F0 CURLING TONG                             "/>
    <s v="S"/>
    <d v="2012-01-18T00:00:00"/>
    <m/>
    <s v="X"/>
    <x v="47"/>
    <n v="8.9"/>
    <n v="337"/>
    <d v="2012-02-27T00:00:00"/>
    <d v="2012-01-09T00:00:00"/>
    <n v="3000"/>
    <d v="2012-01-09T00:00:00"/>
    <n v="2556"/>
    <m/>
    <d v="2012-01-05T00:00:00"/>
    <n v="2556"/>
    <d v="2012-03-01T00:00:00"/>
    <d v="2012-01-12T00:00:00"/>
    <n v="2556"/>
    <n v="2556"/>
    <x v="10"/>
    <d v="2012-03-01T00:00:00"/>
    <m/>
    <n v="9321653540"/>
    <n v="10"/>
    <s v="MSKU4391378"/>
    <s v="GJERTRUD MAERSK/121W"/>
    <m/>
    <s v="NINGBO"/>
    <m/>
    <m/>
    <s v="KENUS WONG"/>
    <s v="FO9"/>
    <s v="PERSONAL CARE                 "/>
    <s v="CONFIRMED"/>
    <n v="1"/>
    <n v="2"/>
    <d v="2012-01-12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6/000004"/>
    <n v="1370147891"/>
    <n v="40"/>
    <x v="60"/>
    <x v="60"/>
    <s v="L4"/>
    <n v="1830003289"/>
    <n v="5"/>
    <s v="CV3522K0       "/>
    <s v="CV3522K0 NOMAD HAIR DRYER 1400W                   "/>
    <s v="S"/>
    <d v="2012-01-06T00:00:00"/>
    <m/>
    <s v="X"/>
    <x v="47"/>
    <n v="4.83"/>
    <n v="9"/>
    <d v="2012-01-17T00:00:00"/>
    <d v="2012-01-03T00:00:00"/>
    <n v="3000"/>
    <d v="2012-01-03T00:00:00"/>
    <n v="3000"/>
    <m/>
    <d v="2012-01-04T00:00:00"/>
    <n v="3000"/>
    <d v="2012-01-18T00:00:00"/>
    <d v="2012-01-04T00:00:00"/>
    <n v="3000"/>
    <n v="3000"/>
    <x v="6"/>
    <d v="2012-01-19T00:00:00"/>
    <m/>
    <n v="9321653541"/>
    <n v="10"/>
    <s v="PCLU2046983"/>
    <s v="OCEAN EXPRESS/1201E"/>
    <m/>
    <s v="YANTIAN"/>
    <m/>
    <m/>
    <s v="AGNES NUNES"/>
    <s v="FO9"/>
    <s v="PERSONAL CARE                 "/>
    <s v="CONFIRMED"/>
    <n v="1"/>
    <n v="1"/>
    <d v="2012-01-05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1733/000010"/>
    <n v="1370147428"/>
    <n v="10"/>
    <x v="23"/>
    <x v="23"/>
    <s v="J3"/>
    <n v="2820448000"/>
    <n v="1"/>
    <s v="FV4480G0       "/>
    <s v="FV4480G0 STEAM IRON ULTRAGLIDE EASYCORD           "/>
    <s v="S"/>
    <d v="2012-01-10T00:00:00"/>
    <m/>
    <s v="X"/>
    <x v="47"/>
    <n v="16.986999999999998"/>
    <n v="12"/>
    <d v="2012-02-13T00:00:00"/>
    <d v="2012-01-09T00:00:00"/>
    <n v="2376"/>
    <d v="2012-01-09T00:00:00"/>
    <n v="2376"/>
    <m/>
    <d v="2012-01-14T00:00:00"/>
    <n v="2376"/>
    <d v="2012-02-18T00:00:00"/>
    <d v="2012-01-14T00:00:00"/>
    <n v="2376"/>
    <n v="2376"/>
    <x v="0"/>
    <d v="2012-02-13T00:00:00"/>
    <m/>
    <n v="9321653546"/>
    <n v="10"/>
    <s v="PONU0976472"/>
    <s v="MAERSK SOFIA 1202/"/>
    <m/>
    <s v="SHANGHAI"/>
    <m/>
    <m/>
    <s v="KENUS WONG"/>
    <s v="FO9"/>
    <s v="LINEN CARE                    "/>
    <s v="CONFIRMED"/>
    <n v="1"/>
    <n v="2"/>
    <d v="2012-01-09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1561/000010"/>
    <n v="1370147431"/>
    <n v="10"/>
    <x v="23"/>
    <x v="23"/>
    <s v="N4"/>
    <n v="2820000032"/>
    <n v="32"/>
    <s v="VC100715       "/>
    <s v="VC100715 STMC ULTRACOMP.BLK/CHR                   "/>
    <s v="S"/>
    <d v="2012-01-18T00:00:00"/>
    <m/>
    <s v="X"/>
    <x v="47"/>
    <n v="17.971699999999998"/>
    <n v="13"/>
    <d v="2012-02-13T00:00:00"/>
    <d v="2012-01-09T00:00:00"/>
    <n v="1092"/>
    <d v="2012-01-09T00:00:00"/>
    <n v="1092"/>
    <m/>
    <d v="2012-01-09T00:00:00"/>
    <n v="1092"/>
    <d v="2012-02-13T00:00:00"/>
    <d v="2012-01-09T00:00:00"/>
    <n v="1092"/>
    <n v="1092"/>
    <x v="11"/>
    <d v="2012-02-19T00:00:00"/>
    <m/>
    <n v="9321653548"/>
    <n v="10"/>
    <s v="MRKU0624150"/>
    <s v="SUSAN MAERSK 1202/"/>
    <m/>
    <s v="SHANGHAI"/>
    <m/>
    <m/>
    <s v="KENUS WONG"/>
    <s v="FO9"/>
    <s v="ELECTRICAL COOKING            "/>
    <s v="CONFIRMED"/>
    <n v="1"/>
    <n v="2"/>
    <d v="2012-01-15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1716/000010"/>
    <n v="1370147436"/>
    <n v="10"/>
    <x v="23"/>
    <x v="23"/>
    <s v="J3"/>
    <n v="2820368000"/>
    <n v="1"/>
    <s v="FV3680G0       "/>
    <s v="FV3680G0 STEAM IRON SUPERGLIDE 4 FTK              "/>
    <s v="S"/>
    <d v="2012-01-05T00:00:00"/>
    <m/>
    <s v="X"/>
    <x v="47"/>
    <n v="14.078200000000001"/>
    <n v="11505"/>
    <d v="2012-02-06T00:00:00"/>
    <d v="2012-01-02T00:00:00"/>
    <n v="2574"/>
    <d v="2012-01-02T00:00:00"/>
    <n v="2574"/>
    <m/>
    <d v="2011-12-31T00:00:00"/>
    <n v="2574"/>
    <d v="2012-02-04T00:00:00"/>
    <d v="2011-12-31T00:00:00"/>
    <n v="2574"/>
    <n v="2574"/>
    <x v="3"/>
    <d v="2012-02-06T00:00:00"/>
    <m/>
    <n v="9321653551"/>
    <n v="10"/>
    <s v="PONU1903742"/>
    <s v="SVEND MAERSK 1202/"/>
    <m/>
    <s v="SHANGHAI"/>
    <m/>
    <m/>
    <s v="KENUS WONG"/>
    <s v="FO9"/>
    <s v="LINEN CARE                    "/>
    <s v="CONFIRMED"/>
    <n v="1"/>
    <n v="1"/>
    <d v="2012-01-02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1736/000010"/>
    <n v="1370147439"/>
    <n v="10"/>
    <x v="23"/>
    <x v="23"/>
    <s v="J3"/>
    <n v="2820448601"/>
    <n v="1"/>
    <s v="FV4486G1       "/>
    <s v="FV4486G1 STEAM IRON ULTRAGLIDE EASYCORD           "/>
    <s v="S"/>
    <d v="2012-01-30T00:00:00"/>
    <m/>
    <s v="X"/>
    <x v="47"/>
    <n v="19.7056"/>
    <n v="14"/>
    <d v="2012-02-13T00:00:00"/>
    <d v="2012-01-09T00:00:00"/>
    <n v="2376"/>
    <d v="2012-01-09T00:00:00"/>
    <n v="2376"/>
    <m/>
    <d v="2012-01-16T00:00:00"/>
    <n v="2376"/>
    <d v="2012-02-20T00:00:00"/>
    <d v="2012-01-16T00:00:00"/>
    <n v="2376"/>
    <n v="2376"/>
    <x v="14"/>
    <d v="2012-02-24T00:00:00"/>
    <m/>
    <n v="9321653552"/>
    <n v="10"/>
    <s v="TRLU9490138"/>
    <s v="OOCL LONG BEACH 65W0"/>
    <m/>
    <s v="SHANGHAI"/>
    <s v="SP-MTL"/>
    <m/>
    <s v="KENUS WONG"/>
    <s v="FO9"/>
    <s v="LINEN CARE                    "/>
    <s v="CONFIRMED"/>
    <n v="1"/>
    <n v="3"/>
    <d v="2012-01-20T00:00:00"/>
    <s v="LINEN PERS HOME CARE          "/>
    <s v="LINEN CARE                    "/>
    <x v="0"/>
    <x v="0"/>
    <x v="9"/>
    <s v="SP-MTL"/>
    <n v="1"/>
    <n v="1"/>
    <x v="10"/>
    <n v="1"/>
    <x v="0"/>
    <x v="0"/>
    <x v="0"/>
    <n v="0"/>
    <n v="0"/>
    <n v="0"/>
    <n v="0"/>
    <n v="0"/>
    <n v="0"/>
    <x v="1"/>
    <x v="0"/>
    <x v="1"/>
    <x v="0"/>
  </r>
  <r>
    <s v="Shipment"/>
    <n v="99002601"/>
    <s v="GROUPE SEB UK LTD                                 "/>
    <n v="99002601"/>
    <x v="10"/>
    <s v="9321651569/000010"/>
    <n v="1370147450"/>
    <n v="10"/>
    <x v="23"/>
    <x v="23"/>
    <s v="N4"/>
    <n v="2820130115"/>
    <n v="32"/>
    <n v="634261"/>
    <s v="VC130115 STMC MINI COMPACT 3B GB                  "/>
    <s v="S"/>
    <d v="2012-01-18T00:00:00"/>
    <m/>
    <s v="X"/>
    <x v="47"/>
    <n v="13.7799"/>
    <n v="10"/>
    <d v="2012-03-05T00:00:00"/>
    <d v="2012-01-30T00:00:00"/>
    <n v="1344"/>
    <d v="2012-01-16T00:00:00"/>
    <n v="1344"/>
    <m/>
    <d v="2011-11-16T00:00:00"/>
    <n v="1344"/>
    <d v="2012-02-20T00:00:00"/>
    <d v="2012-01-16T00:00:00"/>
    <n v="1344"/>
    <n v="1344"/>
    <x v="11"/>
    <d v="2012-02-19T00:00:00"/>
    <m/>
    <n v="9321653553"/>
    <n v="10"/>
    <s v="MRKU0624150"/>
    <s v="SUSAN MAERSK 1202/"/>
    <m/>
    <s v="SHANGHAI"/>
    <m/>
    <m/>
    <s v="KENUS WONG"/>
    <s v="FO9"/>
    <s v="ELECTRICAL COOKING            "/>
    <s v="CONFIRMED"/>
    <n v="1"/>
    <n v="2"/>
    <d v="2012-01-15T00:00:00"/>
    <s v="KITCHEN ELECTRICS             "/>
    <s v="ELECTRICAL COOKING            "/>
    <x v="0"/>
    <x v="0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6402"/>
    <s v="GROUPE SEB (Thailand) Ltd                         "/>
    <n v="99006402"/>
    <x v="8"/>
    <s v="532/000017"/>
    <n v="1370147451"/>
    <n v="90"/>
    <x v="23"/>
    <x v="23"/>
    <s v="J3"/>
    <n v="2820254020"/>
    <n v="1"/>
    <s v="FV2540T0       "/>
    <s v="FV2540T0 STEAM IRON PRIMAGLISS 3 FTK              "/>
    <s v="S"/>
    <d v="2012-01-19T00:00:00"/>
    <m/>
    <s v="X"/>
    <x v="47"/>
    <n v="14.4396"/>
    <n v="18"/>
    <d v="2012-01-25T00:00:00"/>
    <d v="2012-01-11T00:00:00"/>
    <n v="2574"/>
    <d v="2012-01-11T00:00:00"/>
    <n v="2574"/>
    <m/>
    <d v="2012-01-14T00:00:00"/>
    <n v="2574"/>
    <d v="2012-01-28T00:00:00"/>
    <d v="2012-01-14T00:00:00"/>
    <n v="2574"/>
    <n v="2574"/>
    <x v="21"/>
    <d v="2012-02-01T00:00:00"/>
    <m/>
    <n v="9321653554"/>
    <n v="10"/>
    <s v="FCIU2733429"/>
    <s v="HYUNDAI HARMONY 168S"/>
    <m/>
    <s v="SHANGHAI"/>
    <m/>
    <m/>
    <s v="TWEETY LEUNG"/>
    <s v="FO9"/>
    <s v="LINEN CARE                    "/>
    <s v="CONFIRMED"/>
    <n v="1"/>
    <n v="3"/>
    <d v="2012-01-18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1/000070"/>
    <n v="1370147543"/>
    <n v="70"/>
    <x v="23"/>
    <x v="23"/>
    <s v="J1"/>
    <n v="2820203001"/>
    <n v="1"/>
    <s v="DW2030D1       "/>
    <s v="DW2030D1 STEAM IRON EFFECTIVE COMFORT             "/>
    <s v="S"/>
    <d v="2012-01-11T00:00:00"/>
    <m/>
    <s v="X"/>
    <x v="47"/>
    <n v="15.551"/>
    <n v="14879"/>
    <d v="2012-01-30T00:00:00"/>
    <d v="2012-01-02T00:00:00"/>
    <n v="3270"/>
    <d v="2012-01-02T00:00:00"/>
    <n v="3270"/>
    <m/>
    <d v="2012-01-02T00:00:00"/>
    <n v="3270"/>
    <d v="2012-01-30T00:00:00"/>
    <d v="2012-01-02T00:00:00"/>
    <n v="3270"/>
    <n v="3270"/>
    <x v="5"/>
    <d v="2012-02-07T00:00:00"/>
    <m/>
    <n v="9321653556"/>
    <n v="10"/>
    <s v="OOLU7757056"/>
    <s v="BUSAN EXPRESS/04W01"/>
    <m/>
    <s v="SHANGHAI"/>
    <s v="FORWARDER-PROB"/>
    <m/>
    <s v="JASON FAN"/>
    <s v="FO9"/>
    <s v="LINEN CARE                    "/>
    <s v="CONFIRMED"/>
    <n v="1"/>
    <n v="2"/>
    <d v="2012-01-10T00:00:00"/>
    <s v="LINEN PERS HOME CARE          "/>
    <s v="LINEN CARE                    "/>
    <x v="0"/>
    <x v="0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8941/000080"/>
    <n v="1370147543"/>
    <n v="80"/>
    <x v="23"/>
    <x v="23"/>
    <s v="J1"/>
    <n v="2820203001"/>
    <n v="1"/>
    <s v="DW2030D1       "/>
    <s v="DW2030D1 STEAM IRON EFFECTIVE COMFORT             "/>
    <s v="S"/>
    <d v="2012-01-11T00:00:00"/>
    <m/>
    <s v="X"/>
    <x v="47"/>
    <n v="15.551"/>
    <n v="14879"/>
    <d v="2012-02-06T00:00:00"/>
    <d v="2012-01-09T00:00:00"/>
    <n v="3270"/>
    <d v="2012-01-09T00:00:00"/>
    <n v="3270"/>
    <m/>
    <d v="2012-01-07T00:00:00"/>
    <n v="3270"/>
    <d v="2012-02-04T00:00:00"/>
    <d v="2012-01-07T00:00:00"/>
    <n v="3270"/>
    <n v="3270"/>
    <x v="5"/>
    <d v="2012-02-07T00:00:00"/>
    <m/>
    <n v="9321653556"/>
    <n v="20"/>
    <s v="OOLU7757056"/>
    <s v="BUSAN EXPRESS/04W01"/>
    <m/>
    <s v="SHANGHAI"/>
    <m/>
    <m/>
    <s v="JASON FAN"/>
    <s v="FO9"/>
    <s v="LINEN CARE                    "/>
    <s v="CONFIRMED"/>
    <n v="1"/>
    <n v="2"/>
    <d v="2012-01-10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58/000010"/>
    <n v="1370147546"/>
    <n v="10"/>
    <x v="23"/>
    <x v="23"/>
    <s v="N4"/>
    <n v="2820130130"/>
    <n v="32"/>
    <n v="634251"/>
    <s v="VC130130 STMC MINICOMP.PLAST 3B WHT RU            "/>
    <s v="S"/>
    <d v="2012-01-16T00:00:00"/>
    <m/>
    <s v="X"/>
    <x v="47"/>
    <n v="13.4732"/>
    <n v="8"/>
    <d v="2012-01-30T00:00:00"/>
    <d v="2012-01-02T00:00:00"/>
    <n v="1344"/>
    <d v="2012-01-15T00:00:00"/>
    <n v="1344"/>
    <m/>
    <d v="2011-12-30T00:00:00"/>
    <n v="1344"/>
    <d v="2012-02-12T00:00:00"/>
    <d v="2012-01-15T00:00:00"/>
    <n v="1344"/>
    <n v="1344"/>
    <x v="9"/>
    <d v="2012-02-11T00:00:00"/>
    <m/>
    <n v="9321653557"/>
    <n v="10"/>
    <s v="TCKU4509194"/>
    <s v="APL HAMBURG/015W"/>
    <m/>
    <s v="SHANGHAI"/>
    <s v="C-POST-CONF"/>
    <m/>
    <s v="JASON FAN"/>
    <s v="FO9"/>
    <s v="ELECTRICAL COOKING            "/>
    <s v="CONFIRMED"/>
    <n v="1"/>
    <n v="2"/>
    <d v="2012-01-14T00:00:00"/>
    <s v="KITCHEN ELECTRICS             "/>
    <s v="ELECTRICAL COOKING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58/000020"/>
    <n v="1370147546"/>
    <n v="20"/>
    <x v="23"/>
    <x v="23"/>
    <s v="N4"/>
    <n v="2820135030"/>
    <n v="32"/>
    <n v="634252"/>
    <s v="VC135030 STMC MINI COMPACT MET/WHT RU             "/>
    <s v="S"/>
    <d v="2012-01-16T00:00:00"/>
    <m/>
    <s v="X"/>
    <x v="47"/>
    <n v="16.2714"/>
    <n v="8"/>
    <d v="2012-01-30T00:00:00"/>
    <d v="2012-01-02T00:00:00"/>
    <n v="1344"/>
    <d v="2012-01-15T00:00:00"/>
    <n v="1344"/>
    <m/>
    <d v="2011-12-30T00:00:00"/>
    <n v="1344"/>
    <d v="2012-02-12T00:00:00"/>
    <d v="2012-01-15T00:00:00"/>
    <n v="1344"/>
    <n v="1344"/>
    <x v="9"/>
    <d v="2012-02-11T00:00:00"/>
    <m/>
    <n v="9321653557"/>
    <n v="20"/>
    <s v="TCKU4509194"/>
    <s v="APL HAMBURG/015W"/>
    <m/>
    <s v="SHANGHAI"/>
    <s v="C-POST-CONF"/>
    <m/>
    <s v="JASON FAN"/>
    <s v="FO9"/>
    <s v="ELECTRICAL COOKING            "/>
    <s v="CONFIRMED"/>
    <n v="1"/>
    <n v="2"/>
    <d v="2012-01-14T00:00:00"/>
    <s v="KITCHEN ELECTRICS             "/>
    <s v="ELECTRICAL COOKING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77/000001"/>
    <n v="1370147565"/>
    <n v="10"/>
    <x v="23"/>
    <x v="23"/>
    <s v="J3"/>
    <n v="2820253110"/>
    <n v="1"/>
    <s v="FV2531J0       "/>
    <s v="FV2531J0 STEAM IRON PRIMAGLIDE 3 FTK              "/>
    <s v="S"/>
    <d v="2012-01-10T00:00:00"/>
    <m/>
    <s v="X"/>
    <x v="47"/>
    <n v="13.664099999999999"/>
    <n v="12"/>
    <d v="2012-01-16T00:00:00"/>
    <d v="2012-01-02T00:00:00"/>
    <n v="2574"/>
    <d v="2012-01-02T00:00:00"/>
    <n v="2574"/>
    <m/>
    <d v="2011-12-31T00:00:00"/>
    <n v="2574"/>
    <d v="2012-01-17T00:00:00"/>
    <d v="2012-01-03T00:00:00"/>
    <n v="2574"/>
    <n v="2574"/>
    <x v="23"/>
    <d v="2012-01-22T00:00:00"/>
    <m/>
    <n v="9321653559"/>
    <n v="10"/>
    <s v="HAHU4008044"/>
    <s v="VEGA AQUILA/1201E"/>
    <m/>
    <s v="SHANGHAI"/>
    <m/>
    <m/>
    <s v="DOROTHEA LING"/>
    <s v="FO9"/>
    <s v="LINEN CARE                    "/>
    <s v="CONFIRMED"/>
    <n v="1"/>
    <n v="1"/>
    <d v="2012-01-08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3/000001"/>
    <n v="1370147566"/>
    <n v="10"/>
    <x v="23"/>
    <x v="23"/>
    <s v="J3"/>
    <n v="2820253110"/>
    <n v="1"/>
    <s v="FV2531J0       "/>
    <s v="FV2531J0 STEAM IRON PRIMAGLIDE 3 FTK              "/>
    <s v="S"/>
    <d v="2012-01-10T00:00:00"/>
    <m/>
    <s v="X"/>
    <x v="47"/>
    <n v="13.664099999999999"/>
    <n v="12"/>
    <d v="2012-01-23T00:00:00"/>
    <d v="2012-01-09T00:00:00"/>
    <n v="2574"/>
    <d v="2012-01-09T00:00:00"/>
    <n v="2574"/>
    <m/>
    <d v="2012-01-09T00:00:00"/>
    <n v="2574"/>
    <d v="2012-01-23T00:00:00"/>
    <d v="2012-01-09T00:00:00"/>
    <n v="2574"/>
    <n v="2574"/>
    <x v="23"/>
    <d v="2012-01-22T00:00:00"/>
    <m/>
    <n v="9321653560"/>
    <n v="10"/>
    <s v="HAHU4008044"/>
    <s v="VEGA AQUILA/1201E"/>
    <m/>
    <s v="SHANGHAI"/>
    <m/>
    <m/>
    <s v="DOROTHEA LING"/>
    <s v="FO9"/>
    <s v="LINEN CARE                    "/>
    <s v="CONFIRMED"/>
    <n v="1"/>
    <n v="1"/>
    <d v="2012-01-08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73/000003"/>
    <n v="1370147573"/>
    <n v="30"/>
    <x v="23"/>
    <x v="23"/>
    <s v="K8"/>
    <n v="2820340172"/>
    <n v="55"/>
    <n v="635460"/>
    <s v="KO340172 KET JUSTINE + 1.2L PLAST WHT/GR          "/>
    <s v="S"/>
    <d v="2012-01-04T00:00:00"/>
    <m/>
    <s v="X"/>
    <x v="47"/>
    <n v="12.129"/>
    <n v="12"/>
    <d v="2012-01-09T00:00:00"/>
    <d v="2011-12-26T00:00:00"/>
    <n v="3240"/>
    <d v="2012-01-02T00:00:00"/>
    <n v="3240"/>
    <m/>
    <d v="2012-01-01T00:00:00"/>
    <n v="3420"/>
    <d v="2012-01-15T00:00:00"/>
    <d v="2012-01-01T00:00:00"/>
    <n v="3240"/>
    <n v="180"/>
    <x v="3"/>
    <d v="2012-01-16T00:00:00"/>
    <m/>
    <n v="9321653562"/>
    <n v="30"/>
    <s v="TGHU5039152"/>
    <s v="GLORY FORTUNE"/>
    <m/>
    <s v="SHANGHAI"/>
    <m/>
    <m/>
    <s v="DOROTHEA LING"/>
    <s v="FO9"/>
    <s v="BEVERAGE                      "/>
    <s v="CONFIRMED"/>
    <n v="1"/>
    <n v="1"/>
    <d v="2012-01-02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73/000004"/>
    <n v="1370147573"/>
    <n v="40"/>
    <x v="23"/>
    <x v="23"/>
    <s v="K8"/>
    <n v="2820340173"/>
    <n v="55"/>
    <n v="635461"/>
    <s v="KO340173 KET JUSTINE + 1.2L PLAST WHT/PI          "/>
    <s v="S"/>
    <d v="2012-01-04T00:00:00"/>
    <m/>
    <s v="X"/>
    <x v="47"/>
    <n v="12.706200000000001"/>
    <n v="12"/>
    <d v="2012-01-09T00:00:00"/>
    <d v="2011-12-26T00:00:00"/>
    <n v="3240"/>
    <d v="2012-01-02T00:00:00"/>
    <n v="3240"/>
    <m/>
    <d v="2011-12-26T00:00:00"/>
    <n v="3240"/>
    <d v="2012-01-15T00:00:00"/>
    <d v="2012-01-01T00:00:00"/>
    <n v="3240"/>
    <n v="420"/>
    <x v="3"/>
    <d v="2012-01-16T00:00:00"/>
    <m/>
    <n v="9321653562"/>
    <n v="40"/>
    <s v="TGHU5039152"/>
    <s v="GLORY FORTUNE"/>
    <m/>
    <s v="SHANGHAI"/>
    <m/>
    <m/>
    <s v="DOROTHEA LING"/>
    <s v="FO9"/>
    <s v="BEVERAGE                      "/>
    <s v="CONFIRMED"/>
    <n v="1"/>
    <n v="1"/>
    <d v="2012-01-02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73/000004"/>
    <n v="1370147573"/>
    <n v="40"/>
    <x v="23"/>
    <x v="23"/>
    <s v="K8"/>
    <n v="2820340173"/>
    <n v="55"/>
    <n v="635461"/>
    <s v="KO340173 KET JUSTINE + 1.2L PLAST WHT/PI          "/>
    <s v="S"/>
    <d v="2012-01-04T00:00:00"/>
    <m/>
    <s v="X"/>
    <x v="47"/>
    <n v="12.706200000000001"/>
    <n v="12"/>
    <d v="2012-01-09T00:00:00"/>
    <d v="2011-12-26T00:00:00"/>
    <n v="3240"/>
    <d v="2012-01-02T00:00:00"/>
    <n v="3240"/>
    <m/>
    <d v="2011-12-26T00:00:00"/>
    <n v="3240"/>
    <d v="2012-01-15T00:00:00"/>
    <d v="2012-01-01T00:00:00"/>
    <n v="3240"/>
    <n v="2820"/>
    <x v="3"/>
    <d v="2012-01-16T00:00:00"/>
    <m/>
    <n v="9321653562"/>
    <n v="40"/>
    <s v="TGHU4895935"/>
    <s v="GLORY FORTUNE"/>
    <m/>
    <s v="SHANGHAI"/>
    <m/>
    <m/>
    <s v="DOROTHEA LING"/>
    <s v="FO9"/>
    <s v="BEVERAGE                      "/>
    <s v="CONFIRMED"/>
    <n v="1"/>
    <n v="1"/>
    <d v="2012-01-02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73/000005"/>
    <n v="1370147573"/>
    <n v="50"/>
    <x v="23"/>
    <x v="23"/>
    <s v="K8"/>
    <n v="2820340870"/>
    <n v="55"/>
    <n v="635442"/>
    <s v="KO340870 KET JUSTINE + 1.2L PLAST BLK/ME          "/>
    <s v="S"/>
    <d v="2012-01-19T00:00:00"/>
    <m/>
    <s v="X"/>
    <x v="47"/>
    <n v="12.869300000000001"/>
    <n v="12"/>
    <d v="2012-01-09T00:00:00"/>
    <d v="2011-12-26T00:00:00"/>
    <n v="3240"/>
    <d v="2012-01-02T00:00:00"/>
    <n v="3240"/>
    <m/>
    <d v="2011-12-26T00:00:00"/>
    <n v="3240"/>
    <d v="2012-01-15T00:00:00"/>
    <d v="2012-01-01T00:00:00"/>
    <n v="3240"/>
    <n v="3240"/>
    <x v="4"/>
    <d v="2012-02-05T00:00:00"/>
    <m/>
    <n v="9321653562"/>
    <n v="50"/>
    <s v="TTNU5193507"/>
    <s v="GLORY OCEAN/1204E"/>
    <m/>
    <s v="SHANGHAI"/>
    <s v="NW-ETD-TEMP"/>
    <m/>
    <s v="DOROTHEA LING"/>
    <s v="FO9"/>
    <s v="BEVERAGE                      "/>
    <s v="CONFIRMED"/>
    <n v="1"/>
    <n v="3"/>
    <d v="2012-01-22T00:00:00"/>
    <s v="KITCHEN ELECTRICS             "/>
    <s v="BREAKFAST &amp; BREVAGE PREP      "/>
    <x v="0"/>
    <x v="0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3300"/>
    <s v="GROUPE SEB JAPAN CO LTD                           "/>
    <n v="99003300"/>
    <x v="25"/>
    <s v="3778/000001"/>
    <n v="1370147576"/>
    <n v="10"/>
    <x v="23"/>
    <x v="23"/>
    <s v="K8"/>
    <n v="2820340171"/>
    <n v="55"/>
    <n v="635459"/>
    <s v="KO340171 KET JUSTINE + 1.2L PLAST WHT/BL          "/>
    <s v="S"/>
    <d v="2012-01-04T00:00:00"/>
    <m/>
    <s v="X"/>
    <x v="47"/>
    <n v="12.7141"/>
    <n v="11052"/>
    <d v="2012-01-16T00:00:00"/>
    <d v="2012-01-02T00:00:00"/>
    <n v="3240"/>
    <d v="2012-01-02T00:00:00"/>
    <n v="3240"/>
    <m/>
    <d v="2012-01-03T00:00:00"/>
    <n v="3240"/>
    <d v="2012-01-17T00:00:00"/>
    <d v="2012-01-03T00:00:00"/>
    <n v="3240"/>
    <n v="3240"/>
    <x v="3"/>
    <d v="2012-01-16T00:00:00"/>
    <m/>
    <n v="9321653563"/>
    <n v="10"/>
    <s v="TGHU5039152"/>
    <s v="GLORY FORTUNE"/>
    <m/>
    <s v="SHANGHAI"/>
    <m/>
    <m/>
    <s v="DOROTHEA LING"/>
    <s v="FO9"/>
    <s v="BEVERAGE                      "/>
    <s v="CONFIRMED"/>
    <n v="1"/>
    <n v="1"/>
    <d v="2012-01-02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4/000001"/>
    <n v="1370147580"/>
    <n v="10"/>
    <x v="23"/>
    <x v="23"/>
    <s v="K8"/>
    <n v="2820340170"/>
    <n v="55"/>
    <n v="635441"/>
    <s v="KO340170 KET JUSTINE + 1.2L PLAST WHT/GR          "/>
    <s v="S"/>
    <d v="2012-01-16T00:00:00"/>
    <m/>
    <s v="X"/>
    <x v="47"/>
    <n v="12.7485"/>
    <n v="11"/>
    <d v="2012-01-23T00:00:00"/>
    <d v="2012-01-09T00:00:00"/>
    <n v="3240"/>
    <d v="2012-01-09T00:00:00"/>
    <n v="3240"/>
    <m/>
    <d v="2012-01-09T00:00:00"/>
    <n v="3240"/>
    <d v="2012-01-23T00:00:00"/>
    <d v="2012-01-09T00:00:00"/>
    <n v="3240"/>
    <n v="3240"/>
    <x v="24"/>
    <d v="2012-01-27T00:00:00"/>
    <m/>
    <n v="9321653564"/>
    <n v="10"/>
    <s v="DFSU6006360"/>
    <s v="LANTAU BRIDE"/>
    <m/>
    <s v="SHANGHAI"/>
    <m/>
    <m/>
    <s v="DOROTHEA LING"/>
    <s v="FO9"/>
    <s v="BEVERAGE                      "/>
    <s v="CONFIRMED"/>
    <n v="1"/>
    <n v="2"/>
    <d v="2012-01-13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4/000002"/>
    <n v="1370147580"/>
    <n v="20"/>
    <x v="23"/>
    <x v="23"/>
    <s v="K8"/>
    <n v="2820340171"/>
    <n v="55"/>
    <n v="635459"/>
    <s v="KO340171 KET JUSTINE + 1.2L PLAST WHT/BL          "/>
    <s v="S"/>
    <d v="2012-01-04T00:00:00"/>
    <m/>
    <s v="X"/>
    <x v="47"/>
    <n v="12.7141"/>
    <n v="11"/>
    <d v="2012-01-23T00:00:00"/>
    <d v="2012-01-09T00:00:00"/>
    <n v="3240"/>
    <d v="2012-01-09T00:00:00"/>
    <n v="3240"/>
    <m/>
    <d v="2012-01-09T00:00:00"/>
    <n v="3240"/>
    <d v="2012-01-23T00:00:00"/>
    <d v="2012-01-09T00:00:00"/>
    <n v="3240"/>
    <n v="1800"/>
    <x v="3"/>
    <d v="2012-01-16T00:00:00"/>
    <m/>
    <n v="9321653564"/>
    <n v="20"/>
    <s v="TGHU5039152"/>
    <s v="GLORY FORTUNE"/>
    <m/>
    <s v="SHANGHAI"/>
    <m/>
    <m/>
    <s v="DOROTHEA LING"/>
    <s v="FO9"/>
    <s v="BEVERAGE                      "/>
    <s v="CONFIRMED"/>
    <n v="1"/>
    <n v="1"/>
    <d v="2012-01-02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4/000002"/>
    <n v="1370147580"/>
    <n v="20"/>
    <x v="23"/>
    <x v="23"/>
    <s v="K8"/>
    <n v="2820340171"/>
    <n v="55"/>
    <n v="635459"/>
    <s v="KO340171 KET JUSTINE + 1.2L PLAST WHT/BL          "/>
    <s v="S"/>
    <d v="2012-01-16T00:00:00"/>
    <m/>
    <s v="X"/>
    <x v="47"/>
    <n v="12.7141"/>
    <n v="11"/>
    <d v="2012-01-23T00:00:00"/>
    <d v="2012-01-09T00:00:00"/>
    <n v="3240"/>
    <d v="2012-01-09T00:00:00"/>
    <n v="3240"/>
    <m/>
    <d v="2012-01-09T00:00:00"/>
    <n v="3240"/>
    <d v="2012-01-23T00:00:00"/>
    <d v="2012-01-09T00:00:00"/>
    <n v="3240"/>
    <n v="1440"/>
    <x v="24"/>
    <d v="2012-01-27T00:00:00"/>
    <m/>
    <n v="9321653564"/>
    <n v="20"/>
    <s v="DFSU6006360"/>
    <s v="LANTAU BRIDE"/>
    <m/>
    <s v="SHANGHAI"/>
    <m/>
    <m/>
    <s v="DOROTHEA LING"/>
    <s v="FO9"/>
    <s v="BEVERAGE                      "/>
    <s v="CONFIRMED"/>
    <n v="1"/>
    <n v="2"/>
    <d v="2012-01-13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4/000003"/>
    <n v="1370147580"/>
    <n v="30"/>
    <x v="23"/>
    <x v="23"/>
    <s v="K8"/>
    <n v="2820340172"/>
    <n v="55"/>
    <n v="635460"/>
    <s v="KO340172 KET JUSTINE + 1.2L PLAST WHT/GR          "/>
    <s v="S"/>
    <d v="2012-01-16T00:00:00"/>
    <m/>
    <s v="X"/>
    <x v="47"/>
    <n v="12.706300000000001"/>
    <n v="11"/>
    <d v="2012-01-23T00:00:00"/>
    <d v="2012-01-09T00:00:00"/>
    <n v="3240"/>
    <d v="2012-01-09T00:00:00"/>
    <n v="3240"/>
    <m/>
    <d v="2012-03-06T00:00:00"/>
    <n v="5928"/>
    <d v="2012-03-20T00:00:00"/>
    <d v="2012-03-06T00:00:00"/>
    <n v="3240"/>
    <n v="552"/>
    <x v="24"/>
    <d v="2012-01-27T00:00:00"/>
    <m/>
    <n v="9321653564"/>
    <n v="30"/>
    <s v="DFSU6006360"/>
    <s v="LANTAU BRIDE"/>
    <m/>
    <s v="SHANGHAI"/>
    <s v="SAILING-SCHED-UPDATED/SP-WRONGSHIP/upplier used wrong PO#3829/9321667079 for Jan shipment (552pcs)"/>
    <m/>
    <s v="DOROTHEA LING"/>
    <s v="FO9"/>
    <s v="BEVERAGE                      "/>
    <s v="CONFIRMED"/>
    <n v="1"/>
    <n v="2"/>
    <d v="2012-01-13T00:00:00"/>
    <s v="KITCHEN ELECTRICS             "/>
    <s v="BREAKFAST &amp; BREVAGE PREP      "/>
    <x v="0"/>
    <x v="0"/>
    <x v="18"/>
    <s v="SP-WRONGSHIP"/>
    <n v="1"/>
    <n v="1"/>
    <x v="18"/>
    <n v="4"/>
    <x v="0"/>
    <x v="1"/>
    <x v="0"/>
    <n v="1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784/000004"/>
    <n v="1370147580"/>
    <n v="40"/>
    <x v="23"/>
    <x v="23"/>
    <s v="K8"/>
    <n v="2820340173"/>
    <n v="55"/>
    <n v="635461"/>
    <s v="KO340173 KET JUSTINE + 1.2L PLAST WHT/PI          "/>
    <s v="S"/>
    <d v="2012-01-19T00:00:00"/>
    <m/>
    <s v="X"/>
    <x v="47"/>
    <n v="12.706200000000001"/>
    <n v="11"/>
    <d v="2012-01-23T00:00:00"/>
    <d v="2012-01-09T00:00:00"/>
    <n v="3240"/>
    <d v="2012-01-09T00:00:00"/>
    <n v="3240"/>
    <m/>
    <d v="2012-02-13T00:00:00"/>
    <n v="5784"/>
    <d v="2012-03-19T00:00:00"/>
    <d v="2012-03-05T00:00:00"/>
    <n v="3240"/>
    <n v="696"/>
    <x v="4"/>
    <d v="2012-02-05T00:00:00"/>
    <m/>
    <n v="9321653564"/>
    <n v="40"/>
    <s v="TTNU5193507"/>
    <s v="GLORY OCEAN/1204E"/>
    <m/>
    <s v="SHANGHAI"/>
    <s v="SP-WRONGSHIP/supplier used wrong PO#3829/9321667079 for Jan shipment (696pcs)"/>
    <m/>
    <s v="DOROTHEA LING"/>
    <s v="FO9"/>
    <s v="BEVERAGE                      "/>
    <s v="CONFIRMED"/>
    <n v="1"/>
    <n v="3"/>
    <d v="2012-01-22T00:00:00"/>
    <s v="KITCHEN ELECTRICS             "/>
    <s v="BREAKFAST &amp; BREVAGE PREP      "/>
    <x v="0"/>
    <x v="0"/>
    <x v="18"/>
    <s v="SP-WRONGSHIP"/>
    <n v="1"/>
    <n v="1"/>
    <x v="18"/>
    <n v="3"/>
    <x v="0"/>
    <x v="0"/>
    <x v="0"/>
    <n v="1"/>
    <n v="0"/>
    <n v="0"/>
    <n v="0"/>
    <n v="0"/>
    <n v="0"/>
    <x v="0"/>
    <x v="1"/>
    <x v="1"/>
    <x v="0"/>
  </r>
  <r>
    <s v="Shipment"/>
    <n v="99003500"/>
    <s v="G.S.E.B. MEXICANA  S.A. DE C.V.                   "/>
    <n v="99003500"/>
    <x v="19"/>
    <s v="37350911/000001"/>
    <n v="1370147584"/>
    <n v="10"/>
    <x v="23"/>
    <x v="23"/>
    <s v="J3"/>
    <n v="2820445920"/>
    <n v="1"/>
    <s v="FV4459X0       "/>
    <s v="FV4459X0 STEAM IRON ULTRAGLIDE EASYCORD           "/>
    <s v="S"/>
    <d v="2012-01-28T00:00:00"/>
    <m/>
    <s v="X"/>
    <x v="47"/>
    <n v="18.819099999999999"/>
    <n v="275"/>
    <d v="2012-01-30T00:00:00"/>
    <d v="2011-12-26T00:00:00"/>
    <n v="2592"/>
    <d v="2012-01-16T00:00:00"/>
    <n v="2592"/>
    <m/>
    <d v="2012-01-16T00:00:00"/>
    <n v="2592"/>
    <d v="2012-02-25T00:00:00"/>
    <d v="2012-01-21T00:00:00"/>
    <n v="2592"/>
    <n v="2592"/>
    <x v="14"/>
    <d v="2012-02-24T00:00:00"/>
    <m/>
    <n v="9321653565"/>
    <n v="10"/>
    <s v="GATU4437106"/>
    <s v="PETROHUE 1202E/"/>
    <m/>
    <s v="SHANGHAI"/>
    <s v="SP-NO-FORECAST"/>
    <m/>
    <s v="TWEETY LEUNG"/>
    <s v="FO9"/>
    <s v="LINEN CARE                    "/>
    <s v="CONFIRMED"/>
    <n v="1"/>
    <n v="3"/>
    <d v="2012-01-20T00:00:00"/>
    <s v="LINEN PERS HOME CARE          "/>
    <s v="LINEN CARE                    "/>
    <x v="0"/>
    <x v="0"/>
    <x v="14"/>
    <s v="SP-NO-FORECAST"/>
    <n v="-3"/>
    <n v="-3"/>
    <x v="15"/>
    <n v="1"/>
    <x v="0"/>
    <x v="0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907/000001"/>
    <n v="1370147587"/>
    <n v="10"/>
    <x v="23"/>
    <x v="23"/>
    <s v="J3"/>
    <n v="2820345020"/>
    <n v="1"/>
    <s v="FV3450X0       "/>
    <s v="FV3450X0 STEAM IRON ULTRAGLIDE 3 FTK              "/>
    <s v="S"/>
    <d v="2012-01-30T00:00:00"/>
    <m/>
    <s v="X"/>
    <x v="47"/>
    <n v="14.296799999999999"/>
    <n v="209"/>
    <d v="2012-01-30T00:00:00"/>
    <d v="2011-12-26T00:00:00"/>
    <n v="2808"/>
    <d v="2012-01-21T00:00:00"/>
    <n v="2808"/>
    <m/>
    <d v="2012-01-21T00:00:00"/>
    <n v="2808"/>
    <d v="2012-02-25T00:00:00"/>
    <d v="2012-01-21T00:00:00"/>
    <n v="2808"/>
    <n v="2808"/>
    <x v="14"/>
    <d v="2012-02-24T00:00:00"/>
    <m/>
    <n v="9321653566"/>
    <n v="10"/>
    <s v="MSCU4947787"/>
    <s v="PETROHUE 1202E/"/>
    <m/>
    <s v="SHANGHAI"/>
    <s v="SP-NO-FORECAST"/>
    <m/>
    <s v="TWEETY LEUNG"/>
    <s v="FO9"/>
    <s v="LINEN CARE                    "/>
    <s v="CONFIRMED"/>
    <n v="1"/>
    <n v="3"/>
    <d v="2012-01-20T00:00:00"/>
    <s v="LINEN PERS HOME CARE          "/>
    <s v="LINEN CARE                    "/>
    <x v="0"/>
    <x v="0"/>
    <x v="14"/>
    <s v="SP-NO-FORECAST"/>
    <n v="-3"/>
    <n v="-3"/>
    <x v="15"/>
    <n v="1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75/000021"/>
    <n v="1370147889"/>
    <n v="140"/>
    <x v="23"/>
    <x v="23"/>
    <s v="J3"/>
    <n v="2820701020"/>
    <n v="1"/>
    <s v="FV7010K0       "/>
    <s v="FV7010K0 STEAM IRON ULTRAGLISS CORDLESS           "/>
    <s v="S"/>
    <d v="2012-01-04T00:00:00"/>
    <m/>
    <s v="X"/>
    <x v="47"/>
    <n v="27.634399999999999"/>
    <n v="14"/>
    <d v="2012-01-17T00:00:00"/>
    <d v="2012-01-03T00:00:00"/>
    <n v="1256"/>
    <d v="2012-01-03T00:00:00"/>
    <n v="1256"/>
    <m/>
    <d v="2012-01-07T00:00:00"/>
    <n v="1256"/>
    <d v="2012-01-21T00:00:00"/>
    <d v="2012-01-07T00:00:00"/>
    <n v="1256"/>
    <n v="1256"/>
    <x v="2"/>
    <d v="2012-01-18T00:00:00"/>
    <m/>
    <n v="9321653574"/>
    <n v="10"/>
    <s v="AMFU3102329"/>
    <s v="SUNNY OLIVE/1153E"/>
    <m/>
    <s v="SHANGHAI"/>
    <m/>
    <m/>
    <s v="AGNES NUNES"/>
    <s v="FO9"/>
    <s v="LINEN CARE                    "/>
    <s v="CONFIRMED"/>
    <n v="1"/>
    <n v="1"/>
    <d v="2012-01-04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22"/>
    <n v="1370147889"/>
    <n v="150"/>
    <x v="23"/>
    <x v="23"/>
    <s v="J3"/>
    <n v="2820221610"/>
    <n v="1"/>
    <s v="FV2270K0       "/>
    <s v="FV2270K0 STEAM IRON PRIMAGLISS  FTE               "/>
    <s v="S"/>
    <d v="2012-01-04T00:00:00"/>
    <m/>
    <s v="X"/>
    <x v="47"/>
    <n v="12.853400000000001"/>
    <n v="14"/>
    <d v="2012-01-17T00:00:00"/>
    <d v="2012-01-03T00:00:00"/>
    <n v="2592"/>
    <d v="2012-01-03T00:00:00"/>
    <n v="2592"/>
    <m/>
    <d v="2011-12-31T00:00:00"/>
    <n v="2592"/>
    <d v="2012-01-17T00:00:00"/>
    <d v="2012-01-03T00:00:00"/>
    <n v="2592"/>
    <n v="2592"/>
    <x v="2"/>
    <d v="2012-01-18T00:00:00"/>
    <m/>
    <n v="9321653574"/>
    <n v="20"/>
    <s v="KMTU9279390"/>
    <s v="SUNNY OLIVE/1153E"/>
    <m/>
    <s v="SHANGHAI"/>
    <m/>
    <m/>
    <s v="AGNES NUNES"/>
    <s v="FO9"/>
    <s v="LINEN CARE                    "/>
    <s v="CONFIRMED"/>
    <n v="1"/>
    <n v="1"/>
    <d v="2012-01-04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23"/>
    <n v="1370147889"/>
    <n v="160"/>
    <x v="23"/>
    <x v="23"/>
    <s v="J3"/>
    <n v="2820252000"/>
    <n v="1"/>
    <s v="FV2520K0       "/>
    <s v="FV2520K0 STEAM IRON PRIMAGLISS 3 FTK              "/>
    <s v="S"/>
    <d v="2012-01-12T00:00:00"/>
    <m/>
    <s v="X"/>
    <x v="47"/>
    <n v="13.7674"/>
    <n v="14"/>
    <d v="2012-01-17T00:00:00"/>
    <d v="2012-01-03T00:00:00"/>
    <n v="2574"/>
    <d v="2012-01-03T00:00:00"/>
    <n v="2574"/>
    <m/>
    <d v="2011-12-31T00:00:00"/>
    <n v="2574"/>
    <d v="2012-01-23T00:00:00"/>
    <d v="2012-01-09T00:00:00"/>
    <n v="2574"/>
    <n v="2574"/>
    <x v="17"/>
    <d v="2012-01-25T00:00:00"/>
    <m/>
    <n v="9321653574"/>
    <n v="30"/>
    <s v="KMTU7355947"/>
    <s v="SUNNY OLIVE/1201E"/>
    <m/>
    <s v="SHANGHAI"/>
    <m/>
    <m/>
    <s v="AGNES NUNES"/>
    <s v="FO9"/>
    <s v="LINEN CARE                    "/>
    <s v="CONFIRMED"/>
    <n v="1"/>
    <n v="2"/>
    <d v="2012-01-11T00:00:00"/>
    <s v="LINEN PERS HOME CARE          "/>
    <s v="LINEN CARE                    "/>
    <x v="0"/>
    <x v="0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005400"/>
    <s v="GROUPE SEB KOREA                                  "/>
    <n v="99005400"/>
    <x v="6"/>
    <s v="3175/000024"/>
    <n v="1370147889"/>
    <n v="170"/>
    <x v="23"/>
    <x v="23"/>
    <s v="J3"/>
    <n v="2820448330"/>
    <n v="1"/>
    <s v="FV4483K0       "/>
    <s v="FV4483K0 ST.IRON ULTRAGLISS EASYCORD 2 F          "/>
    <s v="S"/>
    <d v="2012-01-04T00:00:00"/>
    <m/>
    <s v="X"/>
    <x v="47"/>
    <n v="15.6073"/>
    <n v="14"/>
    <d v="2012-01-17T00:00:00"/>
    <d v="2012-01-03T00:00:00"/>
    <n v="2376"/>
    <d v="2012-01-03T00:00:00"/>
    <n v="2376"/>
    <m/>
    <d v="2011-12-31T00:00:00"/>
    <n v="2376"/>
    <d v="2012-01-17T00:00:00"/>
    <d v="2012-01-03T00:00:00"/>
    <n v="2376"/>
    <n v="2376"/>
    <x v="2"/>
    <d v="2012-01-18T00:00:00"/>
    <m/>
    <n v="9321653574"/>
    <n v="40"/>
    <s v="KMTU9279390"/>
    <s v="SUNNY OLIVE/1153E"/>
    <m/>
    <s v="SHANGHAI"/>
    <m/>
    <m/>
    <s v="AGNES NUNES"/>
    <s v="FO9"/>
    <s v="LINEN CARE                    "/>
    <s v="CONFIRMED"/>
    <n v="1"/>
    <n v="1"/>
    <d v="2012-01-04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0677/000010"/>
    <n v="1370146630"/>
    <n v="10"/>
    <x v="0"/>
    <x v="0"/>
    <s v="A1"/>
    <n v="2100062444"/>
    <n v="205"/>
    <n v="115002932"/>
    <s v="A6002214 SCP16+LID FUNDAMENTAL SS RIV TE          "/>
    <s v="S"/>
    <d v="2012-01-17T00:00:00"/>
    <m/>
    <s v="X"/>
    <x v="47"/>
    <n v="7.3070000000000004"/>
    <n v="40"/>
    <d v="2012-02-10T00:00:00"/>
    <d v="2012-01-06T00:00:00"/>
    <n v="1000"/>
    <d v="2012-01-16T00:00:00"/>
    <n v="1000"/>
    <m/>
    <d v="2012-01-02T00:00:00"/>
    <n v="1000"/>
    <d v="2012-02-20T00:00:00"/>
    <d v="2012-01-16T00:00:00"/>
    <n v="1000"/>
    <n v="1000"/>
    <x v="8"/>
    <d v="2012-02-20T00:00:00"/>
    <m/>
    <n v="9321653576"/>
    <n v="10"/>
    <s v="CBHU3631450"/>
    <s v="COSCO OCEANIA/022W"/>
    <m/>
    <s v="NINGBO"/>
    <s v="C-POST-CONF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0673/000010"/>
    <n v="1370146631"/>
    <n v="10"/>
    <x v="0"/>
    <x v="0"/>
    <s v="A1"/>
    <n v="2100058407"/>
    <n v="207"/>
    <n v="115002310"/>
    <s v="E2060744 FP30 J-OLIV CAST ALU IND BLACK           "/>
    <s v="S"/>
    <d v="2012-01-05T00:00:00"/>
    <m/>
    <s v="X"/>
    <x v="47"/>
    <n v="21.016500000000001"/>
    <n v="121583"/>
    <d v="2012-02-10T00:00:00"/>
    <d v="2012-01-06T00:00:00"/>
    <n v="500"/>
    <d v="2012-01-06T00:00:00"/>
    <n v="500"/>
    <m/>
    <d v="2012-01-02T00:00:00"/>
    <n v="500"/>
    <d v="2012-02-06T00:00:00"/>
    <d v="2012-01-02T00:00:00"/>
    <n v="500"/>
    <n v="500"/>
    <x v="3"/>
    <d v="2012-02-06T00:00:00"/>
    <m/>
    <n v="9321653577"/>
    <n v="10"/>
    <s v="CBHU1788389"/>
    <s v="COSCO TAICANG/016W"/>
    <m/>
    <s v="NINGBO"/>
    <m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0678/000010"/>
    <n v="1370146633"/>
    <n v="10"/>
    <x v="0"/>
    <x v="0"/>
    <s v="A1"/>
    <n v="2100062461"/>
    <n v="205"/>
    <n v="115002938"/>
    <s v="A6004414 D.OV20+LID FUNDAMENTAL SS RIV T          "/>
    <s v="S"/>
    <d v="2012-01-17T00:00:00"/>
    <m/>
    <s v="X"/>
    <x v="47"/>
    <n v="10.132999999999999"/>
    <n v="56"/>
    <d v="2012-02-10T00:00:00"/>
    <d v="2012-01-06T00:00:00"/>
    <n v="1000"/>
    <d v="2012-01-16T00:00:00"/>
    <n v="1000"/>
    <m/>
    <d v="2012-01-02T00:00:00"/>
    <n v="1000"/>
    <d v="2012-02-20T00:00:00"/>
    <d v="2012-01-16T00:00:00"/>
    <n v="1000"/>
    <n v="1000"/>
    <x v="8"/>
    <d v="2012-02-20T00:00:00"/>
    <m/>
    <n v="9321653578"/>
    <n v="10"/>
    <s v="CBHU3631450"/>
    <s v="COSCO OCEANIA/022W"/>
    <m/>
    <s v="NINGBO"/>
    <s v="C-POST-CONF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0672/000010"/>
    <n v="1370146635"/>
    <n v="10"/>
    <x v="0"/>
    <x v="0"/>
    <s v="A1"/>
    <n v="2100058406"/>
    <n v="207"/>
    <n v="115002309"/>
    <s v="E2060644 FP28J-OLIV CAST ALU IND BLACK T          "/>
    <s v="S"/>
    <d v="2012-01-05T00:00:00"/>
    <m/>
    <s v="X"/>
    <x v="47"/>
    <n v="19.392299999999999"/>
    <n v="112186"/>
    <d v="2012-02-02T00:00:00"/>
    <d v="2011-12-29T00:00:00"/>
    <n v="2500"/>
    <d v="2011-12-29T00:00:00"/>
    <n v="2500"/>
    <m/>
    <d v="2012-01-02T00:00:00"/>
    <n v="2500"/>
    <d v="2012-02-06T00:00:00"/>
    <d v="2012-01-02T00:00:00"/>
    <n v="2500"/>
    <n v="2500"/>
    <x v="3"/>
    <d v="2012-02-06T00:00:00"/>
    <m/>
    <n v="9321653579"/>
    <n v="10"/>
    <s v="CBHU8956798"/>
    <s v="COSCO TAICANG/016W"/>
    <m/>
    <s v="NINGBO"/>
    <m/>
    <m/>
    <s v="KENUS WONG"/>
    <s v="FO9"/>
    <s v="COOKWARE                      "/>
    <s v="CONFIRMED"/>
    <n v="1"/>
    <n v="1"/>
    <d v="2012-01-0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7418/000010"/>
    <n v="1370146654"/>
    <n v="10"/>
    <x v="0"/>
    <x v="0"/>
    <s v="A7"/>
    <n v="8700800001"/>
    <n v="208"/>
    <n v="115000215"/>
    <s v="3020 - LTD GD GRIDDLE 33*50                       "/>
    <s v="S"/>
    <d v="2012-01-11T00:00:00"/>
    <m/>
    <s v="X"/>
    <x v="47"/>
    <n v="24.499099999999999"/>
    <n v="27"/>
    <d v="2012-02-15T00:00:00"/>
    <d v="2012-01-11T00:00:00"/>
    <n v="1500"/>
    <d v="2012-01-11T00:00:00"/>
    <n v="1500"/>
    <m/>
    <d v="2012-01-06T00:00:00"/>
    <n v="1500"/>
    <d v="2012-02-10T00:00:00"/>
    <d v="2012-01-06T00:00:00"/>
    <n v="1500"/>
    <n v="1100"/>
    <x v="12"/>
    <d v="2012-02-11T00:00:00"/>
    <m/>
    <n v="9321653580"/>
    <n v="10"/>
    <s v="HLXU6226851"/>
    <s v="NYK METEOR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7418/000010"/>
    <n v="1370146654"/>
    <n v="10"/>
    <x v="0"/>
    <x v="0"/>
    <s v="A7"/>
    <n v="8700800001"/>
    <n v="208"/>
    <n v="115000215"/>
    <s v="3020 - LTD GD GRIDDLE 33*50                       "/>
    <s v="S"/>
    <d v="2012-01-11T00:00:00"/>
    <m/>
    <s v="X"/>
    <x v="47"/>
    <n v="24.499099999999999"/>
    <n v="27"/>
    <d v="2012-02-15T00:00:00"/>
    <d v="2012-01-11T00:00:00"/>
    <n v="1500"/>
    <d v="2012-01-11T00:00:00"/>
    <n v="1500"/>
    <m/>
    <d v="2012-01-06T00:00:00"/>
    <n v="1500"/>
    <d v="2012-02-10T00:00:00"/>
    <d v="2012-01-06T00:00:00"/>
    <n v="1500"/>
    <n v="400"/>
    <x v="12"/>
    <d v="2012-02-11T00:00:00"/>
    <m/>
    <n v="9321653580"/>
    <n v="10"/>
    <s v="HLXU6063100"/>
    <s v="NYK METEOR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7422/000010"/>
    <n v="1370146665"/>
    <n v="10"/>
    <x v="0"/>
    <x v="0"/>
    <s v="A7"/>
    <n v="8700800170"/>
    <n v="208"/>
    <s v="115000230A     "/>
    <s v="3013 - LTD GRILL RECT NS 33*50                    "/>
    <s v="S"/>
    <d v="2012-01-11T00:00:00"/>
    <m/>
    <s v="X"/>
    <x v="47"/>
    <n v="24.566700000000001"/>
    <n v="27"/>
    <d v="2012-02-16T00:00:00"/>
    <d v="2012-01-12T00:00:00"/>
    <n v="1000"/>
    <d v="2012-01-12T00:00:00"/>
    <n v="1000"/>
    <m/>
    <d v="2012-01-06T00:00:00"/>
    <n v="1000"/>
    <d v="2012-02-10T00:00:00"/>
    <d v="2012-01-06T00:00:00"/>
    <n v="1000"/>
    <n v="1000"/>
    <x v="12"/>
    <d v="2012-02-11T00:00:00"/>
    <m/>
    <n v="9321653581"/>
    <n v="10"/>
    <s v="HLXU6063100"/>
    <s v="NYK METEOR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7510/000010"/>
    <n v="1370146668"/>
    <n v="10"/>
    <x v="0"/>
    <x v="0"/>
    <s v="A4"/>
    <n v="8710001013"/>
    <n v="900"/>
    <s v="SD557032-ST(2) "/>
    <s v="SD557032-ST(2) D5 STAINLESS 3 QT STEAMER          "/>
    <s v="S"/>
    <d v="2012-01-11T00:00:00"/>
    <m/>
    <s v="X"/>
    <x v="47"/>
    <n v="11.9031"/>
    <n v="12"/>
    <d v="2012-02-06T00:00:00"/>
    <d v="2012-01-02T00:00:00"/>
    <n v="1000"/>
    <d v="2012-01-02T00:00:00"/>
    <n v="1000"/>
    <m/>
    <d v="2012-01-06T00:00:00"/>
    <n v="1000"/>
    <d v="2012-02-10T00:00:00"/>
    <d v="2012-01-06T00:00:00"/>
    <n v="1000"/>
    <n v="1000"/>
    <x v="12"/>
    <d v="2012-02-11T00:00:00"/>
    <m/>
    <n v="9321653582"/>
    <n v="10"/>
    <s v="HLXU6226851"/>
    <s v="NYK METEOR"/>
    <m/>
    <s v="NINGBO"/>
    <m/>
    <m/>
    <s v="TWEETY LEUNG"/>
    <s v="FO9"/>
    <s v="COOKWARE                      "/>
    <s v="CONFIRMED"/>
    <n v="1"/>
    <n v="1"/>
    <d v="2012-01-07T00:00:00"/>
    <s v="COOKWARE                      "/>
    <s v="NON AFFECTED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7421/000010"/>
    <n v="1370146673"/>
    <n v="10"/>
    <x v="0"/>
    <x v="0"/>
    <s v="A7"/>
    <n v="8700800118"/>
    <n v="239"/>
    <n v="115001045"/>
    <s v="5014 - DISC 14&quot; SS PTE ROTIPAN                    "/>
    <s v="S"/>
    <d v="2012-01-11T00:00:00"/>
    <m/>
    <s v="X"/>
    <x v="47"/>
    <n v="25.653099999999998"/>
    <n v="27"/>
    <d v="2012-02-15T00:00:00"/>
    <d v="2012-01-11T00:00:00"/>
    <n v="1000"/>
    <d v="2012-01-11T00:00:00"/>
    <n v="1000"/>
    <m/>
    <d v="2012-01-06T00:00:00"/>
    <n v="1000"/>
    <d v="2012-02-10T00:00:00"/>
    <d v="2012-01-06T00:00:00"/>
    <n v="1000"/>
    <n v="1000"/>
    <x v="12"/>
    <d v="2012-02-11T00:00:00"/>
    <m/>
    <n v="9321653584"/>
    <n v="10"/>
    <s v="FSCU6732760"/>
    <s v="NYK METEOR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7420/000010"/>
    <n v="1370146674"/>
    <n v="10"/>
    <x v="0"/>
    <x v="0"/>
    <s v="A7"/>
    <n v="8700800002"/>
    <n v="208"/>
    <n v="115000213"/>
    <s v="3021 - 11&quot; LTD SQUARE GRIDDLE PAN                 "/>
    <s v="S"/>
    <d v="2012-01-11T00:00:00"/>
    <m/>
    <s v="X"/>
    <x v="47"/>
    <n v="14.527900000000001"/>
    <n v="16"/>
    <d v="2012-02-16T00:00:00"/>
    <d v="2012-01-12T00:00:00"/>
    <n v="1000"/>
    <d v="2012-01-12T00:00:00"/>
    <n v="1000"/>
    <m/>
    <d v="2012-01-06T00:00:00"/>
    <n v="1000"/>
    <d v="2012-02-10T00:00:00"/>
    <d v="2012-01-06T00:00:00"/>
    <n v="1000"/>
    <n v="1000"/>
    <x v="12"/>
    <d v="2012-02-11T00:00:00"/>
    <m/>
    <n v="9321653585"/>
    <n v="10"/>
    <s v="HLXU6063100"/>
    <s v="NYK METEOR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0856/000010"/>
    <n v="1370146849"/>
    <n v="10"/>
    <x v="0"/>
    <x v="0"/>
    <s v="A1"/>
    <n v="2100058406"/>
    <n v="207"/>
    <n v="115002309"/>
    <s v="E2060644 FP28J-OLIV CAST ALU IND BLACK T          "/>
    <s v="S"/>
    <d v="2012-01-17T00:00:00"/>
    <m/>
    <s v="X"/>
    <x v="47"/>
    <n v="19.392299999999999"/>
    <n v="112"/>
    <d v="2012-03-01T00:00:00"/>
    <d v="2012-01-26T00:00:00"/>
    <n v="2500"/>
    <d v="2012-01-16T00:00:00"/>
    <n v="2500"/>
    <m/>
    <d v="2012-01-23T00:00:00"/>
    <n v="2500"/>
    <d v="2012-02-20T00:00:00"/>
    <d v="2012-01-16T00:00:00"/>
    <n v="2500"/>
    <n v="2500"/>
    <x v="8"/>
    <d v="2012-02-20T00:00:00"/>
    <m/>
    <n v="9321653586"/>
    <n v="10"/>
    <s v="CBHU8395906"/>
    <s v="COSCO OCEANIA/022W"/>
    <m/>
    <s v="NINGBO"/>
    <s v="C-PULLIN-CONF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23/HKG/"/>
    <n v="1370147378"/>
    <n v="10"/>
    <x v="0"/>
    <x v="0"/>
    <s v="A1"/>
    <n v="2100059352"/>
    <n v="205"/>
    <n v="115002209"/>
    <s v="C9002414 SCP20LID SB S COOK SS POLI IND           "/>
    <s v="S"/>
    <d v="2012-01-05T00:00:00"/>
    <m/>
    <s v="X"/>
    <x v="47"/>
    <n v="10.7277"/>
    <n v="9701"/>
    <d v="2012-01-05T00:00:00"/>
    <d v="2012-01-05T00:00:00"/>
    <n v="500"/>
    <d v="2012-01-05T00:00:00"/>
    <n v="500"/>
    <m/>
    <d v="2012-01-04T00:00:00"/>
    <n v="500"/>
    <d v="2012-01-04T00:00:00"/>
    <d v="2012-01-04T00:00:00"/>
    <n v="500"/>
    <n v="500"/>
    <x v="2"/>
    <d v="2012-01-04T00:00:00"/>
    <m/>
    <n v="9321653598"/>
    <n v="10"/>
    <s v="OOLU7518468"/>
    <s v="OOCL CANADA"/>
    <m/>
    <s v="NINGBO"/>
    <m/>
    <m/>
    <s v="THOMAS HO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300"/>
    <s v="SEB ASIA Ltd  TAIWAN BRANCH                       "/>
    <n v="99006300"/>
    <x v="22"/>
    <s v="TW-111013-428/"/>
    <n v="1370147384"/>
    <n v="10"/>
    <x v="0"/>
    <x v="0"/>
    <s v="A1"/>
    <n v="2100059347"/>
    <n v="205"/>
    <n v="115002743"/>
    <s v="C9000614 FP28 GOU SO COOK SS POLI IND UN          "/>
    <s v="S"/>
    <d v="2012-01-05T00:00:00"/>
    <m/>
    <s v="X"/>
    <x v="47"/>
    <n v="9.7147000000000006"/>
    <n v="8785"/>
    <d v="2012-01-01T00:00:00"/>
    <d v="2012-01-01T00:00:00"/>
    <n v="504"/>
    <d v="2012-01-01T00:00:00"/>
    <n v="504"/>
    <m/>
    <d v="2012-01-04T00:00:00"/>
    <n v="504"/>
    <d v="2012-01-04T00:00:00"/>
    <d v="2012-01-04T00:00:00"/>
    <n v="504"/>
    <n v="504"/>
    <x v="6"/>
    <d v="2012-01-05T00:00:00"/>
    <m/>
    <n v="9321653602"/>
    <n v="10"/>
    <s v="FCIU9351768"/>
    <s v="YONG DA VOY 393E"/>
    <m/>
    <s v="NINGBO"/>
    <m/>
    <m/>
    <s v="THOMAS HO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300"/>
    <s v="SEB ASIA Ltd  TAIWAN BRANCH                       "/>
    <n v="99006300"/>
    <x v="22"/>
    <s v="TW-111013-428/"/>
    <n v="1370147384"/>
    <n v="20"/>
    <x v="0"/>
    <x v="0"/>
    <s v="A1"/>
    <n v="2100061343"/>
    <n v="205"/>
    <n v="115002745"/>
    <s v="C9009214 W28+LID SO CK SS POLI IND UNCOA          "/>
    <s v="S"/>
    <d v="2012-01-05T00:00:00"/>
    <m/>
    <s v="X"/>
    <x v="47"/>
    <n v="12.47"/>
    <n v="8785"/>
    <d v="2012-01-01T00:00:00"/>
    <d v="2012-01-01T00:00:00"/>
    <n v="504"/>
    <d v="2012-01-01T00:00:00"/>
    <n v="504"/>
    <m/>
    <d v="2012-01-04T00:00:00"/>
    <n v="504"/>
    <d v="2012-01-04T00:00:00"/>
    <d v="2012-01-04T00:00:00"/>
    <n v="504"/>
    <n v="504"/>
    <x v="6"/>
    <d v="2012-01-05T00:00:00"/>
    <m/>
    <n v="9321653602"/>
    <n v="20"/>
    <s v="FCIU9351768"/>
    <s v="YONG DA VOY 393E"/>
    <m/>
    <s v="NINGBO"/>
    <m/>
    <m/>
    <s v="THOMAS HO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300"/>
    <s v="SEB ASIA Ltd  TAIWAN BRANCH                       "/>
    <n v="99006300"/>
    <x v="22"/>
    <s v="TW-111013-428/"/>
    <n v="1370147384"/>
    <n v="30"/>
    <x v="0"/>
    <x v="0"/>
    <s v="A1"/>
    <n v="2100059352"/>
    <n v="205"/>
    <n v="115002209"/>
    <s v="C9002414 SCP20LID SB S COOK SS POLI IND           "/>
    <s v="S"/>
    <d v="2012-01-05T00:00:00"/>
    <m/>
    <s v="X"/>
    <x v="47"/>
    <n v="10.7277"/>
    <n v="8785"/>
    <d v="2012-01-01T00:00:00"/>
    <d v="2012-01-01T00:00:00"/>
    <n v="500"/>
    <d v="2012-01-01T00:00:00"/>
    <n v="500"/>
    <m/>
    <d v="2012-01-04T00:00:00"/>
    <n v="500"/>
    <d v="2012-01-04T00:00:00"/>
    <d v="2012-01-04T00:00:00"/>
    <n v="500"/>
    <n v="500"/>
    <x v="6"/>
    <d v="2012-01-05T00:00:00"/>
    <m/>
    <n v="9321653602"/>
    <n v="30"/>
    <s v="FCIU9351768"/>
    <s v="YONG DA VOY 393E"/>
    <m/>
    <s v="NINGBO"/>
    <m/>
    <m/>
    <s v="THOMAS HO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300"/>
    <s v="SEB ASIA Ltd  TAIWAN BRANCH                       "/>
    <n v="99006300"/>
    <x v="22"/>
    <s v="TW-111013-428/"/>
    <n v="1370147384"/>
    <n v="40"/>
    <x v="0"/>
    <x v="0"/>
    <s v="A1"/>
    <n v="2100061342"/>
    <n v="205"/>
    <n v="115002200"/>
    <s v="C9007914 HIGH S.POT22LID SB SO CK SS POL          "/>
    <s v="S"/>
    <d v="2012-01-05T00:00:00"/>
    <m/>
    <s v="X"/>
    <x v="47"/>
    <n v="15.163399999999999"/>
    <n v="8785"/>
    <d v="2012-01-01T00:00:00"/>
    <d v="2012-01-01T00:00:00"/>
    <n v="500"/>
    <d v="2012-01-01T00:00:00"/>
    <n v="500"/>
    <m/>
    <d v="2012-01-04T00:00:00"/>
    <n v="500"/>
    <d v="2012-01-04T00:00:00"/>
    <d v="2012-01-04T00:00:00"/>
    <n v="500"/>
    <n v="500"/>
    <x v="6"/>
    <d v="2012-01-05T00:00:00"/>
    <m/>
    <n v="9321653602"/>
    <n v="40"/>
    <s v="FCIU9351768"/>
    <s v="YONG DA VOY 393E"/>
    <m/>
    <s v="NINGBO"/>
    <m/>
    <m/>
    <s v="THOMAS HO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300"/>
    <s v="SEB ASIA Ltd  TAIWAN BRANCH                       "/>
    <n v="99006300"/>
    <x v="22"/>
    <s v="TW-111013-428/"/>
    <n v="1370147384"/>
    <n v="50"/>
    <x v="0"/>
    <x v="0"/>
    <s v="A1"/>
    <n v="2100048773"/>
    <n v="205"/>
    <n v="115001323"/>
    <s v="C8468712 WOK32LID TRIPLY WOKS SS ASIA             "/>
    <s v="S"/>
    <d v="2012-01-05T00:00:00"/>
    <m/>
    <s v="X"/>
    <x v="47"/>
    <n v="20.633600000000001"/>
    <n v="8785"/>
    <d v="2012-01-01T00:00:00"/>
    <d v="2012-01-01T00:00:00"/>
    <n v="501"/>
    <d v="2012-01-01T00:00:00"/>
    <n v="501"/>
    <m/>
    <d v="2012-01-04T00:00:00"/>
    <n v="1002"/>
    <d v="2012-01-04T00:00:00"/>
    <d v="2012-01-04T00:00:00"/>
    <n v="501"/>
    <n v="501"/>
    <x v="6"/>
    <d v="2012-01-05T00:00:00"/>
    <m/>
    <n v="9321653602"/>
    <n v="50"/>
    <s v="FCIU9351768"/>
    <s v="YONG DA VOY 393E"/>
    <m/>
    <s v="NINGBO"/>
    <m/>
    <m/>
    <s v="THOMAS HO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300"/>
    <s v="SEB ASIA Ltd  TAIWAN BRANCH                       "/>
    <n v="99006300"/>
    <x v="22"/>
    <s v="TW-111013-429/"/>
    <n v="1370147385"/>
    <n v="10"/>
    <x v="0"/>
    <x v="0"/>
    <s v="A1"/>
    <n v="2100045722"/>
    <n v="205"/>
    <n v="115001203"/>
    <s v="C8469412 W FP36LID TRIPLY SS UNCOAT ASIA          "/>
    <s v="S"/>
    <d v="2012-01-05T00:00:00"/>
    <m/>
    <s v="X"/>
    <x v="47"/>
    <n v="24.357500000000002"/>
    <n v="22093"/>
    <d v="2012-01-08T00:00:00"/>
    <d v="2012-01-08T00:00:00"/>
    <n v="501"/>
    <d v="2012-01-08T00:00:00"/>
    <n v="501"/>
    <m/>
    <d v="2012-01-04T00:00:00"/>
    <n v="501"/>
    <d v="2012-01-04T00:00:00"/>
    <d v="2012-01-04T00:00:00"/>
    <n v="501"/>
    <n v="91"/>
    <x v="6"/>
    <d v="2012-01-05T00:00:00"/>
    <m/>
    <n v="9321653603"/>
    <n v="10"/>
    <s v="FCIU9352635"/>
    <s v="YONG DA VOY 393E"/>
    <m/>
    <s v="NINGBO"/>
    <m/>
    <m/>
    <s v="THOMAS HO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300"/>
    <s v="SEB ASIA Ltd  TAIWAN BRANCH                       "/>
    <n v="99006300"/>
    <x v="22"/>
    <s v="TW-111013-429/"/>
    <n v="1370147385"/>
    <n v="10"/>
    <x v="0"/>
    <x v="0"/>
    <s v="A1"/>
    <n v="2100045722"/>
    <n v="205"/>
    <n v="115001203"/>
    <s v="C8469412 W FP36LID TRIPLY SS UNCOAT ASIA          "/>
    <s v="S"/>
    <d v="2012-01-05T00:00:00"/>
    <m/>
    <s v="X"/>
    <x v="47"/>
    <n v="24.357500000000002"/>
    <n v="22093"/>
    <d v="2012-01-08T00:00:00"/>
    <d v="2012-01-08T00:00:00"/>
    <n v="501"/>
    <d v="2012-01-08T00:00:00"/>
    <n v="501"/>
    <m/>
    <d v="2012-01-04T00:00:00"/>
    <n v="501"/>
    <d v="2012-01-04T00:00:00"/>
    <d v="2012-01-04T00:00:00"/>
    <n v="501"/>
    <n v="410"/>
    <x v="6"/>
    <d v="2012-01-05T00:00:00"/>
    <m/>
    <n v="9321653603"/>
    <n v="10"/>
    <s v="FCIU9351768"/>
    <s v="YONG DA VOY 393E"/>
    <m/>
    <s v="NINGBO"/>
    <m/>
    <m/>
    <s v="THOMAS HO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300"/>
    <s v="SEB ASIA Ltd  TAIWAN BRANCH                       "/>
    <n v="99006300"/>
    <x v="22"/>
    <s v="TW-111013-429/"/>
    <n v="1370147385"/>
    <n v="20"/>
    <x v="0"/>
    <x v="0"/>
    <s v="A1"/>
    <n v="2100045724"/>
    <n v="205"/>
    <n v="115001205"/>
    <s v="C8469712 WOK40LID TRIPLY SS UNCOAT ASIA           "/>
    <s v="S"/>
    <d v="2012-01-05T00:00:00"/>
    <m/>
    <s v="X"/>
    <x v="47"/>
    <n v="27.782499999999999"/>
    <n v="22093"/>
    <d v="2012-01-08T00:00:00"/>
    <d v="2012-01-08T00:00:00"/>
    <n v="501"/>
    <d v="2012-01-08T00:00:00"/>
    <n v="501"/>
    <m/>
    <d v="2012-01-04T00:00:00"/>
    <n v="1002"/>
    <d v="2012-01-04T00:00:00"/>
    <d v="2012-01-04T00:00:00"/>
    <n v="501"/>
    <n v="501"/>
    <x v="6"/>
    <d v="2012-01-05T00:00:00"/>
    <m/>
    <n v="9321653603"/>
    <n v="20"/>
    <s v="FCIU9352635"/>
    <s v="YONG DA VOY 393E"/>
    <m/>
    <s v="NINGBO"/>
    <m/>
    <m/>
    <s v="THOMAS HO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300"/>
    <s v="SEB ASIA Ltd  TAIWAN BRANCH                       "/>
    <n v="99006300"/>
    <x v="22"/>
    <s v="TW-111013-431/"/>
    <n v="1370147387"/>
    <n v="10"/>
    <x v="0"/>
    <x v="0"/>
    <s v="AA"/>
    <n v="7115001893"/>
    <n v="208"/>
    <n v="115001893"/>
    <s v="PC34B1 WOK 34CM EVER                              "/>
    <s v="S"/>
    <d v="2012-01-05T00:00:00"/>
    <m/>
    <s v="X"/>
    <x v="47"/>
    <n v="14.998200000000001"/>
    <n v="15020"/>
    <d v="2012-01-08T00:00:00"/>
    <d v="2012-01-08T00:00:00"/>
    <n v="400"/>
    <d v="2012-01-04T00:00:00"/>
    <n v="400"/>
    <m/>
    <m/>
    <m/>
    <d v="2012-01-04T00:00:00"/>
    <d v="2012-01-04T00:00:00"/>
    <n v="400"/>
    <n v="400"/>
    <x v="6"/>
    <d v="2012-01-05T00:00:00"/>
    <m/>
    <n v="9321653605"/>
    <n v="10"/>
    <s v="FCIU9352635"/>
    <s v="YONG DA VOY 393E"/>
    <m/>
    <s v="NINGBO"/>
    <m/>
    <m/>
    <s v="THOMAS HO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0"/>
    <n v="1"/>
    <n v="0"/>
    <n v="0"/>
    <n v="1"/>
    <x v="0"/>
    <x v="0"/>
    <x v="1"/>
    <x v="1"/>
  </r>
  <r>
    <s v="Shipment"/>
    <n v="99006300"/>
    <s v="SEB ASIA Ltd  TAIWAN BRANCH                       "/>
    <n v="99006300"/>
    <x v="22"/>
    <s v="TW-111013-431/"/>
    <n v="1370147387"/>
    <n v="30"/>
    <x v="0"/>
    <x v="0"/>
    <s v="AA"/>
    <n v="7115001896"/>
    <n v="208"/>
    <n v="115001896"/>
    <s v="PC40B2 WOK 40CM EVER                              "/>
    <s v="S"/>
    <d v="2012-01-05T00:00:00"/>
    <m/>
    <s v="X"/>
    <x v="47"/>
    <n v="16.508400000000002"/>
    <n v="15020"/>
    <d v="2012-01-08T00:00:00"/>
    <d v="2012-01-08T00:00:00"/>
    <n v="250"/>
    <d v="2012-01-04T00:00:00"/>
    <n v="250"/>
    <m/>
    <m/>
    <m/>
    <d v="2012-01-04T00:00:00"/>
    <d v="2012-01-04T00:00:00"/>
    <n v="250"/>
    <n v="250"/>
    <x v="6"/>
    <d v="2012-01-05T00:00:00"/>
    <m/>
    <n v="9321653605"/>
    <n v="30"/>
    <s v="FCIU9352635"/>
    <s v="YONG DA VOY 393E"/>
    <m/>
    <s v="NINGBO"/>
    <m/>
    <m/>
    <s v="THOMAS HO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0"/>
    <n v="1"/>
    <n v="0"/>
    <n v="0"/>
    <n v="1"/>
    <x v="0"/>
    <x v="0"/>
    <x v="1"/>
    <x v="1"/>
  </r>
  <r>
    <s v="Shipment"/>
    <n v="99006300"/>
    <s v="SEB ASIA Ltd  TAIWAN BRANCH                       "/>
    <n v="99006300"/>
    <x v="22"/>
    <s v="TW-111013-431/"/>
    <n v="1370147387"/>
    <n v="40"/>
    <x v="0"/>
    <x v="0"/>
    <s v="AA"/>
    <n v="7115000674"/>
    <n v="200"/>
    <n v="115000674"/>
    <s v="PCC1-32 WOKPAN 32M LAQUERED                       "/>
    <s v="S"/>
    <d v="2012-01-05T00:00:00"/>
    <m/>
    <s v="X"/>
    <x v="47"/>
    <n v="10.3223"/>
    <n v="15020"/>
    <d v="2012-01-08T00:00:00"/>
    <d v="2012-01-08T00:00:00"/>
    <n v="400"/>
    <d v="2012-01-04T00:00:00"/>
    <n v="400"/>
    <m/>
    <m/>
    <m/>
    <d v="2012-01-04T00:00:00"/>
    <d v="2012-01-04T00:00:00"/>
    <n v="400"/>
    <n v="400"/>
    <x v="6"/>
    <d v="2012-01-05T00:00:00"/>
    <m/>
    <n v="9321653605"/>
    <n v="40"/>
    <s v="FCIU9352635"/>
    <s v="YONG DA VOY 393E"/>
    <m/>
    <s v="NINGBO"/>
    <m/>
    <m/>
    <s v="THOMAS HO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0"/>
    <n v="1"/>
    <n v="0"/>
    <n v="0"/>
    <n v="1"/>
    <x v="0"/>
    <x v="0"/>
    <x v="1"/>
    <x v="1"/>
  </r>
  <r>
    <s v="Shipment"/>
    <n v="99002601"/>
    <s v="GROUPE SEB UK LTD                                 "/>
    <n v="99002601"/>
    <x v="10"/>
    <s v="9321652323/000010"/>
    <n v="1370147559"/>
    <n v="10"/>
    <x v="0"/>
    <x v="0"/>
    <s v="A1"/>
    <n v="2100062128"/>
    <n v="201"/>
    <n v="116000875"/>
    <s v="A161S544 SET 5P BISTRO LACQUERED RED TEF          "/>
    <s v="S"/>
    <d v="2012-01-17T00:00:00"/>
    <m/>
    <s v="X"/>
    <x v="47"/>
    <n v="23.724499999999999"/>
    <n v="16"/>
    <d v="2012-02-13T00:00:00"/>
    <d v="2012-01-09T00:00:00"/>
    <n v="1081"/>
    <d v="2012-01-09T00:00:00"/>
    <n v="1081"/>
    <m/>
    <d v="2012-01-13T00:00:00"/>
    <n v="1081"/>
    <d v="2012-02-17T00:00:00"/>
    <d v="2012-01-13T00:00:00"/>
    <n v="1081"/>
    <n v="1081"/>
    <x v="11"/>
    <d v="2012-02-19T00:00:00"/>
    <m/>
    <n v="9321653606"/>
    <n v="10"/>
    <s v="CLHU4422813"/>
    <s v="TIANJIN 0652W/"/>
    <m/>
    <s v="NINGBO"/>
    <m/>
    <m/>
    <s v="KENUS WO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2318/000010"/>
    <n v="1370147560"/>
    <n v="10"/>
    <x v="0"/>
    <x v="0"/>
    <s v="A1"/>
    <n v="2100064965"/>
    <n v="205"/>
    <n v="116000992"/>
    <s v="A604S544 SET 5P BANQUET SS COATED TEFAL           "/>
    <s v="S"/>
    <d v="2012-01-12T00:00:00"/>
    <m/>
    <s v="X"/>
    <x v="47"/>
    <n v="33.901200000000003"/>
    <n v="21"/>
    <d v="2012-02-06T00:00:00"/>
    <d v="2012-01-02T00:00:00"/>
    <n v="1060"/>
    <d v="2012-01-02T00:00:00"/>
    <n v="1060"/>
    <m/>
    <d v="2012-01-06T00:00:00"/>
    <n v="1060"/>
    <d v="2012-02-10T00:00:00"/>
    <d v="2012-01-06T00:00:00"/>
    <n v="1060"/>
    <n v="1060"/>
    <x v="23"/>
    <d v="2012-02-12T00:00:00"/>
    <m/>
    <n v="9321653607"/>
    <n v="10"/>
    <s v="GESU4596778"/>
    <s v="XIN SHANGHAI 0063W"/>
    <m/>
    <s v="NINGBO"/>
    <m/>
    <m/>
    <s v="KENUS WO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2300/000010"/>
    <n v="1370147561"/>
    <n v="10"/>
    <x v="0"/>
    <x v="0"/>
    <s v="A1"/>
    <n v="2100059741"/>
    <n v="201"/>
    <n v="116000698"/>
    <s v="A157S546 SET 5P HOMEBASE ESS BLACK TCP3           "/>
    <s v="S"/>
    <d v="2012-01-18T00:00:00"/>
    <m/>
    <s v="X"/>
    <x v="47"/>
    <n v="23.751100000000001"/>
    <n v="16"/>
    <d v="2012-02-13T00:00:00"/>
    <d v="2012-01-09T00:00:00"/>
    <n v="1665"/>
    <d v="2012-01-09T00:00:00"/>
    <n v="1665"/>
    <m/>
    <d v="2012-01-13T00:00:00"/>
    <n v="1665"/>
    <d v="2012-02-17T00:00:00"/>
    <d v="2012-01-13T00:00:00"/>
    <n v="1665"/>
    <n v="865"/>
    <x v="11"/>
    <d v="2012-02-19T00:00:00"/>
    <m/>
    <n v="9321653608"/>
    <n v="10"/>
    <s v="CAMU8348110"/>
    <s v="TIAN JIN VOY 0652W"/>
    <m/>
    <s v="NINGBO"/>
    <m/>
    <m/>
    <s v="KENUS WO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2300/000010"/>
    <n v="1370147561"/>
    <n v="10"/>
    <x v="0"/>
    <x v="0"/>
    <s v="A1"/>
    <n v="2100059741"/>
    <n v="201"/>
    <n v="116000698"/>
    <s v="A157S546 SET 5P HOMEBASE ESS BLACK TCP3           "/>
    <s v="S"/>
    <d v="2012-01-17T00:00:00"/>
    <m/>
    <s v="X"/>
    <x v="47"/>
    <n v="23.751100000000001"/>
    <n v="16"/>
    <d v="2012-02-13T00:00:00"/>
    <d v="2012-01-09T00:00:00"/>
    <n v="1665"/>
    <d v="2012-01-09T00:00:00"/>
    <n v="1665"/>
    <m/>
    <d v="2012-01-13T00:00:00"/>
    <n v="1665"/>
    <d v="2012-02-17T00:00:00"/>
    <d v="2012-01-13T00:00:00"/>
    <n v="1665"/>
    <n v="800"/>
    <x v="11"/>
    <d v="2012-02-19T00:00:00"/>
    <m/>
    <n v="9321653608"/>
    <n v="10"/>
    <s v="INKU2477273"/>
    <s v="TIANJIN 0652W/"/>
    <m/>
    <s v="NINGBO"/>
    <m/>
    <m/>
    <s v="KENUS WO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2326/000010"/>
    <n v="1370147562"/>
    <n v="10"/>
    <x v="0"/>
    <x v="0"/>
    <s v="A1"/>
    <n v="2100048681"/>
    <n v="208"/>
    <n v="116000337"/>
    <s v="D911S142 SET 5P EXPERT COOK HARD ANODIZE          "/>
    <s v="S"/>
    <d v="2012-01-11T00:00:00"/>
    <m/>
    <s v="X"/>
    <x v="47"/>
    <n v="33.786099999999998"/>
    <n v="23"/>
    <d v="2012-02-06T00:00:00"/>
    <d v="2012-01-02T00:00:00"/>
    <n v="1480"/>
    <d v="2012-01-02T00:00:00"/>
    <n v="1480"/>
    <m/>
    <d v="2012-01-06T00:00:00"/>
    <n v="1480"/>
    <d v="2012-02-10T00:00:00"/>
    <d v="2012-01-06T00:00:00"/>
    <n v="1480"/>
    <n v="1480"/>
    <x v="23"/>
    <d v="2012-02-12T00:00:00"/>
    <m/>
    <n v="9321653609"/>
    <n v="10"/>
    <s v="EASU9653822"/>
    <s v="XIN SHANGHAI 0063W/"/>
    <m/>
    <s v="NINGBO"/>
    <m/>
    <m/>
    <s v="KENUS WO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2322/000010"/>
    <n v="1370147563"/>
    <n v="10"/>
    <x v="0"/>
    <x v="0"/>
    <s v="A1"/>
    <n v="2100062128"/>
    <n v="201"/>
    <n v="116000875"/>
    <s v="A161S544 SET 5P BISTRO LACQUERED RED TEF          "/>
    <s v="S"/>
    <d v="2012-01-17T00:00:00"/>
    <m/>
    <s v="X"/>
    <x v="47"/>
    <n v="23.724499999999999"/>
    <n v="16"/>
    <d v="2012-02-06T00:00:00"/>
    <d v="2012-01-02T00:00:00"/>
    <n v="1245"/>
    <d v="2012-01-13T00:00:00"/>
    <n v="1245"/>
    <m/>
    <d v="2012-01-13T00:00:00"/>
    <n v="1245"/>
    <d v="2012-02-17T00:00:00"/>
    <d v="2012-01-13T00:00:00"/>
    <n v="1245"/>
    <n v="1245"/>
    <x v="11"/>
    <d v="2012-02-19T00:00:00"/>
    <m/>
    <n v="9321653610"/>
    <n v="10"/>
    <s v="CMAU5328044"/>
    <s v="TIANJIN 0652W/"/>
    <m/>
    <s v="NINGBO"/>
    <s v="SP-OVERCAP/"/>
    <m/>
    <s v="KENUS WO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2495/000010"/>
    <n v="1370147634"/>
    <n v="10"/>
    <x v="0"/>
    <x v="0"/>
    <s v="A1"/>
    <n v="2100063369"/>
    <n v="207"/>
    <n v="115003037"/>
    <s v="H1150414 FP24 FLAVOUR TP3 BLACK TEFAL FC          "/>
    <s v="S"/>
    <d v="2012-01-10T00:00:00"/>
    <m/>
    <s v="X"/>
    <x v="47"/>
    <n v="8.8114000000000008"/>
    <n v="287"/>
    <d v="2012-02-24T00:00:00"/>
    <d v="2012-01-06T00:00:00"/>
    <n v="1000"/>
    <d v="2012-01-06T00:00:00"/>
    <n v="1000"/>
    <m/>
    <d v="2012-01-07T00:00:00"/>
    <n v="1000"/>
    <d v="2012-02-25T00:00:00"/>
    <d v="2012-01-07T00:00:00"/>
    <n v="1000"/>
    <n v="1000"/>
    <x v="0"/>
    <d v="2012-02-27T00:00:00"/>
    <m/>
    <n v="9321653612"/>
    <n v="10"/>
    <s v="APZU3828575"/>
    <s v="MOL COMPETENCE/021W"/>
    <m/>
    <s v="NINGBO"/>
    <m/>
    <m/>
    <s v="KENUS WONG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506/000010"/>
    <n v="1370147721"/>
    <n v="10"/>
    <x v="0"/>
    <x v="0"/>
    <s v="A1"/>
    <n v="2100063371"/>
    <n v="207"/>
    <n v="115003039"/>
    <s v="H1150614 FP28 FLAVOUR TP3 BLACK TEFAL FC          "/>
    <s v="S"/>
    <d v="2012-01-10T00:00:00"/>
    <m/>
    <s v="X"/>
    <x v="47"/>
    <n v="10.398"/>
    <n v="338"/>
    <d v="2012-02-27T00:00:00"/>
    <d v="2012-01-09T00:00:00"/>
    <n v="1000"/>
    <d v="2012-01-09T00:00:00"/>
    <n v="1000"/>
    <m/>
    <d v="2012-01-07T00:00:00"/>
    <n v="1000"/>
    <d v="2012-02-25T00:00:00"/>
    <d v="2012-01-07T00:00:00"/>
    <n v="1000"/>
    <n v="1000"/>
    <x v="0"/>
    <d v="2012-02-27T00:00:00"/>
    <m/>
    <n v="9321653619"/>
    <n v="10"/>
    <s v="APZU3828575"/>
    <s v="MOL COMPETENCE/021W"/>
    <m/>
    <s v="NINGBO"/>
    <m/>
    <m/>
    <s v="KENUS WONG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701/000010"/>
    <n v="1370147808"/>
    <n v="10"/>
    <x v="0"/>
    <x v="0"/>
    <s v="A1"/>
    <n v="2100059347"/>
    <n v="205"/>
    <n v="115002743"/>
    <s v="C9000614 FP28 GOU SO COOK SS POLI IND UN          "/>
    <s v="S"/>
    <d v="2012-02-01T00:00:00"/>
    <m/>
    <s v="X"/>
    <x v="47"/>
    <n v="9.7148000000000003"/>
    <n v="10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7"/>
    <d v="2012-01-20T00:00:00"/>
    <m/>
    <n v="9321653624"/>
    <n v="10"/>
    <s v="CCLU7052820"/>
    <s v="HATSU COURAGE V0078W"/>
    <m/>
    <s v="NINGBO"/>
    <s v="CONS-SHIP/SHIP + ETDJAN05"/>
    <m/>
    <s v="ZANDRA LAM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704/000010"/>
    <n v="1370147809"/>
    <n v="10"/>
    <x v="0"/>
    <x v="0"/>
    <s v="A1"/>
    <n v="2100059350"/>
    <n v="205"/>
    <n v="115002581"/>
    <s v="C9002214 SCP16LID SB B COOK SS POLI IND           "/>
    <s v="S"/>
    <d v="2012-01-18T00:00:00"/>
    <m/>
    <s v="X"/>
    <x v="47"/>
    <n v="8.8148999999999997"/>
    <n v="9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25"/>
    <n v="10"/>
    <s v="CCLU6051687"/>
    <s v="HATSU COURAGE /0078W"/>
    <m/>
    <s v="NINGBO"/>
    <s v="CONS-SHIP/SHIP + ETDJAN05"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710/000010"/>
    <n v="1370147815"/>
    <n v="10"/>
    <x v="0"/>
    <x v="0"/>
    <s v="A1"/>
    <n v="2100059356"/>
    <n v="205"/>
    <n v="115001859"/>
    <s v="C9004614 D.OV24LID SB S COOK SS POLI IND          "/>
    <s v="S"/>
    <d v="2012-01-18T00:00:00"/>
    <m/>
    <s v="X"/>
    <x v="47"/>
    <n v="13.3988"/>
    <n v="13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26"/>
    <n v="10"/>
    <s v="CCLU6051687"/>
    <s v="HATSU COURAGE /0078W"/>
    <m/>
    <s v="NINGBO"/>
    <s v="CONS-SHIP/SHIP + ETDJAN05"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714/000010"/>
    <n v="1370147816"/>
    <n v="10"/>
    <x v="0"/>
    <x v="0"/>
    <s v="A1"/>
    <n v="2100062068"/>
    <n v="205"/>
    <n v="115002762"/>
    <s v="C9006314 S.POT26LID SB S COOK SS POLI IN          "/>
    <s v="S"/>
    <d v="2012-01-31T00:00:00"/>
    <m/>
    <s v="X"/>
    <x v="47"/>
    <n v="15.7409"/>
    <n v="16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27"/>
    <n v="10"/>
    <s v="DSFU6034526"/>
    <s v="HATSU COURAGE /0078W"/>
    <m/>
    <s v="NINGBO"/>
    <s v="CONS-SHIP/SHIP + ETDJAN05"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711/000010"/>
    <n v="1370147817"/>
    <n v="10"/>
    <x v="0"/>
    <x v="0"/>
    <s v="A1"/>
    <n v="2100059357"/>
    <n v="205"/>
    <n v="115002828"/>
    <s v="C9006414 S.POT28LID SB S COOK SS POLI IN          "/>
    <s v="S"/>
    <d v="2012-01-31T00:00:00"/>
    <m/>
    <s v="X"/>
    <x v="47"/>
    <n v="17.1631"/>
    <n v="18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28"/>
    <n v="10"/>
    <s v="DSFU6034526"/>
    <s v="HATSU COURAGE /0078W"/>
    <m/>
    <s v="NINGBO"/>
    <s v="CONS-SHIP/SHIP + ETDJAN05"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713/000010"/>
    <n v="1370147818"/>
    <n v="10"/>
    <x v="0"/>
    <x v="0"/>
    <s v="A1"/>
    <n v="2100059359"/>
    <n v="205"/>
    <n v="115002825"/>
    <s v="C9000514 FP26 GOU SO COOK SS POLI IND UN          "/>
    <s v="S"/>
    <d v="2012-02-01T00:00:00"/>
    <m/>
    <s v="X"/>
    <x v="47"/>
    <n v="9.2566000000000006"/>
    <n v="10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7"/>
    <d v="2012-01-20T00:00:00"/>
    <m/>
    <n v="9321653629"/>
    <n v="10"/>
    <s v="CCLU7052820"/>
    <s v="HATSU COURAGE V0078W"/>
    <m/>
    <s v="NINGBO"/>
    <s v="CONS-SHIP/SHIP + ETDJAN05"/>
    <m/>
    <s v="ZANDRA LAM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708/000010"/>
    <n v="1370147819"/>
    <n v="10"/>
    <x v="0"/>
    <x v="0"/>
    <s v="A1"/>
    <n v="2100059355"/>
    <n v="205"/>
    <n v="115002584"/>
    <s v="C9004414 D.OV20LID SB S COOK SS POLI IND          "/>
    <s v="S"/>
    <d v="2012-01-18T00:00:00"/>
    <m/>
    <s v="X"/>
    <x v="47"/>
    <n v="11.2401"/>
    <n v="11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30"/>
    <n v="10"/>
    <s v="CCLU6051687"/>
    <s v="HATSU COURAGE /0078W"/>
    <m/>
    <s v="NINGBO"/>
    <s v="CONS-SHIP/SHIP + ETDJAN05"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705/000010"/>
    <n v="1370147821"/>
    <n v="10"/>
    <x v="0"/>
    <x v="0"/>
    <s v="A1"/>
    <n v="2100059352"/>
    <n v="205"/>
    <n v="115002209"/>
    <s v="C9002414 SCP20LID SB S COOK SS POLI IND           "/>
    <s v="S"/>
    <d v="2012-01-18T00:00:00"/>
    <m/>
    <s v="X"/>
    <x v="47"/>
    <n v="10.7277"/>
    <n v="11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31"/>
    <n v="10"/>
    <s v="CCLU6051687"/>
    <s v="HATSU COURAGE /0078W"/>
    <m/>
    <s v="NINGBO"/>
    <s v="CONS-SHIP/SHIP + ETDJAN05"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702/000010"/>
    <n v="1370147824"/>
    <n v="10"/>
    <x v="0"/>
    <x v="0"/>
    <s v="A1"/>
    <n v="2100059348"/>
    <n v="205"/>
    <n v="115002744"/>
    <s v="C9000714 FP30 GOU SO COOK SS POLI IND UN          "/>
    <s v="S"/>
    <d v="2012-01-18T00:00:00"/>
    <m/>
    <s v="X"/>
    <x v="47"/>
    <n v="10.679600000000001"/>
    <n v="11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12"/>
    <d v="2012-01-21T00:00:00"/>
    <m/>
    <n v="9321653632"/>
    <n v="10"/>
    <s v="CCLU6051687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698/000010"/>
    <n v="1370147825"/>
    <n v="10"/>
    <x v="0"/>
    <x v="0"/>
    <s v="A3"/>
    <n v="2100059346"/>
    <n v="205"/>
    <n v="115002824"/>
    <s v="C9000414 FP24 GOU SO COOK SS POLI IND UN          "/>
    <s v="S"/>
    <d v="2012-01-31T00:00:00"/>
    <m/>
    <s v="X"/>
    <x v="47"/>
    <n v="7.8442999999999996"/>
    <n v="8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12"/>
    <d v="2012-01-21T00:00:00"/>
    <m/>
    <n v="9321653633"/>
    <n v="10"/>
    <s v="DSFU6034526"/>
    <s v="HATSU COURAGE /0078W"/>
    <m/>
    <s v="NINGBO"/>
    <s v="CONS-SHIP/SHIP + ETDJAN05"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47/000010"/>
    <n v="1370147827"/>
    <n v="10"/>
    <x v="0"/>
    <x v="0"/>
    <s v="A1"/>
    <n v="2100052512"/>
    <n v="201"/>
    <n v="115001761"/>
    <s v="A8374262 D.OV16LID BANQUET EASY CARE BLA          "/>
    <s v="S"/>
    <d v="2012-01-31T00:00:00"/>
    <m/>
    <s v="X"/>
    <x v="47"/>
    <n v="5.3556999999999997"/>
    <n v="6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34"/>
    <n v="10"/>
    <s v="CCLU6191713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48/000010"/>
    <n v="1370147828"/>
    <n v="10"/>
    <x v="0"/>
    <x v="0"/>
    <s v="A1"/>
    <n v="2100052524"/>
    <n v="201"/>
    <n v="115001780"/>
    <s v="A8370362 FP22 BANQUET EASY CARE BLACK IR          "/>
    <s v="S"/>
    <d v="2012-01-18T00:00:00"/>
    <m/>
    <s v="X"/>
    <x v="47"/>
    <n v="4.1920999999999999"/>
    <n v="4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35"/>
    <n v="10"/>
    <s v="CCLU6023875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45/000010"/>
    <n v="1370147829"/>
    <n v="10"/>
    <x v="0"/>
    <x v="0"/>
    <s v="A1"/>
    <n v="2100052520"/>
    <n v="201"/>
    <n v="115001769"/>
    <s v="A8379662 D.OV32LID BANQUET EASY CARE BLA          "/>
    <s v="S"/>
    <d v="2012-01-18T00:00:00"/>
    <m/>
    <s v="X"/>
    <x v="47"/>
    <n v="12.9732"/>
    <n v="14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36"/>
    <n v="10"/>
    <s v="CCLU6023875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18/000010"/>
    <n v="1370147830"/>
    <n v="10"/>
    <x v="0"/>
    <x v="0"/>
    <s v="A1"/>
    <n v="2100063376"/>
    <n v="207"/>
    <n v="115003044"/>
    <s v="H1153714 STP28+LID FLAVOUR TP3 BLACK TEF          "/>
    <s v="S"/>
    <d v="2012-01-18T00:00:00"/>
    <m/>
    <s v="X"/>
    <x v="47"/>
    <n v="14.8245"/>
    <n v="16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3"/>
    <d v="2012-01-15T00:00:00"/>
    <m/>
    <n v="9321653637"/>
    <n v="10"/>
    <s v="CCLU4426721"/>
    <s v="HATSU COURAGE /0078W"/>
    <m/>
    <s v="NINGBO"/>
    <m/>
    <m/>
    <s v="ZANDRA LAM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38/000010"/>
    <n v="1370147831"/>
    <n v="10"/>
    <x v="0"/>
    <x v="0"/>
    <s v="A1"/>
    <n v="2100052525"/>
    <n v="201"/>
    <n v="115001781"/>
    <s v="A8370462 FP24 BANQUET EASY CARE BLACK IR          "/>
    <s v="S"/>
    <d v="2012-01-18T00:00:00"/>
    <m/>
    <s v="X"/>
    <x v="47"/>
    <n v="4.3775000000000004"/>
    <n v="5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38"/>
    <n v="10"/>
    <s v="CCLU7083729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43/000010"/>
    <n v="1370147832"/>
    <n v="10"/>
    <x v="0"/>
    <x v="0"/>
    <s v="A1"/>
    <n v="2100052510"/>
    <n v="201"/>
    <n v="115001758"/>
    <s v="A8372762 SCP14 BANQUET EASY CARE BLACK I          "/>
    <s v="S"/>
    <d v="2012-01-18T00:00:00"/>
    <m/>
    <s v="X"/>
    <x v="47"/>
    <n v="3.7342"/>
    <n v="4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13"/>
    <d v="2012-01-15T00:00:00"/>
    <m/>
    <n v="9321653639"/>
    <n v="10"/>
    <s v="CCLU4426721"/>
    <s v="HATSU COURAGE /0078W"/>
    <m/>
    <s v="NINGBO"/>
    <m/>
    <m/>
    <s v="ZANDRA LAM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35/000010"/>
    <n v="1370147833"/>
    <n v="10"/>
    <x v="0"/>
    <x v="0"/>
    <s v="A1"/>
    <n v="2100052530"/>
    <n v="201"/>
    <n v="115001771"/>
    <s v="A8378462 STP16LID BANQUET EASY CARE BLAC          "/>
    <s v="S"/>
    <d v="2012-01-19T00:00:00"/>
    <m/>
    <s v="X"/>
    <x v="47"/>
    <n v="4.6703000000000001"/>
    <n v="5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12"/>
    <d v="2012-01-21T00:00:00"/>
    <m/>
    <n v="9321653640"/>
    <n v="10"/>
    <s v="GESU5844328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25/000010"/>
    <n v="1370147840"/>
    <n v="10"/>
    <x v="0"/>
    <x v="0"/>
    <s v="A1"/>
    <n v="2100067622"/>
    <n v="207"/>
    <s v="H1159014       "/>
    <s v="H1159014 D.OV32LID FLAVOUR BLACK TEFAL F          "/>
    <s v="S"/>
    <d v="2012-01-31T00:00:00"/>
    <m/>
    <s v="X"/>
    <x v="47"/>
    <n v="20.812899999999999"/>
    <n v="22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41"/>
    <n v="10"/>
    <s v="CCLU6191713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24/000010"/>
    <n v="1370147853"/>
    <n v="10"/>
    <x v="0"/>
    <x v="0"/>
    <s v="A1"/>
    <n v="2100067621"/>
    <n v="207"/>
    <s v="H1155214       "/>
    <s v="H1155214 D.OV26LID FLAVOUR BLACK TEFAL F          "/>
    <s v="S"/>
    <d v="2012-01-18T00:00:00"/>
    <m/>
    <s v="X"/>
    <x v="47"/>
    <n v="15.3713"/>
    <n v="16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42"/>
    <n v="10"/>
    <s v="CCLU6023875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524/000010"/>
    <n v="1370147854"/>
    <n v="10"/>
    <x v="0"/>
    <x v="0"/>
    <s v="A1"/>
    <n v="2100064659"/>
    <n v="205"/>
    <n v="115003144"/>
    <s v="C8110764 FP30 ESSENC ELEGANCE II SS UNCO          "/>
    <s v="S"/>
    <d v="2012-02-01T00:00:00"/>
    <m/>
    <s v="X"/>
    <x v="47"/>
    <n v="9.9566999999999997"/>
    <n v="10"/>
    <d v="2012-01-16T00:00:00"/>
    <d v="2012-01-02T00:00:00"/>
    <n v="999"/>
    <d v="2012-01-02T00:00:00"/>
    <n v="999"/>
    <m/>
    <d v="2012-01-05T00:00:00"/>
    <n v="999"/>
    <d v="2012-01-19T00:00:00"/>
    <d v="2012-01-05T00:00:00"/>
    <n v="999"/>
    <n v="999"/>
    <x v="7"/>
    <d v="2012-01-20T00:00:00"/>
    <m/>
    <n v="9321653643"/>
    <n v="10"/>
    <s v="CCLU7052820"/>
    <s v="HATSU COURAGE V0078W"/>
    <m/>
    <s v="NINGBO"/>
    <s v="CONS-SHIP/SHIP + ETDJAN05"/>
    <m/>
    <s v="ZANDRA LAM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77/000010"/>
    <n v="1370147855"/>
    <n v="10"/>
    <x v="0"/>
    <x v="0"/>
    <s v="A1"/>
    <n v="2100055534"/>
    <n v="200"/>
    <n v="116000566"/>
    <s v="A115S184 SET 12P CLASSIC B MACH LACQ FIR          "/>
    <s v="S"/>
    <d v="2012-01-31T00:00:00"/>
    <m/>
    <s v="X"/>
    <x v="47"/>
    <n v="42.1295"/>
    <n v="44"/>
    <d v="2012-01-16T00:00:00"/>
    <d v="2012-01-02T00:00:00"/>
    <n v="1574"/>
    <d v="2012-01-02T00:00:00"/>
    <n v="1574"/>
    <m/>
    <d v="2012-01-05T00:00:00"/>
    <n v="1574"/>
    <d v="2012-01-19T00:00:00"/>
    <d v="2012-01-05T00:00:00"/>
    <n v="1574"/>
    <n v="787"/>
    <x v="7"/>
    <d v="2012-01-20T00:00:00"/>
    <m/>
    <n v="9321653644"/>
    <n v="10"/>
    <s v="CCLU7015679"/>
    <s v="HATSU COURAGE V0078W"/>
    <m/>
    <s v="NINGBO"/>
    <s v="CONS-SHIP/SHIP + ETDJAN05"/>
    <m/>
    <s v="ZANDRA LAM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77/000010"/>
    <n v="1370147855"/>
    <n v="10"/>
    <x v="0"/>
    <x v="0"/>
    <s v="A1"/>
    <n v="2100055534"/>
    <n v="200"/>
    <n v="116000566"/>
    <s v="A115S184 SET 12P CLASSIC B MACH LACQ FIR          "/>
    <s v="S"/>
    <d v="2012-01-31T00:00:00"/>
    <m/>
    <s v="X"/>
    <x v="47"/>
    <n v="42.1295"/>
    <n v="44"/>
    <d v="2012-01-16T00:00:00"/>
    <d v="2012-01-02T00:00:00"/>
    <n v="1574"/>
    <d v="2012-01-02T00:00:00"/>
    <n v="1574"/>
    <m/>
    <d v="2012-01-05T00:00:00"/>
    <n v="1574"/>
    <d v="2012-01-19T00:00:00"/>
    <d v="2012-01-05T00:00:00"/>
    <n v="1574"/>
    <n v="787"/>
    <x v="7"/>
    <d v="2012-01-20T00:00:00"/>
    <m/>
    <n v="9321653644"/>
    <n v="10"/>
    <s v="TGHU9227815"/>
    <s v="HATSU COURAGE V0078W"/>
    <m/>
    <s v="NINGBO"/>
    <s v="CONS-SHIP/SHIP + ETDJAN05"/>
    <m/>
    <s v="ZANDRA LAM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95/000010"/>
    <n v="1370147856"/>
    <n v="10"/>
    <x v="0"/>
    <x v="0"/>
    <s v="A2"/>
    <n v="7114000252"/>
    <n v="254"/>
    <n v="114000252"/>
    <s v="P2500736 SECURE 5 6QT AE                          "/>
    <s v="S"/>
    <d v="2012-01-17T00:00:00"/>
    <m/>
    <s v="X"/>
    <x v="47"/>
    <n v="28.470500000000001"/>
    <n v="28"/>
    <d v="2012-01-16T00:00:00"/>
    <d v="2012-01-02T00:00:00"/>
    <n v="850"/>
    <d v="2012-01-02T00:00:00"/>
    <n v="850"/>
    <m/>
    <d v="2012-01-05T00:00:00"/>
    <n v="850"/>
    <d v="2012-01-19T00:00:00"/>
    <d v="2012-01-05T00:00:00"/>
    <n v="850"/>
    <n v="850"/>
    <x v="13"/>
    <d v="2012-01-15T00:00:00"/>
    <m/>
    <n v="9321653645"/>
    <n v="10"/>
    <s v="CCLU4291652"/>
    <s v="HATSU COURAGE /0078W"/>
    <m/>
    <s v="NINGBO"/>
    <m/>
    <m/>
    <s v="ZANDRA LAM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73/000010"/>
    <n v="1370147857"/>
    <n v="10"/>
    <x v="0"/>
    <x v="0"/>
    <s v="A1"/>
    <n v="2100055538"/>
    <n v="200"/>
    <n v="116000565"/>
    <s v="A115S484 SET 9P CLASSIC B DRES LACQ FIRE          "/>
    <s v="S"/>
    <d v="2012-01-31T00:00:00"/>
    <m/>
    <s v="X"/>
    <x v="47"/>
    <n v="34.666499999999999"/>
    <n v="36"/>
    <d v="2012-01-16T00:00:00"/>
    <d v="2012-01-02T00:00:00"/>
    <n v="1848"/>
    <d v="2012-01-02T00:00:00"/>
    <n v="1848"/>
    <m/>
    <d v="2012-01-05T00:00:00"/>
    <n v="1848"/>
    <d v="2012-01-19T00:00:00"/>
    <d v="2012-01-05T00:00:00"/>
    <n v="1848"/>
    <n v="950"/>
    <x v="7"/>
    <d v="2012-01-20T00:00:00"/>
    <m/>
    <n v="9321653646"/>
    <n v="10"/>
    <s v="CCLU6393627"/>
    <s v="HATSU COURAGE V0078W"/>
    <m/>
    <s v="NINGBO"/>
    <s v="CONS-SHIP/SHIP + ETDJAN05"/>
    <m/>
    <s v="ZANDRA LAM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73/000010"/>
    <n v="1370147857"/>
    <n v="10"/>
    <x v="0"/>
    <x v="0"/>
    <s v="A1"/>
    <n v="2100055538"/>
    <n v="200"/>
    <n v="116000565"/>
    <s v="A115S484 SET 9P CLASSIC B DRES LACQ FIRE          "/>
    <s v="S"/>
    <d v="2012-01-18T00:00:00"/>
    <m/>
    <s v="X"/>
    <x v="47"/>
    <n v="34.666499999999999"/>
    <n v="36"/>
    <d v="2012-01-16T00:00:00"/>
    <d v="2012-01-02T00:00:00"/>
    <n v="1848"/>
    <d v="2012-01-02T00:00:00"/>
    <n v="1848"/>
    <m/>
    <d v="2012-01-05T00:00:00"/>
    <n v="1848"/>
    <d v="2012-01-19T00:00:00"/>
    <d v="2012-01-05T00:00:00"/>
    <n v="1848"/>
    <n v="898"/>
    <x v="19"/>
    <d v="2012-01-31T00:00:00"/>
    <m/>
    <n v="9321653646"/>
    <n v="10"/>
    <s v="CCLU7184914"/>
    <s v="HATSU COURAGE /0078W"/>
    <m/>
    <s v="NINGBO"/>
    <s v="CONS-SHIP/SHIP + ETDJAN05"/>
    <m/>
    <s v="ZANDRA LAM"/>
    <s v="FO9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2"/>
    <x v="0"/>
    <x v="0"/>
    <x v="0"/>
    <n v="0"/>
    <n v="0"/>
    <n v="0"/>
    <n v="0"/>
    <n v="0"/>
    <n v="0"/>
    <x v="1"/>
    <x v="0"/>
    <x v="1"/>
    <x v="0"/>
  </r>
  <r>
    <s v="Shipment"/>
    <n v="99103498"/>
    <s v="GSE/DSV BLP WAREHOUSE YANTIAN                     "/>
    <n v="99005151"/>
    <x v="18"/>
    <s v="9321652279/000010"/>
    <n v="1370147858"/>
    <n v="10"/>
    <x v="0"/>
    <x v="0"/>
    <s v="A1"/>
    <n v="2100055537"/>
    <n v="200"/>
    <n v="116000568"/>
    <s v="A115S384 SET 22P CLASSIC B MACH LACQ FIR          "/>
    <s v="S"/>
    <d v="2012-01-31T00:00:00"/>
    <m/>
    <s v="X"/>
    <x v="47"/>
    <n v="54.622599999999998"/>
    <n v="57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96"/>
    <x v="12"/>
    <d v="2012-01-21T00:00:00"/>
    <m/>
    <n v="9321653647"/>
    <n v="10"/>
    <s v="CCLU6191713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79/000010"/>
    <n v="1370147858"/>
    <n v="10"/>
    <x v="0"/>
    <x v="0"/>
    <s v="A1"/>
    <n v="2100055537"/>
    <n v="200"/>
    <n v="116000568"/>
    <s v="A115S384 SET 22P CLASSIC B MACH LACQ FIR          "/>
    <s v="S"/>
    <d v="2012-01-31T00:00:00"/>
    <m/>
    <s v="X"/>
    <x v="47"/>
    <n v="54.622599999999998"/>
    <n v="57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804"/>
    <x v="12"/>
    <d v="2012-01-21T00:00:00"/>
    <m/>
    <n v="9321653647"/>
    <n v="10"/>
    <s v="CCLU6141409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56/000010"/>
    <n v="1370147859"/>
    <n v="10"/>
    <x v="0"/>
    <x v="0"/>
    <s v="A1"/>
    <n v="2100052516"/>
    <n v="201"/>
    <n v="115001765"/>
    <s v="A8374662 D.OV24LID BANQUET EASY CARE BLA          "/>
    <s v="S"/>
    <d v="2012-01-18T00:00:00"/>
    <m/>
    <s v="X"/>
    <x v="47"/>
    <n v="8.8376999999999999"/>
    <n v="9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48"/>
    <n v="10"/>
    <s v="CCLU7083729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58/000010"/>
    <n v="1370147860"/>
    <n v="10"/>
    <x v="0"/>
    <x v="0"/>
    <s v="A1"/>
    <n v="2100052529"/>
    <n v="201"/>
    <n v="115001784"/>
    <s v="A8370862 FP32 BANQUET EASY CARE BLACK IR          "/>
    <s v="S"/>
    <d v="2012-01-18T00:00:00"/>
    <m/>
    <s v="X"/>
    <x v="47"/>
    <n v="6.1973000000000003"/>
    <n v="7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49"/>
    <n v="10"/>
    <s v="CCLU6459149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49/000010"/>
    <n v="1370147861"/>
    <n v="10"/>
    <x v="0"/>
    <x v="0"/>
    <s v="A1"/>
    <n v="2100052515"/>
    <n v="201"/>
    <n v="115001764"/>
    <s v="A8374562 D.OV22LID BANQUET EASY CARE BLA          "/>
    <s v="S"/>
    <d v="2012-01-17T00:00:00"/>
    <m/>
    <s v="X"/>
    <x v="47"/>
    <n v="8.0663999999999998"/>
    <n v="8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50"/>
    <n v="10"/>
    <s v="CCLU4714034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46/000010"/>
    <n v="1370147862"/>
    <n v="10"/>
    <x v="0"/>
    <x v="0"/>
    <s v="A1"/>
    <n v="2100052521"/>
    <n v="201"/>
    <n v="115001770"/>
    <s v="A8379762 D.OV36LID BANQUET EASY CARE BLA          "/>
    <s v="S"/>
    <d v="2012-01-18T00:00:00"/>
    <m/>
    <s v="X"/>
    <x v="47"/>
    <n v="16.480499999999999"/>
    <n v="17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51"/>
    <n v="10"/>
    <s v="CCLU6459149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36/000010"/>
    <n v="1370147863"/>
    <n v="10"/>
    <x v="0"/>
    <x v="0"/>
    <s v="A1"/>
    <n v="2100052522"/>
    <n v="201"/>
    <n v="115001778"/>
    <s v="A8370162 FP18 BANQUET EASY CARE BLACK IR          "/>
    <s v="S"/>
    <d v="2012-01-19T00:00:00"/>
    <m/>
    <s v="X"/>
    <x v="47"/>
    <n v="3.3542000000000001"/>
    <n v="4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12"/>
    <d v="2012-01-21T00:00:00"/>
    <m/>
    <n v="9321653652"/>
    <n v="10"/>
    <s v="GESU5844328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32/000010"/>
    <n v="1370147864"/>
    <n v="10"/>
    <x v="0"/>
    <x v="0"/>
    <s v="A1"/>
    <n v="2100052523"/>
    <n v="201"/>
    <n v="115001779"/>
    <s v="A8370262 FP20 BANQUET EASY CARE BLACK IR          "/>
    <s v="S"/>
    <d v="2012-01-18T00:00:00"/>
    <m/>
    <s v="X"/>
    <x v="47"/>
    <n v="3.6623999999999999"/>
    <n v="4"/>
    <d v="2012-01-16T00:00:00"/>
    <d v="2012-01-02T00:00:00"/>
    <n v="1002"/>
    <d v="2012-01-02T00:00:00"/>
    <n v="1002"/>
    <m/>
    <d v="2012-01-05T00:00:00"/>
    <n v="1002"/>
    <d v="2012-01-19T00:00:00"/>
    <d v="2012-01-05T00:00:00"/>
    <n v="1002"/>
    <n v="1002"/>
    <x v="12"/>
    <d v="2012-01-21T00:00:00"/>
    <m/>
    <n v="9321653653"/>
    <n v="10"/>
    <s v="CCLU6459149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27/000010"/>
    <n v="1370147865"/>
    <n v="10"/>
    <x v="0"/>
    <x v="0"/>
    <s v="A1"/>
    <n v="2100052527"/>
    <n v="201"/>
    <n v="115001782"/>
    <s v="A8370662 FP28 BANQUET EASY CARE BLACK IR          "/>
    <s v="S"/>
    <d v="2012-01-17T00:00:00"/>
    <m/>
    <s v="X"/>
    <x v="47"/>
    <n v="5.3449"/>
    <n v="6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3"/>
    <d v="2012-01-15T00:00:00"/>
    <m/>
    <n v="9321653654"/>
    <n v="10"/>
    <s v="CCLU4291652"/>
    <s v="HATSU COURAGE /0078W"/>
    <m/>
    <s v="NINGBO"/>
    <m/>
    <m/>
    <s v="ZANDRA LAM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23/000010"/>
    <n v="1370147866"/>
    <n v="10"/>
    <x v="0"/>
    <x v="0"/>
    <s v="A1"/>
    <n v="2100067618"/>
    <n v="207"/>
    <s v="H1152314       "/>
    <s v="H1152314 SCP18LID FLAVOUR BLACK TEFAL FC          "/>
    <s v="S"/>
    <d v="2012-01-31T00:00:00"/>
    <m/>
    <s v="X"/>
    <x v="47"/>
    <n v="10.037599999999999"/>
    <n v="11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55"/>
    <n v="10"/>
    <s v="CCLU7322757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19/000010"/>
    <n v="1370147875"/>
    <n v="10"/>
    <x v="0"/>
    <x v="0"/>
    <s v="A1"/>
    <n v="2100063375"/>
    <n v="207"/>
    <n v="115003043"/>
    <s v="H1153214 STP24+LID FLAVOUR TP3 BLACK TEF          "/>
    <s v="S"/>
    <d v="2012-01-18T00:00:00"/>
    <m/>
    <s v="X"/>
    <x v="47"/>
    <n v="11.9529"/>
    <n v="13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56"/>
    <n v="10"/>
    <s v="CCLU7083729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20/000010"/>
    <n v="1370147876"/>
    <n v="10"/>
    <x v="0"/>
    <x v="0"/>
    <s v="A1"/>
    <n v="2100063369"/>
    <n v="207"/>
    <n v="115003037"/>
    <s v="H1150414 FP24 FLAVOUR TP3 BLACK TEFAL FC          "/>
    <s v="S"/>
    <d v="2012-01-18T00:00:00"/>
    <m/>
    <s v="X"/>
    <x v="47"/>
    <n v="8.8114000000000008"/>
    <n v="9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3"/>
    <d v="2012-01-15T00:00:00"/>
    <m/>
    <n v="9321653657"/>
    <n v="10"/>
    <s v="CCLU4426721"/>
    <s v="HATSU COURAGE /0078W"/>
    <m/>
    <s v="NINGBO"/>
    <m/>
    <m/>
    <s v="ZANDRA LAM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22/000010"/>
    <n v="1370147877"/>
    <n v="10"/>
    <x v="0"/>
    <x v="0"/>
    <s v="A1"/>
    <n v="2100063371"/>
    <n v="207"/>
    <n v="115003039"/>
    <s v="H1150614 FP28 FLAVOUR TP3 BLACK TEFAL FC          "/>
    <s v="S"/>
    <d v="2012-01-18T00:00:00"/>
    <m/>
    <s v="X"/>
    <x v="47"/>
    <n v="10.398"/>
    <n v="11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3"/>
    <d v="2012-01-15T00:00:00"/>
    <m/>
    <n v="9321653658"/>
    <n v="10"/>
    <s v="CCLU4426721"/>
    <s v="HATSU COURAGE /0078W"/>
    <m/>
    <s v="NINGBO"/>
    <m/>
    <m/>
    <s v="ZANDRA LAM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523/000010"/>
    <n v="1370147881"/>
    <n v="10"/>
    <x v="0"/>
    <x v="0"/>
    <s v="A1"/>
    <n v="2100066287"/>
    <n v="205"/>
    <n v="115003228"/>
    <s v="C8110564 FP26 ESSENCIA VOLUPTY SS UNCOAT          "/>
    <s v="S"/>
    <d v="2012-02-01T00:00:00"/>
    <m/>
    <s v="X"/>
    <x v="47"/>
    <n v="8.5531000000000006"/>
    <n v="9"/>
    <d v="2012-01-16T00:00:00"/>
    <d v="2012-01-02T00:00:00"/>
    <n v="999"/>
    <d v="2012-01-02T00:00:00"/>
    <n v="999"/>
    <m/>
    <d v="2012-01-05T00:00:00"/>
    <n v="999"/>
    <d v="2012-01-19T00:00:00"/>
    <d v="2012-01-05T00:00:00"/>
    <n v="999"/>
    <n v="999"/>
    <x v="7"/>
    <d v="2012-01-20T00:00:00"/>
    <m/>
    <n v="9321653659"/>
    <n v="10"/>
    <s v="CCLU7052820"/>
    <s v="HATSU COURAGE V0078W"/>
    <m/>
    <s v="NINGBO"/>
    <s v="CONS-SHIP/SHIP + ETDJAN05"/>
    <m/>
    <s v="ZANDRA LAM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78/000010"/>
    <n v="1370147882"/>
    <n v="10"/>
    <x v="0"/>
    <x v="0"/>
    <s v="A1"/>
    <n v="2100055536"/>
    <n v="200"/>
    <n v="116000567"/>
    <s v="A115S284 SET 15P CLASSIC B MACH LACQ FIR          "/>
    <s v="S"/>
    <d v="2012-01-31T00:00:00"/>
    <m/>
    <s v="X"/>
    <x v="47"/>
    <n v="52.4482"/>
    <n v="55"/>
    <d v="2012-01-16T00:00:00"/>
    <d v="2012-01-02T00:00:00"/>
    <n v="1160"/>
    <d v="2012-01-02T00:00:00"/>
    <n v="1160"/>
    <m/>
    <d v="2012-01-05T00:00:00"/>
    <n v="1160"/>
    <d v="2012-01-19T00:00:00"/>
    <d v="2012-01-05T00:00:00"/>
    <n v="1160"/>
    <n v="570"/>
    <x v="12"/>
    <d v="2012-01-21T00:00:00"/>
    <m/>
    <n v="9321653660"/>
    <n v="10"/>
    <s v="CCLU6169598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78/000010"/>
    <n v="1370147882"/>
    <n v="10"/>
    <x v="0"/>
    <x v="0"/>
    <s v="A1"/>
    <n v="2100055536"/>
    <n v="200"/>
    <n v="116000567"/>
    <s v="A115S284 SET 15P CLASSIC B MACH LACQ FIR          "/>
    <s v="S"/>
    <d v="2012-01-31T00:00:00"/>
    <m/>
    <s v="X"/>
    <x v="47"/>
    <n v="52.4482"/>
    <n v="55"/>
    <d v="2012-01-16T00:00:00"/>
    <d v="2012-01-02T00:00:00"/>
    <n v="1160"/>
    <d v="2012-01-02T00:00:00"/>
    <n v="1160"/>
    <m/>
    <d v="2012-01-05T00:00:00"/>
    <n v="1160"/>
    <d v="2012-01-19T00:00:00"/>
    <d v="2012-01-05T00:00:00"/>
    <n v="1160"/>
    <n v="570"/>
    <x v="12"/>
    <d v="2012-01-21T00:00:00"/>
    <m/>
    <n v="9321653660"/>
    <n v="10"/>
    <s v="CCLU6684936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78/000010"/>
    <n v="1370147882"/>
    <n v="10"/>
    <x v="0"/>
    <x v="0"/>
    <s v="A1"/>
    <n v="2100055536"/>
    <n v="200"/>
    <n v="116000567"/>
    <s v="A115S284 SET 15P CLASSIC B MACH LACQ FIR          "/>
    <s v="S"/>
    <d v="2012-01-31T00:00:00"/>
    <m/>
    <s v="X"/>
    <x v="47"/>
    <n v="52.4482"/>
    <n v="55"/>
    <d v="2012-01-16T00:00:00"/>
    <d v="2012-01-02T00:00:00"/>
    <n v="1160"/>
    <d v="2012-01-02T00:00:00"/>
    <n v="1160"/>
    <m/>
    <d v="2012-01-05T00:00:00"/>
    <n v="1160"/>
    <d v="2012-01-19T00:00:00"/>
    <d v="2012-01-05T00:00:00"/>
    <n v="1160"/>
    <n v="20"/>
    <x v="12"/>
    <d v="2012-01-21T00:00:00"/>
    <m/>
    <n v="9321653660"/>
    <n v="10"/>
    <s v="CCLU6191713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264/000010"/>
    <n v="1370147883"/>
    <n v="10"/>
    <x v="0"/>
    <x v="0"/>
    <s v="A1"/>
    <n v="2100052519"/>
    <n v="201"/>
    <n v="115001768"/>
    <s v="A8375462 D.OV30LID BANQUET EASY CARE BLA          "/>
    <s v="S"/>
    <d v="2012-01-17T00:00:00"/>
    <m/>
    <s v="X"/>
    <x v="47"/>
    <n v="12.0792"/>
    <n v="13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53661"/>
    <n v="10"/>
    <s v="CCLU4714034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80/000001"/>
    <n v="1370147887"/>
    <n v="10"/>
    <x v="0"/>
    <x v="0"/>
    <s v="A2"/>
    <n v="7114000211"/>
    <n v="254"/>
    <n v="114000211"/>
    <s v="P2514232 SECURE 5 4QT KR                          "/>
    <s v="S"/>
    <d v="2012-01-19T00:00:00"/>
    <m/>
    <s v="X"/>
    <x v="47"/>
    <n v="24.008199999999999"/>
    <n v="9"/>
    <d v="2012-02-01T00:00:00"/>
    <d v="2012-01-18T00:00:00"/>
    <n v="1034"/>
    <d v="2012-01-18T00:00:00"/>
    <n v="1034"/>
    <m/>
    <d v="2012-01-18T00:00:00"/>
    <n v="1034"/>
    <d v="2012-02-01T00:00:00"/>
    <d v="2012-01-18T00:00:00"/>
    <n v="1034"/>
    <n v="1034"/>
    <x v="21"/>
    <d v="2012-02-01T00:00:00"/>
    <m/>
    <n v="9321653662"/>
    <n v="10"/>
    <s v="PONU2057485"/>
    <s v="STAR MARINER 191E"/>
    <m/>
    <s v="NINGBO"/>
    <m/>
    <m/>
    <s v="AGNES NUNES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01"/>
    <n v="1370147889"/>
    <n v="10"/>
    <x v="0"/>
    <x v="0"/>
    <s v="A1"/>
    <n v="2100066549"/>
    <n v="205"/>
    <n v="116001072"/>
    <s v="A600S614 SET 6P FUNDAMENTAL SS COAT TEF           "/>
    <s v="S"/>
    <d v="2012-01-06T00:00:00"/>
    <m/>
    <s v="X"/>
    <x v="47"/>
    <n v="29.689399999999999"/>
    <n v="14"/>
    <d v="2012-01-17T00:00:00"/>
    <d v="2012-01-03T00:00:00"/>
    <n v="1500"/>
    <d v="2012-01-03T00:00:00"/>
    <n v="1500"/>
    <m/>
    <d v="2012-01-04T00:00:00"/>
    <n v="1500"/>
    <d v="2012-01-18T00:00:00"/>
    <d v="2012-01-04T00:00:00"/>
    <n v="1500"/>
    <n v="1500"/>
    <x v="6"/>
    <d v="2012-01-19T00:00:00"/>
    <m/>
    <n v="9321653663"/>
    <n v="10"/>
    <s v="MSKU1112443"/>
    <s v="STAR MARINER/190E"/>
    <m/>
    <s v="NINGBO"/>
    <m/>
    <m/>
    <s v="AGNES NUNES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02"/>
    <n v="1370147889"/>
    <n v="20"/>
    <x v="0"/>
    <x v="0"/>
    <s v="A1"/>
    <n v="2100063369"/>
    <n v="207"/>
    <n v="115003037"/>
    <s v="H1150414 FP24 FLAVOUR TP3 BLACK TEFAL FC          "/>
    <s v="S"/>
    <d v="2012-01-06T00:00:00"/>
    <m/>
    <s v="X"/>
    <x v="47"/>
    <n v="8.8114000000000008"/>
    <n v="14"/>
    <d v="2012-01-17T00:00:00"/>
    <d v="2012-01-03T00:00:00"/>
    <n v="1000"/>
    <d v="2012-01-03T00:00:00"/>
    <n v="1000"/>
    <m/>
    <d v="2012-01-04T00:00:00"/>
    <n v="1000"/>
    <d v="2012-01-18T00:00:00"/>
    <d v="2012-01-04T00:00:00"/>
    <n v="1000"/>
    <n v="1000"/>
    <x v="6"/>
    <d v="2012-01-19T00:00:00"/>
    <m/>
    <n v="9321653663"/>
    <n v="20"/>
    <s v="PONU7380905"/>
    <s v="STAR MARINER/190E"/>
    <m/>
    <s v="NINGBO"/>
    <s v="C-POST-CONF/"/>
    <m/>
    <s v="AGNES NUNES"/>
    <s v="FO9"/>
    <s v="COOKWARE                      "/>
    <s v="CONFIRMED"/>
    <n v="1"/>
    <n v="1"/>
    <d v="2012-01-05T00:00:00"/>
    <s v="COOKWARE                      "/>
    <s v="COOKWARE                      "/>
    <x v="0"/>
    <x v="0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03"/>
    <n v="1370147889"/>
    <n v="130"/>
    <x v="0"/>
    <x v="0"/>
    <s v="A1"/>
    <n v="2100065017"/>
    <n v="207"/>
    <n v="115003046"/>
    <s v="H1154114 MEAT GRILL PAN 31 FLAVOUR BLACK          "/>
    <s v="S"/>
    <d v="2012-01-06T00:00:00"/>
    <m/>
    <s v="X"/>
    <x v="47"/>
    <n v="10.1965"/>
    <n v="14"/>
    <d v="2012-01-17T00:00:00"/>
    <d v="2012-01-03T00:00:00"/>
    <n v="1002"/>
    <d v="2012-01-03T00:00:00"/>
    <n v="1002"/>
    <m/>
    <d v="2012-01-04T00:00:00"/>
    <n v="2004"/>
    <d v="2012-01-18T00:00:00"/>
    <d v="2012-01-04T00:00:00"/>
    <n v="1002"/>
    <n v="1002"/>
    <x v="6"/>
    <d v="2012-01-19T00:00:00"/>
    <m/>
    <n v="9321653663"/>
    <n v="30"/>
    <s v="PONU7380905"/>
    <s v="STAR MARINER/190E"/>
    <m/>
    <s v="NINGBO"/>
    <m/>
    <m/>
    <s v="AGNES NUNES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04"/>
    <n v="1370147889"/>
    <n v="190"/>
    <x v="0"/>
    <x v="0"/>
    <s v="A2"/>
    <n v="7114000211"/>
    <n v="254"/>
    <n v="114000211"/>
    <s v="P2514232 SECURE 5 4QT KR                          "/>
    <s v="S"/>
    <d v="2012-01-06T00:00:00"/>
    <m/>
    <s v="X"/>
    <x v="47"/>
    <n v="24.008199999999999"/>
    <n v="14"/>
    <d v="2012-01-17T00:00:00"/>
    <d v="2012-01-03T00:00:00"/>
    <n v="1034"/>
    <d v="2012-01-03T00:00:00"/>
    <n v="1034"/>
    <m/>
    <d v="2012-01-04T00:00:00"/>
    <n v="3102"/>
    <d v="2012-01-18T00:00:00"/>
    <d v="2012-01-04T00:00:00"/>
    <n v="1034"/>
    <n v="1034"/>
    <x v="6"/>
    <d v="2012-01-19T00:00:00"/>
    <m/>
    <n v="9321653663"/>
    <n v="40"/>
    <s v="PONU7380905"/>
    <s v="STAR MARINER/190E"/>
    <m/>
    <s v="NINGBO"/>
    <m/>
    <m/>
    <s v="AGNES NUNES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05"/>
    <n v="1370147889"/>
    <n v="200"/>
    <x v="0"/>
    <x v="0"/>
    <s v="A2"/>
    <n v="7114000327"/>
    <n v="254"/>
    <n v="114000327"/>
    <s v="P2514234 SECURE5 4L KOREA                         "/>
    <s v="S"/>
    <d v="2012-01-06T00:00:00"/>
    <m/>
    <s v="X"/>
    <x v="47"/>
    <n v="26.4818"/>
    <n v="14"/>
    <d v="2012-01-17T00:00:00"/>
    <d v="2012-01-03T00:00:00"/>
    <n v="5000"/>
    <d v="2012-01-03T00:00:00"/>
    <n v="5000"/>
    <m/>
    <d v="2012-01-04T00:00:00"/>
    <n v="15000"/>
    <d v="2012-01-18T00:00:00"/>
    <d v="2012-01-04T00:00:00"/>
    <n v="5000"/>
    <n v="2160"/>
    <x v="6"/>
    <d v="2012-01-19T00:00:00"/>
    <m/>
    <n v="9321653663"/>
    <n v="50"/>
    <s v="MSKU1329070"/>
    <s v="STAR MARINER/190E"/>
    <m/>
    <s v="NINGBO"/>
    <m/>
    <m/>
    <s v="AGNES NUNES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05"/>
    <n v="1370147889"/>
    <n v="200"/>
    <x v="0"/>
    <x v="0"/>
    <s v="A2"/>
    <n v="7114000327"/>
    <n v="254"/>
    <n v="114000327"/>
    <s v="P2514234 SECURE5 4L KOREA                         "/>
    <s v="S"/>
    <d v="2012-01-06T00:00:00"/>
    <m/>
    <s v="X"/>
    <x v="47"/>
    <n v="26.4818"/>
    <n v="14"/>
    <d v="2012-01-17T00:00:00"/>
    <d v="2012-01-03T00:00:00"/>
    <n v="5000"/>
    <d v="2012-01-03T00:00:00"/>
    <n v="5000"/>
    <m/>
    <d v="2012-01-04T00:00:00"/>
    <n v="15000"/>
    <d v="2012-01-18T00:00:00"/>
    <d v="2012-01-04T00:00:00"/>
    <n v="5000"/>
    <n v="680"/>
    <x v="6"/>
    <d v="2012-01-19T00:00:00"/>
    <m/>
    <n v="9321653663"/>
    <n v="50"/>
    <s v="PONU7380905"/>
    <s v="STAR MARINER/190E"/>
    <m/>
    <s v="NINGBO"/>
    <m/>
    <m/>
    <s v="AGNES NUNES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05"/>
    <n v="1370147889"/>
    <n v="200"/>
    <x v="0"/>
    <x v="0"/>
    <s v="A2"/>
    <n v="7114000327"/>
    <n v="254"/>
    <n v="114000327"/>
    <s v="P2514234 SECURE5 4L KOREA                         "/>
    <s v="S"/>
    <d v="2012-01-06T00:00:00"/>
    <m/>
    <s v="X"/>
    <x v="47"/>
    <n v="26.4818"/>
    <n v="14"/>
    <d v="2012-01-17T00:00:00"/>
    <d v="2012-01-03T00:00:00"/>
    <n v="5000"/>
    <d v="2012-01-03T00:00:00"/>
    <n v="5000"/>
    <m/>
    <d v="2012-01-04T00:00:00"/>
    <n v="15000"/>
    <d v="2012-01-18T00:00:00"/>
    <d v="2012-01-04T00:00:00"/>
    <n v="5000"/>
    <n v="2160"/>
    <x v="6"/>
    <d v="2012-01-19T00:00:00"/>
    <m/>
    <n v="9321653663"/>
    <n v="50"/>
    <s v="MSKU9365237"/>
    <s v="STAR MARINER/190E"/>
    <m/>
    <s v="NINGBO"/>
    <m/>
    <m/>
    <s v="AGNES NUNES"/>
    <s v="FO9"/>
    <s v="COOKWARE                      "/>
    <s v="CONFIRMED"/>
    <n v="1"/>
    <n v="1"/>
    <d v="2012-01-0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51565/000010"/>
    <n v="1370147908"/>
    <n v="10"/>
    <x v="0"/>
    <x v="0"/>
    <s v="A1"/>
    <n v="2100046390"/>
    <n v="205"/>
    <n v="115001163"/>
    <s v="B8010705 FP30 4U SS COATED FCE                    "/>
    <s v="S"/>
    <d v="2012-01-17T00:00:00"/>
    <m/>
    <s v="X"/>
    <x v="47"/>
    <n v="11.8224"/>
    <n v="9"/>
    <d v="2012-02-03T00:00:00"/>
    <d v="2011-12-30T00:00:00"/>
    <n v="1002"/>
    <d v="2012-01-14T00:00:00"/>
    <n v="1002"/>
    <m/>
    <d v="2011-12-31T00:00:00"/>
    <n v="1002"/>
    <d v="2012-02-18T00:00:00"/>
    <d v="2012-01-14T00:00:00"/>
    <n v="1002"/>
    <n v="1002"/>
    <x v="11"/>
    <d v="2012-02-19T00:00:00"/>
    <m/>
    <n v="9321653665"/>
    <n v="10"/>
    <s v="APZU4064954"/>
    <s v="APL HAMBURG/015W"/>
    <m/>
    <s v="NINGBO"/>
    <s v="C-POST-NEG"/>
    <m/>
    <s v="JASON FAN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52366/000010"/>
    <n v="1370147954"/>
    <n v="10"/>
    <x v="0"/>
    <x v="0"/>
    <s v="A1"/>
    <n v="2100046386"/>
    <n v="205"/>
    <n v="115001159"/>
    <s v="B8010205 FP20 4U SS COATED FCE                    "/>
    <s v="S"/>
    <d v="2012-01-12T00:00:00"/>
    <m/>
    <s v="X"/>
    <x v="47"/>
    <n v="8.1095000000000006"/>
    <n v="6"/>
    <d v="2012-02-10T00:00:00"/>
    <d v="2012-01-06T00:00:00"/>
    <n v="2508"/>
    <d v="2012-01-06T00:00:00"/>
    <n v="2508"/>
    <m/>
    <d v="2012-01-07T00:00:00"/>
    <n v="2508"/>
    <d v="2012-02-11T00:00:00"/>
    <d v="2012-01-07T00:00:00"/>
    <n v="2508"/>
    <n v="2508"/>
    <x v="23"/>
    <d v="2012-02-12T00:00:00"/>
    <m/>
    <n v="9321653669"/>
    <n v="10"/>
    <s v="TRLU6991305"/>
    <s v="BUSAN EXPRESS/04W01"/>
    <m/>
    <s v="NINGBO"/>
    <s v="LATE DOC FROM FORWARDER"/>
    <m/>
    <s v="JASON FAN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0648/000010"/>
    <n v="1370147229"/>
    <n v="10"/>
    <x v="22"/>
    <x v="22"/>
    <s v="N4"/>
    <n v="7211000528"/>
    <n v="177"/>
    <n v="211000528"/>
    <s v="FF104115 FRY MAXI COMPACT FB WHT/BLK GB           "/>
    <s v="S"/>
    <d v="2012-02-02T00:00:00"/>
    <m/>
    <s v="X"/>
    <x v="47"/>
    <n v="19.7773"/>
    <n v="13"/>
    <d v="2012-03-12T00:00:00"/>
    <d v="2012-02-06T00:00:00"/>
    <n v="1970"/>
    <d v="2012-01-19T00:00:00"/>
    <n v="1970"/>
    <m/>
    <d v="2012-02-02T00:00:00"/>
    <n v="1970"/>
    <d v="2012-02-23T00:00:00"/>
    <d v="2012-01-19T00:00:00"/>
    <n v="1970"/>
    <n v="1970"/>
    <x v="1"/>
    <d v="2012-02-27T00:00:00"/>
    <m/>
    <n v="9321653674"/>
    <n v="10"/>
    <s v="CAXU9001871"/>
    <s v="CSCL OCEANIA 0653W/"/>
    <m/>
    <s v="NINGBO"/>
    <s v="SP-HOLIDAY/docs received on 1-Feb"/>
    <m/>
    <s v="KENUS WONG"/>
    <s v="FO9"/>
    <s v="ELECTRICAL COOKING            "/>
    <s v="CONFIRMED"/>
    <n v="1"/>
    <n v="4"/>
    <d v="2012-01-23T00:00:00"/>
    <s v="KITCHEN ELECTRICS             "/>
    <s v="ELECTRICAL COOKING            "/>
    <x v="0"/>
    <x v="0"/>
    <x v="7"/>
    <s v="SP-HOLIDAY"/>
    <n v="-3"/>
    <n v="-3"/>
    <x v="6"/>
    <n v="2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0642/000010"/>
    <n v="1370147231"/>
    <n v="10"/>
    <x v="22"/>
    <x v="22"/>
    <s v="N4"/>
    <n v="7211000528"/>
    <n v="177"/>
    <n v="211000528"/>
    <s v="FF104115 FRY MAXI COMPACT FB WHT/BLK GB           "/>
    <s v="S"/>
    <d v="2012-01-06T00:00:00"/>
    <m/>
    <s v="X"/>
    <x v="47"/>
    <n v="19.255800000000001"/>
    <n v="13"/>
    <d v="2012-02-06T00:00:00"/>
    <d v="2012-01-02T00:00:00"/>
    <n v="1970"/>
    <d v="2012-01-02T00:00:00"/>
    <n v="1970"/>
    <m/>
    <d v="2011-12-29T00:00:00"/>
    <n v="1970"/>
    <d v="2012-02-02T00:00:00"/>
    <d v="2011-12-29T00:00:00"/>
    <n v="1970"/>
    <n v="1970"/>
    <x v="3"/>
    <d v="2012-02-06T00:00:00"/>
    <m/>
    <n v="9321653675"/>
    <n v="10"/>
    <s v="FSCU6968333"/>
    <s v="CSCL AFRICA 0650W/"/>
    <m/>
    <s v="NINGBO"/>
    <m/>
    <m/>
    <s v="KENUS WONG"/>
    <s v="FO9"/>
    <s v="ELECTRICAL COOKING            "/>
    <s v="CONFIRMED"/>
    <n v="1"/>
    <n v="1"/>
    <d v="2012-01-02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0647/000010"/>
    <n v="1370147232"/>
    <n v="10"/>
    <x v="22"/>
    <x v="22"/>
    <s v="N4"/>
    <n v="7211000528"/>
    <n v="177"/>
    <n v="211000528"/>
    <s v="FF104115 FRY MAXI COMPACT FB WHT/BLK GB           "/>
    <s v="S"/>
    <d v="2012-02-02T00:00:00"/>
    <m/>
    <s v="X"/>
    <x v="47"/>
    <n v="19.7773"/>
    <n v="13"/>
    <d v="2012-03-05T00:00:00"/>
    <d v="2012-01-30T00:00:00"/>
    <n v="1970"/>
    <d v="2012-01-19T00:00:00"/>
    <n v="1970"/>
    <m/>
    <d v="2012-01-26T00:00:00"/>
    <n v="1970"/>
    <d v="2012-02-23T00:00:00"/>
    <d v="2012-01-19T00:00:00"/>
    <n v="1970"/>
    <n v="1970"/>
    <x v="1"/>
    <d v="2012-02-27T00:00:00"/>
    <m/>
    <n v="9321653676"/>
    <n v="10"/>
    <s v="CAXU9043460"/>
    <s v="CSCL OCEANIA 0653W/"/>
    <m/>
    <s v="NINGBO"/>
    <s v="SP-HOLIDAY/C-PULLIN-CONF/received docs on 1-Feb"/>
    <m/>
    <s v="KENUS WONG"/>
    <s v="FO9"/>
    <s v="ELECTRICAL COOKING            "/>
    <s v="CONFIRMED"/>
    <n v="1"/>
    <n v="4"/>
    <d v="2012-01-23T00:00:00"/>
    <s v="KITCHEN ELECTRICS             "/>
    <s v="ELECTRICAL COOKING            "/>
    <x v="0"/>
    <x v="0"/>
    <x v="7"/>
    <s v="SP-HOLIDAY"/>
    <n v="-3"/>
    <n v="-3"/>
    <x v="6"/>
    <n v="3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0643/000010"/>
    <n v="1370147233"/>
    <n v="10"/>
    <x v="22"/>
    <x v="22"/>
    <s v="N4"/>
    <n v="7211000528"/>
    <n v="177"/>
    <n v="211000528"/>
    <s v="FF104115 FRY MAXI COMPACT FB WHT/BLK GB           "/>
    <s v="S"/>
    <d v="2012-01-11T00:00:00"/>
    <m/>
    <s v="X"/>
    <x v="47"/>
    <n v="19.7773"/>
    <n v="13"/>
    <d v="2012-02-13T00:00:00"/>
    <d v="2012-01-09T00:00:00"/>
    <n v="1970"/>
    <d v="2012-01-09T00:00:00"/>
    <n v="1970"/>
    <m/>
    <d v="2012-01-05T00:00:00"/>
    <n v="1970"/>
    <d v="2012-02-09T00:00:00"/>
    <d v="2012-01-05T00:00:00"/>
    <n v="1970"/>
    <n v="1970"/>
    <x v="23"/>
    <d v="2012-02-12T00:00:00"/>
    <m/>
    <n v="9321653677"/>
    <n v="10"/>
    <s v="CMAU5648407"/>
    <s v="XINSHANGHAI 0063W/"/>
    <m/>
    <s v="NINGBO"/>
    <m/>
    <m/>
    <s v="KENUS WONG"/>
    <s v="FO9"/>
    <s v="ELECTRICAL COOKING            "/>
    <s v="CONFIRMED"/>
    <n v="1"/>
    <n v="1"/>
    <d v="2012-01-08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1847/000010"/>
    <n v="1370147445"/>
    <n v="10"/>
    <x v="22"/>
    <x v="22"/>
    <s v="R2"/>
    <n v="7211000511"/>
    <n v="55"/>
    <n v="211000511"/>
    <s v="BF273815 KET AVANTI 1.7L BLK GB                   "/>
    <s v="S"/>
    <d v="2012-01-07T00:00:00"/>
    <m/>
    <s v="X"/>
    <x v="47"/>
    <n v="13.533200000000001"/>
    <n v="9"/>
    <d v="2012-02-13T00:00:00"/>
    <d v="2012-01-09T00:00:00"/>
    <n v="2079"/>
    <d v="2012-01-09T00:00:00"/>
    <n v="2079"/>
    <m/>
    <d v="2012-01-05T00:00:00"/>
    <n v="2079"/>
    <d v="2012-02-06T00:00:00"/>
    <d v="2012-01-02T00:00:00"/>
    <n v="2079"/>
    <n v="2079"/>
    <x v="3"/>
    <d v="2012-02-06T00:00:00"/>
    <m/>
    <n v="9321653679"/>
    <n v="10"/>
    <s v="CMAU8400137"/>
    <s v="CSCL AFRICA 0650W/"/>
    <m/>
    <s v="NINGBO"/>
    <m/>
    <m/>
    <s v="KENUS WONG"/>
    <s v="FO9"/>
    <s v="BEVERAGE                      "/>
    <s v="CONFIRMED"/>
    <n v="1"/>
    <n v="1"/>
    <d v="2012-01-02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32/000019"/>
    <n v="1370147451"/>
    <n v="110"/>
    <x v="22"/>
    <x v="22"/>
    <s v="P3"/>
    <n v="7211000743"/>
    <n v="36"/>
    <n v="211000743"/>
    <s v="BL3071AD BLD BLENDFORCE +W&amp;D MILL WHT TH          "/>
    <s v="S"/>
    <d v="2012-01-10T00:00:00"/>
    <m/>
    <s v="X"/>
    <x v="47"/>
    <n v="16.3005"/>
    <n v="18"/>
    <d v="2012-01-31T00:00:00"/>
    <d v="2012-01-17T00:00:00"/>
    <n v="2805"/>
    <d v="2012-01-05T00:00:00"/>
    <n v="2805"/>
    <m/>
    <d v="2012-01-12T00:00:00"/>
    <n v="2805"/>
    <d v="2012-01-19T00:00:00"/>
    <d v="2012-01-05T00:00:00"/>
    <n v="2805"/>
    <n v="2805"/>
    <x v="12"/>
    <d v="2012-01-21T00:00:00"/>
    <m/>
    <n v="9321653680"/>
    <n v="10"/>
    <s v="ZCSU2561422"/>
    <s v="NINOS 121S"/>
    <m/>
    <s v="NINGBO"/>
    <m/>
    <m/>
    <s v="TWEETY LEUNG"/>
    <s v="FO9"/>
    <s v="FOOD PREPARATION              "/>
    <s v="CONFIRMED"/>
    <n v="1"/>
    <n v="1"/>
    <d v="2012-01-07T00:00:00"/>
    <s v="KITCHEN ELECTRICS             "/>
    <s v="FOOD PREPARATION              "/>
    <x v="0"/>
    <x v="0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32/000020"/>
    <n v="1370147451"/>
    <n v="120"/>
    <x v="22"/>
    <x v="22"/>
    <s v="P3"/>
    <n v="7211000743"/>
    <n v="36"/>
    <n v="211000743"/>
    <s v="BL3071AD BLD BLENDFORCE +W&amp;D MILL WHT TH          "/>
    <s v="S"/>
    <d v="2012-01-30T00:00:00"/>
    <m/>
    <s v="X"/>
    <x v="47"/>
    <n v="16.3005"/>
    <n v="18"/>
    <d v="2012-02-15T00:00:00"/>
    <d v="2012-02-01T00:00:00"/>
    <n v="2805"/>
    <d v="2012-01-19T00:00:00"/>
    <n v="2805"/>
    <m/>
    <d v="2012-02-02T00:00:00"/>
    <n v="2805"/>
    <d v="2012-02-02T00:00:00"/>
    <d v="2012-01-19T00:00:00"/>
    <n v="2805"/>
    <n v="2805"/>
    <x v="26"/>
    <d v="2012-02-04T00:00:00"/>
    <m/>
    <n v="9321653680"/>
    <n v="20"/>
    <s v="ZCSU2532086"/>
    <s v="NINOS 122S"/>
    <m/>
    <s v="NINGBO"/>
    <m/>
    <m/>
    <s v="TWEETY LEUNG"/>
    <s v="FO9"/>
    <s v="FOOD PREPARATION              "/>
    <s v="CONFIRMED"/>
    <n v="1"/>
    <n v="3"/>
    <d v="2012-01-21T00:00:00"/>
    <s v="KITCHEN ELECTRICS             "/>
    <s v="FOOD PREPARATION              "/>
    <x v="0"/>
    <x v="0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9005600"/>
    <s v="GROUPE SEB CHILE                                  "/>
    <n v="99005600"/>
    <x v="32"/>
    <s v="833/000001"/>
    <n v="1370147478"/>
    <n v="10"/>
    <x v="22"/>
    <x v="22"/>
    <s v="N4"/>
    <n v="7211000642"/>
    <n v="177"/>
    <n v="211000642"/>
    <s v="AF102550 FRY UNO FB PTFE SS CL                    "/>
    <s v="S"/>
    <d v="2012-01-18T00:00:00"/>
    <m/>
    <s v="X"/>
    <x v="47"/>
    <n v="19.991099999999999"/>
    <n v="21"/>
    <d v="2012-02-25T00:00:00"/>
    <d v="2012-01-14T00:00:00"/>
    <n v="1920"/>
    <d v="2012-01-14T00:00:00"/>
    <n v="1920"/>
    <m/>
    <d v="2012-01-12T00:00:00"/>
    <n v="1920"/>
    <d v="2012-02-23T00:00:00"/>
    <d v="2012-01-12T00:00:00"/>
    <n v="1920"/>
    <n v="1920"/>
    <x v="24"/>
    <d v="2012-02-24T00:00:00"/>
    <m/>
    <n v="9321653683"/>
    <n v="10"/>
    <s v="GATU8144560"/>
    <s v="JAPAN 1202E/"/>
    <m/>
    <s v="NINGBO"/>
    <m/>
    <m/>
    <s v="THOMAS HO"/>
    <s v="FO9"/>
    <s v="ELECTRICAL COOKING            "/>
    <s v="CONFIRMED"/>
    <n v="1"/>
    <n v="2"/>
    <d v="2012-01-13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58/000040"/>
    <n v="1370147546"/>
    <n v="40"/>
    <x v="22"/>
    <x v="22"/>
    <s v="N4"/>
    <n v="7211000351"/>
    <n v="116"/>
    <n v="211000351"/>
    <s v="OW310130 BDM UNO 1KG WHT/RED B1                   "/>
    <s v="S"/>
    <d v="2012-01-10T00:00:00"/>
    <m/>
    <s v="X"/>
    <x v="47"/>
    <n v="42.151299999999999"/>
    <n v="8"/>
    <d v="2012-01-30T00:00:00"/>
    <d v="2012-01-02T00:00:00"/>
    <n v="1056"/>
    <d v="2012-01-09T00:00:00"/>
    <n v="1056"/>
    <m/>
    <d v="2012-01-07T00:00:00"/>
    <n v="1056"/>
    <d v="2012-02-04T00:00:00"/>
    <d v="2012-01-07T00:00:00"/>
    <n v="1056"/>
    <n v="1056"/>
    <x v="23"/>
    <d v="2012-02-05T00:00:00"/>
    <m/>
    <n v="9321653684"/>
    <n v="10"/>
    <s v="TRLU4756138"/>
    <s v="BUSAN EXPRESS/04W01"/>
    <m/>
    <s v="NINGBO"/>
    <m/>
    <m/>
    <s v="JASON FAN"/>
    <s v="FO9"/>
    <s v="ELECTRICAL COOKING            "/>
    <s v="CONFIRMED"/>
    <n v="1"/>
    <n v="1"/>
    <d v="2012-01-08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5/000004"/>
    <n v="1370147568"/>
    <n v="70"/>
    <x v="22"/>
    <x v="22"/>
    <s v="R2"/>
    <n v="7211000529"/>
    <n v="55"/>
    <n v="211000529"/>
    <s v="KO299170 KET TASSE 1.5L WHT/GRG JP                "/>
    <s v="S"/>
    <d v="2012-01-09T00:00:00"/>
    <m/>
    <s v="X"/>
    <x v="47"/>
    <n v="11.9169"/>
    <n v="12"/>
    <d v="2012-01-23T00:00:00"/>
    <d v="2012-01-09T00:00:00"/>
    <n v="2580"/>
    <d v="2012-01-09T00:00:00"/>
    <n v="2580"/>
    <m/>
    <d v="2012-01-07T00:00:00"/>
    <n v="2580"/>
    <d v="2012-01-21T00:00:00"/>
    <d v="2012-01-07T00:00:00"/>
    <n v="2580"/>
    <n v="2580"/>
    <x v="23"/>
    <d v="2012-01-22T00:00:00"/>
    <m/>
    <n v="9321653686"/>
    <n v="10"/>
    <s v="TTNU4498292"/>
    <s v="HUTUOHE/434E"/>
    <m/>
    <s v="NINGBO"/>
    <m/>
    <m/>
    <s v="DOROTHEA LING"/>
    <s v="FO9"/>
    <s v="BEVERAGE                      "/>
    <s v="CONFIRMED"/>
    <n v="1"/>
    <n v="1"/>
    <d v="2012-01-08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5/000005"/>
    <n v="1370147568"/>
    <n v="80"/>
    <x v="22"/>
    <x v="22"/>
    <s v="R2"/>
    <n v="7211000636"/>
    <n v="55"/>
    <n v="211000636"/>
    <s v="BF203922 KET VIT.ECO 1L WHT/GRE JP                "/>
    <s v="S"/>
    <d v="2012-01-09T00:00:00"/>
    <m/>
    <s v="X"/>
    <x v="47"/>
    <n v="13.670500000000001"/>
    <n v="12"/>
    <d v="2012-01-23T00:00:00"/>
    <d v="2012-01-09T00:00:00"/>
    <n v="8019"/>
    <d v="2012-01-09T00:00:00"/>
    <n v="8019"/>
    <m/>
    <d v="2012-01-07T00:00:00"/>
    <n v="8019"/>
    <d v="2012-01-21T00:00:00"/>
    <d v="2012-01-07T00:00:00"/>
    <n v="8019"/>
    <n v="2649"/>
    <x v="23"/>
    <d v="2012-01-22T00:00:00"/>
    <m/>
    <n v="9321653686"/>
    <n v="20"/>
    <s v="TTNU4498292"/>
    <s v="HUTUOHE/434E"/>
    <m/>
    <s v="NINGBO"/>
    <m/>
    <m/>
    <s v="DOROTHEA LING"/>
    <s v="FO9"/>
    <s v="BEVERAGE                      "/>
    <s v="CONFIRMED"/>
    <n v="1"/>
    <n v="1"/>
    <d v="2012-01-08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5/000005"/>
    <n v="1370147568"/>
    <n v="80"/>
    <x v="22"/>
    <x v="22"/>
    <s v="R2"/>
    <n v="7211000636"/>
    <n v="55"/>
    <n v="211000636"/>
    <s v="BF203922 KET VIT.ECO 1L WHT/GRE JP                "/>
    <s v="S"/>
    <d v="2012-01-09T00:00:00"/>
    <m/>
    <s v="X"/>
    <x v="47"/>
    <n v="13.670500000000001"/>
    <n v="12"/>
    <d v="2012-01-23T00:00:00"/>
    <d v="2012-01-09T00:00:00"/>
    <n v="8019"/>
    <d v="2012-01-09T00:00:00"/>
    <n v="8019"/>
    <m/>
    <d v="2012-01-07T00:00:00"/>
    <n v="8019"/>
    <d v="2012-01-21T00:00:00"/>
    <d v="2012-01-07T00:00:00"/>
    <n v="8019"/>
    <n v="5370"/>
    <x v="23"/>
    <d v="2012-01-22T00:00:00"/>
    <m/>
    <n v="9321653686"/>
    <n v="20"/>
    <s v="TGHU4964419"/>
    <s v="HUTUOHE/434E"/>
    <m/>
    <s v="NINGBO"/>
    <m/>
    <m/>
    <s v="DOROTHEA LING"/>
    <s v="FO9"/>
    <s v="BEVERAGE                      "/>
    <s v="CONFIRMED"/>
    <n v="1"/>
    <n v="1"/>
    <d v="2012-01-08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5/000006"/>
    <n v="1370147568"/>
    <n v="90"/>
    <x v="22"/>
    <x v="22"/>
    <s v="R2"/>
    <n v="7211000706"/>
    <n v="55"/>
    <n v="211000706"/>
    <s v="BF508022 KET JUSTINE 1.2L BLK JP                  "/>
    <s v="S"/>
    <d v="2012-01-10T00:00:00"/>
    <m/>
    <s v="X"/>
    <x v="47"/>
    <n v="12.635300000000001"/>
    <n v="12"/>
    <d v="2012-01-23T00:00:00"/>
    <d v="2012-01-09T00:00:00"/>
    <n v="7020"/>
    <d v="2012-01-09T00:00:00"/>
    <n v="7020"/>
    <m/>
    <d v="2012-01-07T00:00:00"/>
    <n v="7020"/>
    <d v="2012-01-21T00:00:00"/>
    <d v="2012-01-07T00:00:00"/>
    <n v="7020"/>
    <n v="7020"/>
    <x v="23"/>
    <d v="2012-01-22T00:00:00"/>
    <m/>
    <n v="9321653686"/>
    <n v="30"/>
    <s v="FCIU9283196"/>
    <s v="HUTUOHE/434E"/>
    <m/>
    <s v="NINGBO"/>
    <m/>
    <m/>
    <s v="DOROTHEA LING"/>
    <s v="FO9"/>
    <s v="BEVERAGE                      "/>
    <s v="CONFIRMED"/>
    <n v="1"/>
    <n v="1"/>
    <d v="2012-01-08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6/000001"/>
    <n v="1370147574"/>
    <n v="10"/>
    <x v="22"/>
    <x v="22"/>
    <s v="R2"/>
    <n v="7211000685"/>
    <n v="55"/>
    <n v="211000685"/>
    <s v="BF510022 KET JUSTINE 1.2L WHT/BLU JP              "/>
    <s v="S"/>
    <d v="2012-01-18T00:00:00"/>
    <m/>
    <s v="X"/>
    <x v="47"/>
    <n v="12.5113"/>
    <n v="10"/>
    <d v="2012-02-20T00:00:00"/>
    <d v="2012-02-06T00:00:00"/>
    <n v="7020"/>
    <d v="2012-01-14T00:00:00"/>
    <n v="7020"/>
    <m/>
    <d v="2012-01-14T00:00:00"/>
    <n v="7020"/>
    <d v="2012-01-28T00:00:00"/>
    <d v="2012-01-14T00:00:00"/>
    <n v="7020"/>
    <n v="6540"/>
    <x v="11"/>
    <d v="2012-01-29T00:00:00"/>
    <m/>
    <n v="9321653687"/>
    <n v="10"/>
    <s v="DFSU6250886"/>
    <s v="HUTUOHE/435E"/>
    <m/>
    <s v="NINGBO"/>
    <m/>
    <m/>
    <s v="DOROTHEA LING"/>
    <s v="FO9"/>
    <s v="BEVERAGE                      "/>
    <s v="CONFIRMED"/>
    <n v="1"/>
    <n v="2"/>
    <d v="2012-01-15T00:00:00"/>
    <s v="KITCHEN ELECTRICS             "/>
    <s v="BREAKFAST &amp; BREVAGE PREP      "/>
    <x v="0"/>
    <x v="0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786/000001"/>
    <n v="1370147574"/>
    <n v="10"/>
    <x v="22"/>
    <x v="22"/>
    <s v="R2"/>
    <n v="7211000685"/>
    <n v="55"/>
    <n v="211000685"/>
    <s v="BF510022 KET JUSTINE 1.2L WHT/BLU JP              "/>
    <s v="S"/>
    <d v="2012-01-18T00:00:00"/>
    <m/>
    <s v="X"/>
    <x v="47"/>
    <n v="12.5113"/>
    <n v="10"/>
    <d v="2012-02-20T00:00:00"/>
    <d v="2012-02-06T00:00:00"/>
    <n v="7020"/>
    <d v="2012-01-14T00:00:00"/>
    <n v="7020"/>
    <m/>
    <d v="2012-01-14T00:00:00"/>
    <n v="7020"/>
    <d v="2012-01-28T00:00:00"/>
    <d v="2012-01-14T00:00:00"/>
    <n v="7020"/>
    <n v="480"/>
    <x v="11"/>
    <d v="2012-01-29T00:00:00"/>
    <m/>
    <n v="9321653687"/>
    <n v="10"/>
    <s v="DFSU6187802"/>
    <s v="HUTUOHE/435E"/>
    <m/>
    <s v="NINGBO"/>
    <m/>
    <m/>
    <s v="DOROTHEA LING"/>
    <s v="FO9"/>
    <s v="BEVERAGE                      "/>
    <s v="CONFIRMED"/>
    <n v="1"/>
    <n v="2"/>
    <d v="2012-01-15T00:00:00"/>
    <s v="KITCHEN ELECTRICS             "/>
    <s v="BREAKFAST &amp; BREVAGE PREP      "/>
    <x v="0"/>
    <x v="0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786/000002"/>
    <n v="1370147574"/>
    <n v="20"/>
    <x v="22"/>
    <x v="22"/>
    <s v="R2"/>
    <n v="7211000705"/>
    <n v="55"/>
    <n v="211000705"/>
    <s v="BF502022 KET JUSTINE 1.2L WHT/GRG JP              "/>
    <s v="S"/>
    <d v="2012-01-18T00:00:00"/>
    <m/>
    <s v="X"/>
    <x v="47"/>
    <n v="12.5114"/>
    <n v="10"/>
    <d v="2012-02-20T00:00:00"/>
    <d v="2012-02-06T00:00:00"/>
    <n v="7020"/>
    <d v="2012-01-14T00:00:00"/>
    <n v="7020"/>
    <m/>
    <d v="2012-01-14T00:00:00"/>
    <n v="7020"/>
    <d v="2012-01-28T00:00:00"/>
    <d v="2012-01-14T00:00:00"/>
    <n v="7020"/>
    <n v="7020"/>
    <x v="11"/>
    <d v="2012-01-29T00:00:00"/>
    <m/>
    <n v="9321653687"/>
    <n v="20"/>
    <s v="DFSU6187802"/>
    <s v="HUTUOHE/435E"/>
    <m/>
    <s v="NINGBO"/>
    <m/>
    <m/>
    <s v="DOROTHEA LING"/>
    <s v="FO9"/>
    <s v="BEVERAGE                      "/>
    <s v="CONFIRMED"/>
    <n v="1"/>
    <n v="2"/>
    <d v="2012-01-15T00:00:00"/>
    <s v="KITCHEN ELECTRICS             "/>
    <s v="BREAKFAST &amp; BREVAGE PREP      "/>
    <x v="0"/>
    <x v="0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786/000003"/>
    <n v="1370147574"/>
    <n v="30"/>
    <x v="22"/>
    <x v="22"/>
    <s v="R2"/>
    <n v="7211000706"/>
    <n v="55"/>
    <n v="211000706"/>
    <s v="BF508022 KET JUSTINE 1.2L BLK JP                  "/>
    <s v="S"/>
    <d v="2012-01-18T00:00:00"/>
    <m/>
    <s v="X"/>
    <x v="47"/>
    <n v="12.635300000000001"/>
    <n v="10"/>
    <d v="2012-02-20T00:00:00"/>
    <d v="2012-02-06T00:00:00"/>
    <n v="7020"/>
    <d v="2012-01-14T00:00:00"/>
    <n v="7020"/>
    <m/>
    <d v="2012-01-14T00:00:00"/>
    <n v="7020"/>
    <d v="2012-01-28T00:00:00"/>
    <d v="2012-01-14T00:00:00"/>
    <n v="7020"/>
    <n v="480"/>
    <x v="11"/>
    <d v="2012-01-29T00:00:00"/>
    <m/>
    <n v="9321653687"/>
    <n v="30"/>
    <s v="DFSU6244353"/>
    <s v="HUTUOHE/435E"/>
    <m/>
    <s v="NINGBO"/>
    <m/>
    <m/>
    <s v="DOROTHEA LING"/>
    <s v="FO9"/>
    <s v="BEVERAGE                      "/>
    <s v="CONFIRMED"/>
    <n v="1"/>
    <n v="2"/>
    <d v="2012-01-15T00:00:00"/>
    <s v="KITCHEN ELECTRICS             "/>
    <s v="BREAKFAST &amp; BREVAGE PREP      "/>
    <x v="0"/>
    <x v="0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786/000003"/>
    <n v="1370147574"/>
    <n v="30"/>
    <x v="22"/>
    <x v="22"/>
    <s v="R2"/>
    <n v="7211000706"/>
    <n v="55"/>
    <n v="211000706"/>
    <s v="BF508022 KET JUSTINE 1.2L BLK JP                  "/>
    <s v="S"/>
    <d v="2012-01-18T00:00:00"/>
    <m/>
    <s v="X"/>
    <x v="47"/>
    <n v="12.635300000000001"/>
    <n v="10"/>
    <d v="2012-02-20T00:00:00"/>
    <d v="2012-02-06T00:00:00"/>
    <n v="7020"/>
    <d v="2012-01-14T00:00:00"/>
    <n v="7020"/>
    <m/>
    <d v="2012-01-14T00:00:00"/>
    <n v="7020"/>
    <d v="2012-01-28T00:00:00"/>
    <d v="2012-01-14T00:00:00"/>
    <n v="7020"/>
    <n v="6540"/>
    <x v="11"/>
    <d v="2012-01-29T00:00:00"/>
    <m/>
    <n v="9321653687"/>
    <n v="30"/>
    <s v="SITU4992112"/>
    <s v="HUTUOHE/435E"/>
    <m/>
    <s v="NINGBO"/>
    <m/>
    <m/>
    <s v="DOROTHEA LING"/>
    <s v="FO9"/>
    <s v="BEVERAGE                      "/>
    <s v="CONFIRMED"/>
    <n v="1"/>
    <n v="2"/>
    <d v="2012-01-15T00:00:00"/>
    <s v="KITCHEN ELECTRICS             "/>
    <s v="BREAKFAST &amp; BREVAGE PREP      "/>
    <x v="0"/>
    <x v="0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786/000004"/>
    <n v="1370147574"/>
    <n v="40"/>
    <x v="22"/>
    <x v="22"/>
    <s v="R2"/>
    <n v="7211000708"/>
    <n v="55"/>
    <n v="211000708"/>
    <s v="BF502023 KET JUSTINE 1.2L WHT/GRE JP              "/>
    <s v="S"/>
    <d v="2012-01-18T00:00:00"/>
    <m/>
    <s v="X"/>
    <x v="47"/>
    <n v="12.510400000000001"/>
    <n v="10"/>
    <d v="2012-02-20T00:00:00"/>
    <d v="2012-02-06T00:00:00"/>
    <n v="7020"/>
    <d v="2012-01-14T00:00:00"/>
    <n v="7020"/>
    <m/>
    <d v="2012-01-14T00:00:00"/>
    <n v="7020"/>
    <d v="2012-01-28T00:00:00"/>
    <d v="2012-01-14T00:00:00"/>
    <n v="7020"/>
    <n v="7020"/>
    <x v="11"/>
    <d v="2012-01-29T00:00:00"/>
    <m/>
    <n v="9321653687"/>
    <n v="40"/>
    <s v="DFSU6244353"/>
    <s v="HUTUOHE/435E"/>
    <m/>
    <s v="NINGBO"/>
    <m/>
    <m/>
    <s v="DOROTHEA LING"/>
    <s v="FO9"/>
    <s v="BEVERAGE                      "/>
    <s v="CONFIRMED"/>
    <n v="1"/>
    <n v="2"/>
    <d v="2012-01-15T00:00:00"/>
    <s v="KITCHEN ELECTRICS             "/>
    <s v="BREAKFAST &amp; BREVAGE PREP      "/>
    <x v="0"/>
    <x v="0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774/000001"/>
    <n v="1370147575"/>
    <n v="10"/>
    <x v="22"/>
    <x v="22"/>
    <s v="N4"/>
    <n v="7211000353"/>
    <n v="34"/>
    <n v="211000353"/>
    <s v="IH703870 INDH PORTABLE BLK JP                     "/>
    <s v="S"/>
    <d v="2012-01-05T00:00:00"/>
    <m/>
    <s v="X"/>
    <x v="47"/>
    <n v="53.973199999999999"/>
    <n v="11"/>
    <d v="2012-01-09T00:00:00"/>
    <d v="2011-12-26T00:00:00"/>
    <n v="1650"/>
    <d v="2011-12-26T00:00:00"/>
    <n v="1650"/>
    <m/>
    <d v="2011-12-29T00:00:00"/>
    <n v="1650"/>
    <d v="2012-01-12T00:00:00"/>
    <d v="2011-12-29T00:00:00"/>
    <n v="1650"/>
    <n v="1650"/>
    <x v="3"/>
    <d v="2012-01-16T00:00:00"/>
    <m/>
    <n v="9321653688"/>
    <n v="10"/>
    <s v="BMOU3124558"/>
    <s v="VAN HARMONY/1201N"/>
    <m/>
    <s v="NINGBO"/>
    <m/>
    <m/>
    <s v="DOROTHEA LING"/>
    <s v="FO9"/>
    <s v="ELECTRICAL COOKING            "/>
    <s v="CONFIRMED"/>
    <n v="1"/>
    <n v="1"/>
    <d v="2012-01-02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0/000004"/>
    <n v="1370147579"/>
    <n v="40"/>
    <x v="22"/>
    <x v="22"/>
    <s v="R2"/>
    <n v="7211000529"/>
    <n v="55"/>
    <n v="211000529"/>
    <s v="KO299170 KET TASSE 1.5L WHT/GRG JP                "/>
    <s v="S"/>
    <d v="2012-01-05T00:00:00"/>
    <m/>
    <s v="X"/>
    <x v="47"/>
    <n v="11.9169"/>
    <n v="12"/>
    <d v="2012-01-16T00:00:00"/>
    <d v="2012-01-02T00:00:00"/>
    <n v="2580"/>
    <d v="2012-01-02T00:00:00"/>
    <n v="2580"/>
    <m/>
    <d v="2011-12-29T00:00:00"/>
    <n v="2580"/>
    <d v="2012-01-16T00:00:00"/>
    <d v="2012-01-02T00:00:00"/>
    <n v="2580"/>
    <n v="2580"/>
    <x v="3"/>
    <d v="2012-01-16T00:00:00"/>
    <m/>
    <n v="9321653689"/>
    <n v="10"/>
    <s v="BMOU3124558"/>
    <s v="VAN HARMONY/1201N"/>
    <m/>
    <s v="NINGBO"/>
    <m/>
    <m/>
    <s v="DOROTHEA LING"/>
    <s v="FO9"/>
    <s v="BEVERAGE                      "/>
    <s v="CONFIRMED"/>
    <n v="1"/>
    <n v="1"/>
    <d v="2012-01-02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066/000010"/>
    <n v="1370147617"/>
    <n v="10"/>
    <x v="22"/>
    <x v="22"/>
    <s v="R2"/>
    <n v="7211000368"/>
    <n v="55"/>
    <n v="211000368"/>
    <s v="BF263E3E KET VIT.ECO 1.7L DIAM MET RU             "/>
    <s v="S"/>
    <d v="2012-01-06T00:00:00"/>
    <m/>
    <s v="X"/>
    <x v="47"/>
    <n v="11.934699999999999"/>
    <n v="387"/>
    <d v="2012-03-01T00:00:00"/>
    <d v="2012-01-12T00:00:00"/>
    <n v="2220"/>
    <d v="2012-01-12T00:00:00"/>
    <n v="2220"/>
    <m/>
    <d v="2012-01-07T00:00:00"/>
    <n v="2220"/>
    <d v="2012-02-23T00:00:00"/>
    <d v="2012-01-05T00:00:00"/>
    <n v="2220"/>
    <n v="2220"/>
    <x v="6"/>
    <d v="2012-02-23T00:00:00"/>
    <m/>
    <n v="9321653694"/>
    <n v="10"/>
    <s v="TTNU4434425"/>
    <s v="GRETE MAERSK/121W"/>
    <m/>
    <s v="NINGBO"/>
    <m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854/000010"/>
    <n v="1370147641"/>
    <n v="10"/>
    <x v="22"/>
    <x v="22"/>
    <s v="N4"/>
    <n v="7211000591"/>
    <n v="116"/>
    <n v="211000591"/>
    <s v="OW310E30 BDM UNO 1KG MET/BLK EUR                  "/>
    <s v="S"/>
    <d v="2012-01-06T00:00:00"/>
    <m/>
    <s v="X"/>
    <x v="47"/>
    <n v="47.027700000000003"/>
    <n v="1536"/>
    <d v="2012-02-24T00:00:00"/>
    <d v="2012-01-06T00:00:00"/>
    <n v="1239"/>
    <d v="2012-01-06T00:00:00"/>
    <n v="1239"/>
    <m/>
    <d v="2012-01-05T00:00:00"/>
    <n v="1239"/>
    <d v="2012-02-23T00:00:00"/>
    <d v="2012-01-05T00:00:00"/>
    <n v="1239"/>
    <n v="1239"/>
    <x v="6"/>
    <d v="2012-02-23T00:00:00"/>
    <m/>
    <n v="9321653696"/>
    <n v="10"/>
    <s v="MSKU1194288"/>
    <s v="GRETE MAERSK/121W"/>
    <m/>
    <s v="NINGBO"/>
    <m/>
    <m/>
    <s v="KENUS WONG"/>
    <s v="FO9"/>
    <s v="ELECTRICAL COOKING            "/>
    <s v="CONFIRMED"/>
    <n v="1"/>
    <n v="1"/>
    <d v="2012-01-05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546/000010"/>
    <n v="1370147660"/>
    <n v="10"/>
    <x v="22"/>
    <x v="22"/>
    <s v="N4"/>
    <n v="7211000351"/>
    <n v="116"/>
    <n v="211000351"/>
    <s v="OW310130 BDM UNO 1KG WHT/RED B1                   "/>
    <s v="S"/>
    <d v="2012-01-06T00:00:00"/>
    <m/>
    <s v="X"/>
    <x v="47"/>
    <n v="42.151299999999999"/>
    <n v="1378"/>
    <d v="2012-02-24T00:00:00"/>
    <d v="2012-01-06T00:00:00"/>
    <n v="1239"/>
    <d v="2012-01-06T00:00:00"/>
    <n v="1239"/>
    <m/>
    <d v="2012-01-05T00:00:00"/>
    <n v="1239"/>
    <d v="2012-02-23T00:00:00"/>
    <d v="2012-01-05T00:00:00"/>
    <n v="1239"/>
    <n v="1239"/>
    <x v="6"/>
    <d v="2012-02-23T00:00:00"/>
    <m/>
    <n v="9321653698"/>
    <n v="10"/>
    <s v="TRLU6877972"/>
    <s v="GRETE MAERSK/121W"/>
    <m/>
    <s v="NINGBO"/>
    <m/>
    <m/>
    <s v="KENUS WONG"/>
    <s v="FO9"/>
    <s v="ELECTRICAL COOKING            "/>
    <s v="CONFIRMED"/>
    <n v="1"/>
    <n v="1"/>
    <d v="2012-01-05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071/000010"/>
    <n v="1370147663"/>
    <n v="10"/>
    <x v="22"/>
    <x v="22"/>
    <s v="R2"/>
    <n v="7211000367"/>
    <n v="55"/>
    <n v="211000367"/>
    <s v="BF263A3E KET VIT.ECO 1.7L DIAM RED RU             "/>
    <s v="S"/>
    <d v="2012-01-18T00:00:00"/>
    <m/>
    <s v="X"/>
    <x v="47"/>
    <n v="11.5654"/>
    <n v="388"/>
    <d v="2012-02-24T00:00:00"/>
    <d v="2012-01-06T00:00:00"/>
    <n v="2220"/>
    <d v="2012-01-06T00:00:00"/>
    <n v="2220"/>
    <m/>
    <d v="2011-12-31T00:00:00"/>
    <n v="2220"/>
    <d v="2012-02-18T00:00:00"/>
    <d v="2011-12-31T00:00:00"/>
    <n v="2220"/>
    <n v="2220"/>
    <x v="13"/>
    <d v="2012-02-19T00:00:00"/>
    <m/>
    <n v="9321653700"/>
    <n v="10"/>
    <s v="GESU3044603"/>
    <s v="APL RUSSIA/020W"/>
    <m/>
    <s v="NINGBO"/>
    <s v="LATE POSTING"/>
    <m/>
    <s v="KENUS WONG"/>
    <s v="FO9"/>
    <s v="BEVERAGE                      "/>
    <s v="CONFIRMED"/>
    <n v="1"/>
    <n v="52"/>
    <d v="2012-01-01T00:00:00"/>
    <s v="KITCHEN ELECTRICS             "/>
    <s v="BREAKFAST &amp; BREVAGE PREP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810/000010"/>
    <n v="1370147728"/>
    <n v="10"/>
    <x v="22"/>
    <x v="22"/>
    <s v="R2"/>
    <n v="7211000470"/>
    <n v="55"/>
    <n v="211000470"/>
    <s v="BF663440 KET VITESSES 1.7L BLK/SILV EE            "/>
    <s v="S"/>
    <d v="2012-01-10T00:00:00"/>
    <m/>
    <s v="X"/>
    <x v="47"/>
    <n v="12.9122"/>
    <n v="419"/>
    <d v="2012-02-27T00:00:00"/>
    <d v="2012-01-09T00:00:00"/>
    <n v="2220"/>
    <d v="2011-12-31T00:00:00"/>
    <n v="2220"/>
    <m/>
    <d v="2012-01-07T00:00:00"/>
    <n v="2220"/>
    <d v="2012-02-25T00:00:00"/>
    <d v="2012-01-07T00:00:00"/>
    <n v="2220"/>
    <n v="2220"/>
    <x v="0"/>
    <d v="2012-02-27T00:00:00"/>
    <m/>
    <n v="9321653710"/>
    <n v="10"/>
    <s v="APZU3937046"/>
    <s v="MOL COMPETENCE/021W"/>
    <m/>
    <s v="NINGBO"/>
    <s v="SAILING-SCHED-UPDATE"/>
    <m/>
    <s v="KENUS WONG"/>
    <s v="FO9"/>
    <s v="BEVERAGE                      "/>
    <s v="CONFIRMED"/>
    <n v="1"/>
    <n v="2"/>
    <d v="2012-01-09T00:00:00"/>
    <s v="KITCHEN ELECTRICS             "/>
    <s v="BREAKFAST &amp; BREVAGE PREP      "/>
    <x v="0"/>
    <x v="0"/>
    <x v="1"/>
    <m/>
    <n v="0"/>
    <n v="0"/>
    <x v="1"/>
    <n v="1"/>
    <x v="0"/>
    <x v="1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1815/000010"/>
    <n v="1370147735"/>
    <n v="10"/>
    <x v="22"/>
    <x v="22"/>
    <s v="R2"/>
    <n v="7211000622"/>
    <n v="55"/>
    <n v="211000622"/>
    <s v="BF561140 KET JUSTINE 1.7L YEL RU                  "/>
    <s v="S"/>
    <d v="2012-01-05T00:00:00"/>
    <m/>
    <s v="X"/>
    <x v="47"/>
    <n v="13.762"/>
    <n v="462"/>
    <d v="2012-02-24T00:00:00"/>
    <d v="2012-01-06T00:00:00"/>
    <n v="2940"/>
    <d v="2012-01-06T00:00:00"/>
    <n v="2940"/>
    <m/>
    <d v="2011-12-31T00:00:00"/>
    <n v="2940"/>
    <d v="2012-02-18T00:00:00"/>
    <d v="2011-12-31T00:00:00"/>
    <n v="2940"/>
    <n v="2940"/>
    <x v="13"/>
    <d v="2012-02-19T00:00:00"/>
    <m/>
    <n v="9321653711"/>
    <n v="10"/>
    <s v="APZU4821678"/>
    <s v="APL RUSSIA/020W"/>
    <m/>
    <s v="NINGBO"/>
    <m/>
    <m/>
    <s v="KENUS WONG"/>
    <s v="FO9"/>
    <s v="BEVERAGE                      "/>
    <s v="CONFIRMED"/>
    <n v="1"/>
    <n v="52"/>
    <d v="2012-01-01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548/000010"/>
    <n v="1370147739"/>
    <n v="10"/>
    <x v="22"/>
    <x v="22"/>
    <s v="N4"/>
    <n v="7211000351"/>
    <n v="116"/>
    <n v="211000351"/>
    <s v="OW310130 BDM UNO 1KG WHT/RED B1                   "/>
    <s v="S"/>
    <d v="2012-01-06T00:00:00"/>
    <m/>
    <s v="X"/>
    <x v="47"/>
    <n v="42.151299999999999"/>
    <n v="1378"/>
    <d v="2012-02-27T00:00:00"/>
    <d v="2012-01-09T00:00:00"/>
    <n v="1239"/>
    <d v="2012-01-09T00:00:00"/>
    <n v="1239"/>
    <m/>
    <d v="2012-01-05T00:00:00"/>
    <n v="1239"/>
    <d v="2012-02-23T00:00:00"/>
    <d v="2012-01-05T00:00:00"/>
    <n v="1239"/>
    <n v="1239"/>
    <x v="6"/>
    <d v="2012-02-23T00:00:00"/>
    <m/>
    <n v="9321653712"/>
    <n v="10"/>
    <s v="MSKU8436850"/>
    <s v="GRETE MAERSK/121W"/>
    <m/>
    <s v="NINGBO"/>
    <m/>
    <m/>
    <s v="KENUS WONG"/>
    <s v="FO9"/>
    <s v="ELECTRICAL COOKING            "/>
    <s v="CONFIRMED"/>
    <n v="1"/>
    <n v="1"/>
    <d v="2012-01-05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545/000010"/>
    <n v="1370147740"/>
    <n v="10"/>
    <x v="22"/>
    <x v="22"/>
    <s v="N4"/>
    <n v="7211000351"/>
    <n v="116"/>
    <n v="211000351"/>
    <s v="OW310130 BDM UNO 1KG WHT/RED B1                   "/>
    <s v="S"/>
    <d v="2012-01-05T00:00:00"/>
    <m/>
    <s v="X"/>
    <x v="47"/>
    <n v="38.831899999999997"/>
    <n v="1378"/>
    <d v="2012-02-22T00:00:00"/>
    <d v="2012-01-04T00:00:00"/>
    <n v="1239"/>
    <d v="2012-01-04T00:00:00"/>
    <n v="1239"/>
    <m/>
    <d v="2011-12-31T00:00:00"/>
    <n v="1239"/>
    <d v="2012-02-18T00:00:00"/>
    <d v="2011-12-31T00:00:00"/>
    <n v="1239"/>
    <n v="1239"/>
    <x v="13"/>
    <d v="2012-02-19T00:00:00"/>
    <m/>
    <n v="9321653713"/>
    <n v="10"/>
    <s v="TCLU8470591"/>
    <s v="APL RUSSIA/020W"/>
    <m/>
    <s v="NINGBO"/>
    <m/>
    <m/>
    <s v="KENUS WONG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689/000010"/>
    <n v="1370147756"/>
    <n v="10"/>
    <x v="22"/>
    <x v="22"/>
    <s v="R2"/>
    <n v="7211000484"/>
    <n v="55"/>
    <n v="211000484"/>
    <s v="BI962513 KET VITESSES 17L SS RU/EE                "/>
    <s v="S"/>
    <d v="2012-01-05T00:00:00"/>
    <m/>
    <s v="X"/>
    <x v="47"/>
    <n v="22.921399999999998"/>
    <n v="776"/>
    <d v="2012-02-24T00:00:00"/>
    <d v="2012-01-06T00:00:00"/>
    <n v="1905"/>
    <d v="2012-01-06T00:00:00"/>
    <n v="1905"/>
    <m/>
    <d v="2011-12-31T00:00:00"/>
    <n v="1905"/>
    <d v="2012-02-18T00:00:00"/>
    <d v="2011-12-31T00:00:00"/>
    <n v="1905"/>
    <n v="1905"/>
    <x v="13"/>
    <d v="2012-02-19T00:00:00"/>
    <m/>
    <n v="9321653717"/>
    <n v="10"/>
    <s v="TGHU2986595"/>
    <s v="APL RUSSIA/020W"/>
    <m/>
    <s v="NINGBO"/>
    <s v="TP ISSUE"/>
    <m/>
    <s v="KENUS WONG"/>
    <s v="FO9"/>
    <s v="BEVERAGE                      "/>
    <s v="CONFIRMED"/>
    <n v="1"/>
    <n v="52"/>
    <d v="2012-01-01T00:00:00"/>
    <s v="KITCHEN ELECTRICS             "/>
    <s v="BREAKFAST &amp; BREVAGE PREP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80/000002"/>
    <n v="1370147887"/>
    <n v="20"/>
    <x v="22"/>
    <x v="22"/>
    <s v="R2"/>
    <n v="7211000625"/>
    <n v="55"/>
    <n v="211000625"/>
    <s v="BI7125KR KET VITESSE 1L SS/BLK KR                 "/>
    <s v="S"/>
    <d v="2012-01-13T00:00:00"/>
    <m/>
    <s v="X"/>
    <x v="47"/>
    <n v="23.352499999999999"/>
    <n v="9"/>
    <d v="2012-02-01T00:00:00"/>
    <d v="2012-01-18T00:00:00"/>
    <n v="2148"/>
    <d v="2012-01-18T00:00:00"/>
    <n v="2148"/>
    <m/>
    <d v="2012-01-11T00:00:00"/>
    <n v="2148"/>
    <d v="2012-01-25T00:00:00"/>
    <d v="2012-01-11T00:00:00"/>
    <n v="2148"/>
    <n v="2064"/>
    <x v="24"/>
    <d v="2012-01-27T00:00:00"/>
    <m/>
    <n v="9321653723"/>
    <n v="10"/>
    <s v="MAEU6800585"/>
    <s v="STAR CARRIER/198E"/>
    <m/>
    <s v="NINGBO"/>
    <s v="PARTIAL-SHIP"/>
    <m/>
    <s v="AGNES NUNES"/>
    <s v="FO9"/>
    <s v="BEVERAGE                      "/>
    <s v="CONFIRMED"/>
    <n v="1"/>
    <n v="2"/>
    <d v="2012-01-13T00:00:00"/>
    <s v="KITCHEN ELECTRICS             "/>
    <s v="BREAKFAST &amp; BREVAGE PREP      "/>
    <x v="0"/>
    <x v="0"/>
    <x v="19"/>
    <s v="PARTIAL-SHIP"/>
    <n v="1"/>
    <n v="1"/>
    <x v="19"/>
    <n v="1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16"/>
    <n v="1370147889"/>
    <n v="80"/>
    <x v="22"/>
    <x v="22"/>
    <s v="P3"/>
    <n v="7211000602"/>
    <n v="36"/>
    <n v="211000602"/>
    <s v="BL3001AC BLD FACICLIC WHT KR                      "/>
    <s v="S"/>
    <d v="2012-01-13T00:00:00"/>
    <m/>
    <s v="X"/>
    <x v="47"/>
    <n v="14.3285"/>
    <n v="14"/>
    <d v="2012-01-17T00:00:00"/>
    <d v="2012-01-03T00:00:00"/>
    <n v="1407"/>
    <d v="2012-01-03T00:00:00"/>
    <n v="1407"/>
    <m/>
    <d v="2011-12-31T00:00:00"/>
    <n v="1407"/>
    <d v="2012-01-24T00:00:00"/>
    <d v="2012-01-10T00:00:00"/>
    <n v="1407"/>
    <n v="1407"/>
    <x v="24"/>
    <d v="2012-01-27T00:00:00"/>
    <m/>
    <n v="9321653724"/>
    <n v="10"/>
    <s v="PONU1599476"/>
    <s v="STAR CARRIER/198E"/>
    <m/>
    <s v="NINGBO"/>
    <m/>
    <m/>
    <s v="AGNES NUNES"/>
    <s v="FO9"/>
    <s v="FOOD PREPARATION              "/>
    <s v="CONFIRMED"/>
    <n v="1"/>
    <n v="2"/>
    <d v="2012-01-13T00:00:00"/>
    <s v="KITCHEN ELECTRICS             "/>
    <s v="FOOD PREPARATION              "/>
    <x v="0"/>
    <x v="0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005400"/>
    <s v="GROUPE SEB KOREA                                  "/>
    <n v="99005400"/>
    <x v="6"/>
    <s v="3175/000017"/>
    <n v="1370147889"/>
    <n v="90"/>
    <x v="22"/>
    <x v="22"/>
    <s v="P3"/>
    <n v="7211000733"/>
    <n v="36"/>
    <n v="211000733"/>
    <s v="BL3008AC BLD FACICLIC BLK KR                      "/>
    <s v="S"/>
    <d v="2012-01-13T00:00:00"/>
    <m/>
    <s v="X"/>
    <x v="47"/>
    <n v="14.3276"/>
    <n v="14"/>
    <d v="2012-01-17T00:00:00"/>
    <d v="2012-01-03T00:00:00"/>
    <n v="1407"/>
    <d v="2012-01-03T00:00:00"/>
    <n v="1407"/>
    <m/>
    <d v="2011-12-31T00:00:00"/>
    <n v="1407"/>
    <d v="2012-01-24T00:00:00"/>
    <d v="2012-01-10T00:00:00"/>
    <n v="1407"/>
    <n v="1407"/>
    <x v="24"/>
    <d v="2012-01-27T00:00:00"/>
    <m/>
    <n v="9321653724"/>
    <n v="20"/>
    <s v="PONU1599476"/>
    <s v="STAR CARRIER/198E"/>
    <m/>
    <s v="NINGBO"/>
    <m/>
    <m/>
    <s v="AGNES NUNES"/>
    <s v="FO9"/>
    <s v="FOOD PREPARATION              "/>
    <s v="CONFIRMED"/>
    <n v="1"/>
    <n v="2"/>
    <d v="2012-01-13T00:00:00"/>
    <s v="KITCHEN ELECTRICS             "/>
    <s v="FOOD PREPARATION              "/>
    <x v="0"/>
    <x v="0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005400"/>
    <s v="GROUPE SEB KOREA                                  "/>
    <n v="99005400"/>
    <x v="6"/>
    <s v="3175/000006"/>
    <n v="1370147889"/>
    <n v="210"/>
    <x v="22"/>
    <x v="22"/>
    <s v="R2"/>
    <n v="7211000625"/>
    <n v="55"/>
    <n v="211000625"/>
    <s v="BI7125KR KET VITESSE 1L SS/BLK KR                 "/>
    <s v="S"/>
    <d v="2012-01-13T00:00:00"/>
    <m/>
    <s v="X"/>
    <x v="47"/>
    <n v="23.352499999999999"/>
    <n v="14"/>
    <d v="2012-01-17T00:00:00"/>
    <d v="2012-01-03T00:00:00"/>
    <n v="2148"/>
    <d v="2012-01-03T00:00:00"/>
    <n v="2148"/>
    <m/>
    <d v="2011-12-28T00:00:00"/>
    <n v="4296"/>
    <d v="2012-01-18T00:00:00"/>
    <d v="2012-01-04T00:00:00"/>
    <n v="2148"/>
    <n v="2148"/>
    <x v="24"/>
    <d v="2012-01-27T00:00:00"/>
    <m/>
    <n v="9321653724"/>
    <n v="30"/>
    <s v="MSKU6488979"/>
    <s v="STAR CARRIER/198E"/>
    <m/>
    <s v="NINGBO"/>
    <m/>
    <m/>
    <s v="AGNES NUNES"/>
    <s v="FO9"/>
    <s v="BEVERAGE                      "/>
    <s v="CONFIRMED"/>
    <n v="1"/>
    <n v="2"/>
    <d v="2012-01-13T00:00:00"/>
    <s v="KITCHEN ELECTRICS             "/>
    <s v="BREAKFAST &amp; BREVAGE PREP      "/>
    <x v="0"/>
    <x v="0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005400"/>
    <s v="GROUPE SEB KOREA                                  "/>
    <n v="99005400"/>
    <x v="6"/>
    <s v="3175/000008"/>
    <n v="1370147889"/>
    <n v="230"/>
    <x v="22"/>
    <x v="22"/>
    <s v="R2"/>
    <n v="7211000658"/>
    <n v="55"/>
    <n v="211000658"/>
    <s v="BF510121 KET JUSTINE 1.2L WHT/GRE KR              "/>
    <s v="S"/>
    <d v="2012-01-13T00:00:00"/>
    <m/>
    <s v="X"/>
    <x v="47"/>
    <n v="12.4154"/>
    <n v="14"/>
    <d v="2012-01-17T00:00:00"/>
    <d v="2012-01-03T00:00:00"/>
    <n v="3240"/>
    <d v="2012-01-03T00:00:00"/>
    <n v="3240"/>
    <m/>
    <d v="2011-12-28T00:00:00"/>
    <n v="6480"/>
    <d v="2012-01-18T00:00:00"/>
    <d v="2012-01-04T00:00:00"/>
    <n v="3240"/>
    <n v="3240"/>
    <x v="24"/>
    <d v="2012-01-27T00:00:00"/>
    <m/>
    <n v="9321653724"/>
    <n v="40"/>
    <s v="MSKU6488979"/>
    <s v="STAR CARRIER/198E"/>
    <m/>
    <s v="NINGBO"/>
    <m/>
    <m/>
    <s v="AGNES NUNES"/>
    <s v="FO9"/>
    <s v="BEVERAGE                      "/>
    <s v="CONFIRMED"/>
    <n v="1"/>
    <n v="2"/>
    <d v="2012-01-13T00:00:00"/>
    <s v="KITCHEN ELECTRICS             "/>
    <s v="BREAKFAST &amp; BREVAGE PREP      "/>
    <x v="0"/>
    <x v="0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50989/000010"/>
    <n v="1370147929"/>
    <n v="10"/>
    <x v="22"/>
    <x v="22"/>
    <s v="N4"/>
    <n v="7211000817"/>
    <n v="150"/>
    <n v="211000817"/>
    <s v="CE701100 EPC COOKEO 6L WHT FR                     "/>
    <s v="S"/>
    <d v="2012-02-02T00:00:00"/>
    <m/>
    <s v="X"/>
    <x v="47"/>
    <n v="87.368399999999994"/>
    <n v="71"/>
    <d v="2012-02-17T00:00:00"/>
    <d v="2012-01-13T00:00:00"/>
    <n v="1174"/>
    <d v="2012-01-18T00:00:00"/>
    <n v="1144"/>
    <m/>
    <m/>
    <m/>
    <d v="2012-04-12T00:00:00"/>
    <d v="2012-03-08T00:00:00"/>
    <n v="1144"/>
    <n v="500"/>
    <x v="4"/>
    <d v="2012-02-26T00:00:00"/>
    <m/>
    <n v="9321653726"/>
    <n v="10"/>
    <s v="MRKU6760508"/>
    <s v="CMA CGM CORTE REAL 1"/>
    <m/>
    <s v="NINGBO"/>
    <s v="FORWARDER-PROB/CONS-SHIPT/CONS-SHIPT/SP-TECH/"/>
    <m/>
    <s v="JASON FAN"/>
    <s v="FO9"/>
    <s v="ELECTRICAL COOKING            "/>
    <s v="CONFIRMED"/>
    <n v="1"/>
    <n v="3"/>
    <d v="2012-01-22T00:00:00"/>
    <s v="KITCHEN ELECTRICS             "/>
    <s v="ELECTRICAL COOKING            "/>
    <x v="0"/>
    <x v="0"/>
    <x v="0"/>
    <s v="CONS-SHIPT"/>
    <n v="1"/>
    <n v="-3"/>
    <x v="8"/>
    <n v="4"/>
    <x v="0"/>
    <x v="0"/>
    <x v="0"/>
    <n v="0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0578/000010"/>
    <n v="1370147939"/>
    <n v="10"/>
    <x v="22"/>
    <x v="22"/>
    <s v="N4"/>
    <n v="7211000608"/>
    <n v="177"/>
    <n v="211000608"/>
    <s v="FR405101 FRY FILTRA PRO ECO 4L SS FR              "/>
    <s v="S"/>
    <d v="2012-01-07T00:00:00"/>
    <m/>
    <s v="X"/>
    <x v="47"/>
    <n v="32.269399999999997"/>
    <n v="25"/>
    <d v="2012-02-10T00:00:00"/>
    <d v="2012-01-06T00:00:00"/>
    <n v="2688"/>
    <d v="2012-01-06T00:00:00"/>
    <n v="2688"/>
    <m/>
    <d v="2012-01-01T00:00:00"/>
    <n v="2688"/>
    <d v="2012-02-05T00:00:00"/>
    <d v="2012-01-01T00:00:00"/>
    <n v="2688"/>
    <n v="1344"/>
    <x v="13"/>
    <d v="2012-02-05T00:00:00"/>
    <m/>
    <n v="9321653727"/>
    <n v="10"/>
    <s v="SEAU8597880"/>
    <s v="MAERSK ESSEN 1202/"/>
    <m/>
    <s v="NINGBO"/>
    <s v="LATE DOC FROM FORWARDER"/>
    <m/>
    <s v="JASON FAN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0578/000010"/>
    <n v="1370147939"/>
    <n v="10"/>
    <x v="22"/>
    <x v="22"/>
    <s v="N4"/>
    <n v="7211000608"/>
    <n v="177"/>
    <n v="211000608"/>
    <s v="FR405101 FRY FILTRA PRO ECO 4L SS FR              "/>
    <s v="S"/>
    <d v="2012-01-07T00:00:00"/>
    <m/>
    <s v="X"/>
    <x v="47"/>
    <n v="32.269399999999997"/>
    <n v="25"/>
    <d v="2012-02-10T00:00:00"/>
    <d v="2012-01-06T00:00:00"/>
    <n v="2688"/>
    <d v="2012-01-06T00:00:00"/>
    <n v="2688"/>
    <m/>
    <d v="2012-01-01T00:00:00"/>
    <n v="2688"/>
    <d v="2012-02-05T00:00:00"/>
    <d v="2012-01-01T00:00:00"/>
    <n v="2688"/>
    <n v="1344"/>
    <x v="13"/>
    <d v="2012-02-05T00:00:00"/>
    <m/>
    <n v="9321653727"/>
    <n v="10"/>
    <s v="TRLU5113882"/>
    <s v="MAERSK ESSEN 1202/"/>
    <m/>
    <s v="NINGBO"/>
    <s v="LATE DOC FROM FORWARDER"/>
    <m/>
    <s v="JASON FAN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32/000018"/>
    <n v="1370147451"/>
    <n v="100"/>
    <x v="30"/>
    <x v="30"/>
    <s v="N4"/>
    <n v="7211000649"/>
    <n v="39"/>
    <n v="211000649"/>
    <s v="RK106671 RC MICROCOMPUTER 10C 1.8L LIL T          "/>
    <s v="S"/>
    <d v="2012-01-18T00:00:00"/>
    <m/>
    <s v="X"/>
    <x v="47"/>
    <n v="24.314800000000002"/>
    <n v="18"/>
    <d v="2012-02-12T00:00:00"/>
    <d v="2012-01-29T00:00:00"/>
    <n v="756"/>
    <d v="2012-01-12T00:00:00"/>
    <n v="756"/>
    <m/>
    <d v="2012-01-12T00:00:00"/>
    <n v="756"/>
    <d v="2012-01-26T00:00:00"/>
    <d v="2012-01-12T00:00:00"/>
    <n v="756"/>
    <n v="756"/>
    <x v="9"/>
    <d v="2012-01-28T00:00:00"/>
    <m/>
    <n v="9321653729"/>
    <n v="10"/>
    <s v="ZCSU2535531"/>
    <s v="KUO FU 7S"/>
    <m/>
    <s v="NINGBO"/>
    <s v="SP-HOLIDAY/"/>
    <m/>
    <s v="TWEETY LEUNG"/>
    <s v="FO9"/>
    <s v="ELECTRICAL COOKING            "/>
    <s v="CONFIRMED"/>
    <n v="1"/>
    <n v="2"/>
    <d v="2012-01-14T00:00:00"/>
    <s v="KITCHEN ELECTRICS             "/>
    <s v="ELECTRICAL COOKING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175/000025"/>
    <n v="1370147889"/>
    <n v="180"/>
    <x v="30"/>
    <x v="30"/>
    <s v="N2"/>
    <n v="7211000509"/>
    <n v="50"/>
    <n v="211000509"/>
    <s v="CB522851 PLANCHA I THERMOSIGNAL KR                "/>
    <s v="S"/>
    <d v="2012-01-06T00:00:00"/>
    <m/>
    <s v="X"/>
    <x v="47"/>
    <n v="22.265999999999998"/>
    <n v="14"/>
    <d v="2012-01-17T00:00:00"/>
    <d v="2012-01-03T00:00:00"/>
    <n v="810"/>
    <d v="2012-01-03T00:00:00"/>
    <n v="810"/>
    <m/>
    <d v="2011-12-28T00:00:00"/>
    <n v="810"/>
    <d v="2012-01-18T00:00:00"/>
    <d v="2012-01-04T00:00:00"/>
    <n v="810"/>
    <n v="810"/>
    <x v="6"/>
    <d v="2012-01-19T00:00:00"/>
    <m/>
    <n v="9321653730"/>
    <n v="10"/>
    <s v="MSKU3415114"/>
    <s v="STAR MARINER/190E"/>
    <m/>
    <s v="NINGBO"/>
    <m/>
    <m/>
    <s v="AGNES NUNES"/>
    <s v="FO9"/>
    <s v="ELECTRICAL COOKING            "/>
    <s v="CONFIRMED"/>
    <n v="1"/>
    <n v="1"/>
    <d v="2012-01-05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734/000010"/>
    <n v="1370148159"/>
    <n v="10"/>
    <x v="13"/>
    <x v="13"/>
    <s v="A7"/>
    <n v="8701000461"/>
    <n v="235"/>
    <s v="T177           "/>
    <s v="T177 13&quot; SPLATTER SCREEN                          "/>
    <s v="S"/>
    <d v="2012-01-10T00:00:00"/>
    <m/>
    <s v="X"/>
    <x v="47"/>
    <n v="10.38"/>
    <n v="12"/>
    <d v="2012-02-15T00:00:00"/>
    <d v="2012-01-11T00:00:00"/>
    <n v="1002"/>
    <d v="2012-01-11T00:00:00"/>
    <n v="1002"/>
    <m/>
    <d v="2012-01-11T00:00:00"/>
    <n v="1002"/>
    <d v="2012-02-08T00:00:00"/>
    <d v="2012-01-04T00:00:00"/>
    <n v="1002"/>
    <n v="1002"/>
    <x v="7"/>
    <d v="2012-02-10T00:00:00"/>
    <m/>
    <n v="9321654395"/>
    <n v="10"/>
    <s v="IKSU8302473"/>
    <s v="CMA CGM DON PASCUALE"/>
    <m/>
    <s v="YANTI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29/000010"/>
    <n v="1370148178"/>
    <n v="10"/>
    <x v="11"/>
    <x v="11"/>
    <s v="J2"/>
    <n v="1110018210"/>
    <n v="1"/>
    <s v="               "/>
    <s v="DZ1500U1 IRON AUTO STEAM                          "/>
    <s v="S"/>
    <d v="2012-01-17T00:00:00"/>
    <m/>
    <s v="X"/>
    <x v="47"/>
    <n v="9.9600000000000009"/>
    <n v="11"/>
    <d v="2012-01-30T00:00:00"/>
    <d v="2011-12-26T00:00:00"/>
    <n v="1002"/>
    <d v="2012-01-15T00:00:00"/>
    <n v="1002"/>
    <m/>
    <d v="2011-12-26T00:00:00"/>
    <n v="1002"/>
    <d v="2012-02-19T00:00:00"/>
    <d v="2012-01-15T00:00:00"/>
    <n v="1002"/>
    <n v="1002"/>
    <x v="11"/>
    <d v="2012-02-19T00:00:00"/>
    <m/>
    <n v="9321654403"/>
    <n v="10"/>
    <s v="CMAU8285429"/>
    <s v="MSC INES/FR1203A"/>
    <m/>
    <s v="XIAMEN"/>
    <s v="CONS-SHIPT/C-POST-CONF/"/>
    <m/>
    <s v="TWEETY LEUNG"/>
    <s v="FO9"/>
    <s v="LINEN CARE                    "/>
    <s v="CONFIRMED"/>
    <n v="1"/>
    <n v="2"/>
    <d v="2012-01-15T00:00:00"/>
    <s v="LINEN PERS HOME CARE          "/>
    <s v="LINEN CARE                    "/>
    <x v="5"/>
    <x v="2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2706/000010"/>
    <n v="1370147822"/>
    <n v="10"/>
    <x v="35"/>
    <x v="35"/>
    <s v="P1"/>
    <n v="1500833760"/>
    <n v="105"/>
    <n v="833760"/>
    <s v="JU650G61 JUI JU650 MET XXL RED SA                 "/>
    <s v="S"/>
    <d v="2012-01-13T00:00:00"/>
    <m/>
    <s v="X"/>
    <x v="48"/>
    <n v="42.76"/>
    <n v="50"/>
    <d v="2012-01-12T00:00:00"/>
    <d v="2012-01-11T00:00:00"/>
    <n v="1100"/>
    <d v="2012-01-11T00:00:00"/>
    <n v="1100"/>
    <m/>
    <d v="2012-01-11T00:00:00"/>
    <n v="1100"/>
    <d v="2012-01-12T00:00:00"/>
    <d v="2012-01-11T00:00:00"/>
    <n v="1100"/>
    <n v="1100"/>
    <x v="17"/>
    <d v="2012-01-12T00:00:00"/>
    <m/>
    <n v="9321654406"/>
    <n v="10"/>
    <s v="BY TRUCK"/>
    <s v="BY TRUCK"/>
    <m/>
    <s v="YANTIAN"/>
    <s v="UNLOAD JAN10"/>
    <m/>
    <s v="ZANDRA LAM"/>
    <s v="FO9"/>
    <s v="FOOD PREPARATION              "/>
    <s v="CONFIRMED"/>
    <n v="1"/>
    <n v="2"/>
    <d v="2012-01-11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833/000010"/>
    <n v="1370147800"/>
    <n v="10"/>
    <x v="55"/>
    <x v="55"/>
    <s v="P4"/>
    <n v="8000034263"/>
    <n v="77"/>
    <s v="QA401GBA       "/>
    <s v="QA401GBA KTM MC GOURMET JUI/MMC RED SA            "/>
    <s v="S"/>
    <d v="2012-01-09T00:00:00"/>
    <m/>
    <s v="X"/>
    <x v="48"/>
    <n v="88.32"/>
    <n v="102"/>
    <d v="2012-01-05T00:00:00"/>
    <d v="2012-01-04T00:00:00"/>
    <n v="588"/>
    <d v="2012-01-04T00:00:00"/>
    <n v="588"/>
    <m/>
    <d v="2012-01-14T00:00:00"/>
    <n v="588"/>
    <d v="2012-01-08T00:00:00"/>
    <d v="2012-01-07T00:00:00"/>
    <n v="588"/>
    <n v="588"/>
    <x v="7"/>
    <d v="2012-01-07T00:00:00"/>
    <m/>
    <n v="9321654407"/>
    <n v="10"/>
    <s v="BY TRUCK"/>
    <s v="BY TRUCK"/>
    <m/>
    <s v="YANTIAN"/>
    <s v="SP-BOTTLENECK/UNLOAD JAN06 2012"/>
    <m/>
    <s v="ZANDRA LAM"/>
    <s v="FO9"/>
    <s v="FOOD PREPARATION              "/>
    <s v="CONFIRMED"/>
    <n v="1"/>
    <n v="1"/>
    <d v="2012-01-06T00:00:00"/>
    <s v="KITCHEN ELECTRICS             "/>
    <s v="FOOD PREPARATION              "/>
    <x v="4"/>
    <x v="1"/>
    <x v="6"/>
    <s v="SP-BOTTLENECK"/>
    <n v="1"/>
    <n v="1"/>
    <x v="16"/>
    <n v="2"/>
    <x v="0"/>
    <x v="1"/>
    <x v="0"/>
    <n v="1"/>
    <n v="0"/>
    <n v="1"/>
    <n v="0"/>
    <n v="0"/>
    <n v="1"/>
    <x v="0"/>
    <x v="0"/>
    <x v="1"/>
    <x v="1"/>
  </r>
  <r>
    <s v="Shipment"/>
    <n v="99103498"/>
    <s v="GSE/DSV BLP WAREHOUSE YANTIAN                     "/>
    <n v="99005151"/>
    <x v="18"/>
    <s v="9321651096/000010"/>
    <n v="1370147813"/>
    <n v="10"/>
    <x v="3"/>
    <x v="3"/>
    <s v="P1"/>
    <n v="1500833532"/>
    <n v="105"/>
    <n v="833532"/>
    <s v="PC600G31 CTP DIRECT SERVE RED FR                  "/>
    <s v="S"/>
    <d v="2012-01-06T00:00:00"/>
    <m/>
    <s v="X"/>
    <x v="48"/>
    <n v="14.41"/>
    <n v="16390"/>
    <d v="2012-01-05T00:00:00"/>
    <d v="2012-01-04T00:00:00"/>
    <n v="2000"/>
    <d v="2012-01-04T00:00:00"/>
    <n v="2000"/>
    <m/>
    <d v="2012-01-04T00:00:00"/>
    <n v="2000"/>
    <d v="2012-01-05T00:00:00"/>
    <d v="2012-01-04T00:00:00"/>
    <n v="2000"/>
    <n v="2000"/>
    <x v="6"/>
    <d v="2012-01-06T00:00:00"/>
    <m/>
    <n v="9321654409"/>
    <n v="10"/>
    <s v="BY TRUCK"/>
    <s v="BY TRUCK"/>
    <m/>
    <s v="YANTIAN"/>
    <s v="UNLOAD JAN05 2012"/>
    <m/>
    <s v="ZANDRA LAM"/>
    <s v="FO9"/>
    <s v="FOOD PREPARATION              "/>
    <s v="CONFIRMED"/>
    <n v="1"/>
    <n v="1"/>
    <d v="2012-01-05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849/000010"/>
    <n v="1370147838"/>
    <n v="10"/>
    <x v="57"/>
    <x v="57"/>
    <s v="P1"/>
    <n v="1500810161"/>
    <n v="104"/>
    <n v="810161"/>
    <s v="MC300161 CFG MOULIN A CAFE WHT/RED MO             "/>
    <s v="S"/>
    <d v="2012-01-13T00:00:00"/>
    <m/>
    <s v="X"/>
    <x v="48"/>
    <n v="7.91"/>
    <n v="9"/>
    <d v="2012-01-12T00:00:00"/>
    <d v="2012-01-11T00:00:00"/>
    <n v="3000"/>
    <d v="2012-01-11T00:00:00"/>
    <n v="3000"/>
    <m/>
    <d v="2012-01-18T00:00:00"/>
    <n v="3000"/>
    <d v="2012-01-19T00:00:00"/>
    <d v="2012-01-18T00:00:00"/>
    <n v="3000"/>
    <n v="3000"/>
    <x v="10"/>
    <d v="2012-01-13T00:00:00"/>
    <m/>
    <n v="9321654414"/>
    <n v="10"/>
    <s v="BY TRUCK"/>
    <s v="BY TRUCK"/>
    <m/>
    <s v="YANTIAN"/>
    <s v="UNLOAD JAN12 2012"/>
    <m/>
    <s v="ZANDRA LAM"/>
    <s v="FO9"/>
    <s v="FOOD PREPARATION              "/>
    <s v="CONFIRMED"/>
    <n v="1"/>
    <n v="2"/>
    <d v="2012-01-12T00:00:00"/>
    <s v="KITCHEN ELECTRICS             "/>
    <s v="FOOD PREPARATION              "/>
    <x v="7"/>
    <x v="3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3/000010"/>
    <n v="1370148149"/>
    <n v="10"/>
    <x v="0"/>
    <x v="0"/>
    <s v="A1"/>
    <n v="2100064651"/>
    <n v="200"/>
    <n v="116000953"/>
    <s v="A809S574 GRIP RIGHT TNS GREY 5P ENTREE S          "/>
    <s v="S"/>
    <d v="2012-01-17T00:00:00"/>
    <m/>
    <s v="X"/>
    <x v="47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1340"/>
    <x v="9"/>
    <d v="2012-02-18T00:00:00"/>
    <m/>
    <n v="9321654417"/>
    <n v="10"/>
    <s v="ECMU9102844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3/000010"/>
    <n v="1370148149"/>
    <n v="10"/>
    <x v="0"/>
    <x v="0"/>
    <s v="A1"/>
    <n v="2100064651"/>
    <n v="200"/>
    <n v="116000953"/>
    <s v="A809S574 GRIP RIGHT TNS GREY 5P ENTREE S          "/>
    <s v="S"/>
    <d v="2012-01-17T00:00:00"/>
    <m/>
    <s v="X"/>
    <x v="47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1340"/>
    <x v="9"/>
    <d v="2012-02-18T00:00:00"/>
    <m/>
    <n v="9321654417"/>
    <n v="10"/>
    <s v="CMAU5352668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3/000010"/>
    <n v="1370148149"/>
    <n v="10"/>
    <x v="0"/>
    <x v="0"/>
    <s v="A1"/>
    <n v="2100064651"/>
    <n v="200"/>
    <n v="116000953"/>
    <s v="A809S574 GRIP RIGHT TNS GREY 5P ENTREE S          "/>
    <s v="S"/>
    <d v="2012-01-17T00:00:00"/>
    <m/>
    <s v="X"/>
    <x v="47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1340"/>
    <x v="9"/>
    <d v="2012-02-18T00:00:00"/>
    <m/>
    <n v="9321654417"/>
    <n v="10"/>
    <s v="CMAU5573437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3/000010"/>
    <n v="1370148149"/>
    <n v="10"/>
    <x v="0"/>
    <x v="0"/>
    <s v="A1"/>
    <n v="2100064651"/>
    <n v="200"/>
    <n v="116000953"/>
    <s v="A809S574 GRIP RIGHT TNS GREY 5P ENTREE S          "/>
    <s v="S"/>
    <d v="2012-01-17T00:00:00"/>
    <m/>
    <s v="X"/>
    <x v="47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1340"/>
    <x v="9"/>
    <d v="2012-02-18T00:00:00"/>
    <m/>
    <n v="9321654417"/>
    <n v="10"/>
    <s v="CMAU5444764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3/000010"/>
    <n v="1370148149"/>
    <n v="10"/>
    <x v="0"/>
    <x v="0"/>
    <s v="A1"/>
    <n v="2100064651"/>
    <n v="200"/>
    <n v="116000953"/>
    <s v="A809S574 GRIP RIGHT TNS GREY 5P ENTREE S          "/>
    <s v="S"/>
    <d v="2012-01-17T00:00:00"/>
    <m/>
    <s v="X"/>
    <x v="47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580"/>
    <x v="9"/>
    <d v="2012-02-18T00:00:00"/>
    <m/>
    <n v="9321654417"/>
    <n v="10"/>
    <s v="FCIU9378521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3/000010"/>
    <n v="1370148149"/>
    <n v="10"/>
    <x v="0"/>
    <x v="0"/>
    <s v="A1"/>
    <n v="2100064651"/>
    <n v="200"/>
    <n v="116000953"/>
    <s v="A809S574 GRIP RIGHT TNS GREY 5P ENTREE S          "/>
    <s v="S"/>
    <d v="2012-01-17T00:00:00"/>
    <m/>
    <s v="X"/>
    <x v="47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1340"/>
    <x v="9"/>
    <d v="2012-02-18T00:00:00"/>
    <m/>
    <n v="9321654417"/>
    <n v="10"/>
    <s v="FCIU9382780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3/000010"/>
    <n v="1370148149"/>
    <n v="10"/>
    <x v="0"/>
    <x v="0"/>
    <s v="A1"/>
    <n v="2100064651"/>
    <n v="200"/>
    <n v="116000953"/>
    <s v="A809S574 GRIP RIGHT TNS GREY 5P ENTREE S          "/>
    <s v="S"/>
    <d v="2012-01-17T00:00:00"/>
    <m/>
    <s v="X"/>
    <x v="47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1340"/>
    <x v="9"/>
    <d v="2012-02-18T00:00:00"/>
    <m/>
    <n v="9321654417"/>
    <n v="10"/>
    <s v="CMAU5920557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3/000010"/>
    <n v="1370148149"/>
    <n v="10"/>
    <x v="0"/>
    <x v="0"/>
    <s v="A1"/>
    <n v="2100064651"/>
    <n v="200"/>
    <n v="116000953"/>
    <s v="A809S574 GRIP RIGHT TNS GREY 5P ENTREE S          "/>
    <s v="S"/>
    <d v="2012-01-17T00:00:00"/>
    <m/>
    <s v="X"/>
    <x v="47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1340"/>
    <x v="9"/>
    <d v="2012-02-18T00:00:00"/>
    <m/>
    <n v="9321654417"/>
    <n v="10"/>
    <s v="GESU6698070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3/000010"/>
    <n v="1370148149"/>
    <n v="10"/>
    <x v="0"/>
    <x v="0"/>
    <s v="A1"/>
    <n v="2100064651"/>
    <n v="200"/>
    <n v="116000953"/>
    <s v="A809S574 GRIP RIGHT TNS GREY 5P ENTREE S          "/>
    <s v="S"/>
    <d v="2012-01-17T00:00:00"/>
    <m/>
    <s v="X"/>
    <x v="47"/>
    <n v="21.839600000000001"/>
    <n v="23"/>
    <d v="2012-01-20T00:00:00"/>
    <d v="2011-12-16T00:00:00"/>
    <n v="10000"/>
    <d v="2012-01-13T00:00:00"/>
    <n v="10000"/>
    <m/>
    <d v="2011-12-16T00:00:00"/>
    <n v="10000"/>
    <d v="2012-02-17T00:00:00"/>
    <d v="2012-01-13T00:00:00"/>
    <n v="10000"/>
    <n v="40"/>
    <x v="9"/>
    <d v="2012-02-18T00:00:00"/>
    <m/>
    <n v="9321654417"/>
    <n v="10"/>
    <s v="TGHU9898599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842/000010"/>
    <n v="1370147870"/>
    <n v="10"/>
    <x v="35"/>
    <x v="35"/>
    <s v="P1"/>
    <n v="1500833732"/>
    <n v="105"/>
    <n v="833732"/>
    <s v="JU650D31 JUI JU650 MET SILV IT                    "/>
    <s v="S"/>
    <d v="2012-01-13T00:00:00"/>
    <m/>
    <s v="X"/>
    <x v="48"/>
    <n v="42.43"/>
    <n v="50"/>
    <d v="2012-01-12T00:00:00"/>
    <d v="2012-01-11T00:00:00"/>
    <n v="1100"/>
    <d v="2012-01-11T00:00:00"/>
    <n v="1100"/>
    <m/>
    <d v="2012-01-11T00:00:00"/>
    <n v="1100"/>
    <d v="2012-01-12T00:00:00"/>
    <d v="2012-01-11T00:00:00"/>
    <n v="1100"/>
    <n v="1100"/>
    <x v="17"/>
    <d v="2012-01-12T00:00:00"/>
    <m/>
    <n v="9321654430"/>
    <n v="10"/>
    <s v="BY TRUCK"/>
    <s v="BY TRUCK"/>
    <m/>
    <s v="YANTIAN"/>
    <s v="UNLOAD JAN10"/>
    <m/>
    <s v="ZANDRA LAM"/>
    <s v="FO9"/>
    <s v="FOOD PREPARATION              "/>
    <s v="CONFIRMED"/>
    <n v="1"/>
    <n v="2"/>
    <d v="2012-01-11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458/000010"/>
    <n v="1370147878"/>
    <n v="10"/>
    <x v="11"/>
    <x v="11"/>
    <s v="J4"/>
    <n v="1830003124"/>
    <n v="142"/>
    <s v="GM5010E0       "/>
    <s v="GM5010E0 GENERATOR COMPACTEO                      "/>
    <s v="S"/>
    <d v="2012-01-09T00:00:00"/>
    <m/>
    <s v="X"/>
    <x v="48"/>
    <n v="42.36"/>
    <n v="48"/>
    <d v="2012-01-09T00:00:00"/>
    <d v="2012-01-06T00:00:00"/>
    <n v="750"/>
    <d v="2012-01-06T00:00:00"/>
    <n v="750"/>
    <m/>
    <d v="2012-01-06T00:00:00"/>
    <n v="750"/>
    <d v="2012-01-09T00:00:00"/>
    <d v="2012-01-06T00:00:00"/>
    <n v="750"/>
    <n v="750"/>
    <x v="6"/>
    <d v="2012-01-08T00:00:00"/>
    <m/>
    <n v="9321654446"/>
    <n v="10"/>
    <s v="BY TRUCK"/>
    <s v="BY TRUCK"/>
    <m/>
    <s v="XIAMEN"/>
    <m/>
    <m/>
    <s v="ZANDRA LAM"/>
    <s v="FO9"/>
    <s v="LINEN CARE                    "/>
    <s v="CONFIRMED"/>
    <n v="1"/>
    <n v="1"/>
    <d v="2012-01-05T00:00:00"/>
    <s v="LINEN PERS HOME CARE          "/>
    <s v="LINEN CARE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459/000010"/>
    <n v="1370147847"/>
    <n v="10"/>
    <x v="40"/>
    <x v="40"/>
    <s v="L4"/>
    <n v="1830003060"/>
    <n v="5"/>
    <s v="CV4212F0       "/>
    <s v="CV4212F0 STUDIO DRY HAIR DRYER                    "/>
    <s v="S"/>
    <d v="2012-01-06T00:00:00"/>
    <m/>
    <s v="X"/>
    <x v="48"/>
    <n v="5.33"/>
    <n v="6193"/>
    <d v="2012-01-09T00:00:00"/>
    <d v="2012-01-08T00:00:00"/>
    <n v="3000"/>
    <d v="2012-01-08T00:00:00"/>
    <n v="3000"/>
    <m/>
    <d v="2012-01-06T00:00:00"/>
    <n v="3000"/>
    <d v="2012-01-06T00:00:00"/>
    <d v="2012-01-05T00:00:00"/>
    <n v="3000"/>
    <n v="3000"/>
    <x v="6"/>
    <d v="2012-01-06T00:00:00"/>
    <m/>
    <n v="9321654560"/>
    <n v="10"/>
    <s v="BY TRUCK"/>
    <s v="BY TRUCK"/>
    <m/>
    <s v="YANTIAN"/>
    <s v="UNLOAD JAN05 2012"/>
    <m/>
    <s v="ZANDRA LAM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49561/000010"/>
    <n v="1370147879"/>
    <n v="10"/>
    <x v="9"/>
    <x v="9"/>
    <s v="N3"/>
    <n v="1500631515"/>
    <n v="177"/>
    <n v="631515"/>
    <s v="AKG24W SUPRALYS                                   "/>
    <s v="S"/>
    <d v="2012-01-06T00:00:00"/>
    <m/>
    <s v="X"/>
    <x v="48"/>
    <n v="16.93"/>
    <n v="19569"/>
    <d v="2012-01-09T00:00:00"/>
    <d v="2012-01-08T00:00:00"/>
    <n v="1400"/>
    <d v="2012-01-08T00:00:00"/>
    <n v="1400"/>
    <m/>
    <d v="2012-01-08T00:00:00"/>
    <n v="1400"/>
    <d v="2012-01-06T00:00:00"/>
    <d v="2012-01-05T00:00:00"/>
    <n v="1400"/>
    <n v="1400"/>
    <x v="6"/>
    <d v="2012-01-06T00:00:00"/>
    <m/>
    <n v="9321654589"/>
    <n v="10"/>
    <s v="BY TRUCK"/>
    <s v="BY TRUCK"/>
    <m/>
    <s v="YANTIAN"/>
    <m/>
    <m/>
    <s v="ZANDRA LAM"/>
    <s v="FO9"/>
    <s v="ELECTRICAL COOKING            "/>
    <s v="CONFIRMED"/>
    <n v="1"/>
    <n v="1"/>
    <d v="2012-01-05T00:00:00"/>
    <s v="KITCHEN ELECTRICS             "/>
    <s v="ELECTRICAL COOKING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382/000010"/>
    <n v="1370147844"/>
    <n v="10"/>
    <x v="14"/>
    <x v="14"/>
    <s v="J2"/>
    <n v="1110018783"/>
    <n v="64"/>
    <s v="               "/>
    <s v="DR5050D1 STEAM BRUSH                              "/>
    <s v="S"/>
    <d v="2012-01-31T00:00:00"/>
    <m/>
    <s v="X"/>
    <x v="48"/>
    <n v="11.15"/>
    <n v="13"/>
    <d v="2012-01-16T00:00:00"/>
    <d v="2012-01-02T00:00:00"/>
    <n v="3000"/>
    <d v="2012-01-02T00:00:00"/>
    <n v="3000"/>
    <m/>
    <d v="2011-12-29T00:00:00"/>
    <n v="3000"/>
    <d v="2012-01-20T00:00:00"/>
    <d v="2012-01-06T00:00:00"/>
    <n v="3000"/>
    <n v="3000"/>
    <x v="12"/>
    <d v="2012-01-21T00:00:00"/>
    <m/>
    <n v="9321654596"/>
    <n v="10"/>
    <s v="CSLU1449410"/>
    <s v="HATSU COURAGE V0078W"/>
    <m/>
    <s v="NINGBO"/>
    <s v="SHIP + ETD DEC29"/>
    <m/>
    <s v="ZANDRA LAM"/>
    <s v="FO9"/>
    <s v="LINEN CARE                    "/>
    <s v="CONFIRMED"/>
    <n v="1"/>
    <n v="1"/>
    <d v="2012-01-07T00:00:00"/>
    <s v="LINEN PERS HOME CARE          "/>
    <s v="LINEN CARE   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1419/000010"/>
    <n v="1370147848"/>
    <n v="10"/>
    <x v="70"/>
    <x v="70"/>
    <s v="N3"/>
    <n v="1500632916"/>
    <n v="39"/>
    <n v="632916"/>
    <s v="MK100972 RICE COOKER 10C M+X                      "/>
    <s v="S"/>
    <d v="2012-01-09T00:00:00"/>
    <m/>
    <s v="X"/>
    <x v="48"/>
    <n v="10.36"/>
    <n v="12"/>
    <d v="2012-01-09T00:00:00"/>
    <d v="2012-01-08T00:00:00"/>
    <n v="2720"/>
    <d v="2012-01-08T00:00:00"/>
    <n v="2720"/>
    <m/>
    <d v="2012-01-08T00:00:00"/>
    <n v="2720"/>
    <d v="2012-01-09T00:00:00"/>
    <d v="2012-01-08T00:00:00"/>
    <n v="2720"/>
    <n v="2720"/>
    <x v="7"/>
    <d v="2012-01-07T00:00:00"/>
    <m/>
    <n v="9321654600"/>
    <n v="10"/>
    <s v="BY TRUCK"/>
    <s v="BY TRUCK"/>
    <m/>
    <s v="YANTIAN"/>
    <s v="UNLOAD JAN06 2012"/>
    <m/>
    <s v="ZANDRA LAM"/>
    <s v="FO9"/>
    <s v="ELECTRICAL COOKING            "/>
    <s v="CONFIRMED"/>
    <n v="1"/>
    <n v="1"/>
    <d v="2012-01-06T00:00:00"/>
    <s v="KITCHEN ELECTRICS             "/>
    <s v="ELECTRICAL COOKING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2372/000010"/>
    <n v="1370147902"/>
    <n v="10"/>
    <x v="23"/>
    <x v="23"/>
    <s v="N4"/>
    <n v="2820130100"/>
    <n v="32"/>
    <n v="634242"/>
    <s v="VC130100 STMC MINICOMP.PLAST 3B WHT FR            "/>
    <s v="S"/>
    <d v="2012-01-18T00:00:00"/>
    <m/>
    <s v="X"/>
    <x v="49"/>
    <n v="13.4033"/>
    <n v="11"/>
    <d v="2012-01-28T00:00:00"/>
    <d v="2011-12-24T00:00:00"/>
    <n v="1344"/>
    <d v="2012-01-03T00:00:00"/>
    <n v="1344"/>
    <m/>
    <d v="2011-12-24T00:00:00"/>
    <n v="1344"/>
    <d v="2012-02-07T00:00:00"/>
    <d v="2012-01-03T00:00:00"/>
    <n v="1344"/>
    <n v="1344"/>
    <x v="16"/>
    <d v="2012-02-07T00:00:00"/>
    <m/>
    <n v="9321655279"/>
    <n v="10"/>
    <s v="PONU1647825"/>
    <s v="MAERSK ESSEN"/>
    <m/>
    <s v="SHANGHAI"/>
    <s v="C-POST/CON/LATE DOC FROM FORWARDER"/>
    <m/>
    <s v="JASON FAN"/>
    <s v="FO9"/>
    <s v="ELECTRICAL COOKING            "/>
    <s v="CONFIRMED"/>
    <n v="1"/>
    <n v="1"/>
    <d v="2012-01-03T00:00:00"/>
    <s v="KITCHEN ELECTRICS             "/>
    <s v="ELECTRICAL COOKING            "/>
    <x v="0"/>
    <x v="0"/>
    <x v="1"/>
    <m/>
    <n v="0"/>
    <n v="0"/>
    <x v="1"/>
    <n v="3"/>
    <x v="0"/>
    <x v="0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799/000001"/>
    <n v="1370148563"/>
    <n v="10"/>
    <x v="4"/>
    <x v="4"/>
    <s v="M5"/>
    <n v="2210016720"/>
    <n v="69"/>
    <s v="AC91254A       "/>
    <s v="AC91254A CLEANETTE AIR FORCE  72V VAC C           "/>
    <s v="S"/>
    <d v="2012-01-19T00:00:00"/>
    <m/>
    <s v="X"/>
    <x v="49"/>
    <n v="24.18"/>
    <n v="32"/>
    <d v="2012-01-07T00:00:00"/>
    <d v="2011-12-24T00:00:00"/>
    <n v="944"/>
    <d v="2012-01-21T00:00:00"/>
    <n v="944"/>
    <m/>
    <d v="2011-12-24T00:00:00"/>
    <n v="944"/>
    <d v="2012-02-04T00:00:00"/>
    <d v="2012-01-21T00:00:00"/>
    <n v="944"/>
    <n v="944"/>
    <x v="26"/>
    <d v="2012-02-04T00:00:00"/>
    <m/>
    <n v="9321655286"/>
    <n v="10"/>
    <s v="TEMU3359767"/>
    <s v="OOCL BEIJING 007W"/>
    <m/>
    <s v="YANTIAN"/>
    <s v="C-ETD-TEMP/"/>
    <m/>
    <s v="AGNES NUNES"/>
    <s v="FO9"/>
    <s v="HOME CLEANING                 "/>
    <s v="CONFIRMED"/>
    <n v="1"/>
    <n v="3"/>
    <d v="2012-01-21T00:00:00"/>
    <s v="HOME CLEANING                 "/>
    <s v="HOME CLEANING                 "/>
    <x v="3"/>
    <x v="2"/>
    <x v="16"/>
    <s v="C-ETD-TEMP"/>
    <n v="-3"/>
    <n v="-3"/>
    <x v="7"/>
    <n v="1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35693/000010"/>
    <n v="1370147298"/>
    <n v="10"/>
    <x v="17"/>
    <x v="17"/>
    <s v="L4"/>
    <n v="1830003504"/>
    <n v="5"/>
    <s v="CV4422B0       "/>
    <s v="CV4422B0 FOLDABLE HAIR DRYER NAME TBC             "/>
    <s v="S"/>
    <d v="2012-01-20T00:00:00"/>
    <m/>
    <s v="X"/>
    <x v="49"/>
    <n v="7.98"/>
    <n v="9"/>
    <d v="2012-02-04T00:00:00"/>
    <d v="2011-12-24T00:00:00"/>
    <n v="3000"/>
    <d v="2012-01-18T00:00:00"/>
    <n v="3000"/>
    <m/>
    <d v="2011-12-31T00:00:00"/>
    <n v="3000"/>
    <d v="2012-02-29T00:00:00"/>
    <d v="2012-01-18T00:00:00"/>
    <n v="3000"/>
    <n v="3000"/>
    <x v="19"/>
    <d v="2012-02-28T00:00:00"/>
    <m/>
    <n v="9321655288"/>
    <n v="10"/>
    <s v="SEAU2284240"/>
    <s v="MAERSK LUZ 202W/"/>
    <m/>
    <s v="HONG KONG"/>
    <s v="NEWREQ-CUSTOMS/"/>
    <m/>
    <s v="THOMAS HO"/>
    <s v="FO9"/>
    <s v="PERSONAL CARE                 "/>
    <s v="CONFIRMED"/>
    <n v="1"/>
    <n v="3"/>
    <d v="2012-01-17T00:00:00"/>
    <s v="LINEN PERS HOME CARE          "/>
    <s v="PERSONAL CARE                 "/>
    <x v="3"/>
    <x v="2"/>
    <x v="8"/>
    <s v="NEWREQ-CUSTOMS"/>
    <n v="1"/>
    <n v="1"/>
    <x v="14"/>
    <n v="1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35683/000010"/>
    <n v="1370147316"/>
    <n v="10"/>
    <x v="2"/>
    <x v="2"/>
    <s v="R1"/>
    <n v="1500634591"/>
    <n v="27"/>
    <n v="634591"/>
    <s v="FJ320851 FCM PERFECTTA 127V BLK/SS BR             "/>
    <s v="S"/>
    <d v="2012-01-07T00:00:00"/>
    <m/>
    <s v="X"/>
    <x v="49"/>
    <n v="7.08"/>
    <n v="8"/>
    <d v="2012-02-04T00:00:00"/>
    <d v="2011-12-24T00:00:00"/>
    <n v="6120"/>
    <d v="2012-01-05T00:00:00"/>
    <n v="6120"/>
    <m/>
    <d v="2011-12-24T00:00:00"/>
    <n v="6120"/>
    <d v="2012-02-15T00:00:00"/>
    <d v="2012-01-04T00:00:00"/>
    <n v="6120"/>
    <n v="6120"/>
    <x v="2"/>
    <d v="2012-02-15T00:00:00"/>
    <m/>
    <n v="9321655290"/>
    <n v="10"/>
    <s v="PONU7696956"/>
    <s v="MAERSK LIMA 152W/"/>
    <m/>
    <s v="YANTIAN"/>
    <s v="NEWREQ-CUSTOMS/"/>
    <m/>
    <s v="THOMAS HO"/>
    <s v="FO9"/>
    <s v="BEVERAGE                      "/>
    <s v="CONFIRMED"/>
    <n v="1"/>
    <n v="1"/>
    <d v="2012-01-04T00:00:00"/>
    <s v="KITCHEN ELECTRICS             "/>
    <s v="BREAKFAST &amp; BREVAGE PREP      "/>
    <x v="1"/>
    <x v="1"/>
    <x v="8"/>
    <s v="NEWREQ-CUSTOMS"/>
    <n v="1"/>
    <n v="1"/>
    <x v="14"/>
    <n v="1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35691/000010"/>
    <n v="1370147296"/>
    <n v="10"/>
    <x v="16"/>
    <x v="16"/>
    <s v="L4"/>
    <n v="1830003208"/>
    <n v="5"/>
    <s v="CV9142B5       "/>
    <s v="CV9142B5 LISSIMA 2 HAIR DRYER STRAIGHTEN          "/>
    <s v="S"/>
    <d v="2012-01-06T00:00:00"/>
    <m/>
    <s v="X"/>
    <x v="49"/>
    <n v="12.04"/>
    <n v="14"/>
    <d v="2012-02-04T00:00:00"/>
    <d v="2011-12-24T00:00:00"/>
    <n v="11250"/>
    <d v="2012-01-04T00:00:00"/>
    <n v="11250"/>
    <m/>
    <d v="2011-12-24T00:00:00"/>
    <n v="4739"/>
    <d v="2012-02-10T00:00:00"/>
    <d v="2011-12-30T00:00:00"/>
    <n v="11250"/>
    <n v="4632"/>
    <x v="2"/>
    <d v="2012-02-15T00:00:00"/>
    <m/>
    <n v="9321655291"/>
    <n v="10"/>
    <s v="MSKU6942870"/>
    <s v="MAERSK LIMA 152W/"/>
    <m/>
    <s v="SHENZHEN"/>
    <s v="SP-NO-FORECAST/"/>
    <m/>
    <s v="THOMAS HO"/>
    <s v="FO9"/>
    <s v="PERSONAL CARE                 "/>
    <s v="CONFIRMED"/>
    <n v="1"/>
    <n v="1"/>
    <d v="2012-01-04T00:00:00"/>
    <s v="LINEN PERS HOME CARE          "/>
    <s v="PERSONAL CARE                 "/>
    <x v="3"/>
    <x v="2"/>
    <x v="14"/>
    <s v="SP-NO-FORECAST"/>
    <n v="-3"/>
    <n v="-3"/>
    <x v="15"/>
    <n v="1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35691/000010"/>
    <n v="1370147296"/>
    <n v="10"/>
    <x v="16"/>
    <x v="16"/>
    <s v="L4"/>
    <n v="1830003208"/>
    <n v="5"/>
    <s v="CV9142B5       "/>
    <s v="CV9142B5 LISSIMA 2 HAIR DRYER STRAIGHTEN          "/>
    <s v="S"/>
    <d v="2012-01-06T00:00:00"/>
    <m/>
    <s v="X"/>
    <x v="49"/>
    <n v="12.04"/>
    <n v="14"/>
    <d v="2012-02-04T00:00:00"/>
    <d v="2011-12-24T00:00:00"/>
    <n v="11250"/>
    <d v="2012-01-04T00:00:00"/>
    <n v="11250"/>
    <m/>
    <d v="2011-12-24T00:00:00"/>
    <n v="4739"/>
    <d v="2012-02-10T00:00:00"/>
    <d v="2011-12-30T00:00:00"/>
    <n v="11250"/>
    <n v="6618"/>
    <x v="2"/>
    <d v="2012-02-15T00:00:00"/>
    <m/>
    <n v="9321655291"/>
    <n v="10"/>
    <s v="PONU1900255"/>
    <s v="MAERSK LIMA 152W/"/>
    <m/>
    <s v="SHENZHEN"/>
    <s v="SP-NO-FORECAST/"/>
    <m/>
    <s v="THOMAS HO"/>
    <s v="FO9"/>
    <s v="PERSONAL CARE                 "/>
    <s v="CONFIRMED"/>
    <n v="1"/>
    <n v="1"/>
    <d v="2012-01-04T00:00:00"/>
    <s v="LINEN PERS HOME CARE          "/>
    <s v="PERSONAL CARE                 "/>
    <x v="3"/>
    <x v="2"/>
    <x v="14"/>
    <s v="SP-NO-FORECAST"/>
    <n v="-3"/>
    <n v="-3"/>
    <x v="15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2780/000010"/>
    <n v="1370147922"/>
    <n v="10"/>
    <x v="27"/>
    <x v="27"/>
    <s v="K9"/>
    <n v="8000033520"/>
    <n v="29"/>
    <s v="XP522010       "/>
    <s v="XP522010 ESP XP5200 SERIES BLK EUR                "/>
    <s v="S"/>
    <d v="2012-01-07T00:00:00"/>
    <m/>
    <s v="X"/>
    <x v="49"/>
    <n v="60.55"/>
    <n v="52"/>
    <d v="2012-01-28T00:00:00"/>
    <d v="2011-12-24T00:00:00"/>
    <n v="876"/>
    <d v="2011-12-24T00:00:00"/>
    <n v="876"/>
    <m/>
    <d v="2011-12-24T00:00:00"/>
    <n v="876"/>
    <d v="2012-01-28T00:00:00"/>
    <d v="2011-12-24T00:00:00"/>
    <n v="876"/>
    <n v="876"/>
    <x v="2"/>
    <d v="2012-02-08T00:00:00"/>
    <m/>
    <n v="9321655299"/>
    <n v="10"/>
    <s v="CAXU4770359"/>
    <s v="MAREN MAERSK 121W/"/>
    <m/>
    <s v="YANTIAN"/>
    <s v="C-POST-CONF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2"/>
    <x v="1"/>
    <x v="3"/>
    <s v="C-POST-CONF"/>
    <n v="-3"/>
    <n v="-3"/>
    <x v="0"/>
    <n v="1"/>
    <x v="0"/>
    <x v="0"/>
    <x v="0"/>
    <n v="0"/>
    <n v="0"/>
    <n v="0"/>
    <n v="0"/>
    <n v="0"/>
    <n v="0"/>
    <x v="1"/>
    <x v="0"/>
    <x v="1"/>
    <x v="0"/>
  </r>
  <r>
    <s v="Shipment"/>
    <n v="99008000"/>
    <s v="GROUPE SEB MOULINEX SAS                           "/>
    <n v="99008000"/>
    <x v="23"/>
    <s v="9321651537/000010"/>
    <n v="1370147491"/>
    <n v="10"/>
    <x v="52"/>
    <x v="52"/>
    <s v="P1"/>
    <n v="1500813263"/>
    <n v="104"/>
    <n v="813263"/>
    <s v="AR100G31 CFG 180W METAL RED EUR                   "/>
    <s v="S"/>
    <d v="2012-01-05T00:00:00"/>
    <m/>
    <s v="X"/>
    <x v="49"/>
    <n v="10.54"/>
    <n v="9061"/>
    <d v="2012-01-28T00:00:00"/>
    <d v="2011-12-24T00:00:00"/>
    <n v="4998"/>
    <d v="2012-01-03T00:00:00"/>
    <n v="4998"/>
    <m/>
    <d v="2011-12-25T00:00:00"/>
    <n v="4998"/>
    <d v="2012-02-07T00:00:00"/>
    <d v="2012-01-03T00:00:00"/>
    <n v="4998"/>
    <n v="4998"/>
    <x v="2"/>
    <d v="2012-02-08T00:00:00"/>
    <m/>
    <n v="9321655302"/>
    <n v="10"/>
    <s v="OOLU7495378"/>
    <s v="CHINA EXPRESS/08W52"/>
    <m/>
    <s v="YANTIAN"/>
    <s v="C-POST-CONF/"/>
    <m/>
    <s v="JASON FAN"/>
    <s v="FO9"/>
    <s v="FOOD PREPARATION              "/>
    <s v="CONFIRMED"/>
    <n v="1"/>
    <n v="1"/>
    <d v="2012-01-04T00:00:00"/>
    <s v="KITCHEN ELECTRICS             "/>
    <s v="FOOD PREPARATION              "/>
    <x v="1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2781/000010"/>
    <n v="1370147911"/>
    <n v="10"/>
    <x v="33"/>
    <x v="33"/>
    <s v="R1"/>
    <n v="8000033614"/>
    <n v="27"/>
    <s v="KM506510       "/>
    <s v="KM506510 FCM PRECISION SS EUR                     "/>
    <s v="S"/>
    <d v="2012-01-07T00:00:00"/>
    <m/>
    <s v="X"/>
    <x v="49"/>
    <n v="31.94"/>
    <n v="28"/>
    <d v="2012-01-28T00:00:00"/>
    <d v="2011-12-24T00:00:00"/>
    <n v="1056"/>
    <d v="2012-01-04T00:00:00"/>
    <n v="1056"/>
    <m/>
    <d v="2011-12-24T00:00:00"/>
    <n v="1056"/>
    <d v="2012-02-08T00:00:00"/>
    <d v="2012-01-04T00:00:00"/>
    <n v="1056"/>
    <n v="1056"/>
    <x v="2"/>
    <d v="2012-02-08T00:00:00"/>
    <m/>
    <n v="9321655303"/>
    <n v="10"/>
    <s v="MSKU6515523"/>
    <s v="MAREN MAERSK 121W/"/>
    <m/>
    <s v="YANTIAN"/>
    <s v="CONS-SHIPT/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1"/>
    <x v="1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3171781"/>
    <s v="ROSS DI 0001/DHL LOGISTICS                        "/>
    <n v="99008400"/>
    <x v="12"/>
    <s v="9321655167/000010"/>
    <n v="1370148655"/>
    <n v="10"/>
    <x v="0"/>
    <x v="0"/>
    <s v="A1"/>
    <n v="2100065297"/>
    <n v="201"/>
    <n v="115003221"/>
    <s v="A77523FR SCP18+LID EASY PE STYLE ROSS GR          "/>
    <s v="S"/>
    <d v="2012-01-13T00:00:00"/>
    <m/>
    <s v="X"/>
    <x v="47"/>
    <n v="6.0209000000000001"/>
    <n v="6"/>
    <d v="2012-01-07T00:00:00"/>
    <d v="2012-01-07T00:00:00"/>
    <n v="1500"/>
    <d v="2012-01-07T00:00:00"/>
    <n v="1500"/>
    <m/>
    <d v="2012-01-07T00:00:00"/>
    <n v="1500"/>
    <d v="2012-01-18T00:00:00"/>
    <d v="2012-01-18T00:00:00"/>
    <n v="1500"/>
    <n v="1500"/>
    <x v="21"/>
    <d v="2012-01-18T00:00:00"/>
    <m/>
    <n v="9321655415"/>
    <n v="10"/>
    <s v="TCNU9008625"/>
    <s v="TBC"/>
    <m/>
    <s v="NINGBO"/>
    <s v="C-FINALCUSTOMER-REQ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0"/>
    <n v="0"/>
    <n v="1"/>
    <n v="0"/>
    <n v="1"/>
    <x v="0"/>
    <x v="0"/>
    <x v="0"/>
    <x v="0"/>
  </r>
  <r>
    <s v="Shipment"/>
    <n v="93171781"/>
    <s v="ROSS DI 0001/DHL LOGISTICS                        "/>
    <n v="99008400"/>
    <x v="12"/>
    <s v="9321655167/000020"/>
    <n v="1370148655"/>
    <n v="20"/>
    <x v="0"/>
    <x v="0"/>
    <s v="A1"/>
    <n v="2100065298"/>
    <n v="201"/>
    <n v="115003222"/>
    <s v="A77524FR SCP20+LID EASY PE STYLE ROSS GR          "/>
    <s v="S"/>
    <d v="2012-01-13T00:00:00"/>
    <m/>
    <s v="X"/>
    <x v="47"/>
    <n v="7.7962999999999996"/>
    <n v="6"/>
    <d v="2012-01-07T00:00:00"/>
    <d v="2012-01-07T00:00:00"/>
    <n v="1500"/>
    <d v="2012-01-07T00:00:00"/>
    <n v="1500"/>
    <m/>
    <d v="2012-01-07T00:00:00"/>
    <n v="1500"/>
    <d v="2012-01-18T00:00:00"/>
    <d v="2012-01-18T00:00:00"/>
    <n v="1500"/>
    <n v="1500"/>
    <x v="21"/>
    <d v="2012-01-18T00:00:00"/>
    <m/>
    <n v="9321655415"/>
    <n v="20"/>
    <s v="TCNU9008625"/>
    <s v="TBC"/>
    <m/>
    <s v="NINGBO"/>
    <s v="C-FINALCUSTOMER-REQ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0"/>
    <n v="0"/>
    <n v="1"/>
    <n v="0"/>
    <n v="1"/>
    <x v="0"/>
    <x v="0"/>
    <x v="0"/>
    <x v="0"/>
  </r>
  <r>
    <s v="Shipment"/>
    <n v="93171781"/>
    <s v="ROSS DI 0001/DHL LOGISTICS                        "/>
    <n v="99008400"/>
    <x v="12"/>
    <s v="9321655167/000030"/>
    <n v="1370148655"/>
    <n v="30"/>
    <x v="0"/>
    <x v="0"/>
    <s v="A1"/>
    <n v="2100065299"/>
    <n v="201"/>
    <n v="115003223"/>
    <s v="A77546FR D.OV24+LID EASY PE STYLE ROSS G          "/>
    <s v="S"/>
    <d v="2012-01-13T00:00:00"/>
    <m/>
    <s v="X"/>
    <x v="47"/>
    <n v="9.4753000000000007"/>
    <n v="6"/>
    <d v="2012-01-07T00:00:00"/>
    <d v="2012-01-07T00:00:00"/>
    <n v="1500"/>
    <d v="2012-01-07T00:00:00"/>
    <n v="1500"/>
    <m/>
    <d v="2012-01-07T00:00:00"/>
    <n v="1500"/>
    <d v="2012-01-18T00:00:00"/>
    <d v="2012-01-18T00:00:00"/>
    <n v="1500"/>
    <n v="1500"/>
    <x v="21"/>
    <d v="2012-01-18T00:00:00"/>
    <m/>
    <n v="9321655415"/>
    <n v="30"/>
    <s v="OOLU8721654"/>
    <s v="TBC"/>
    <m/>
    <s v="NINGBO"/>
    <s v="C-FINALCUSTOMER-REQ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0"/>
    <n v="0"/>
    <n v="1"/>
    <n v="0"/>
    <n v="1"/>
    <x v="0"/>
    <x v="0"/>
    <x v="0"/>
    <x v="0"/>
  </r>
  <r>
    <s v="Shipment"/>
    <n v="93171781"/>
    <s v="ROSS DI 0001/DHL LOGISTICS                        "/>
    <n v="99008400"/>
    <x v="12"/>
    <s v="9321655167/000040"/>
    <n v="1370148655"/>
    <n v="40"/>
    <x v="0"/>
    <x v="0"/>
    <s v="A1"/>
    <n v="2100056584"/>
    <n v="201"/>
    <n v="115002024"/>
    <s v="A90997FR T-FAL TNS GREY 10 CVD DEEP SAUT          "/>
    <s v="S"/>
    <d v="2012-01-13T00:00:00"/>
    <m/>
    <s v="X"/>
    <x v="47"/>
    <n v="8.1610999999999994"/>
    <n v="6"/>
    <d v="2012-01-07T00:00:00"/>
    <d v="2012-01-07T00:00:00"/>
    <n v="1010"/>
    <d v="2012-01-07T00:00:00"/>
    <n v="1010"/>
    <m/>
    <d v="2012-01-07T00:00:00"/>
    <n v="1010"/>
    <d v="2012-01-18T00:00:00"/>
    <d v="2012-01-18T00:00:00"/>
    <n v="1010"/>
    <n v="1010"/>
    <x v="21"/>
    <d v="2012-01-18T00:00:00"/>
    <m/>
    <n v="9321655415"/>
    <n v="40"/>
    <s v="TCNU9008625"/>
    <s v="TBC"/>
    <m/>
    <s v="NINGBO"/>
    <s v="C-FINALCUSTOMER-REQ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0"/>
    <n v="0"/>
    <n v="1"/>
    <n v="0"/>
    <n v="1"/>
    <x v="0"/>
    <x v="0"/>
    <x v="0"/>
    <x v="0"/>
  </r>
  <r>
    <s v="Shipment"/>
    <n v="93171781"/>
    <s v="ROSS DI 0001/DHL LOGISTICS                        "/>
    <n v="99008400"/>
    <x v="12"/>
    <s v="9321655167/000050"/>
    <n v="1370148655"/>
    <n v="50"/>
    <x v="0"/>
    <x v="0"/>
    <s v="A1"/>
    <n v="2100060233"/>
    <n v="200"/>
    <n v="115002516"/>
    <s v="A80882FR WEAREVER NS GRAY 5Q JUMBO COOKE          "/>
    <s v="S"/>
    <d v="2012-01-13T00:00:00"/>
    <m/>
    <s v="X"/>
    <x v="47"/>
    <n v="9.3767999999999994"/>
    <n v="6"/>
    <d v="2012-01-07T00:00:00"/>
    <d v="2012-01-07T00:00:00"/>
    <n v="1600"/>
    <d v="2012-01-07T00:00:00"/>
    <n v="1600"/>
    <m/>
    <d v="2012-01-07T00:00:00"/>
    <n v="1600"/>
    <d v="2012-01-18T00:00:00"/>
    <d v="2012-01-18T00:00:00"/>
    <n v="1600"/>
    <n v="1600"/>
    <x v="21"/>
    <d v="2012-01-18T00:00:00"/>
    <m/>
    <n v="9321655415"/>
    <n v="50"/>
    <s v="OOLU7310788"/>
    <s v="TBC"/>
    <m/>
    <s v="NINGBO"/>
    <s v="C-FINALCUSTOMER-REQ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0"/>
    <n v="0"/>
    <n v="1"/>
    <n v="0"/>
    <n v="1"/>
    <x v="0"/>
    <x v="0"/>
    <x v="0"/>
    <x v="0"/>
  </r>
  <r>
    <s v="Shipment"/>
    <n v="93171781"/>
    <s v="ROSS DI 0001/DHL LOGISTICS                        "/>
    <n v="99008400"/>
    <x v="12"/>
    <s v="9321655169/000010"/>
    <n v="1370148653"/>
    <n v="10"/>
    <x v="0"/>
    <x v="0"/>
    <s v="A1"/>
    <n v="2100056853"/>
    <n v="200"/>
    <n v="115002022"/>
    <s v="A80807FR WEAREVER NS GREY SAUTE 12&quot; FCA           "/>
    <s v="S"/>
    <d v="2012-01-13T00:00:00"/>
    <m/>
    <s v="X"/>
    <x v="49"/>
    <n v="6.0747999999999998"/>
    <n v="6"/>
    <d v="2012-01-07T00:00:00"/>
    <d v="2012-01-07T00:00:00"/>
    <n v="1200"/>
    <d v="2012-01-07T00:00:00"/>
    <n v="1200"/>
    <m/>
    <d v="2012-01-07T00:00:00"/>
    <n v="1200"/>
    <d v="2012-01-18T00:00:00"/>
    <d v="2012-01-18T00:00:00"/>
    <n v="1200"/>
    <n v="1200"/>
    <x v="21"/>
    <d v="2012-01-18T00:00:00"/>
    <m/>
    <n v="9321655420"/>
    <n v="10"/>
    <s v="OOLU8721654"/>
    <s v="TBC"/>
    <m/>
    <s v="NINGBO"/>
    <s v="C-FINALCUSTOMER-REQ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0"/>
    <n v="0"/>
    <n v="1"/>
    <n v="0"/>
    <n v="1"/>
    <x v="0"/>
    <x v="0"/>
    <x v="0"/>
    <x v="0"/>
  </r>
  <r>
    <s v="Shipment"/>
    <n v="93171781"/>
    <s v="ROSS DI 0001/DHL LOGISTICS                        "/>
    <n v="99008400"/>
    <x v="12"/>
    <s v="9321655169/000020"/>
    <n v="1370148653"/>
    <n v="20"/>
    <x v="0"/>
    <x v="0"/>
    <s v="A1"/>
    <n v="2100056851"/>
    <n v="200"/>
    <n v="116000513"/>
    <s v="C961S2FR WEAREVER NS GRAY 2PC COMBO 8N10          "/>
    <s v="S"/>
    <d v="2012-01-13T00:00:00"/>
    <m/>
    <s v="X"/>
    <x v="49"/>
    <n v="7.9356"/>
    <n v="6"/>
    <d v="2012-01-07T00:00:00"/>
    <d v="2012-01-07T00:00:00"/>
    <n v="1600"/>
    <d v="2012-01-07T00:00:00"/>
    <n v="1600"/>
    <m/>
    <d v="2012-01-07T00:00:00"/>
    <n v="1600"/>
    <d v="2012-01-18T00:00:00"/>
    <d v="2012-01-18T00:00:00"/>
    <n v="1600"/>
    <n v="1600"/>
    <x v="21"/>
    <d v="2012-01-18T00:00:00"/>
    <m/>
    <n v="9321655420"/>
    <n v="20"/>
    <s v="OOLU8721654"/>
    <s v="TBC"/>
    <m/>
    <s v="NINGBO"/>
    <s v="C-FINALCUSTOMER-REQ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0"/>
    <n v="0"/>
    <n v="1"/>
    <n v="0"/>
    <n v="1"/>
    <x v="0"/>
    <x v="0"/>
    <x v="0"/>
    <x v="0"/>
  </r>
  <r>
    <s v="Shipment"/>
    <n v="93171781"/>
    <s v="ROSS DI 0001/DHL LOGISTICS                        "/>
    <n v="99008400"/>
    <x v="12"/>
    <s v="9321655169/000030"/>
    <n v="1370148653"/>
    <n v="30"/>
    <x v="0"/>
    <x v="0"/>
    <s v="A1"/>
    <n v="2100056852"/>
    <n v="200"/>
    <n v="115002023"/>
    <s v="A80813FR WEAREVER NS GREY GRIDDLE 11&quot; FC          "/>
    <s v="S"/>
    <d v="2012-01-13T00:00:00"/>
    <m/>
    <s v="X"/>
    <x v="49"/>
    <n v="6.1082000000000001"/>
    <n v="6"/>
    <d v="2012-01-07T00:00:00"/>
    <d v="2012-01-07T00:00:00"/>
    <n v="1800"/>
    <d v="2012-01-07T00:00:00"/>
    <n v="1800"/>
    <m/>
    <d v="2012-01-07T00:00:00"/>
    <n v="1800"/>
    <d v="2012-01-18T00:00:00"/>
    <d v="2012-01-18T00:00:00"/>
    <n v="1800"/>
    <n v="1800"/>
    <x v="21"/>
    <d v="2012-01-18T00:00:00"/>
    <m/>
    <n v="9321655420"/>
    <n v="30"/>
    <s v="OOLU7310788"/>
    <s v="TBC"/>
    <m/>
    <s v="NINGBO"/>
    <s v="C-FINALCUSTOMER-REQ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0"/>
    <n v="0"/>
    <n v="1"/>
    <n v="0"/>
    <n v="1"/>
    <x v="0"/>
    <x v="0"/>
    <x v="0"/>
    <x v="0"/>
  </r>
  <r>
    <s v="Shipment"/>
    <n v="99001600"/>
    <s v="GRUPO SEB DO BRASIL                               "/>
    <n v="99001600"/>
    <x v="2"/>
    <s v="9820636143/000010"/>
    <n v="1370148446"/>
    <n v="10"/>
    <x v="0"/>
    <x v="0"/>
    <s v="A1"/>
    <n v="2100064295"/>
    <n v="223"/>
    <n v="116001043"/>
    <s v="L915S564 SET 5 PCS ROCHEDO INGENIO SS BR          "/>
    <s v="S"/>
    <d v="2012-02-03T00:00:00"/>
    <m/>
    <s v="X"/>
    <x v="49"/>
    <n v="40.794499999999999"/>
    <n v="41"/>
    <d v="2012-01-09T00:00:00"/>
    <d v="2011-11-28T00:00:00"/>
    <n v="1295"/>
    <d v="2012-01-15T00:00:00"/>
    <n v="1295"/>
    <m/>
    <d v="2012-01-15T00:00:00"/>
    <n v="1295"/>
    <d v="2012-03-04T00:00:00"/>
    <d v="2012-01-22T00:00:00"/>
    <n v="1295"/>
    <n v="1295"/>
    <x v="1"/>
    <d v="2012-03-05T00:00:00"/>
    <m/>
    <n v="9321655506"/>
    <n v="10"/>
    <s v="SUDU6898494"/>
    <s v="MAERSK LA PAZ 203W/"/>
    <m/>
    <s v="NINGBO"/>
    <s v="SP-NO-FORECAST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4"/>
    <s v="SP-NO-FORECAST"/>
    <n v="-3"/>
    <n v="-3"/>
    <x v="15"/>
    <n v="1"/>
    <x v="0"/>
    <x v="0"/>
    <x v="1"/>
    <n v="1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53116/000010"/>
    <n v="1370148181"/>
    <n v="10"/>
    <x v="14"/>
    <x v="14"/>
    <s v="J2"/>
    <n v="1110021238"/>
    <n v="64"/>
    <s v="               "/>
    <s v="DR5015U5 ULTRA STEAM BRUSH                        "/>
    <s v="S"/>
    <d v="2012-01-17T00:00:00"/>
    <m/>
    <s v="X"/>
    <x v="49"/>
    <n v="9.9499999999999993"/>
    <n v="11"/>
    <d v="2012-01-30T00:00:00"/>
    <d v="2011-12-26T00:00:00"/>
    <n v="5040"/>
    <d v="2012-01-13T00:00:00"/>
    <n v="5040"/>
    <m/>
    <d v="2012-01-13T00:00:00"/>
    <n v="7560"/>
    <d v="2012-02-17T00:00:00"/>
    <d v="2012-01-13T00:00:00"/>
    <n v="5040"/>
    <n v="2520"/>
    <x v="9"/>
    <d v="2012-02-18T00:00:00"/>
    <m/>
    <n v="9321655518"/>
    <n v="10"/>
    <s v="GESU5142300"/>
    <s v="CMA CGM TANCREDI/US5"/>
    <m/>
    <s v="NINGBO"/>
    <s v="CONS-SHIPT/CONS-SHIPT/C-POST-CONF/"/>
    <m/>
    <s v="TWEETY LEUNG"/>
    <s v="FO9"/>
    <s v="LINEN CARE                    "/>
    <s v="CONFIRMED"/>
    <n v="1"/>
    <n v="2"/>
    <d v="2012-01-14T00:00:00"/>
    <s v="LINEN PERS HOME CARE          "/>
    <s v="LINEN CARE                    "/>
    <x v="6"/>
    <x v="2"/>
    <x v="10"/>
    <s v="CONS-SHIPT"/>
    <n v="-3"/>
    <n v="-3"/>
    <x v="8"/>
    <n v="3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116/000010"/>
    <n v="1370148181"/>
    <n v="10"/>
    <x v="14"/>
    <x v="14"/>
    <s v="J2"/>
    <n v="1110021238"/>
    <n v="64"/>
    <s v="               "/>
    <s v="DR5015U5 ULTRA STEAM BRUSH                        "/>
    <s v="S"/>
    <d v="2012-01-10T00:00:00"/>
    <m/>
    <s v="X"/>
    <x v="49"/>
    <n v="9.9499999999999993"/>
    <n v="11"/>
    <d v="2012-01-30T00:00:00"/>
    <d v="2011-12-26T00:00:00"/>
    <n v="5040"/>
    <d v="2012-01-13T00:00:00"/>
    <n v="5040"/>
    <m/>
    <d v="2012-01-13T00:00:00"/>
    <n v="7560"/>
    <d v="2012-02-17T00:00:00"/>
    <d v="2012-01-13T00:00:00"/>
    <n v="5040"/>
    <n v="2520"/>
    <x v="12"/>
    <d v="2012-02-11T00:00:00"/>
    <m/>
    <n v="9321655518"/>
    <n v="10"/>
    <s v="AMFU8681007"/>
    <s v="ARTHUR MAERSK/553S"/>
    <m/>
    <s v="NINGBO"/>
    <s v="CONS-SHIPT/CONS-SHIPT/C-POST-CONF/"/>
    <m/>
    <s v="TWEETY LEUNG"/>
    <s v="FO9"/>
    <s v="LINEN CARE                    "/>
    <s v="CONFIRMED"/>
    <n v="1"/>
    <n v="1"/>
    <d v="2012-01-07T00:00:00"/>
    <s v="LINEN PERS HOME CARE          "/>
    <s v="LINEN CARE                    "/>
    <x v="6"/>
    <x v="2"/>
    <x v="10"/>
    <s v="CONS-SHIPT"/>
    <n v="-3"/>
    <n v="-3"/>
    <x v="8"/>
    <n v="3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48862/000010"/>
    <n v="1370148147"/>
    <n v="10"/>
    <x v="27"/>
    <x v="27"/>
    <s v="K9"/>
    <n v="8000032807"/>
    <n v="29"/>
    <s v="XP102050       "/>
    <s v="XP102050 ESP NEW STEAM SOLO BLK US                "/>
    <s v="S"/>
    <d v="2012-01-04T00:00:00"/>
    <m/>
    <s v="X"/>
    <x v="47"/>
    <n v="16.71"/>
    <n v="19063"/>
    <d v="2012-01-27T00:00:00"/>
    <d v="2011-12-23T00:00:00"/>
    <n v="6354"/>
    <d v="2012-01-03T00:00:00"/>
    <n v="6354"/>
    <m/>
    <d v="2011-12-27T00:00:00"/>
    <n v="6354"/>
    <d v="2012-02-07T00:00:00"/>
    <d v="2012-01-03T00:00:00"/>
    <n v="6354"/>
    <n v="465"/>
    <x v="3"/>
    <d v="2012-02-06T00:00:00"/>
    <m/>
    <n v="9321655608"/>
    <n v="10"/>
    <s v="UESU4162543"/>
    <s v="NYK REMUS 16E52/"/>
    <m/>
    <s v="SHENZHEN"/>
    <s v="C-POST-CONF"/>
    <m/>
    <s v="TWEETY LEUNG"/>
    <s v="FO9"/>
    <s v="BEVERAGE                      "/>
    <s v="CONFIRMED"/>
    <n v="1"/>
    <n v="1"/>
    <d v="2012-01-02T00:00:00"/>
    <s v="KITCHEN ELECTRICS             "/>
    <s v="BREAKFAST &amp; BREVAGE PREP      "/>
    <x v="2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862/000010"/>
    <n v="1370148147"/>
    <n v="10"/>
    <x v="27"/>
    <x v="27"/>
    <s v="K9"/>
    <n v="8000032807"/>
    <n v="29"/>
    <s v="XP102050       "/>
    <s v="XP102050 ESP NEW STEAM SOLO BLK US                "/>
    <s v="S"/>
    <d v="2012-01-05T00:00:00"/>
    <m/>
    <s v="X"/>
    <x v="47"/>
    <n v="16.71"/>
    <n v="19063"/>
    <d v="2012-01-27T00:00:00"/>
    <d v="2011-12-23T00:00:00"/>
    <n v="6354"/>
    <d v="2012-01-03T00:00:00"/>
    <n v="6354"/>
    <m/>
    <d v="2011-12-27T00:00:00"/>
    <n v="6354"/>
    <d v="2012-02-07T00:00:00"/>
    <d v="2012-01-03T00:00:00"/>
    <n v="6354"/>
    <n v="1101"/>
    <x v="3"/>
    <d v="2012-02-06T00:00:00"/>
    <m/>
    <n v="9321655608"/>
    <n v="10"/>
    <s v="FSCU3609849"/>
    <s v="NYK REMUS 16E52/"/>
    <m/>
    <s v="SHENZHEN"/>
    <s v="C-POST-CONF"/>
    <m/>
    <s v="TWEETY LEUNG"/>
    <s v="FO9"/>
    <s v="BEVERAGE                      "/>
    <s v="CONFIRMED"/>
    <n v="1"/>
    <n v="1"/>
    <d v="2012-01-02T00:00:00"/>
    <s v="KITCHEN ELECTRICS             "/>
    <s v="BREAKFAST &amp; BREVAGE PREP      "/>
    <x v="2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862/000010"/>
    <n v="1370148147"/>
    <n v="10"/>
    <x v="27"/>
    <x v="27"/>
    <s v="K9"/>
    <n v="8000032807"/>
    <n v="29"/>
    <s v="XP102050       "/>
    <s v="XP102050 ESP NEW STEAM SOLO BLK US                "/>
    <s v="S"/>
    <d v="2012-01-04T00:00:00"/>
    <m/>
    <s v="X"/>
    <x v="47"/>
    <n v="16.71"/>
    <n v="19063"/>
    <d v="2012-01-27T00:00:00"/>
    <d v="2011-12-23T00:00:00"/>
    <n v="6354"/>
    <d v="2012-01-03T00:00:00"/>
    <n v="6354"/>
    <m/>
    <d v="2011-12-27T00:00:00"/>
    <n v="6354"/>
    <d v="2012-02-07T00:00:00"/>
    <d v="2012-01-03T00:00:00"/>
    <n v="6354"/>
    <n v="2394"/>
    <x v="3"/>
    <d v="2012-02-06T00:00:00"/>
    <m/>
    <n v="9321655608"/>
    <n v="10"/>
    <s v="HLXU5316689"/>
    <s v="NYK REMUS 16E52/"/>
    <m/>
    <s v="SHENZHEN"/>
    <s v="C-POST-CONF"/>
    <m/>
    <s v="TWEETY LEUNG"/>
    <s v="FO9"/>
    <s v="BEVERAGE                      "/>
    <s v="CONFIRMED"/>
    <n v="1"/>
    <n v="1"/>
    <d v="2012-01-02T00:00:00"/>
    <s v="KITCHEN ELECTRICS             "/>
    <s v="BREAKFAST &amp; BREVAGE PREP      "/>
    <x v="2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862/000010"/>
    <n v="1370148147"/>
    <n v="10"/>
    <x v="27"/>
    <x v="27"/>
    <s v="K9"/>
    <n v="8000032807"/>
    <n v="29"/>
    <s v="XP102050       "/>
    <s v="XP102050 ESP NEW STEAM SOLO BLK US                "/>
    <s v="S"/>
    <d v="2012-01-04T00:00:00"/>
    <m/>
    <s v="X"/>
    <x v="47"/>
    <n v="16.71"/>
    <n v="19063"/>
    <d v="2012-01-27T00:00:00"/>
    <d v="2011-12-23T00:00:00"/>
    <n v="6354"/>
    <d v="2012-01-03T00:00:00"/>
    <n v="6354"/>
    <m/>
    <d v="2011-12-27T00:00:00"/>
    <n v="6354"/>
    <d v="2012-02-07T00:00:00"/>
    <d v="2012-01-03T00:00:00"/>
    <n v="6354"/>
    <n v="2394"/>
    <x v="3"/>
    <d v="2012-02-06T00:00:00"/>
    <m/>
    <n v="9321655608"/>
    <n v="10"/>
    <s v="HLXU5232417"/>
    <s v="NYK REMUS 16E52/"/>
    <m/>
    <s v="SHENZHEN"/>
    <s v="C-POST-CONF"/>
    <m/>
    <s v="TWEETY LEUNG"/>
    <s v="FO9"/>
    <s v="BEVERAGE                      "/>
    <s v="CONFIRMED"/>
    <n v="1"/>
    <n v="1"/>
    <d v="2012-01-02T00:00:00"/>
    <s v="KITCHEN ELECTRICS             "/>
    <s v="BREAKFAST &amp; BREVAGE PREP      "/>
    <x v="2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32/000008"/>
    <n v="1370147451"/>
    <n v="210"/>
    <x v="35"/>
    <x v="35"/>
    <s v="P1"/>
    <n v="1500833780"/>
    <n v="105"/>
    <n v="833780"/>
    <s v="ZN650G70 JUI XXL 1000W RED/GRE SEA                "/>
    <s v="S"/>
    <d v="2012-01-16T00:00:00"/>
    <m/>
    <s v="X"/>
    <x v="50"/>
    <n v="42.34"/>
    <n v="18"/>
    <d v="2012-02-05T00:00:00"/>
    <d v="2012-01-22T00:00:00"/>
    <n v="544"/>
    <d v="2012-01-15T00:00:00"/>
    <n v="544"/>
    <m/>
    <d v="2012-01-22T00:00:00"/>
    <n v="544"/>
    <d v="2012-01-26T00:00:00"/>
    <d v="2012-01-12T00:00:00"/>
    <n v="544"/>
    <n v="544"/>
    <x v="10"/>
    <d v="2012-01-26T00:00:00"/>
    <m/>
    <n v="9321656560"/>
    <n v="10"/>
    <s v="CMAU1041138"/>
    <s v="GUANG FENG 1"/>
    <m/>
    <s v="YANTIAN"/>
    <s v="SAILING-SCHED-UPDATE/SP-HOLIDAY/"/>
    <m/>
    <s v="TWEETY LEUNG"/>
    <s v="FO9"/>
    <s v="FOOD PREPARATION              "/>
    <s v="CONFIRMED"/>
    <n v="1"/>
    <n v="2"/>
    <d v="2012-01-12T00:00:00"/>
    <s v="KITCHEN ELECTRICS             "/>
    <s v="FOOD PREPARATION              "/>
    <x v="2"/>
    <x v="1"/>
    <x v="7"/>
    <s v="SP-HOLIDAY"/>
    <n v="-3"/>
    <n v="-3"/>
    <x v="6"/>
    <n v="2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63/000010"/>
    <n v="1370148257"/>
    <n v="10"/>
    <x v="5"/>
    <x v="5"/>
    <s v="R1"/>
    <n v="1500533250"/>
    <n v="23"/>
    <n v="533250"/>
    <s v="533250 TOASTER CLASSIC AVANTE BLACK 4SL           "/>
    <s v="S"/>
    <d v="2012-01-05T00:00:00"/>
    <m/>
    <s v="X"/>
    <x v="47"/>
    <n v="17.809999999999999"/>
    <n v="21252"/>
    <d v="2012-02-11T00:00:00"/>
    <d v="2012-01-07T00:00:00"/>
    <n v="960"/>
    <d v="2012-01-07T00:00:00"/>
    <n v="960"/>
    <m/>
    <d v="2012-01-07T00:00:00"/>
    <n v="960"/>
    <d v="2012-02-06T00:00:00"/>
    <d v="2012-01-02T00:00:00"/>
    <n v="960"/>
    <n v="960"/>
    <x v="3"/>
    <d v="2012-02-06T00:00:00"/>
    <m/>
    <n v="9321656710"/>
    <n v="10"/>
    <s v="CLHU2814970"/>
    <s v="NYK REMUS 16E52/"/>
    <m/>
    <s v="SHENZHEN"/>
    <m/>
    <m/>
    <s v="TWEETY LEUNG"/>
    <s v="FO9"/>
    <s v="BEVERAGE                      "/>
    <s v="CONFIRMED"/>
    <n v="1"/>
    <n v="1"/>
    <d v="2012-01-02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48490/000010"/>
    <n v="1370147953"/>
    <n v="10"/>
    <x v="17"/>
    <x v="17"/>
    <s v="L4"/>
    <n v="1830003783"/>
    <n v="131"/>
    <s v="SF1021C0       "/>
    <s v="SF1021C0 INTERNATIONAL PROMO STRAIGHTENE          "/>
    <s v="S"/>
    <d v="2012-01-09T00:00:00"/>
    <m/>
    <s v="X"/>
    <x v="50"/>
    <n v="6.19"/>
    <n v="5"/>
    <d v="2012-01-29T00:00:00"/>
    <d v="2011-12-25T00:00:00"/>
    <n v="3000"/>
    <d v="2012-01-03T00:00:00"/>
    <n v="4500"/>
    <m/>
    <d v="2011-12-25T00:00:00"/>
    <n v="3000"/>
    <d v="2012-02-07T00:00:00"/>
    <d v="2012-01-03T00:00:00"/>
    <n v="4500"/>
    <n v="4500"/>
    <x v="16"/>
    <d v="2012-02-07T00:00:00"/>
    <m/>
    <n v="9321656763"/>
    <n v="10"/>
    <s v="TTNU4741519"/>
    <s v="H.VANCOUVER/007W"/>
    <m/>
    <s v="HONG KONG"/>
    <s v="CONS-SHIPT/C-PULLIN-CONF/LATE DOC FROM FORWARDER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3"/>
    <x v="0"/>
    <x v="0"/>
    <x v="0"/>
    <n v="0"/>
    <n v="1"/>
    <n v="0"/>
    <n v="0"/>
    <n v="0"/>
    <n v="1"/>
    <x v="0"/>
    <x v="0"/>
    <x v="0"/>
    <x v="0"/>
  </r>
  <r>
    <s v="Shipment"/>
    <n v="99005220"/>
    <s v="GROUPE SEB ARGENTINA SA                           "/>
    <n v="99005200"/>
    <x v="33"/>
    <s v="967/000001"/>
    <n v="1370148558"/>
    <n v="10"/>
    <x v="8"/>
    <x v="8"/>
    <s v="K9"/>
    <n v="8000034367"/>
    <n v="38"/>
    <s v="PV5000AR       "/>
    <s v="PV5000AR NDG CIRCOLO GRE AR                       "/>
    <s v="S"/>
    <d v="2012-01-07T00:00:00"/>
    <m/>
    <s v="X"/>
    <x v="51"/>
    <n v="50.22"/>
    <n v="57"/>
    <d v="2012-02-10T00:00:00"/>
    <d v="2011-12-30T00:00:00"/>
    <n v="1240"/>
    <d v="2011-12-30T00:00:00"/>
    <n v="1240"/>
    <m/>
    <d v="2011-12-30T00:00:00"/>
    <n v="1240"/>
    <d v="2012-02-10T00:00:00"/>
    <d v="2011-12-30T00:00:00"/>
    <n v="1240"/>
    <n v="1240"/>
    <x v="2"/>
    <d v="2012-02-15T00:00:00"/>
    <m/>
    <n v="9321657507"/>
    <n v="10"/>
    <s v="SCMU4006918"/>
    <s v="MAERSK LIMA 152W/"/>
    <m/>
    <s v="YANTIAN"/>
    <m/>
    <m/>
    <s v="THOMAS HO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220"/>
    <s v="GROUPE SEB ARGENTINA SA                           "/>
    <n v="99005200"/>
    <x v="33"/>
    <s v="958/000001"/>
    <n v="1370148555"/>
    <n v="10"/>
    <x v="5"/>
    <x v="5"/>
    <s v="R1"/>
    <n v="1500634529"/>
    <n v="55"/>
    <n v="634529"/>
    <s v="BY450850 KET MATE 1.5L BLK AR                     "/>
    <s v="S"/>
    <d v="2012-01-16T00:00:00"/>
    <m/>
    <s v="X"/>
    <x v="51"/>
    <n v="19.329999999999998"/>
    <n v="22"/>
    <d v="2012-02-21T00:00:00"/>
    <d v="2012-01-10T00:00:00"/>
    <n v="2214"/>
    <d v="2012-01-10T00:00:00"/>
    <n v="2214"/>
    <m/>
    <d v="2012-01-10T00:00:00"/>
    <n v="2214"/>
    <d v="2012-02-22T00:00:00"/>
    <d v="2012-01-11T00:00:00"/>
    <n v="2214"/>
    <n v="2214"/>
    <x v="17"/>
    <d v="2012-02-22T00:00:00"/>
    <m/>
    <n v="9321657514"/>
    <n v="10"/>
    <s v="MSKU5086126"/>
    <s v="COSCO VIETNAM 201W/"/>
    <m/>
    <s v="YANTIAN"/>
    <m/>
    <m/>
    <s v="THOMAS HO"/>
    <s v="FO9"/>
    <s v="BEVERAGE                      "/>
    <s v="CONFIRMED"/>
    <n v="1"/>
    <n v="2"/>
    <d v="2012-01-11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6197/000010"/>
    <n v="1370148941"/>
    <n v="10"/>
    <x v="36"/>
    <x v="36"/>
    <s v="L4"/>
    <n v="1830003380"/>
    <n v="76"/>
    <s v="TN7510E4       "/>
    <s v="TN7510E4 BODY SHAVER TBC                          "/>
    <s v="S"/>
    <d v="2012-01-09T00:00:00"/>
    <m/>
    <s v="X"/>
    <x v="51"/>
    <n v="13.4"/>
    <n v="11"/>
    <d v="2012-01-23T00:00:00"/>
    <d v="2011-12-26T00:00:00"/>
    <n v="3000"/>
    <d v="2012-01-11T00:00:00"/>
    <n v="3000"/>
    <m/>
    <d v="2012-01-11T00:00:00"/>
    <n v="3000"/>
    <d v="2012-02-03T00:00:00"/>
    <d v="2012-01-06T00:00:00"/>
    <n v="3000"/>
    <n v="3000"/>
    <x v="12"/>
    <d v="2012-02-04T00:00:00"/>
    <m/>
    <n v="9321657515"/>
    <n v="10"/>
    <s v="TRIU4994297"/>
    <s v="MAERSK SANTANA/1202"/>
    <m/>
    <s v="YANTIAN"/>
    <s v="CONS-SHIPT/SP-NO-FORECAST/LCL"/>
    <m/>
    <s v="JASON FAN"/>
    <s v="FO9"/>
    <s v="PERSONAL CARE                 "/>
    <s v="CONFIRMED"/>
    <n v="1"/>
    <n v="1"/>
    <d v="2012-01-07T00:00:00"/>
    <s v="LINEN PERS HOME CARE          "/>
    <s v="PERSONAL CARE                 "/>
    <x v="3"/>
    <x v="2"/>
    <x v="10"/>
    <s v="CONS-SHIPT"/>
    <n v="-3"/>
    <n v="-3"/>
    <x v="8"/>
    <n v="3"/>
    <x v="0"/>
    <x v="0"/>
    <x v="0"/>
    <n v="1"/>
    <n v="0"/>
    <n v="1"/>
    <n v="0"/>
    <n v="0"/>
    <n v="1"/>
    <x v="0"/>
    <x v="0"/>
    <x v="1"/>
    <x v="1"/>
  </r>
  <r>
    <s v="Shipment"/>
    <n v="99008200"/>
    <s v="GROUPE SEB IBERICA                                "/>
    <n v="99008200"/>
    <x v="21"/>
    <s v="9321656836/000010"/>
    <n v="1370148933"/>
    <n v="10"/>
    <x v="8"/>
    <x v="8"/>
    <s v="K9"/>
    <n v="8000033965"/>
    <n v="38"/>
    <s v="KP100610       "/>
    <s v="KP100610 NDG PICCOLO RED EUR                      "/>
    <s v="S"/>
    <d v="2012-01-10T00:00:00"/>
    <m/>
    <s v="X"/>
    <x v="51"/>
    <n v="33.79"/>
    <n v="28"/>
    <d v="2012-01-23T00:00:00"/>
    <d v="2011-12-26T00:00:00"/>
    <n v="2160"/>
    <d v="2012-01-06T00:00:00"/>
    <n v="2160"/>
    <m/>
    <d v="2012-01-20T00:00:00"/>
    <n v="2160"/>
    <d v="2012-02-03T00:00:00"/>
    <d v="2012-01-06T00:00:00"/>
    <n v="2160"/>
    <n v="2160"/>
    <x v="12"/>
    <d v="2012-02-04T00:00:00"/>
    <m/>
    <n v="9321657920"/>
    <n v="10"/>
    <s v="MSKU6273796"/>
    <s v="MAERSK SANTANA/1202"/>
    <m/>
    <s v="YANTIAN"/>
    <m/>
    <m/>
    <s v="JASON FAN"/>
    <s v="FO9"/>
    <s v="BEVERAGE                      "/>
    <s v="CONFIRMED"/>
    <n v="1"/>
    <n v="1"/>
    <d v="2012-01-07T00:00:00"/>
    <s v="KITCHEN ELECTRICS             "/>
    <s v="BREAKFAST &amp; BREVAGE PREP      "/>
    <x v="4"/>
    <x v="1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8280/000010"/>
    <n v="1370149209"/>
    <n v="10"/>
    <x v="55"/>
    <x v="55"/>
    <s v="P1"/>
    <n v="1500853491"/>
    <n v="25"/>
    <n v="853491"/>
    <s v="DJJ152 OB OPEN MATIC WHT                          "/>
    <s v="S"/>
    <d v="2012-01-11T00:00:00"/>
    <m/>
    <s v="X"/>
    <x v="52"/>
    <n v="8.6"/>
    <n v="8"/>
    <d v="2012-02-03T00:00:00"/>
    <d v="2011-12-30T00:00:00"/>
    <n v="4020"/>
    <d v="2012-01-10T00:00:00"/>
    <n v="4020"/>
    <m/>
    <d v="2012-01-02T00:00:00"/>
    <n v="4020"/>
    <d v="2012-02-14T00:00:00"/>
    <d v="2012-01-10T00:00:00"/>
    <n v="4020"/>
    <n v="4020"/>
    <x v="17"/>
    <d v="2012-02-15T00:00:00"/>
    <m/>
    <n v="9321658459"/>
    <n v="10"/>
    <s v="TTNU5898903"/>
    <s v="APL PORTUGAL/002W"/>
    <m/>
    <s v="YANTIAN"/>
    <s v="CONS-SHIPT"/>
    <m/>
    <s v="JASON FAN"/>
    <s v="FO9"/>
    <s v="FOOD PREPARATION              "/>
    <s v="CONFIRMED"/>
    <n v="1"/>
    <n v="2"/>
    <d v="2012-01-11T00:00:00"/>
    <s v="KITCHEN ELECTRICS             "/>
    <s v="FOOD PREPARATION              "/>
    <x v="4"/>
    <x v="1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80/000006"/>
    <n v="1370147887"/>
    <n v="60"/>
    <x v="16"/>
    <x v="16"/>
    <s v="L4"/>
    <n v="1830002538"/>
    <n v="5"/>
    <s v="CV4826K0       "/>
    <s v="CV4826K0 HAIR DRYER COMPACT PRO                   "/>
    <s v="S"/>
    <d v="2012-01-17T00:00:00"/>
    <m/>
    <s v="X"/>
    <x v="52"/>
    <n v="10.27"/>
    <n v="9"/>
    <d v="2012-02-01T00:00:00"/>
    <d v="2012-01-18T00:00:00"/>
    <n v="3000"/>
    <d v="2012-01-18T00:00:00"/>
    <n v="3000"/>
    <m/>
    <d v="2012-01-16T00:00:00"/>
    <n v="3000"/>
    <d v="2012-01-30T00:00:00"/>
    <d v="2012-01-16T00:00:00"/>
    <n v="3000"/>
    <n v="3000"/>
    <x v="11"/>
    <d v="2012-01-29T00:00:00"/>
    <m/>
    <n v="9321658460"/>
    <n v="10"/>
    <s v="MSKU2444545"/>
    <s v="OTTO SCHULTE/1202"/>
    <m/>
    <s v="YANTIAN"/>
    <m/>
    <m/>
    <s v="AGNES NUNES"/>
    <s v="FO9"/>
    <s v="PERSONAL CARE                 "/>
    <s v="CONFIRMED"/>
    <n v="1"/>
    <n v="2"/>
    <d v="2012-01-15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6/000005"/>
    <n v="1370147891"/>
    <n v="50"/>
    <x v="16"/>
    <x v="16"/>
    <s v="L4"/>
    <n v="1830003497"/>
    <n v="5"/>
    <s v="CV7410K0       "/>
    <s v="CV7410K0 RESPECTIS PRO HAIR DRYER                 "/>
    <s v="S"/>
    <d v="2012-01-09T00:00:00"/>
    <m/>
    <s v="X"/>
    <x v="52"/>
    <n v="11.5"/>
    <n v="9"/>
    <d v="2012-01-17T00:00:00"/>
    <d v="2012-01-03T00:00:00"/>
    <n v="3000"/>
    <d v="2012-01-03T00:00:00"/>
    <n v="3000"/>
    <m/>
    <d v="2012-01-02T00:00:00"/>
    <n v="3000"/>
    <d v="2012-01-16T00:00:00"/>
    <d v="2012-01-02T00:00:00"/>
    <n v="3000"/>
    <n v="3000"/>
    <x v="12"/>
    <d v="2012-01-21T00:00:00"/>
    <m/>
    <n v="9321658461"/>
    <n v="10"/>
    <s v="CLHU4590099"/>
    <s v="CONVENT/1202"/>
    <m/>
    <s v="YANTIAN"/>
    <m/>
    <m/>
    <s v="AGNES NUNES"/>
    <s v="FO9"/>
    <s v="PERSONAL CARE                 "/>
    <s v="CONFIRMED"/>
    <n v="1"/>
    <n v="1"/>
    <d v="2012-01-07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35689/000010"/>
    <n v="1370147295"/>
    <n v="10"/>
    <x v="16"/>
    <x v="16"/>
    <s v="L4"/>
    <n v="1830003211"/>
    <n v="5"/>
    <s v="CV9135B4       "/>
    <s v="CV9135B4 LISSIMA CLIP&amp;PRESS HAIR DRYER            "/>
    <s v="S"/>
    <d v="2012-01-06T00:00:00"/>
    <m/>
    <s v="X"/>
    <x v="52"/>
    <n v="12.4"/>
    <n v="14"/>
    <d v="2012-01-09T00:00:00"/>
    <d v="2011-11-28T00:00:00"/>
    <n v="1000"/>
    <d v="2012-01-04T00:00:00"/>
    <n v="1002"/>
    <m/>
    <d v="2011-11-28T00:00:00"/>
    <n v="1002"/>
    <d v="2012-02-16T00:00:00"/>
    <d v="2012-01-05T00:00:00"/>
    <n v="1002"/>
    <n v="1002"/>
    <x v="2"/>
    <d v="2012-02-15T00:00:00"/>
    <m/>
    <n v="9321658462"/>
    <n v="10"/>
    <s v="MSKU6942870"/>
    <s v="MAERSK LIMA 152W/"/>
    <m/>
    <s v="SHENZHEN"/>
    <s v="SP-NO-FORECAST/"/>
    <m/>
    <s v="THOMAS HO"/>
    <s v="FO9"/>
    <s v="PERSONAL CARE                 "/>
    <s v="CONFIRMED"/>
    <n v="1"/>
    <n v="1"/>
    <d v="2012-01-04T00:00:00"/>
    <s v="LINEN PERS HOME CARE          "/>
    <s v="PERSONAL CARE                 "/>
    <x v="3"/>
    <x v="2"/>
    <x v="14"/>
    <s v="SP-NO-FORECAST"/>
    <n v="-3"/>
    <n v="-3"/>
    <x v="15"/>
    <n v="1"/>
    <x v="0"/>
    <x v="0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35692/000010"/>
    <n v="1370147297"/>
    <n v="10"/>
    <x v="16"/>
    <x v="16"/>
    <s v="L4"/>
    <n v="1830003209"/>
    <n v="5"/>
    <s v="CV9142B4       "/>
    <s v="CV9142B4 LISSIMA 2 HAIR DRYER STRAIGHTEN          "/>
    <s v="S"/>
    <d v="2012-01-06T00:00:00"/>
    <m/>
    <s v="X"/>
    <x v="52"/>
    <n v="11.57"/>
    <n v="13"/>
    <d v="2012-01-09T00:00:00"/>
    <d v="2011-11-28T00:00:00"/>
    <n v="1000"/>
    <d v="2012-01-04T00:00:00"/>
    <n v="1002"/>
    <m/>
    <d v="2011-11-28T00:00:00"/>
    <n v="1002"/>
    <d v="2012-02-16T00:00:00"/>
    <d v="2012-01-05T00:00:00"/>
    <n v="1002"/>
    <n v="1002"/>
    <x v="2"/>
    <d v="2012-02-15T00:00:00"/>
    <m/>
    <n v="9321658463"/>
    <n v="10"/>
    <s v="MSKU6942870"/>
    <s v="MAERSK LIMA 152W/"/>
    <m/>
    <s v="SHENZHEN"/>
    <s v="SP-NO-FORECAST/"/>
    <m/>
    <s v="THOMAS HO"/>
    <s v="FO9"/>
    <s v="PERSONAL CARE                 "/>
    <s v="CONFIRMED"/>
    <n v="1"/>
    <n v="1"/>
    <d v="2012-01-04T00:00:00"/>
    <s v="LINEN PERS HOME CARE          "/>
    <s v="PERSONAL CARE                 "/>
    <x v="3"/>
    <x v="2"/>
    <x v="14"/>
    <s v="SP-NO-FORECAST"/>
    <n v="-3"/>
    <n v="-3"/>
    <x v="15"/>
    <n v="1"/>
    <x v="0"/>
    <x v="0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293/000010"/>
    <n v="1370148046"/>
    <n v="10"/>
    <x v="16"/>
    <x v="16"/>
    <s v="L4"/>
    <n v="1830002752"/>
    <n v="5"/>
    <s v="CV1220F0       "/>
    <s v="CV1220F0 SIGN HAIR DRYER                          "/>
    <s v="S"/>
    <d v="2012-01-21T00:00:00"/>
    <m/>
    <s v="X"/>
    <x v="52"/>
    <n v="4.5999999999999996"/>
    <n v="1148"/>
    <d v="2012-01-30T00:00:00"/>
    <d v="2011-12-26T00:00:00"/>
    <n v="3000"/>
    <d v="2012-01-19T00:00:00"/>
    <n v="3000"/>
    <m/>
    <d v="2011-12-23T00:00:00"/>
    <n v="3000"/>
    <d v="2012-02-23T00:00:00"/>
    <d v="2012-01-19T00:00:00"/>
    <n v="3000"/>
    <n v="3000"/>
    <x v="26"/>
    <d v="2012-02-25T00:00:00"/>
    <m/>
    <n v="9321658465"/>
    <n v="10"/>
    <s v="MSKU6018403"/>
    <s v="MAERSK EINDHOVEN/120"/>
    <m/>
    <s v="YANTIAN"/>
    <s v="CONS-SHIPT/"/>
    <m/>
    <s v="KENUS WONG"/>
    <s v="FO9"/>
    <s v="PERSONAL CARE                 "/>
    <s v="CONFIRMED"/>
    <n v="1"/>
    <n v="3"/>
    <d v="2012-01-21T00:00:00"/>
    <s v="LINEN PERS HOME CARE          "/>
    <s v="PERSONAL CARE                 "/>
    <x v="3"/>
    <x v="2"/>
    <x v="10"/>
    <s v="CONS-SHIPT"/>
    <n v="-3"/>
    <n v="-3"/>
    <x v="8"/>
    <n v="1"/>
    <x v="0"/>
    <x v="0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919/000010"/>
    <n v="1370147717"/>
    <n v="10"/>
    <x v="16"/>
    <x v="16"/>
    <s v="L4"/>
    <n v="1830001887"/>
    <n v="5"/>
    <s v="CV4802D0       "/>
    <s v="CV4802D0 HAIR DRYER HAIR MINI COMPACT PR          "/>
    <s v="S"/>
    <d v="2012-01-19T00:00:00"/>
    <m/>
    <s v="X"/>
    <x v="52"/>
    <n v="9.6300000000000008"/>
    <n v="354"/>
    <d v="2012-02-24T00:00:00"/>
    <d v="2012-01-06T00:00:00"/>
    <n v="3900"/>
    <d v="2012-01-18T00:00:00"/>
    <n v="3900"/>
    <m/>
    <d v="2012-01-19T00:00:00"/>
    <n v="3900"/>
    <d v="2012-03-10T00:00:00"/>
    <d v="2012-01-21T00:00:00"/>
    <n v="3900"/>
    <n v="1800"/>
    <x v="21"/>
    <d v="2012-03-07T00:00:00"/>
    <m/>
    <n v="9321658466"/>
    <n v="10"/>
    <s v="TGHU2325492"/>
    <s v="OOCL CALIFORNIA/29W0"/>
    <m/>
    <s v="YANTIAN"/>
    <s v="CONS-SHIPT/SP-NO-FORECAST/"/>
    <m/>
    <s v="KENUS WONG"/>
    <s v="FO9"/>
    <s v="PERSONAL CARE                 "/>
    <s v="CONFIRMED"/>
    <n v="1"/>
    <n v="3"/>
    <d v="2012-01-18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1919/000010"/>
    <n v="1370147717"/>
    <n v="10"/>
    <x v="16"/>
    <x v="16"/>
    <s v="L4"/>
    <n v="1830001887"/>
    <n v="5"/>
    <s v="CV4802D0       "/>
    <s v="CV4802D0 HAIR DRYER HAIR MINI COMPACT PR          "/>
    <s v="S"/>
    <d v="2012-01-19T00:00:00"/>
    <m/>
    <s v="X"/>
    <x v="52"/>
    <n v="9.6300000000000008"/>
    <n v="354"/>
    <d v="2012-02-24T00:00:00"/>
    <d v="2012-01-06T00:00:00"/>
    <n v="3900"/>
    <d v="2012-01-18T00:00:00"/>
    <n v="3900"/>
    <m/>
    <d v="2012-01-19T00:00:00"/>
    <n v="3900"/>
    <d v="2012-03-10T00:00:00"/>
    <d v="2012-01-21T00:00:00"/>
    <n v="3900"/>
    <n v="2100"/>
    <x v="21"/>
    <d v="2012-03-07T00:00:00"/>
    <m/>
    <n v="9321658466"/>
    <n v="10"/>
    <s v="TGHU2325492"/>
    <s v="OOCL CALIFORNIA/29W0"/>
    <m/>
    <s v="YANTIAN"/>
    <s v="CONS-SHIPT/SP-NO-FORECAST/"/>
    <m/>
    <s v="KENUS WONG"/>
    <s v="FO9"/>
    <s v="PERSONAL CARE                 "/>
    <s v="CONFIRMED"/>
    <n v="1"/>
    <n v="3"/>
    <d v="2012-01-18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1943/000010"/>
    <n v="1370147772"/>
    <n v="10"/>
    <x v="16"/>
    <x v="16"/>
    <s v="L4"/>
    <n v="1830002753"/>
    <n v="5"/>
    <s v="CV1230F0       "/>
    <s v="CV1230F0 SIGN HAIR DRYER                          "/>
    <s v="S"/>
    <d v="2012-01-18T00:00:00"/>
    <m/>
    <s v="X"/>
    <x v="52"/>
    <n v="5.07"/>
    <n v="183"/>
    <d v="2012-02-24T00:00:00"/>
    <d v="2012-01-06T00:00:00"/>
    <n v="3000"/>
    <d v="2012-01-14T00:00:00"/>
    <n v="3000"/>
    <m/>
    <d v="2012-01-12T00:00:00"/>
    <n v="3000"/>
    <d v="2012-03-03T00:00:00"/>
    <d v="2012-01-14T00:00:00"/>
    <n v="3000"/>
    <n v="3000"/>
    <x v="19"/>
    <d v="2012-03-06T00:00:00"/>
    <m/>
    <n v="9321658467"/>
    <n v="10"/>
    <s v="TRLU5939241"/>
    <s v="MOL COMPETENCE/021W"/>
    <m/>
    <s v="YANTIAN"/>
    <s v="CONS-SHIPT/"/>
    <m/>
    <s v="KENUS WONG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873/000010"/>
    <n v="1370149237"/>
    <n v="10"/>
    <x v="16"/>
    <x v="16"/>
    <s v="L4"/>
    <n v="1830003957"/>
    <n v="5"/>
    <s v="CV7650C0       "/>
    <s v="CV7650C0 SILENCE RESPECT HAIR DRYER AC            "/>
    <s v="S"/>
    <d v="2012-02-01T00:00:00"/>
    <m/>
    <s v="X"/>
    <x v="52"/>
    <n v="17.04"/>
    <n v="15"/>
    <d v="2012-02-17T00:00:00"/>
    <d v="2012-01-13T00:00:00"/>
    <n v="1000"/>
    <d v="2012-01-23T00:00:00"/>
    <n v="1000"/>
    <m/>
    <d v="2012-01-16T00:00:00"/>
    <n v="1000"/>
    <d v="2012-02-20T00:00:00"/>
    <d v="2012-01-16T00:00:00"/>
    <n v="1000"/>
    <n v="1000"/>
    <x v="14"/>
    <d v="2012-02-24T00:00:00"/>
    <m/>
    <n v="9321658469"/>
    <n v="10"/>
    <s v="MSKU5030560"/>
    <s v="MAERSK EINDHOVEN 120"/>
    <m/>
    <s v="YANTIAN"/>
    <m/>
    <m/>
    <s v="JASON FAN"/>
    <s v="FO9"/>
    <s v="PERSONAL CARE                 "/>
    <s v="CONFIRMED"/>
    <n v="1"/>
    <n v="3"/>
    <d v="2012-01-20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9/000002"/>
    <n v="1370147888"/>
    <n v="20"/>
    <x v="5"/>
    <x v="5"/>
    <s v="R1"/>
    <n v="1500634602"/>
    <n v="55"/>
    <n v="634602"/>
    <s v="KO410870 KET THERMOVISION 1.5L BLK KR             "/>
    <s v="S"/>
    <d v="2012-01-09T00:00:00"/>
    <m/>
    <s v="X"/>
    <x v="52"/>
    <n v="19.329999999999998"/>
    <n v="2"/>
    <d v="2012-01-19T00:00:00"/>
    <d v="2012-01-05T00:00:00"/>
    <n v="2214"/>
    <d v="2012-01-05T00:00:00"/>
    <n v="2214"/>
    <m/>
    <d v="2012-01-05T00:00:00"/>
    <n v="2214"/>
    <d v="2012-01-22T00:00:00"/>
    <d v="2012-01-08T00:00:00"/>
    <n v="2214"/>
    <n v="2214"/>
    <x v="12"/>
    <d v="2012-01-21T00:00:00"/>
    <m/>
    <n v="9321658471"/>
    <n v="10"/>
    <s v="MRKU0657792"/>
    <s v="CONVENT/1202"/>
    <m/>
    <s v="YANTIAN"/>
    <m/>
    <m/>
    <s v="AGNES NUNES"/>
    <s v="FO9"/>
    <s v="BEVERAGE                      "/>
    <s v="CONFIRMED"/>
    <n v="1"/>
    <n v="1"/>
    <d v="2012-01-07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64/000010"/>
    <n v="1370148377"/>
    <n v="10"/>
    <x v="5"/>
    <x v="5"/>
    <s v="R1"/>
    <n v="1500874650"/>
    <n v="23"/>
    <n v="874650"/>
    <s v="874650 TOASTER CLASSIC AVANTE BLACK 2SL           "/>
    <s v="S"/>
    <d v="2012-01-16T00:00:00"/>
    <m/>
    <s v="X"/>
    <x v="52"/>
    <n v="11.57"/>
    <n v="14"/>
    <d v="2012-02-10T00:00:00"/>
    <d v="2012-01-06T00:00:00"/>
    <n v="1520"/>
    <d v="2012-01-15T00:00:00"/>
    <n v="1520"/>
    <m/>
    <d v="2012-01-06T00:00:00"/>
    <n v="1520"/>
    <d v="2012-02-15T00:00:00"/>
    <d v="2012-01-11T00:00:00"/>
    <n v="1520"/>
    <n v="1520"/>
    <x v="17"/>
    <d v="2012-02-15T00:00:00"/>
    <m/>
    <n v="9321658472"/>
    <n v="10"/>
    <s v="PONU0057948"/>
    <s v="ARTHUR MAERSK 553S/"/>
    <m/>
    <s v="SHENZHEN"/>
    <s v="C-SHORTL/T/SP-PROD-ISSUE/"/>
    <m/>
    <s v="TWEETY LEUNG"/>
    <s v="FO9"/>
    <s v="BEVERAGE                      "/>
    <s v="CONFIRMED"/>
    <n v="1"/>
    <n v="2"/>
    <d v="2012-01-11T00:00:00"/>
    <s v="KITCHEN ELECTRICS             "/>
    <s v="BREAKFAST &amp; BREVAGE PREP      "/>
    <x v="4"/>
    <x v="1"/>
    <x v="1"/>
    <m/>
    <n v="0"/>
    <n v="0"/>
    <x v="1"/>
    <n v="3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1796/000010"/>
    <n v="1370148843"/>
    <n v="10"/>
    <x v="5"/>
    <x v="5"/>
    <s v="R1"/>
    <n v="8000033610"/>
    <n v="55"/>
    <s v="BW410831       "/>
    <s v="BW410831 KET PITSBURG 1.5L BLK EUR                "/>
    <s v="S"/>
    <d v="2012-01-16T00:00:00"/>
    <m/>
    <s v="X"/>
    <x v="52"/>
    <n v="19.329999999999998"/>
    <n v="16"/>
    <d v="2012-02-20T00:00:00"/>
    <d v="2012-01-16T00:00:00"/>
    <n v="2214"/>
    <d v="2012-01-16T00:00:00"/>
    <n v="2214"/>
    <m/>
    <d v="2012-01-16T00:00:00"/>
    <n v="2214"/>
    <d v="2012-02-19T00:00:00"/>
    <d v="2012-01-15T00:00:00"/>
    <n v="2214"/>
    <n v="2214"/>
    <x v="8"/>
    <d v="2012-02-20T00:00:00"/>
    <m/>
    <n v="9321658473"/>
    <n v="10"/>
    <s v="MOAU0216390"/>
    <s v="HYUNDAI BRAVE/023W"/>
    <m/>
    <s v="YANTIAN"/>
    <m/>
    <m/>
    <s v="AGNES NUNES"/>
    <s v="FO9"/>
    <s v="BEVERAGE                      "/>
    <s v="CONFIRMED"/>
    <n v="1"/>
    <n v="3"/>
    <d v="2012-01-16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8263/000010"/>
    <n v="1370149335"/>
    <n v="10"/>
    <x v="5"/>
    <x v="5"/>
    <s v="R1"/>
    <n v="1500578148"/>
    <n v="23"/>
    <n v="578148"/>
    <s v="TT560E50 TOAS AVANTE ICON 2S MET US/CA            "/>
    <s v="S"/>
    <d v="2012-01-16T00:00:00"/>
    <m/>
    <s v="X"/>
    <x v="52"/>
    <n v="17.5"/>
    <n v="20"/>
    <d v="2012-02-01T00:00:00"/>
    <d v="2011-12-28T00:00:00"/>
    <n v="2700"/>
    <d v="2012-02-20T00:00:00"/>
    <n v="2616"/>
    <m/>
    <m/>
    <m/>
    <d v="2012-04-02T00:00:00"/>
    <d v="2012-02-27T00:00:00"/>
    <n v="2616"/>
    <n v="2260"/>
    <x v="17"/>
    <d v="2012-02-15T00:00:00"/>
    <m/>
    <n v="9321658476"/>
    <n v="10"/>
    <s v="MSKU6169781"/>
    <s v="ARTHUR MAERSK 553S/"/>
    <m/>
    <s v="YANTIAN"/>
    <s v="SP-WRONGSHIP/C-SHORTL/T/SP-PROD-ISSUE/"/>
    <m/>
    <s v="TWEETY LEUNG"/>
    <s v="FO9"/>
    <s v="BEVERAGE                      "/>
    <s v="CONFIRMED"/>
    <n v="1"/>
    <n v="2"/>
    <d v="2012-01-11T00:00:00"/>
    <s v="KITCHEN ELECTRICS             "/>
    <s v="BREAKFAST &amp; BREVAGE PREP      "/>
    <x v="4"/>
    <x v="1"/>
    <x v="18"/>
    <s v="SP-WRONGSHIP"/>
    <n v="1"/>
    <n v="1"/>
    <x v="18"/>
    <n v="4"/>
    <x v="0"/>
    <x v="0"/>
    <x v="0"/>
    <n v="0"/>
    <n v="0"/>
    <n v="0"/>
    <n v="0"/>
    <n v="0"/>
    <n v="0"/>
    <x v="0"/>
    <x v="1"/>
    <x v="1"/>
    <x v="0"/>
  </r>
  <r>
    <s v="Shipment"/>
    <n v="99006103"/>
    <s v="SAS GROUPE SEB FRANCE                             "/>
    <n v="99006100"/>
    <x v="3"/>
    <s v="9321657919/000010"/>
    <n v="1370149231"/>
    <n v="10"/>
    <x v="34"/>
    <x v="34"/>
    <s v="L4"/>
    <n v="1830004079"/>
    <n v="76"/>
    <s v="TN3310C4       "/>
    <s v="TN3310C4 STRUCTURE WET &amp; DRY BEARD CLIPP          "/>
    <s v="S"/>
    <d v="2012-02-03T00:00:00"/>
    <m/>
    <s v="X"/>
    <x v="52"/>
    <n v="9.9"/>
    <n v="8"/>
    <d v="2012-02-17T00:00:00"/>
    <d v="2012-01-13T00:00:00"/>
    <n v="3000"/>
    <d v="2012-01-13T00:00:00"/>
    <n v="3000"/>
    <m/>
    <d v="2012-01-12T00:00:00"/>
    <n v="3000"/>
    <d v="2012-02-16T00:00:00"/>
    <d v="2012-01-12T00:00:00"/>
    <n v="3000"/>
    <n v="3000"/>
    <x v="21"/>
    <d v="2012-02-22T00:00:00"/>
    <m/>
    <n v="9321658477"/>
    <n v="10"/>
    <s v="CCLU4309089"/>
    <s v="CMA CGM NEVADA"/>
    <m/>
    <s v="SHANGHAI"/>
    <s v="C-ETD-TEMP/"/>
    <m/>
    <s v="JASON FAN"/>
    <s v="FO9"/>
    <s v="PERSONAL CARE                 "/>
    <s v="CONFIRMED"/>
    <n v="1"/>
    <n v="3"/>
    <d v="2012-01-18T00:00:00"/>
    <s v="LINEN PERS HOME CARE          "/>
    <s v="PERSONAL CARE                 "/>
    <x v="6"/>
    <x v="2"/>
    <x v="16"/>
    <s v="C-ETD-TEMP"/>
    <n v="-3"/>
    <n v="-3"/>
    <x v="7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984/000010"/>
    <n v="1370148146"/>
    <n v="10"/>
    <x v="33"/>
    <x v="33"/>
    <s v="R1"/>
    <n v="1500634668"/>
    <n v="27"/>
    <n v="634668"/>
    <s v="KM611D50 FILTER COFFEE MAKER                      "/>
    <s v="S"/>
    <d v="2012-01-19T00:00:00"/>
    <m/>
    <s v="X"/>
    <x v="52"/>
    <n v="30.49"/>
    <n v="36"/>
    <d v="2012-02-15T00:00:00"/>
    <d v="2012-01-11T00:00:00"/>
    <n v="2208"/>
    <d v="2012-01-11T00:00:00"/>
    <n v="2208"/>
    <m/>
    <d v="2012-01-11T00:00:00"/>
    <n v="2208"/>
    <d v="2012-02-15T00:00:00"/>
    <d v="2012-01-11T00:00:00"/>
    <n v="2208"/>
    <n v="2208"/>
    <x v="19"/>
    <d v="2012-02-21T00:00:00"/>
    <m/>
    <n v="9321658479"/>
    <n v="10"/>
    <s v="GESU4139004"/>
    <s v="NYK NEBULA 25E02/"/>
    <m/>
    <s v="YANTIAN"/>
    <m/>
    <m/>
    <s v="TWEETY LEUNG"/>
    <s v="FO9"/>
    <s v="BEVERAGE                      "/>
    <s v="CONFIRMED"/>
    <n v="1"/>
    <n v="3"/>
    <d v="2012-01-17T00:00:00"/>
    <s v="KITCHEN ELECTRICS             "/>
    <s v="BREAKFAST &amp; BREVAGE PREP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292/000010"/>
    <n v="1370149204"/>
    <n v="10"/>
    <x v="33"/>
    <x v="33"/>
    <s v="R1"/>
    <n v="8000033614"/>
    <n v="27"/>
    <s v="KM506510       "/>
    <s v="KM506510 FCM PRECISION SS EUR                     "/>
    <s v="S"/>
    <d v="2012-01-07T00:00:00"/>
    <m/>
    <s v="X"/>
    <x v="52"/>
    <n v="31.94"/>
    <n v="28"/>
    <d v="2012-02-03T00:00:00"/>
    <d v="2011-12-30T00:00:00"/>
    <n v="1056"/>
    <d v="2012-01-04T00:00:00"/>
    <n v="1056"/>
    <m/>
    <d v="2011-12-30T00:00:00"/>
    <n v="1056"/>
    <d v="2012-02-08T00:00:00"/>
    <d v="2012-01-04T00:00:00"/>
    <n v="1056"/>
    <n v="1056"/>
    <x v="2"/>
    <d v="2012-02-08T00:00:00"/>
    <m/>
    <n v="9321658480"/>
    <n v="10"/>
    <s v="MSKU6515523"/>
    <s v="MAREN MAERSK 121W/"/>
    <m/>
    <s v="YANTIAN"/>
    <s v="C-POST-CONF/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1"/>
    <x v="1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611/000010"/>
    <n v="1370149251"/>
    <n v="10"/>
    <x v="33"/>
    <x v="33"/>
    <s v="N3"/>
    <n v="1500577906"/>
    <n v="53"/>
    <n v="577906"/>
    <s v="OF273100 OVEN DELICE TS 30L WHT FR                "/>
    <s v="S"/>
    <d v="2012-01-10T00:00:00"/>
    <m/>
    <s v="X"/>
    <x v="52"/>
    <n v="59.72"/>
    <n v="54"/>
    <d v="2012-02-03T00:00:00"/>
    <d v="2011-12-30T00:00:00"/>
    <n v="515"/>
    <d v="2012-01-06T00:00:00"/>
    <n v="515"/>
    <m/>
    <d v="2011-12-30T00:00:00"/>
    <n v="515"/>
    <d v="2012-02-10T00:00:00"/>
    <d v="2012-01-06T00:00:00"/>
    <n v="515"/>
    <n v="515"/>
    <x v="7"/>
    <d v="2012-02-10T00:00:00"/>
    <m/>
    <n v="9321658481"/>
    <n v="10"/>
    <s v="MSKU1960552"/>
    <s v="MAERSK ESSEN 1202/"/>
    <m/>
    <s v="YANTIAN"/>
    <s v="C-POST-CONF/"/>
    <m/>
    <s v="JASON FAN"/>
    <s v="FO9"/>
    <s v="ELECTRICAL COOKING            "/>
    <s v="CONFIRMED"/>
    <n v="1"/>
    <n v="1"/>
    <d v="2012-01-06T00:00:00"/>
    <s v="KITCHEN ELECTRICS             "/>
    <s v="ELECTRICAL COOKING            "/>
    <x v="1"/>
    <x v="1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610/000010"/>
    <n v="1370149297"/>
    <n v="10"/>
    <x v="33"/>
    <x v="33"/>
    <s v="N3"/>
    <n v="1500577905"/>
    <n v="53"/>
    <n v="577905"/>
    <s v="OF275800 OVEN DELICE TURBO HR 30L BLK FR          "/>
    <s v="S"/>
    <d v="2012-01-10T00:00:00"/>
    <m/>
    <s v="X"/>
    <x v="52"/>
    <n v="78.16"/>
    <n v="68"/>
    <d v="2012-02-03T00:00:00"/>
    <d v="2011-12-30T00:00:00"/>
    <n v="515"/>
    <d v="2012-01-06T00:00:00"/>
    <n v="515"/>
    <m/>
    <d v="2011-12-30T00:00:00"/>
    <n v="515"/>
    <d v="2012-02-10T00:00:00"/>
    <d v="2012-01-06T00:00:00"/>
    <n v="515"/>
    <n v="515"/>
    <x v="7"/>
    <d v="2012-02-10T00:00:00"/>
    <m/>
    <n v="9321658482"/>
    <n v="10"/>
    <s v="GESU5927361"/>
    <s v="MAERSK ESSEN 1202/"/>
    <m/>
    <s v="YANTIAN"/>
    <s v="C-POST-CONF/"/>
    <m/>
    <s v="JASON FAN"/>
    <s v="FO9"/>
    <s v="ELECTRICAL COOKING            "/>
    <s v="CONFIRMED"/>
    <n v="1"/>
    <n v="1"/>
    <d v="2012-01-06T00:00:00"/>
    <s v="KITCHEN ELECTRICS             "/>
    <s v="ELECTRICAL COOKING            "/>
    <x v="1"/>
    <x v="1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453/000010"/>
    <n v="1370148061"/>
    <n v="10"/>
    <x v="8"/>
    <x v="8"/>
    <s v="L4"/>
    <n v="1830003870"/>
    <n v="175"/>
    <s v="CF9250D0       "/>
    <s v="CF9250D0 ROTATING BRUSH ACTIV 1000W               "/>
    <s v="S"/>
    <d v="2012-01-11T00:00:00"/>
    <m/>
    <s v="X"/>
    <x v="52"/>
    <n v="16.89"/>
    <n v="4192"/>
    <d v="2012-01-30T00:00:00"/>
    <d v="2011-12-26T00:00:00"/>
    <n v="3072"/>
    <d v="2012-01-07T00:00:00"/>
    <n v="3072"/>
    <m/>
    <d v="2011-12-23T00:00:00"/>
    <n v="3072"/>
    <d v="2012-02-11T00:00:00"/>
    <d v="2012-01-07T00:00:00"/>
    <n v="3072"/>
    <n v="3072"/>
    <x v="12"/>
    <d v="2012-02-11T00:00:00"/>
    <m/>
    <n v="9321658483"/>
    <n v="10"/>
    <s v="MRKU0000431"/>
    <s v="CMA CGM RAVEL/785W"/>
    <m/>
    <s v="YANTIAN"/>
    <m/>
    <m/>
    <s v="KENUS WONG"/>
    <s v="FO9"/>
    <s v="PERSONAL CARE                 "/>
    <s v="CONFIRMED"/>
    <n v="1"/>
    <n v="1"/>
    <d v="2012-01-07T00:00:00"/>
    <s v="LINEN PERS HOME CARE          "/>
    <s v="PERSONAL CARE                 "/>
    <x v="4"/>
    <x v="1"/>
    <x v="1"/>
    <m/>
    <n v="0"/>
    <n v="0"/>
    <x v="1"/>
    <n v="0"/>
    <x v="0"/>
    <x v="0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282/000010"/>
    <n v="1370147741"/>
    <n v="10"/>
    <x v="8"/>
    <x v="8"/>
    <s v="K9"/>
    <n v="8000033728"/>
    <n v="38"/>
    <s v="KP210225B      "/>
    <s v="KP210225 NDG MELODY 2 WHT EE1                     "/>
    <s v="S"/>
    <d v="2012-01-07T00:00:00"/>
    <m/>
    <s v="X"/>
    <x v="52"/>
    <n v="44.13"/>
    <n v="1549"/>
    <d v="2012-02-24T00:00:00"/>
    <d v="2012-01-06T00:00:00"/>
    <n v="600"/>
    <d v="2012-01-06T00:00:00"/>
    <n v="600"/>
    <m/>
    <d v="2012-01-01T00:00:00"/>
    <n v="600"/>
    <d v="2012-02-19T00:00:00"/>
    <d v="2012-01-01T00:00:00"/>
    <n v="600"/>
    <n v="600"/>
    <x v="6"/>
    <d v="2012-02-23T00:00:00"/>
    <m/>
    <n v="9321658485"/>
    <n v="10"/>
    <s v="DFSU6659262"/>
    <s v="MOL MAXIM/010W"/>
    <m/>
    <s v="YANTIAN"/>
    <m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712/000010"/>
    <n v="1370147651"/>
    <n v="10"/>
    <x v="8"/>
    <x v="8"/>
    <s v="K9"/>
    <n v="8000034074"/>
    <n v="38"/>
    <s v="KP1002E1       "/>
    <s v="KP1002E1 NDG PICCOLO WHT EE1                      "/>
    <s v="S"/>
    <d v="2012-01-04T00:00:00"/>
    <m/>
    <s v="X"/>
    <x v="52"/>
    <n v="33.869999999999997"/>
    <n v="1190"/>
    <d v="2012-02-24T00:00:00"/>
    <d v="2012-01-06T00:00:00"/>
    <n v="2160"/>
    <d v="2012-01-06T00:00:00"/>
    <n v="2160"/>
    <m/>
    <d v="2011-12-30T00:00:00"/>
    <n v="2160"/>
    <d v="2012-02-21T00:00:00"/>
    <d v="2012-01-03T00:00:00"/>
    <n v="2160"/>
    <n v="2160"/>
    <x v="16"/>
    <d v="2012-02-21T00:00:00"/>
    <m/>
    <n v="9321658487"/>
    <n v="10"/>
    <s v="OOLU7647193"/>
    <s v="NYK VESTA/28W51"/>
    <m/>
    <s v="YANTIAN"/>
    <s v="TP ISSUE"/>
    <m/>
    <s v="KENUS WONG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478/000010"/>
    <n v="1370147682"/>
    <n v="10"/>
    <x v="8"/>
    <x v="8"/>
    <s v="K9"/>
    <n v="8000033785"/>
    <n v="38"/>
    <s v="KP500025       "/>
    <s v="KP500025 NDG CIRCOLO ANTH EE1                     "/>
    <s v="S"/>
    <d v="2012-01-13T00:00:00"/>
    <m/>
    <s v="X"/>
    <x v="52"/>
    <n v="50.22"/>
    <n v="1761"/>
    <d v="2012-02-29T00:00:00"/>
    <d v="2012-01-11T00:00:00"/>
    <n v="600"/>
    <d v="2012-01-11T00:00:00"/>
    <n v="600"/>
    <m/>
    <d v="2012-01-18T00:00:00"/>
    <n v="600"/>
    <d v="2012-03-02T00:00:00"/>
    <d v="2012-01-13T00:00:00"/>
    <n v="600"/>
    <n v="600"/>
    <x v="10"/>
    <d v="2012-03-01T00:00:00"/>
    <m/>
    <n v="9321658488"/>
    <n v="10"/>
    <s v="TCLU2175921"/>
    <s v="MOL MISSION/006W"/>
    <m/>
    <s v="YANTIAN"/>
    <m/>
    <m/>
    <s v="KENUS WONG"/>
    <s v="FO9"/>
    <s v="BEVERAGE                      "/>
    <s v="CONFIRMED"/>
    <n v="1"/>
    <n v="2"/>
    <d v="2012-01-12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721/000010"/>
    <n v="1370147763"/>
    <n v="10"/>
    <x v="8"/>
    <x v="8"/>
    <s v="K9"/>
    <n v="8000034075"/>
    <n v="38"/>
    <s v="KP1006E1       "/>
    <s v="KP1006E1 NDG PICCOLO RED EE1                      "/>
    <s v="S"/>
    <d v="2012-01-06T00:00:00"/>
    <m/>
    <s v="X"/>
    <x v="52"/>
    <n v="33.79"/>
    <n v="1187"/>
    <d v="2012-02-24T00:00:00"/>
    <d v="2012-01-06T00:00:00"/>
    <n v="2160"/>
    <d v="2012-01-06T00:00:00"/>
    <n v="2160"/>
    <m/>
    <d v="2011-12-30T00:00:00"/>
    <n v="2160"/>
    <d v="2012-02-21T00:00:00"/>
    <d v="2012-01-03T00:00:00"/>
    <n v="2160"/>
    <n v="2160"/>
    <x v="16"/>
    <d v="2012-02-21T00:00:00"/>
    <m/>
    <n v="9321658490"/>
    <n v="10"/>
    <s v="OOLU7637153"/>
    <s v="NYK VESTA/28W51"/>
    <m/>
    <s v="YANTIAN"/>
    <s v="TP ISSUE"/>
    <m/>
    <s v="KENUS WONG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1752/000010"/>
    <n v="1370147455"/>
    <n v="10"/>
    <x v="8"/>
    <x v="8"/>
    <s v="L4"/>
    <n v="1830003013"/>
    <n v="131"/>
    <s v="CF7550E2       "/>
    <s v="CF7550E2 WET &amp; DRY STRAIGHTENER                   "/>
    <s v="S"/>
    <d v="2012-01-11T00:00:00"/>
    <m/>
    <s v="X"/>
    <x v="52"/>
    <n v="15.22"/>
    <n v="13"/>
    <d v="2012-01-20T00:00:00"/>
    <d v="2011-12-23T00:00:00"/>
    <n v="2502"/>
    <d v="2011-12-31T00:00:00"/>
    <n v="2502"/>
    <m/>
    <d v="2011-12-23T00:00:00"/>
    <n v="2502"/>
    <d v="2012-02-06T00:00:00"/>
    <d v="2012-01-09T00:00:00"/>
    <n v="2502"/>
    <n v="2502"/>
    <x v="0"/>
    <d v="2012-02-06T00:00:00"/>
    <m/>
    <n v="9321658491"/>
    <n v="10"/>
    <s v="FCIU3185295"/>
    <s v="HANJIN BRUSSELS/0070"/>
    <m/>
    <s v="YANTIAN"/>
    <s v="SP-MTL/"/>
    <m/>
    <s v="JASON FAN"/>
    <s v="FO9"/>
    <s v="PERSONAL CARE                 "/>
    <s v="CONFIRMED"/>
    <n v="1"/>
    <n v="2"/>
    <d v="2012-01-09T00:00:00"/>
    <s v="LINEN PERS HOME CARE          "/>
    <s v="PERSONAL CARE                 "/>
    <x v="4"/>
    <x v="1"/>
    <x v="9"/>
    <s v="SP-MTL"/>
    <n v="1"/>
    <n v="1"/>
    <x v="10"/>
    <n v="1"/>
    <x v="0"/>
    <x v="0"/>
    <x v="1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52795/000010"/>
    <n v="1370147926"/>
    <n v="10"/>
    <x v="8"/>
    <x v="8"/>
    <s v="K9"/>
    <n v="8000033967"/>
    <n v="38"/>
    <s v="KP100910       "/>
    <s v="KP100910 NDG PICCOLO TIT EUR                      "/>
    <s v="S"/>
    <d v="2012-01-10T00:00:00"/>
    <m/>
    <s v="X"/>
    <x v="52"/>
    <n v="36.61"/>
    <n v="31"/>
    <d v="2012-01-20T00:00:00"/>
    <d v="2011-12-16T00:00:00"/>
    <n v="2160"/>
    <d v="2012-01-06T00:00:00"/>
    <n v="2160"/>
    <m/>
    <d v="2012-01-13T00:00:00"/>
    <n v="2160"/>
    <d v="2012-02-10T00:00:00"/>
    <d v="2012-01-06T00:00:00"/>
    <n v="2160"/>
    <n v="2160"/>
    <x v="2"/>
    <d v="2012-02-08T00:00:00"/>
    <m/>
    <n v="9321658494"/>
    <n v="10"/>
    <s v="MRKU3253813"/>
    <s v="MAREN MAERSK"/>
    <m/>
    <s v="YANTIAN"/>
    <s v="C-PULLIN-CONF/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1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2782/000010"/>
    <n v="1370147943"/>
    <n v="10"/>
    <x v="8"/>
    <x v="8"/>
    <s v="K9"/>
    <n v="8000033700"/>
    <n v="38"/>
    <s v="KP500510       "/>
    <s v="KP500510 NDG CIRCOLO MET EUR                      "/>
    <s v="S"/>
    <d v="2012-01-09T00:00:00"/>
    <m/>
    <s v="X"/>
    <x v="52"/>
    <n v="50.75"/>
    <n v="42"/>
    <d v="2012-01-20T00:00:00"/>
    <d v="2011-12-16T00:00:00"/>
    <n v="1240"/>
    <d v="2012-01-06T00:00:00"/>
    <n v="1240"/>
    <m/>
    <d v="2012-01-20T00:00:00"/>
    <n v="1240"/>
    <d v="2012-02-10T00:00:00"/>
    <d v="2012-01-06T00:00:00"/>
    <n v="1240"/>
    <n v="1240"/>
    <x v="2"/>
    <d v="2012-02-08T00:00:00"/>
    <m/>
    <n v="9321658495"/>
    <n v="10"/>
    <s v="MSKU6888506"/>
    <s v="MAREN MAERSK 121W/"/>
    <m/>
    <s v="YANTIAN"/>
    <s v="C-PULLIN-CONF/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1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2777/000010"/>
    <n v="1370147946"/>
    <n v="10"/>
    <x v="8"/>
    <x v="8"/>
    <s v="R1"/>
    <n v="8000032918"/>
    <n v="103"/>
    <s v="VB5020FRCN     "/>
    <s v="VB5020FR BTD  B90 BLK FR                          "/>
    <s v="S"/>
    <d v="2012-01-09T00:00:00"/>
    <m/>
    <s v="X"/>
    <x v="52"/>
    <n v="76.23"/>
    <n v="65"/>
    <d v="2012-01-20T00:00:00"/>
    <d v="2011-12-16T00:00:00"/>
    <n v="705"/>
    <d v="2011-12-16T00:00:00"/>
    <n v="705"/>
    <m/>
    <d v="2011-12-16T00:00:00"/>
    <n v="705"/>
    <d v="2012-02-08T00:00:00"/>
    <d v="2012-01-04T00:00:00"/>
    <n v="705"/>
    <n v="705"/>
    <x v="2"/>
    <d v="2012-02-08T00:00:00"/>
    <m/>
    <n v="9321658496"/>
    <n v="10"/>
    <s v="MRKU0611106"/>
    <s v="MAREN MAERSK 121W/"/>
    <m/>
    <s v="YANTIAN"/>
    <s v="SP-TECH/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2"/>
    <s v="SP-TECH"/>
    <n v="1"/>
    <n v="1"/>
    <x v="4"/>
    <n v="1"/>
    <x v="0"/>
    <x v="0"/>
    <x v="1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54240/000010"/>
    <n v="1370148437"/>
    <n v="10"/>
    <x v="8"/>
    <x v="8"/>
    <s v="K9"/>
    <n v="8000033965"/>
    <n v="38"/>
    <s v="KP100610       "/>
    <s v="KP100610 NDG PICCOLO RED EUR                      "/>
    <s v="S"/>
    <d v="2012-01-09T00:00:00"/>
    <m/>
    <s v="X"/>
    <x v="52"/>
    <n v="33.79"/>
    <n v="28"/>
    <d v="2012-01-27T00:00:00"/>
    <d v="2011-12-23T00:00:00"/>
    <n v="2160"/>
    <d v="2012-01-06T00:00:00"/>
    <n v="2160"/>
    <m/>
    <d v="2012-01-13T00:00:00"/>
    <n v="2160"/>
    <d v="2012-02-10T00:00:00"/>
    <d v="2012-01-06T00:00:00"/>
    <n v="2160"/>
    <n v="2160"/>
    <x v="2"/>
    <d v="2012-02-08T00:00:00"/>
    <m/>
    <n v="9321658498"/>
    <n v="10"/>
    <s v="TTNU9469281"/>
    <s v="MAREN MAERSK 121W/"/>
    <m/>
    <s v="YANTIAN"/>
    <s v="C-PULLIN-CONF/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1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4233/000010"/>
    <n v="1370148440"/>
    <n v="10"/>
    <x v="8"/>
    <x v="8"/>
    <s v="K9"/>
    <n v="8000033702"/>
    <n v="38"/>
    <s v="KP500610       "/>
    <s v="KP500610 NDG CIRCOLO RED EUR                      "/>
    <s v="S"/>
    <d v="2012-01-09T00:00:00"/>
    <m/>
    <s v="X"/>
    <x v="52"/>
    <n v="52.28"/>
    <n v="44"/>
    <d v="2012-01-20T00:00:00"/>
    <d v="2011-12-16T00:00:00"/>
    <n v="1240"/>
    <d v="2012-01-06T00:00:00"/>
    <n v="1240"/>
    <m/>
    <d v="2012-01-20T00:00:00"/>
    <n v="1240"/>
    <d v="2012-02-10T00:00:00"/>
    <d v="2012-01-06T00:00:00"/>
    <n v="1240"/>
    <n v="1240"/>
    <x v="2"/>
    <d v="2012-02-08T00:00:00"/>
    <m/>
    <n v="9321658499"/>
    <n v="10"/>
    <s v="PONU1620969"/>
    <s v="MAREN MAERSK 121W/"/>
    <m/>
    <s v="YANTIAN"/>
    <s v="C-PULLIN-CONF/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1"/>
    <x v="0"/>
    <x v="0"/>
    <x v="1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4249/000010"/>
    <n v="1370148431"/>
    <n v="10"/>
    <x v="8"/>
    <x v="8"/>
    <s v="K9"/>
    <n v="8000033788"/>
    <n v="38"/>
    <s v="KP500625       "/>
    <s v="KP500625 NDG CIRCOLO RED EE1                      "/>
    <s v="S"/>
    <d v="2012-01-05T00:00:00"/>
    <m/>
    <s v="X"/>
    <x v="52"/>
    <n v="52.28"/>
    <n v="1833"/>
    <d v="2012-02-22T00:00:00"/>
    <d v="2012-01-04T00:00:00"/>
    <n v="1240"/>
    <d v="2012-01-04T00:00:00"/>
    <n v="1240"/>
    <m/>
    <d v="2012-01-06T00:00:00"/>
    <n v="1240"/>
    <d v="2012-02-24T00:00:00"/>
    <d v="2012-01-06T00:00:00"/>
    <n v="1240"/>
    <n v="1240"/>
    <x v="16"/>
    <d v="2012-02-21T00:00:00"/>
    <m/>
    <n v="9321658500"/>
    <n v="10"/>
    <s v="TRLU6286753"/>
    <s v="NYK VESTA/28W51"/>
    <m/>
    <s v="YANTIAN"/>
    <s v="TP ISSUE"/>
    <m/>
    <s v="KENUS WONG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4253/000010"/>
    <n v="1370148430"/>
    <n v="10"/>
    <x v="8"/>
    <x v="8"/>
    <s v="K9"/>
    <n v="8000033785"/>
    <n v="38"/>
    <s v="KP500025       "/>
    <s v="KP500025 NDG CIRCOLO ANTH EE1                     "/>
    <s v="S"/>
    <d v="2012-01-06T00:00:00"/>
    <m/>
    <s v="X"/>
    <x v="52"/>
    <n v="50.22"/>
    <n v="1761"/>
    <d v="2012-02-15T00:00:00"/>
    <d v="2011-12-28T00:00:00"/>
    <n v="600"/>
    <d v="2011-12-28T00:00:00"/>
    <n v="600"/>
    <m/>
    <d v="2011-12-30T00:00:00"/>
    <n v="600"/>
    <d v="2012-02-21T00:00:00"/>
    <d v="2012-01-03T00:00:00"/>
    <n v="600"/>
    <n v="600"/>
    <x v="16"/>
    <d v="2012-02-21T00:00:00"/>
    <m/>
    <n v="9321658501"/>
    <n v="10"/>
    <s v="OOLU7812195"/>
    <s v="NYK VESTA/28W51"/>
    <m/>
    <s v="YANTIAN"/>
    <s v="TP ISSUE"/>
    <m/>
    <s v="KENUS WONG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4234/000010"/>
    <n v="1370148438"/>
    <n v="10"/>
    <x v="8"/>
    <x v="8"/>
    <s v="K9"/>
    <n v="8000033702"/>
    <n v="38"/>
    <s v="KP500610       "/>
    <s v="KP500610 NDG CIRCOLO RED EUR                      "/>
    <s v="S"/>
    <d v="2012-01-09T00:00:00"/>
    <m/>
    <s v="X"/>
    <x v="52"/>
    <n v="52.28"/>
    <n v="44"/>
    <d v="2012-01-27T00:00:00"/>
    <d v="2011-12-23T00:00:00"/>
    <n v="1240"/>
    <d v="2012-01-06T00:00:00"/>
    <n v="1240"/>
    <m/>
    <d v="2012-01-20T00:00:00"/>
    <n v="1240"/>
    <d v="2012-02-10T00:00:00"/>
    <d v="2012-01-06T00:00:00"/>
    <n v="1240"/>
    <n v="1240"/>
    <x v="2"/>
    <d v="2012-02-08T00:00:00"/>
    <m/>
    <n v="9321658502"/>
    <n v="10"/>
    <s v="MRKU0688160"/>
    <s v="MAREN MAERSK 121W/"/>
    <m/>
    <s v="YANTIAN"/>
    <s v="C-PULLIN-CONF/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1"/>
    <x v="0"/>
    <x v="0"/>
    <x v="1"/>
    <n v="1"/>
    <n v="0"/>
    <n v="1"/>
    <n v="0"/>
    <n v="0"/>
    <n v="1"/>
    <x v="0"/>
    <x v="0"/>
    <x v="1"/>
    <x v="1"/>
  </r>
  <r>
    <s v="Shipment"/>
    <n v="99003600"/>
    <s v="GROUPE SEB ISTANBUL EV ALETLERI                   "/>
    <n v="99003600"/>
    <x v="13"/>
    <s v="4500261326/000010"/>
    <n v="1370147472"/>
    <n v="10"/>
    <x v="8"/>
    <x v="8"/>
    <s v="L4"/>
    <n v="1830003910"/>
    <n v="175"/>
    <s v="CF9250E0       "/>
    <s v="CF9250E0 ROTATING BRUSH  ACTIV 1000W              "/>
    <s v="S"/>
    <d v="2012-01-05T00:00:00"/>
    <m/>
    <s v="X"/>
    <x v="52"/>
    <n v="16.829999999999998"/>
    <n v="34242"/>
    <d v="2012-01-31T00:00:00"/>
    <d v="2011-12-27T00:00:00"/>
    <n v="2502"/>
    <d v="2012-01-01T00:00:00"/>
    <n v="2502"/>
    <m/>
    <d v="2011-12-23T00:00:00"/>
    <n v="2502"/>
    <d v="2012-02-05T00:00:00"/>
    <d v="2012-01-01T00:00:00"/>
    <n v="2502"/>
    <n v="2502"/>
    <x v="13"/>
    <d v="2012-02-05T00:00:00"/>
    <m/>
    <n v="9321658504"/>
    <n v="10"/>
    <s v="MAEU6219544"/>
    <s v="CMA CGM NERVAL/811W"/>
    <m/>
    <s v="YANTIAN"/>
    <s v="CONS-SHIPT"/>
    <m/>
    <s v="KENUS WONG"/>
    <s v="FO9"/>
    <s v="PERSONAL CARE                 "/>
    <s v="CONFIRMED"/>
    <n v="1"/>
    <n v="52"/>
    <d v="2012-01-01T00:00:00"/>
    <s v="LINEN PERS HOME CARE          "/>
    <s v="PERSONAL CARE                 "/>
    <x v="4"/>
    <x v="1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5/000020"/>
    <n v="1370149101"/>
    <n v="20"/>
    <x v="8"/>
    <x v="8"/>
    <s v="L4"/>
    <n v="1830003910"/>
    <n v="175"/>
    <s v="CF9250E0       "/>
    <s v="CF9250E0 ROTATING BRUSH  ACTIV 1000W              "/>
    <s v="S"/>
    <d v="2012-01-11T00:00:00"/>
    <m/>
    <s v="X"/>
    <x v="52"/>
    <n v="16.829999999999998"/>
    <n v="14"/>
    <d v="2012-02-06T00:00:00"/>
    <d v="2012-01-09T00:00:00"/>
    <n v="4008"/>
    <d v="2012-01-09T00:00:00"/>
    <n v="4008"/>
    <m/>
    <d v="2012-01-06T00:00:00"/>
    <n v="4008"/>
    <d v="2012-01-30T00:00:00"/>
    <d v="2012-01-02T00:00:00"/>
    <n v="4008"/>
    <n v="588"/>
    <x v="0"/>
    <d v="2012-02-06T00:00:00"/>
    <m/>
    <n v="9321658505"/>
    <n v="10"/>
    <s v="UACU8365213"/>
    <s v="HANJIN BRUSSELS/0070"/>
    <m/>
    <s v="YANTIAN"/>
    <s v="waiting TP"/>
    <m/>
    <s v="JASON FAN"/>
    <s v="FO9"/>
    <s v="PERSONAL CARE                 "/>
    <s v="CONFIRMED"/>
    <n v="1"/>
    <n v="2"/>
    <d v="2012-01-09T00:00:00"/>
    <s v="LINEN PERS HOME CARE          "/>
    <s v="PERSONAL CARE           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5/000020"/>
    <n v="1370149101"/>
    <n v="20"/>
    <x v="8"/>
    <x v="8"/>
    <s v="L4"/>
    <n v="1830003910"/>
    <n v="175"/>
    <s v="CF9250E0       "/>
    <s v="CF9250E0 ROTATING BRUSH  ACTIV 1000W              "/>
    <s v="S"/>
    <d v="2012-01-10T00:00:00"/>
    <m/>
    <s v="X"/>
    <x v="52"/>
    <n v="16.829999999999998"/>
    <n v="14"/>
    <d v="2012-02-06T00:00:00"/>
    <d v="2012-01-09T00:00:00"/>
    <n v="4008"/>
    <d v="2012-01-09T00:00:00"/>
    <n v="4008"/>
    <m/>
    <d v="2012-01-06T00:00:00"/>
    <n v="4008"/>
    <d v="2012-01-30T00:00:00"/>
    <d v="2012-01-02T00:00:00"/>
    <n v="4008"/>
    <n v="3420"/>
    <x v="16"/>
    <d v="2012-01-31T00:00:00"/>
    <m/>
    <n v="9321658505"/>
    <n v="10"/>
    <s v="TGHU1448620"/>
    <s v="HANJIN AMSTERDAM/007"/>
    <m/>
    <s v="YANTIAN"/>
    <s v="waiting TP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6826/000010"/>
    <n v="1370149119"/>
    <n v="10"/>
    <x v="8"/>
    <x v="8"/>
    <s v="L4"/>
    <n v="1830003198"/>
    <n v="175"/>
    <s v="CF8250F4       "/>
    <s v="CF8250F4 HAIR BRUSH 1000W                         "/>
    <s v="S"/>
    <d v="2012-01-07T00:00:00"/>
    <m/>
    <s v="X"/>
    <x v="52"/>
    <n v="14.73"/>
    <n v="517"/>
    <d v="2012-02-24T00:00:00"/>
    <d v="2012-01-06T00:00:00"/>
    <n v="3168"/>
    <d v="2012-01-06T00:00:00"/>
    <n v="3168"/>
    <m/>
    <d v="2012-01-06T00:00:00"/>
    <n v="3168"/>
    <d v="2012-02-24T00:00:00"/>
    <d v="2012-01-06T00:00:00"/>
    <n v="3168"/>
    <n v="3168"/>
    <x v="6"/>
    <d v="2012-02-23T00:00:00"/>
    <m/>
    <n v="9321658506"/>
    <n v="10"/>
    <s v="DRYU4038162"/>
    <s v="MOL MAXIM/010W"/>
    <m/>
    <s v="SHEKOU"/>
    <m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6088/000010"/>
    <n v="1370149133"/>
    <n v="10"/>
    <x v="8"/>
    <x v="8"/>
    <s v="L4"/>
    <n v="1830002337"/>
    <n v="175"/>
    <s v="CF9220D0       "/>
    <s v="CF9220D0 ROTATIVE HAIR BRUSH                      "/>
    <s v="S"/>
    <d v="2012-01-06T00:00:00"/>
    <m/>
    <s v="X"/>
    <x v="52"/>
    <n v="17.18"/>
    <n v="608"/>
    <d v="2012-02-13T00:00:00"/>
    <d v="2011-12-26T00:00:00"/>
    <n v="5400"/>
    <d v="2012-01-05T00:00:00"/>
    <n v="5400"/>
    <m/>
    <d v="2011-12-23T00:00:00"/>
    <n v="5400"/>
    <d v="2012-02-23T00:00:00"/>
    <d v="2012-01-05T00:00:00"/>
    <n v="5400"/>
    <n v="5400"/>
    <x v="16"/>
    <d v="2012-02-21T00:00:00"/>
    <m/>
    <n v="9321658507"/>
    <n v="10"/>
    <s v="OOLU8128490"/>
    <s v="NYK VESTA/28W51"/>
    <m/>
    <s v="SHENZHEN"/>
    <s v="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4"/>
    <x v="1"/>
    <x v="1"/>
    <m/>
    <n v="0"/>
    <n v="0"/>
    <x v="1"/>
    <n v="1"/>
    <x v="0"/>
    <x v="0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8025/000010"/>
    <n v="1370149146"/>
    <n v="10"/>
    <x v="8"/>
    <x v="8"/>
    <s v="L4"/>
    <n v="1830003392"/>
    <n v="15"/>
    <s v="TS5511F0       "/>
    <s v="TS5511F0 FOOTSPA FITSPA                           "/>
    <s v="S"/>
    <d v="2012-01-04T00:00:00"/>
    <m/>
    <s v="X"/>
    <x v="52"/>
    <n v="18.66"/>
    <n v="646"/>
    <d v="2012-02-24T00:00:00"/>
    <d v="2012-01-06T00:00:00"/>
    <n v="900"/>
    <d v="2012-01-06T00:00:00"/>
    <n v="900"/>
    <m/>
    <d v="2012-01-06T00:00:00"/>
    <n v="900"/>
    <d v="2012-02-24T00:00:00"/>
    <d v="2012-01-06T00:00:00"/>
    <n v="900"/>
    <n v="900"/>
    <x v="16"/>
    <d v="2012-02-21T00:00:00"/>
    <m/>
    <n v="9321658508"/>
    <n v="10"/>
    <s v="OOLU7684495"/>
    <s v="NYK VESTA/28W51"/>
    <m/>
    <s v="YANTIAN"/>
    <s v="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8039/000010"/>
    <n v="1370149189"/>
    <n v="10"/>
    <x v="8"/>
    <x v="8"/>
    <s v="L4"/>
    <n v="1830003393"/>
    <n v="15"/>
    <s v="TS8051F0       "/>
    <s v="TS8051F0 REFLEXSPA                                "/>
    <s v="S"/>
    <d v="2012-01-04T00:00:00"/>
    <m/>
    <s v="X"/>
    <x v="52"/>
    <n v="30.51"/>
    <n v="1090"/>
    <d v="2012-02-24T00:00:00"/>
    <d v="2012-01-06T00:00:00"/>
    <n v="780"/>
    <d v="2012-01-06T00:00:00"/>
    <n v="780"/>
    <m/>
    <d v="2012-01-06T00:00:00"/>
    <n v="780"/>
    <d v="2012-02-24T00:00:00"/>
    <d v="2012-01-06T00:00:00"/>
    <n v="780"/>
    <n v="780"/>
    <x v="16"/>
    <d v="2012-02-21T00:00:00"/>
    <m/>
    <n v="9321658509"/>
    <n v="10"/>
    <s v="OOLU7684495"/>
    <s v="NYK VESTA/28W51"/>
    <m/>
    <s v="YANTIAN"/>
    <s v="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159/000010"/>
    <n v="1370149291"/>
    <n v="10"/>
    <x v="8"/>
    <x v="8"/>
    <s v="L4"/>
    <n v="1830002228"/>
    <n v="175"/>
    <s v="CF9220C0       "/>
    <s v="CF9220C0 ROTATIVE HAIR BRUSH II                   "/>
    <s v="S"/>
    <d v="2012-01-10T00:00:00"/>
    <m/>
    <s v="X"/>
    <x v="52"/>
    <n v="16.649999999999999"/>
    <n v="14"/>
    <d v="2012-02-03T00:00:00"/>
    <d v="2011-12-30T00:00:00"/>
    <n v="2220"/>
    <d v="2012-01-03T00:00:00"/>
    <n v="2220"/>
    <m/>
    <d v="2011-12-30T00:00:00"/>
    <n v="2220"/>
    <d v="2012-02-08T00:00:00"/>
    <d v="2012-01-04T00:00:00"/>
    <n v="2220"/>
    <n v="2220"/>
    <x v="16"/>
    <d v="2012-02-07T00:00:00"/>
    <m/>
    <n v="9321658510"/>
    <n v="10"/>
    <s v="TTNU4741519"/>
    <s v="H VANCOUVER / 007W"/>
    <m/>
    <s v="YANTIAN"/>
    <s v="CONS-SHIPT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4"/>
    <x v="1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85/000001"/>
    <n v="1370147568"/>
    <n v="10"/>
    <x v="35"/>
    <x v="35"/>
    <s v="R1"/>
    <n v="1500634594"/>
    <n v="55"/>
    <n v="634594"/>
    <s v="BF803170 KET APRECIA U.CLEAN 0.8L WHT JP          "/>
    <s v="S"/>
    <d v="2012-01-19T00:00:00"/>
    <m/>
    <s v="X"/>
    <x v="52"/>
    <n v="12.88"/>
    <n v="12"/>
    <d v="2012-01-23T00:00:00"/>
    <d v="2012-01-09T00:00:00"/>
    <n v="2880"/>
    <d v="2012-01-09T00:00:00"/>
    <n v="2880"/>
    <m/>
    <d v="2012-01-16T00:00:00"/>
    <n v="2880"/>
    <d v="2012-02-04T00:00:00"/>
    <d v="2012-01-21T00:00:00"/>
    <n v="2880"/>
    <n v="2880"/>
    <x v="26"/>
    <d v="2012-02-04T00:00:00"/>
    <m/>
    <n v="9321658511"/>
    <n v="10"/>
    <s v="TEXU7375287"/>
    <s v="POSEN"/>
    <m/>
    <s v="YANTIAN"/>
    <s v="NEWREQ-CUSTOMS/"/>
    <m/>
    <s v="DOROTHEA LING"/>
    <s v="FO9"/>
    <s v="BEVERAGE                      "/>
    <s v="CONFIRMED"/>
    <n v="1"/>
    <n v="3"/>
    <d v="2012-01-21T00:00:00"/>
    <s v="KITCHEN ELECTRICS             "/>
    <s v="BREAKFAST &amp; BREVAGE PREP      "/>
    <x v="2"/>
    <x v="1"/>
    <x v="8"/>
    <s v="NEWREQ-CUSTOMS"/>
    <n v="1"/>
    <n v="1"/>
    <x v="14"/>
    <n v="1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8266/000010"/>
    <n v="1370149165"/>
    <n v="10"/>
    <x v="35"/>
    <x v="35"/>
    <s v="P1"/>
    <n v="1500833785"/>
    <n v="105"/>
    <n v="833785"/>
    <s v="JU650D3E JUI JU650 MET SILV EE                    "/>
    <s v="S"/>
    <d v="2012-01-05T00:00:00"/>
    <m/>
    <s v="X"/>
    <x v="52"/>
    <n v="42.51"/>
    <n v="1558"/>
    <d v="2012-02-24T00:00:00"/>
    <d v="2012-01-06T00:00:00"/>
    <n v="1100"/>
    <d v="2012-01-06T00:00:00"/>
    <n v="1100"/>
    <m/>
    <d v="2012-01-06T00:00:00"/>
    <n v="1100"/>
    <d v="2012-02-24T00:00:00"/>
    <d v="2012-01-06T00:00:00"/>
    <n v="1100"/>
    <n v="1100"/>
    <x v="16"/>
    <d v="2012-02-21T00:00:00"/>
    <m/>
    <n v="9321658513"/>
    <n v="10"/>
    <s v="TCLU4277250"/>
    <s v="NYK VESTA/28W51"/>
    <m/>
    <s v="YANTIAN"/>
    <s v="TP ISSUE"/>
    <m/>
    <s v="KENUS WONG"/>
    <s v="FO9"/>
    <s v="FOOD PREPARATION              "/>
    <s v="CONFIRMED"/>
    <n v="1"/>
    <n v="1"/>
    <d v="2012-01-03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8316/000010"/>
    <n v="1370149135"/>
    <n v="10"/>
    <x v="56"/>
    <x v="56"/>
    <s v="P1"/>
    <n v="1500888531"/>
    <n v="78"/>
    <n v="888531"/>
    <s v="YG230131 YGT YOGURTO WHT PE                       "/>
    <s v="S"/>
    <d v="2012-01-05T00:00:00"/>
    <m/>
    <s v="X"/>
    <x v="52"/>
    <n v="13.55"/>
    <n v="492"/>
    <d v="2012-02-17T00:00:00"/>
    <d v="2011-12-30T00:00:00"/>
    <n v="4224"/>
    <d v="2011-12-30T00:00:00"/>
    <n v="4224"/>
    <m/>
    <d v="2011-12-30T00:00:00"/>
    <n v="4224"/>
    <d v="2012-02-17T00:00:00"/>
    <d v="2011-12-30T00:00:00"/>
    <n v="4224"/>
    <n v="4224"/>
    <x v="16"/>
    <d v="2012-02-21T00:00:00"/>
    <m/>
    <n v="9321658515"/>
    <n v="10"/>
    <s v="OOLU8456036"/>
    <s v="NYK VESTA/28W51"/>
    <m/>
    <s v="YANTIAN"/>
    <s v="TP ISSUE"/>
    <m/>
    <s v="KENUS WONG"/>
    <s v="FO9"/>
    <s v="FOOD PREPARATION              "/>
    <s v="CONFIRMED"/>
    <n v="1"/>
    <n v="1"/>
    <d v="2012-01-03T00:00:00"/>
    <s v="KITCHEN ELECTRICS             "/>
    <s v="FOOD PREPARATION              "/>
    <x v="3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55/000010"/>
    <n v="1370148170"/>
    <n v="10"/>
    <x v="27"/>
    <x v="27"/>
    <s v="K9"/>
    <n v="8000031509"/>
    <n v="29"/>
    <s v="XP1500US       "/>
    <s v="XP1500US ESP COMBI STEAM BLK US                   "/>
    <s v="S"/>
    <d v="2012-01-19T00:00:00"/>
    <m/>
    <s v="X"/>
    <x v="52"/>
    <n v="33"/>
    <n v="39"/>
    <d v="2012-02-27T00:00:00"/>
    <d v="2012-01-23T00:00:00"/>
    <n v="1068"/>
    <d v="2012-01-17T00:00:00"/>
    <n v="1068"/>
    <m/>
    <m/>
    <m/>
    <d v="2012-03-21T00:00:00"/>
    <d v="2012-02-15T00:00:00"/>
    <n v="1068"/>
    <n v="930"/>
    <x v="19"/>
    <d v="2012-02-21T00:00:00"/>
    <m/>
    <n v="9321658517"/>
    <n v="10"/>
    <s v="HLXU6424055"/>
    <s v="NYK NEBULA 25E02/"/>
    <m/>
    <s v="YANTIAN"/>
    <s v="FORWARDER-PROB/"/>
    <m/>
    <s v="TWEETY LEUNG"/>
    <s v="FO9"/>
    <s v="BEVERAGE                      "/>
    <s v="CONFIRMED"/>
    <n v="1"/>
    <n v="3"/>
    <d v="2012-01-17T00:00:00"/>
    <s v="KITCHEN ELECTRICS             "/>
    <s v="BREAKFAST &amp; BREVAGE PREP      "/>
    <x v="2"/>
    <x v="1"/>
    <x v="0"/>
    <s v="FORWARDER-PROB"/>
    <n v="1"/>
    <n v="1"/>
    <x v="11"/>
    <n v="1"/>
    <x v="0"/>
    <x v="1"/>
    <x v="0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153/000010"/>
    <n v="1370148303"/>
    <n v="10"/>
    <x v="27"/>
    <x v="27"/>
    <s v="K9"/>
    <n v="8000032807"/>
    <n v="29"/>
    <s v="XP102050       "/>
    <s v="XP102050 ESP NEW STEAM SOLO BLK US                "/>
    <s v="S"/>
    <d v="2012-01-04T00:00:00"/>
    <m/>
    <s v="X"/>
    <x v="52"/>
    <n v="16.71"/>
    <n v="19063"/>
    <d v="2012-01-30T00:00:00"/>
    <d v="2011-12-26T00:00:00"/>
    <n v="4464"/>
    <d v="2012-01-03T00:00:00"/>
    <n v="4464"/>
    <m/>
    <d v="2012-01-02T00:00:00"/>
    <n v="4464"/>
    <d v="2012-02-06T00:00:00"/>
    <d v="2012-01-02T00:00:00"/>
    <n v="4464"/>
    <n v="2535"/>
    <x v="3"/>
    <d v="2012-02-06T00:00:00"/>
    <m/>
    <n v="9321658518"/>
    <n v="10"/>
    <s v="FSCU6681786"/>
    <s v="NYK REMUS 16E52/"/>
    <m/>
    <s v="SHENZHEN"/>
    <s v="C-POST-CONF"/>
    <m/>
    <s v="TWEETY LEUNG"/>
    <s v="FO9"/>
    <s v="BEVERAGE                      "/>
    <s v="CONFIRMED"/>
    <n v="1"/>
    <n v="1"/>
    <d v="2012-01-02T00:00:00"/>
    <s v="KITCHEN ELECTRICS             "/>
    <s v="BREAKFAST &amp; BREVAGE PREP      "/>
    <x v="2"/>
    <x v="1"/>
    <x v="3"/>
    <s v="C-POST-CONF"/>
    <n v="-3"/>
    <n v="-3"/>
    <x v="0"/>
    <n v="1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53/000010"/>
    <n v="1370148303"/>
    <n v="10"/>
    <x v="27"/>
    <x v="27"/>
    <s v="K9"/>
    <n v="8000032807"/>
    <n v="29"/>
    <s v="XP102050       "/>
    <s v="XP102050 ESP NEW STEAM SOLO BLK US                "/>
    <s v="S"/>
    <d v="2012-01-04T00:00:00"/>
    <m/>
    <s v="X"/>
    <x v="52"/>
    <n v="16.71"/>
    <n v="19063"/>
    <d v="2012-01-30T00:00:00"/>
    <d v="2011-12-26T00:00:00"/>
    <n v="4464"/>
    <d v="2012-01-03T00:00:00"/>
    <n v="4464"/>
    <m/>
    <d v="2012-01-02T00:00:00"/>
    <n v="4464"/>
    <d v="2012-02-06T00:00:00"/>
    <d v="2012-01-02T00:00:00"/>
    <n v="4464"/>
    <n v="1929"/>
    <x v="3"/>
    <d v="2012-02-06T00:00:00"/>
    <m/>
    <n v="9321658518"/>
    <n v="10"/>
    <s v="UESU4162543"/>
    <s v="NYK REMUS 16E52/"/>
    <m/>
    <s v="SHENZHEN"/>
    <s v="C-POST-CONF"/>
    <m/>
    <s v="TWEETY LEUNG"/>
    <s v="FO9"/>
    <s v="BEVERAGE                      "/>
    <s v="CONFIRMED"/>
    <n v="1"/>
    <n v="1"/>
    <d v="2012-01-02T00:00:00"/>
    <s v="KITCHEN ELECTRICS             "/>
    <s v="BREAKFAST &amp; BREVAGE PREP      "/>
    <x v="2"/>
    <x v="1"/>
    <x v="3"/>
    <s v="C-POST-CONF"/>
    <n v="-3"/>
    <n v="-3"/>
    <x v="0"/>
    <n v="1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555/000010"/>
    <n v="1370148450"/>
    <n v="10"/>
    <x v="27"/>
    <x v="27"/>
    <s v="N1"/>
    <n v="2100040445"/>
    <n v="52"/>
    <s v="SM152233       "/>
    <s v="SM152233 T6030  CP30 CHROME MLX EU                "/>
    <s v="S"/>
    <d v="2012-01-11T00:00:00"/>
    <m/>
    <s v="X"/>
    <x v="52"/>
    <n v="9.9"/>
    <n v="2415"/>
    <d v="2012-01-30T00:00:00"/>
    <d v="2011-12-26T00:00:00"/>
    <n v="2352"/>
    <d v="2011-12-26T00:00:00"/>
    <n v="2352"/>
    <m/>
    <d v="2011-12-26T00:00:00"/>
    <n v="2352"/>
    <d v="2012-02-11T00:00:00"/>
    <d v="2012-01-07T00:00:00"/>
    <n v="2352"/>
    <n v="2352"/>
    <x v="12"/>
    <d v="2012-02-11T00:00:00"/>
    <m/>
    <n v="9321658520"/>
    <n v="10"/>
    <s v="MSKU6462038"/>
    <s v="CMA CGM RAVEL/785W"/>
    <m/>
    <s v="YANTIAN"/>
    <s v="SAILING-SCHED-UPDATE / C-POST-CONF/CON-SHIPT-COMPONENT/"/>
    <m/>
    <s v="KENUS WONG"/>
    <s v="FO9"/>
    <s v="ELECTRICAL COOKING            "/>
    <s v="CONFIRMED"/>
    <n v="1"/>
    <n v="1"/>
    <d v="2012-01-07T00:00:00"/>
    <s v="KITCHEN ELECTRICS             "/>
    <s v="ELECTRICAL COOKING            "/>
    <x v="2"/>
    <x v="1"/>
    <x v="1"/>
    <m/>
    <n v="0"/>
    <n v="0"/>
    <x v="1"/>
    <n v="3"/>
    <x v="0"/>
    <x v="0"/>
    <x v="1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54235/000010"/>
    <n v="1370148439"/>
    <n v="10"/>
    <x v="27"/>
    <x v="27"/>
    <s v="K9"/>
    <n v="8000033811"/>
    <n v="29"/>
    <s v="XP224010       "/>
    <s v="XP224010 ESP SERIE XP2200 SS/BLK EUR              "/>
    <s v="S"/>
    <d v="2012-01-07T00:00:00"/>
    <m/>
    <s v="X"/>
    <x v="52"/>
    <n v="90.54"/>
    <n v="81"/>
    <d v="2012-01-27T00:00:00"/>
    <d v="2011-12-23T00:00:00"/>
    <n v="750"/>
    <d v="2011-12-23T00:00:00"/>
    <n v="750"/>
    <m/>
    <d v="2011-12-23T00:00:00"/>
    <n v="750"/>
    <d v="2012-01-27T00:00:00"/>
    <d v="2011-12-23T00:00:00"/>
    <n v="750"/>
    <n v="750"/>
    <x v="2"/>
    <d v="2012-02-08T00:00:00"/>
    <m/>
    <n v="9321658521"/>
    <n v="10"/>
    <s v="MRKU3259600"/>
    <s v="MAREN MAERSK 121W/"/>
    <m/>
    <s v="YANTIAN"/>
    <s v="C-POST-CONF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2"/>
    <x v="1"/>
    <x v="3"/>
    <s v="C-POST-CONF"/>
    <n v="-3"/>
    <n v="-3"/>
    <x v="0"/>
    <n v="1"/>
    <x v="0"/>
    <x v="0"/>
    <x v="1"/>
    <n v="0"/>
    <n v="0"/>
    <n v="0"/>
    <n v="0"/>
    <n v="0"/>
    <n v="0"/>
    <x v="1"/>
    <x v="0"/>
    <x v="1"/>
    <x v="0"/>
  </r>
  <r>
    <s v="Shipment"/>
    <n v="99007300"/>
    <s v="GROUPE SEB DEUTSCHLAND                            "/>
    <n v="99007300"/>
    <x v="17"/>
    <s v="4500261637/000010"/>
    <n v="1370148648"/>
    <n v="10"/>
    <x v="27"/>
    <x v="27"/>
    <s v="N1"/>
    <n v="2100040810"/>
    <n v="52"/>
    <s v="SW602032       "/>
    <s v="SW602032 AVANTE 3EN1 GERMANY                      "/>
    <s v="S"/>
    <d v="2012-01-04T00:00:00"/>
    <m/>
    <s v="X"/>
    <x v="52"/>
    <n v="19.3"/>
    <n v="16704"/>
    <d v="2012-02-06T00:00:00"/>
    <d v="2012-01-02T00:00:00"/>
    <n v="1200"/>
    <d v="2012-01-02T00:00:00"/>
    <n v="1200"/>
    <m/>
    <d v="2012-01-02T00:00:00"/>
    <n v="1200"/>
    <d v="2012-02-06T00:00:00"/>
    <d v="2012-01-02T00:00:00"/>
    <n v="1200"/>
    <n v="1200"/>
    <x v="13"/>
    <d v="2012-02-05T00:00:00"/>
    <m/>
    <n v="9321658522"/>
    <n v="10"/>
    <s v="TCLU2970856"/>
    <s v="HYUNDAI SPLENDOR/016"/>
    <m/>
    <s v="YANTIAN"/>
    <m/>
    <m/>
    <s v="AGNES NUNES"/>
    <s v="FO9"/>
    <s v="ELECTRICAL COOKING            "/>
    <s v="CONFIRMED"/>
    <n v="1"/>
    <n v="52"/>
    <d v="2012-01-01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1805/000010"/>
    <n v="1370148844"/>
    <n v="10"/>
    <x v="27"/>
    <x v="27"/>
    <s v="N1"/>
    <n v="2100052306"/>
    <n v="59"/>
    <s v="EB2337010      "/>
    <s v="F2337010 CUISEUR A OEUFS 7 KRUPS F233             "/>
    <s v="S"/>
    <d v="2012-01-05T00:00:00"/>
    <m/>
    <s v="X"/>
    <x v="52"/>
    <n v="9.0299999999999994"/>
    <n v="7537"/>
    <d v="2012-02-06T00:00:00"/>
    <d v="2012-01-02T00:00:00"/>
    <n v="4920"/>
    <d v="2012-01-02T00:00:00"/>
    <n v="4920"/>
    <m/>
    <d v="2012-01-02T00:00:00"/>
    <n v="4920"/>
    <d v="2012-02-06T00:00:00"/>
    <d v="2012-01-02T00:00:00"/>
    <n v="4920"/>
    <n v="4920"/>
    <x v="13"/>
    <d v="2012-02-05T00:00:00"/>
    <m/>
    <n v="9321658524"/>
    <n v="10"/>
    <s v="MOFU0671950"/>
    <s v="HYUNDAI SPLENDOR/016"/>
    <m/>
    <s v="YANTIAN"/>
    <m/>
    <m/>
    <s v="AGNES NUNES"/>
    <s v="FO9"/>
    <s v="ELECTRICAL COOKING            "/>
    <s v="CONFIRMED"/>
    <n v="1"/>
    <n v="52"/>
    <d v="2012-01-01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59/039726"/>
    <n v="1370149089"/>
    <n v="10"/>
    <x v="27"/>
    <x v="27"/>
    <s v="N1"/>
    <n v="2100063809"/>
    <n v="52"/>
    <s v="SM152282       "/>
    <s v="SM152282 SDW CROC TIME CUTTING BLK SS             "/>
    <s v="S"/>
    <d v="2012-01-11T00:00:00"/>
    <m/>
    <s v="X"/>
    <x v="52"/>
    <n v="9.7100000000000009"/>
    <n v="11"/>
    <d v="2012-02-17T00:00:00"/>
    <d v="2012-01-13T00:00:00"/>
    <n v="2352"/>
    <d v="2012-01-13T00:00:00"/>
    <n v="2352"/>
    <m/>
    <d v="2012-01-13T00:00:00"/>
    <n v="2352"/>
    <d v="2012-02-17T00:00:00"/>
    <d v="2012-01-13T00:00:00"/>
    <n v="2352"/>
    <n v="2352"/>
    <x v="0"/>
    <d v="2012-02-13T00:00:00"/>
    <m/>
    <n v="9321658526"/>
    <n v="10"/>
    <s v="MSKU6382164"/>
    <s v="MAERSK SANA 1203/"/>
    <m/>
    <s v="YANTIAN"/>
    <m/>
    <m/>
    <s v="THOMAS HO"/>
    <s v="FO9"/>
    <s v="ELECTRICAL COOKING            "/>
    <s v="CONFIRMED"/>
    <n v="1"/>
    <n v="2"/>
    <d v="2012-01-09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59/039727"/>
    <n v="1370149089"/>
    <n v="20"/>
    <x v="27"/>
    <x v="27"/>
    <s v="N1"/>
    <n v="2100063809"/>
    <n v="52"/>
    <s v="SM152282       "/>
    <s v="SM152282 SDW CROC TIME CUTTING BLK SS             "/>
    <s v="S"/>
    <d v="2012-01-11T00:00:00"/>
    <m/>
    <s v="X"/>
    <x v="52"/>
    <n v="9.7100000000000009"/>
    <n v="11"/>
    <d v="2012-02-10T00:00:00"/>
    <d v="2012-01-06T00:00:00"/>
    <n v="2352"/>
    <d v="2012-01-06T00:00:00"/>
    <n v="2352"/>
    <m/>
    <d v="2012-01-06T00:00:00"/>
    <n v="2352"/>
    <d v="2012-02-10T00:00:00"/>
    <d v="2012-01-06T00:00:00"/>
    <n v="2352"/>
    <n v="2352"/>
    <x v="0"/>
    <d v="2012-02-13T00:00:00"/>
    <m/>
    <n v="9321658526"/>
    <n v="20"/>
    <s v="MSKU6382164"/>
    <s v="MAERSK SANA 1203/"/>
    <m/>
    <s v="YANTIAN"/>
    <m/>
    <m/>
    <s v="THOMAS HO"/>
    <s v="FO9"/>
    <s v="ELECTRICAL COOKING            "/>
    <s v="CONFIRMED"/>
    <n v="1"/>
    <n v="2"/>
    <d v="2012-01-09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808/000010"/>
    <n v="1370149264"/>
    <n v="10"/>
    <x v="27"/>
    <x v="27"/>
    <s v="N1"/>
    <n v="2100045294"/>
    <n v="52"/>
    <s v="SM280102       "/>
    <s v="SM280102 SNACK TIME 1 PLATE SHELL FCE ML          "/>
    <s v="S"/>
    <d v="2012-01-07T00:00:00"/>
    <m/>
    <s v="X"/>
    <x v="52"/>
    <n v="12.7"/>
    <n v="11"/>
    <d v="2012-02-03T00:00:00"/>
    <d v="2011-12-30T00:00:00"/>
    <n v="1596"/>
    <d v="2011-12-30T00:00:00"/>
    <n v="1596"/>
    <m/>
    <d v="2011-12-30T00:00:00"/>
    <n v="1596"/>
    <d v="2012-02-03T00:00:00"/>
    <d v="2011-12-30T00:00:00"/>
    <n v="1596"/>
    <n v="1596"/>
    <x v="2"/>
    <d v="2012-02-08T00:00:00"/>
    <m/>
    <n v="9321658527"/>
    <n v="10"/>
    <s v="CAXU4770359"/>
    <s v="MAREN MAERSK 121W/"/>
    <m/>
    <s v="YANTIAN"/>
    <m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802/000010"/>
    <n v="1370149234"/>
    <n v="10"/>
    <x v="27"/>
    <x v="27"/>
    <s v="N1"/>
    <n v="2100060348"/>
    <n v="52"/>
    <s v="SW320112       "/>
    <s v="SW320112 MSDW SIMPLY INVENTS-2PL-WHT/BEI          "/>
    <s v="S"/>
    <d v="2012-01-07T00:00:00"/>
    <m/>
    <s v="X"/>
    <x v="52"/>
    <n v="18.82"/>
    <n v="16"/>
    <d v="2012-02-03T00:00:00"/>
    <d v="2011-12-30T00:00:00"/>
    <n v="2700"/>
    <d v="2011-12-30T00:00:00"/>
    <n v="2700"/>
    <m/>
    <d v="2011-12-30T00:00:00"/>
    <n v="2700"/>
    <d v="2012-02-03T00:00:00"/>
    <d v="2011-12-30T00:00:00"/>
    <n v="2700"/>
    <n v="2700"/>
    <x v="2"/>
    <d v="2012-02-08T00:00:00"/>
    <m/>
    <n v="9321658531"/>
    <n v="10"/>
    <s v="MRKU2424017"/>
    <s v="MAREN MAERSK 121W/"/>
    <m/>
    <s v="YANTIAN"/>
    <m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798/000010"/>
    <n v="1370149262"/>
    <n v="10"/>
    <x v="27"/>
    <x v="27"/>
    <s v="N1"/>
    <n v="2100060605"/>
    <n v="52"/>
    <s v="SW321812       "/>
    <s v="SW321812 SW INOX &amp; DESIGN BLK/STAIN EUR           "/>
    <s v="S"/>
    <d v="2012-01-09T00:00:00"/>
    <m/>
    <s v="X"/>
    <x v="52"/>
    <n v="19.579999999999998"/>
    <n v="17"/>
    <d v="2012-02-03T00:00:00"/>
    <d v="2011-12-30T00:00:00"/>
    <n v="1152"/>
    <d v="2011-12-30T00:00:00"/>
    <n v="1152"/>
    <m/>
    <d v="2011-12-30T00:00:00"/>
    <n v="1152"/>
    <d v="2012-02-03T00:00:00"/>
    <d v="2011-12-30T00:00:00"/>
    <n v="1152"/>
    <n v="1152"/>
    <x v="2"/>
    <d v="2012-02-08T00:00:00"/>
    <m/>
    <n v="9321658532"/>
    <n v="10"/>
    <s v="MRKU0274915"/>
    <s v="MAREN MAERSK 121W/"/>
    <m/>
    <s v="YANTIAN"/>
    <m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801/000010"/>
    <n v="1370149263"/>
    <n v="10"/>
    <x v="27"/>
    <x v="27"/>
    <s v="N1"/>
    <n v="2100060348"/>
    <n v="52"/>
    <s v="SW320112       "/>
    <s v="SW320112 MSDW SIMPLY INVENTS-2PL-WHT/BEI          "/>
    <s v="S"/>
    <d v="2012-01-07T00:00:00"/>
    <m/>
    <s v="X"/>
    <x v="52"/>
    <n v="18.82"/>
    <n v="16"/>
    <d v="2012-02-03T00:00:00"/>
    <d v="2011-12-30T00:00:00"/>
    <n v="2700"/>
    <d v="2011-12-30T00:00:00"/>
    <n v="2700"/>
    <m/>
    <d v="2011-12-30T00:00:00"/>
    <n v="2700"/>
    <d v="2012-02-03T00:00:00"/>
    <d v="2011-12-30T00:00:00"/>
    <n v="2700"/>
    <n v="2700"/>
    <x v="2"/>
    <d v="2012-02-08T00:00:00"/>
    <m/>
    <n v="9321658533"/>
    <n v="10"/>
    <s v="GATU8397125"/>
    <s v="MAREN MAERSK 121W/"/>
    <m/>
    <s v="YANTIAN"/>
    <m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87/000060"/>
    <n v="1370149106"/>
    <n v="60"/>
    <x v="7"/>
    <x v="7"/>
    <s v="M1"/>
    <n v="1830003164"/>
    <n v="8"/>
    <s v="VU2021F0       "/>
    <s v="VU2021F0 DESK FAN CLASSIC                         "/>
    <s v="S"/>
    <d v="2012-01-16T00:00:00"/>
    <m/>
    <s v="X"/>
    <x v="52"/>
    <n v="11.425000000000001"/>
    <n v="10"/>
    <d v="2012-02-06T00:00:00"/>
    <d v="2012-01-09T00:00:00"/>
    <n v="2000"/>
    <d v="2012-01-09T00:00:00"/>
    <n v="2000"/>
    <m/>
    <d v="2012-01-09T00:00:00"/>
    <n v="2000"/>
    <d v="2012-02-07T00:00:00"/>
    <d v="2012-01-10T00:00:00"/>
    <n v="2000"/>
    <n v="2000"/>
    <x v="24"/>
    <d v="2012-02-10T00:00:00"/>
    <m/>
    <n v="9321658534"/>
    <n v="10"/>
    <s v="OOLU8946814"/>
    <s v="BUSAN EXPRESS/004W"/>
    <m/>
    <s v="YANTIAN"/>
    <m/>
    <m/>
    <s v="JASON FAN"/>
    <s v="FO9"/>
    <s v="HOME COMFORT                  "/>
    <s v="CONFIRMED"/>
    <n v="1"/>
    <n v="2"/>
    <d v="2012-01-13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70/000010"/>
    <n v="1370149212"/>
    <n v="10"/>
    <x v="7"/>
    <x v="7"/>
    <s v="M1"/>
    <n v="1830003165"/>
    <n v="8"/>
    <s v="VU2011F0       "/>
    <s v="VU2011F0 DESK FAN CLASSIC 9INCH                   "/>
    <s v="S"/>
    <d v="2012-01-17T00:00:00"/>
    <m/>
    <s v="X"/>
    <x v="52"/>
    <n v="9.2100000000000009"/>
    <n v="8"/>
    <d v="2012-02-17T00:00:00"/>
    <d v="2012-01-13T00:00:00"/>
    <n v="1355"/>
    <d v="2012-01-13T00:00:00"/>
    <n v="1355"/>
    <m/>
    <d v="2012-01-13T00:00:00"/>
    <n v="1355"/>
    <d v="2012-02-15T00:00:00"/>
    <d v="2012-01-11T00:00:00"/>
    <n v="1355"/>
    <n v="1355"/>
    <x v="17"/>
    <d v="2012-02-15T00:00:00"/>
    <m/>
    <n v="9321658535"/>
    <n v="10"/>
    <s v="MSKU6465720"/>
    <s v="GRETE MAERSK 121W/"/>
    <m/>
    <s v="YANTIAN"/>
    <m/>
    <m/>
    <s v="JASON FAN"/>
    <s v="FO9"/>
    <s v="HOME COMFORT                  "/>
    <s v="CONFIRMED"/>
    <n v="1"/>
    <n v="2"/>
    <d v="2012-01-11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69/000010"/>
    <n v="1370149222"/>
    <n v="10"/>
    <x v="7"/>
    <x v="7"/>
    <s v="M1"/>
    <n v="1830003165"/>
    <n v="8"/>
    <s v="VU2011F0       "/>
    <s v="VU2011F0 DESK FAN CLASSIC 9INCH                   "/>
    <s v="S"/>
    <d v="2012-01-17T00:00:00"/>
    <m/>
    <s v="X"/>
    <x v="52"/>
    <n v="9.2100000000000009"/>
    <n v="8"/>
    <d v="2012-02-17T00:00:00"/>
    <d v="2012-01-13T00:00:00"/>
    <n v="3110"/>
    <d v="2012-01-13T00:00:00"/>
    <n v="3110"/>
    <m/>
    <d v="2012-01-13T00:00:00"/>
    <n v="3110"/>
    <d v="2012-02-15T00:00:00"/>
    <d v="2012-01-11T00:00:00"/>
    <n v="3110"/>
    <n v="3110"/>
    <x v="17"/>
    <d v="2012-02-15T00:00:00"/>
    <m/>
    <n v="9321658536"/>
    <n v="10"/>
    <s v="MSKU3254234"/>
    <s v="GRETE MAERSK 121W/"/>
    <m/>
    <s v="YANTIAN"/>
    <m/>
    <m/>
    <s v="JASON FAN"/>
    <s v="FO9"/>
    <s v="HOME COMFORT                  "/>
    <s v="CONFIRMED"/>
    <n v="1"/>
    <n v="2"/>
    <d v="2012-01-11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68/000010"/>
    <n v="1370149225"/>
    <n v="10"/>
    <x v="7"/>
    <x v="7"/>
    <s v="M1"/>
    <n v="1830003165"/>
    <n v="8"/>
    <s v="VU2011F0       "/>
    <s v="VU2011F0 DESK FAN CLASSIC 9INCH                   "/>
    <s v="S"/>
    <d v="2012-01-17T00:00:00"/>
    <m/>
    <s v="X"/>
    <x v="52"/>
    <n v="9.2100000000000009"/>
    <n v="8"/>
    <d v="2012-02-10T00:00:00"/>
    <d v="2012-01-06T00:00:00"/>
    <n v="3110"/>
    <d v="2012-01-06T00:00:00"/>
    <n v="3110"/>
    <m/>
    <d v="2012-01-06T00:00:00"/>
    <n v="3110"/>
    <d v="2012-02-15T00:00:00"/>
    <d v="2012-01-11T00:00:00"/>
    <n v="3110"/>
    <n v="3110"/>
    <x v="17"/>
    <d v="2012-02-15T00:00:00"/>
    <m/>
    <n v="9321658537"/>
    <n v="10"/>
    <s v="TCLU5943387"/>
    <s v="GRETE MAERSK 121W/"/>
    <m/>
    <s v="YANTIAN"/>
    <m/>
    <m/>
    <s v="JASON FAN"/>
    <s v="FO9"/>
    <s v="HOME COMFORT                  "/>
    <s v="CONFIRMED"/>
    <n v="1"/>
    <n v="2"/>
    <d v="2012-01-11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73/000010"/>
    <n v="1370149228"/>
    <n v="10"/>
    <x v="7"/>
    <x v="7"/>
    <s v="M1"/>
    <n v="1830003164"/>
    <n v="8"/>
    <s v="VU2021F0       "/>
    <s v="VU2021F0 DESK FAN CLASSIC                         "/>
    <s v="S"/>
    <d v="2012-01-17T00:00:00"/>
    <m/>
    <s v="X"/>
    <x v="52"/>
    <n v="11.425000000000001"/>
    <n v="10"/>
    <d v="2012-02-10T00:00:00"/>
    <d v="2012-01-06T00:00:00"/>
    <n v="2072"/>
    <d v="2012-01-06T00:00:00"/>
    <n v="2072"/>
    <m/>
    <d v="2012-01-06T00:00:00"/>
    <n v="2072"/>
    <d v="2012-02-15T00:00:00"/>
    <d v="2012-01-11T00:00:00"/>
    <n v="2072"/>
    <n v="2072"/>
    <x v="17"/>
    <d v="2012-02-15T00:00:00"/>
    <m/>
    <n v="9321658538"/>
    <n v="10"/>
    <s v="MSKU1903742"/>
    <s v="GRETE MAERSK 121W/"/>
    <m/>
    <s v="YANTIAN"/>
    <m/>
    <m/>
    <s v="JASON FAN"/>
    <s v="FO9"/>
    <s v="HOME COMFORT                  "/>
    <s v="CONFIRMED"/>
    <n v="1"/>
    <n v="2"/>
    <d v="2012-01-11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74/000010"/>
    <n v="1370149241"/>
    <n v="10"/>
    <x v="7"/>
    <x v="7"/>
    <s v="M1"/>
    <n v="1830003164"/>
    <n v="8"/>
    <s v="VU2021F0       "/>
    <s v="VU2021F0 DESK FAN CLASSIC                         "/>
    <s v="S"/>
    <d v="2012-01-17T00:00:00"/>
    <m/>
    <s v="X"/>
    <x v="52"/>
    <n v="11.425000000000001"/>
    <n v="10"/>
    <d v="2012-02-17T00:00:00"/>
    <d v="2012-01-13T00:00:00"/>
    <n v="2072"/>
    <d v="2012-01-13T00:00:00"/>
    <n v="2072"/>
    <m/>
    <d v="2012-01-13T00:00:00"/>
    <n v="2072"/>
    <d v="2012-02-15T00:00:00"/>
    <d v="2012-01-11T00:00:00"/>
    <n v="2072"/>
    <n v="2072"/>
    <x v="17"/>
    <d v="2012-02-15T00:00:00"/>
    <m/>
    <n v="9321658539"/>
    <n v="10"/>
    <s v="MRKU3253623"/>
    <s v="GRETE MAERSK 121W/"/>
    <m/>
    <s v="YANTIAN"/>
    <m/>
    <m/>
    <s v="JASON FAN"/>
    <s v="FO9"/>
    <s v="HOME COMFORT                  "/>
    <s v="CONFIRMED"/>
    <n v="1"/>
    <n v="2"/>
    <d v="2012-01-11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87/000030"/>
    <n v="1370149106"/>
    <n v="30"/>
    <x v="7"/>
    <x v="7"/>
    <s v="M1"/>
    <n v="1830002835"/>
    <n v="8"/>
    <s v="VU6555F0       "/>
    <s v="VU6555F0 TOWER FAN EOLE 2 CRYSTAL LCD             "/>
    <s v="S"/>
    <d v="2012-01-16T00:00:00"/>
    <m/>
    <s v="X"/>
    <x v="52"/>
    <n v="28.25"/>
    <n v="10"/>
    <d v="2012-02-06T00:00:00"/>
    <d v="2012-01-09T00:00:00"/>
    <n v="3360"/>
    <d v="2012-01-09T00:00:00"/>
    <n v="3360"/>
    <m/>
    <d v="2012-01-16T00:00:00"/>
    <n v="4760"/>
    <d v="2012-02-13T00:00:00"/>
    <d v="2012-01-16T00:00:00"/>
    <n v="3360"/>
    <n v="1400"/>
    <x v="24"/>
    <d v="2012-02-10T00:00:00"/>
    <m/>
    <n v="9321658541"/>
    <n v="10"/>
    <s v="BMOU4492600"/>
    <s v="BUSAN EXPRESS/004W"/>
    <m/>
    <s v="YANTIAN"/>
    <s v="FORWARDER-PROB"/>
    <m/>
    <s v="JASON FAN"/>
    <s v="FO9"/>
    <s v="HOME COMFORT                  "/>
    <s v="CONFIRMED"/>
    <n v="1"/>
    <n v="2"/>
    <d v="2012-01-13T00:00:00"/>
    <s v="LINEN PERS HOME CARE          "/>
    <s v="HOME COMFORT                  "/>
    <x v="3"/>
    <x v="2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87/000030"/>
    <n v="1370149106"/>
    <n v="30"/>
    <x v="7"/>
    <x v="7"/>
    <s v="M1"/>
    <n v="1830002835"/>
    <n v="8"/>
    <s v="VU6555F0       "/>
    <s v="VU6555F0 TOWER FAN EOLE 2 CRYSTAL LCD             "/>
    <s v="S"/>
    <d v="2012-01-16T00:00:00"/>
    <m/>
    <s v="X"/>
    <x v="52"/>
    <n v="28.25"/>
    <n v="10"/>
    <d v="2012-02-06T00:00:00"/>
    <d v="2012-01-09T00:00:00"/>
    <n v="3360"/>
    <d v="2012-01-09T00:00:00"/>
    <n v="3360"/>
    <m/>
    <d v="2012-01-16T00:00:00"/>
    <n v="4760"/>
    <d v="2012-02-13T00:00:00"/>
    <d v="2012-01-16T00:00:00"/>
    <n v="3360"/>
    <n v="560"/>
    <x v="24"/>
    <d v="2012-02-10T00:00:00"/>
    <m/>
    <n v="9321658541"/>
    <n v="10"/>
    <s v="OOLU1469807"/>
    <s v="BUSAN EXPRESS/004W"/>
    <m/>
    <s v="YANTIAN"/>
    <s v="FORWARDER-PROB"/>
    <m/>
    <s v="JASON FAN"/>
    <s v="FO9"/>
    <s v="HOME COMFORT                  "/>
    <s v="CONFIRMED"/>
    <n v="1"/>
    <n v="2"/>
    <d v="2012-01-13T00:00:00"/>
    <s v="LINEN PERS HOME CARE          "/>
    <s v="HOME COMFORT                  "/>
    <x v="3"/>
    <x v="2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87/000030"/>
    <n v="1370149106"/>
    <n v="30"/>
    <x v="7"/>
    <x v="7"/>
    <s v="M1"/>
    <n v="1830002835"/>
    <n v="8"/>
    <s v="VU6555F0       "/>
    <s v="VU6555F0 TOWER FAN EOLE 2 CRYSTAL LCD             "/>
    <s v="S"/>
    <d v="2012-01-18T00:00:00"/>
    <m/>
    <s v="X"/>
    <x v="52"/>
    <n v="28.25"/>
    <n v="10"/>
    <d v="2012-02-06T00:00:00"/>
    <d v="2012-01-09T00:00:00"/>
    <n v="3360"/>
    <d v="2012-01-09T00:00:00"/>
    <n v="3360"/>
    <m/>
    <d v="2012-01-16T00:00:00"/>
    <n v="4760"/>
    <d v="2012-02-13T00:00:00"/>
    <d v="2012-01-16T00:00:00"/>
    <n v="3360"/>
    <n v="1400"/>
    <x v="19"/>
    <d v="2012-02-14T00:00:00"/>
    <m/>
    <n v="9321658541"/>
    <n v="10"/>
    <s v="TTNU9185161"/>
    <s v="HANJIN BASEL/0063W"/>
    <m/>
    <s v="YANTIAN"/>
    <s v="FORWARDER-PROB"/>
    <m/>
    <s v="JASON FAN"/>
    <s v="FO9"/>
    <s v="HOME COMFORT                  "/>
    <s v="CONFIRMED"/>
    <n v="1"/>
    <n v="3"/>
    <d v="2012-01-17T00:00:00"/>
    <s v="LINEN PERS HOME CARE          "/>
    <s v="HOME COMFORT                  "/>
    <x v="3"/>
    <x v="2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9087/000040"/>
    <n v="1370149106"/>
    <n v="40"/>
    <x v="7"/>
    <x v="7"/>
    <s v="M1"/>
    <n v="1830002656"/>
    <n v="8"/>
    <s v="VU6520F0       "/>
    <s v="VU6520F0 TOWER FAN EOLE 2                         "/>
    <s v="S"/>
    <d v="2012-01-18T00:00:00"/>
    <m/>
    <s v="X"/>
    <x v="52"/>
    <n v="23.01"/>
    <n v="10"/>
    <d v="2012-02-06T00:00:00"/>
    <d v="2012-01-09T00:00:00"/>
    <n v="2800"/>
    <d v="2012-01-09T00:00:00"/>
    <n v="2800"/>
    <m/>
    <d v="2012-01-16T00:00:00"/>
    <n v="5600"/>
    <d v="2012-02-13T00:00:00"/>
    <d v="2012-01-16T00:00:00"/>
    <n v="2800"/>
    <n v="1400"/>
    <x v="19"/>
    <d v="2012-02-14T00:00:00"/>
    <m/>
    <n v="9321658541"/>
    <n v="20"/>
    <s v="HJCU1185010"/>
    <s v="HANJIN BASEL/0063W"/>
    <m/>
    <s v="YANTIAN"/>
    <s v="FORWARDER-PROB"/>
    <m/>
    <s v="JASON FAN"/>
    <s v="FO9"/>
    <s v="HOME COMFORT                  "/>
    <s v="CONFIRMED"/>
    <n v="1"/>
    <n v="3"/>
    <d v="2012-01-17T00:00:00"/>
    <s v="LINEN PERS HOME CARE          "/>
    <s v="HOME COMFORT                  "/>
    <x v="3"/>
    <x v="2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9087/000040"/>
    <n v="1370149106"/>
    <n v="40"/>
    <x v="7"/>
    <x v="7"/>
    <s v="M1"/>
    <n v="1830002656"/>
    <n v="8"/>
    <s v="VU6520F0       "/>
    <s v="VU6520F0 TOWER FAN EOLE 2                         "/>
    <s v="S"/>
    <d v="2012-01-18T00:00:00"/>
    <m/>
    <s v="X"/>
    <x v="52"/>
    <n v="23.01"/>
    <n v="10"/>
    <d v="2012-02-06T00:00:00"/>
    <d v="2012-01-09T00:00:00"/>
    <n v="2800"/>
    <d v="2012-01-09T00:00:00"/>
    <n v="2800"/>
    <m/>
    <d v="2012-01-16T00:00:00"/>
    <n v="5600"/>
    <d v="2012-02-13T00:00:00"/>
    <d v="2012-01-16T00:00:00"/>
    <n v="2800"/>
    <n v="1400"/>
    <x v="19"/>
    <d v="2012-02-14T00:00:00"/>
    <m/>
    <n v="9321658541"/>
    <n v="20"/>
    <s v="HJCU1141583"/>
    <s v="HANJIN BASEL/0063W"/>
    <m/>
    <s v="YANTIAN"/>
    <s v="FORWARDER-PROB"/>
    <m/>
    <s v="JASON FAN"/>
    <s v="FO9"/>
    <s v="HOME COMFORT                  "/>
    <s v="CONFIRMED"/>
    <n v="1"/>
    <n v="3"/>
    <d v="2012-01-17T00:00:00"/>
    <s v="LINEN PERS HOME CARE          "/>
    <s v="HOME COMFORT                  "/>
    <x v="3"/>
    <x v="2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58148/000010"/>
    <n v="1370149260"/>
    <n v="10"/>
    <x v="7"/>
    <x v="7"/>
    <s v="M1"/>
    <n v="1830002835"/>
    <n v="8"/>
    <s v="VU6555F0       "/>
    <s v="VU6555F0 TOWER FAN EOLE 2 CRYSTAL LCD             "/>
    <s v="S"/>
    <d v="2012-01-17T00:00:00"/>
    <m/>
    <s v="X"/>
    <x v="52"/>
    <n v="28.25"/>
    <n v="23"/>
    <d v="2012-02-17T00:00:00"/>
    <d v="2012-01-13T00:00:00"/>
    <n v="1170"/>
    <d v="2012-01-13T00:00:00"/>
    <n v="1170"/>
    <m/>
    <d v="2012-01-13T00:00:00"/>
    <n v="1170"/>
    <d v="2012-02-17T00:00:00"/>
    <d v="2012-01-13T00:00:00"/>
    <n v="1170"/>
    <n v="1170"/>
    <x v="24"/>
    <d v="2012-02-17T00:00:00"/>
    <m/>
    <n v="9321658542"/>
    <n v="10"/>
    <s v="MAEU6181752"/>
    <s v="CMA CGM A VESPUCCI 1"/>
    <m/>
    <s v="YANTIAN"/>
    <m/>
    <m/>
    <s v="JASON FAN"/>
    <s v="FO9"/>
    <s v="HOME COMFORT                  "/>
    <s v="CONFIRMED"/>
    <n v="1"/>
    <n v="2"/>
    <d v="2012-01-13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145/000010"/>
    <n v="1370149270"/>
    <n v="10"/>
    <x v="7"/>
    <x v="7"/>
    <s v="M1"/>
    <n v="1830002656"/>
    <n v="8"/>
    <s v="VU6520F0       "/>
    <s v="VU6520F0 TOWER FAN EOLE 2                         "/>
    <s v="S"/>
    <d v="2012-01-17T00:00:00"/>
    <m/>
    <s v="X"/>
    <x v="52"/>
    <n v="23.01"/>
    <n v="19"/>
    <d v="2012-02-17T00:00:00"/>
    <d v="2012-01-13T00:00:00"/>
    <n v="1400"/>
    <d v="2012-01-13T00:00:00"/>
    <n v="1400"/>
    <m/>
    <d v="2012-01-13T00:00:00"/>
    <n v="1400"/>
    <d v="2012-02-17T00:00:00"/>
    <d v="2012-01-13T00:00:00"/>
    <n v="1400"/>
    <n v="1400"/>
    <x v="24"/>
    <d v="2012-02-17T00:00:00"/>
    <m/>
    <n v="9321658543"/>
    <n v="10"/>
    <s v="MSKU8343969"/>
    <s v="CMA CGM A VESPUCCI 1"/>
    <m/>
    <s v="YANTIAN"/>
    <m/>
    <m/>
    <s v="JASON FAN"/>
    <s v="FO9"/>
    <s v="HOME COMFORT                  "/>
    <s v="CONFIRMED"/>
    <n v="1"/>
    <n v="2"/>
    <d v="2012-01-13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146/000010"/>
    <n v="1370149273"/>
    <n v="10"/>
    <x v="7"/>
    <x v="7"/>
    <s v="M1"/>
    <n v="1830002656"/>
    <n v="8"/>
    <s v="VU6520F0       "/>
    <s v="VU6520F0 TOWER FAN EOLE 2                         "/>
    <s v="S"/>
    <d v="2012-01-17T00:00:00"/>
    <m/>
    <s v="X"/>
    <x v="52"/>
    <n v="23.01"/>
    <n v="19"/>
    <d v="2012-02-17T00:00:00"/>
    <d v="2012-01-13T00:00:00"/>
    <n v="1170"/>
    <d v="2012-01-13T00:00:00"/>
    <n v="1170"/>
    <m/>
    <d v="2012-01-13T00:00:00"/>
    <n v="1170"/>
    <d v="2012-02-17T00:00:00"/>
    <d v="2012-01-13T00:00:00"/>
    <n v="1170"/>
    <n v="1170"/>
    <x v="24"/>
    <d v="2012-02-17T00:00:00"/>
    <m/>
    <n v="9321658544"/>
    <n v="10"/>
    <s v="MSKU6983099"/>
    <s v="CMA CGM A VESPUCCI 1"/>
    <m/>
    <s v="YANTIAN"/>
    <m/>
    <m/>
    <s v="JASON FAN"/>
    <s v="FO9"/>
    <s v="HOME COMFORT                  "/>
    <s v="CONFIRMED"/>
    <n v="1"/>
    <n v="2"/>
    <d v="2012-01-13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143/000010"/>
    <n v="1370149275"/>
    <n v="10"/>
    <x v="7"/>
    <x v="7"/>
    <s v="M1"/>
    <n v="1830002664"/>
    <n v="8"/>
    <s v="VU9050F0       "/>
    <s v="VU9050F0 TABLE TOWER FAN ARTIK 2                  "/>
    <s v="S"/>
    <d v="2012-01-17T00:00:00"/>
    <m/>
    <s v="X"/>
    <x v="52"/>
    <n v="14.61"/>
    <n v="12"/>
    <d v="2012-02-17T00:00:00"/>
    <d v="2012-01-13T00:00:00"/>
    <n v="3880"/>
    <d v="2012-01-13T00:00:00"/>
    <n v="3880"/>
    <m/>
    <d v="2012-01-13T00:00:00"/>
    <n v="3880"/>
    <d v="2012-02-17T00:00:00"/>
    <d v="2012-01-13T00:00:00"/>
    <n v="3880"/>
    <n v="3880"/>
    <x v="24"/>
    <d v="2012-02-17T00:00:00"/>
    <m/>
    <n v="9321658545"/>
    <n v="10"/>
    <s v="CMBU4101623"/>
    <s v="CMA CGM A VESPUCCI 1"/>
    <m/>
    <s v="YANTIAN"/>
    <m/>
    <m/>
    <s v="JASON FAN"/>
    <s v="FO9"/>
    <s v="HOME COMFORT                  "/>
    <s v="CONFIRMED"/>
    <n v="1"/>
    <n v="2"/>
    <d v="2012-01-13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87/000010"/>
    <n v="1370149106"/>
    <n v="10"/>
    <x v="7"/>
    <x v="7"/>
    <s v="M1"/>
    <n v="1830003456"/>
    <n v="8"/>
    <s v="VU2540F0       "/>
    <s v="VU2540F0 DESK FAN TURBO SILENCE                   "/>
    <s v="S"/>
    <d v="2012-01-16T00:00:00"/>
    <m/>
    <s v="X"/>
    <x v="52"/>
    <n v="18.649999999999999"/>
    <n v="10"/>
    <d v="2012-02-06T00:00:00"/>
    <d v="2012-01-09T00:00:00"/>
    <n v="2160"/>
    <d v="2012-01-09T00:00:00"/>
    <n v="2160"/>
    <m/>
    <d v="2012-01-16T00:00:00"/>
    <n v="3800"/>
    <d v="2012-02-13T00:00:00"/>
    <d v="2012-01-16T00:00:00"/>
    <n v="2160"/>
    <n v="520"/>
    <x v="24"/>
    <d v="2012-02-10T00:00:00"/>
    <m/>
    <n v="9321658546"/>
    <n v="10"/>
    <s v="OOLU7334769"/>
    <s v="BUSAN EXPRESS/004W"/>
    <m/>
    <s v="YANTIAN"/>
    <s v="FORWARDER-PROB"/>
    <m/>
    <s v="JASON FAN"/>
    <s v="FO9"/>
    <s v="HOME COMFORT                  "/>
    <s v="CONFIRMED"/>
    <n v="1"/>
    <n v="2"/>
    <d v="2012-01-13T00:00:00"/>
    <s v="LINEN PERS HOME CARE          "/>
    <s v="HOME COMFORT                  "/>
    <x v="3"/>
    <x v="2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87/000010"/>
    <n v="1370149106"/>
    <n v="10"/>
    <x v="7"/>
    <x v="7"/>
    <s v="M1"/>
    <n v="1830003456"/>
    <n v="8"/>
    <s v="VU2540F0       "/>
    <s v="VU2540F0 DESK FAN TURBO SILENCE                   "/>
    <s v="S"/>
    <d v="2012-01-18T00:00:00"/>
    <m/>
    <s v="X"/>
    <x v="52"/>
    <n v="18.649999999999999"/>
    <n v="10"/>
    <d v="2012-02-06T00:00:00"/>
    <d v="2012-01-09T00:00:00"/>
    <n v="2160"/>
    <d v="2012-01-09T00:00:00"/>
    <n v="2160"/>
    <m/>
    <d v="2012-01-16T00:00:00"/>
    <n v="3800"/>
    <d v="2012-02-13T00:00:00"/>
    <d v="2012-01-16T00:00:00"/>
    <n v="2160"/>
    <n v="1640"/>
    <x v="19"/>
    <d v="2012-02-14T00:00:00"/>
    <m/>
    <n v="9321658546"/>
    <n v="10"/>
    <s v="HJCU1652881"/>
    <s v="HANJIN BASEL/0063W"/>
    <m/>
    <s v="YANTIAN"/>
    <s v="FORWARDER-PROB"/>
    <m/>
    <s v="JASON FAN"/>
    <s v="FO9"/>
    <s v="HOME COMFORT                  "/>
    <s v="CONFIRMED"/>
    <n v="1"/>
    <n v="3"/>
    <d v="2012-01-17T00:00:00"/>
    <s v="LINEN PERS HOME CARE          "/>
    <s v="HOME COMFORT                  "/>
    <x v="3"/>
    <x v="2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9087/000020"/>
    <n v="1370149106"/>
    <n v="20"/>
    <x v="7"/>
    <x v="7"/>
    <s v="M1"/>
    <n v="1830003458"/>
    <n v="8"/>
    <s v="VU5540F0       "/>
    <s v="VU5540F0 STAND FAN TURBO SILENCE                  "/>
    <s v="S"/>
    <d v="2012-01-18T00:00:00"/>
    <m/>
    <s v="X"/>
    <x v="52"/>
    <n v="23.29"/>
    <n v="10"/>
    <d v="2012-02-06T00:00:00"/>
    <d v="2012-01-09T00:00:00"/>
    <n v="2000"/>
    <d v="2012-01-09T00:00:00"/>
    <n v="2000"/>
    <m/>
    <d v="2012-01-16T00:00:00"/>
    <n v="4000"/>
    <d v="2012-02-13T00:00:00"/>
    <d v="2012-01-16T00:00:00"/>
    <n v="2000"/>
    <n v="1120"/>
    <x v="19"/>
    <d v="2012-02-14T00:00:00"/>
    <m/>
    <n v="9321658546"/>
    <n v="20"/>
    <s v="TCNU7061549"/>
    <s v="HANJIN BASEL/0063W"/>
    <m/>
    <s v="YANTIAN"/>
    <s v="FORWARDER-PROB"/>
    <m/>
    <s v="JASON FAN"/>
    <s v="FO9"/>
    <s v="HOME COMFORT                  "/>
    <s v="CONFIRMED"/>
    <n v="1"/>
    <n v="3"/>
    <d v="2012-01-17T00:00:00"/>
    <s v="LINEN PERS HOME CARE          "/>
    <s v="HOME COMFORT                  "/>
    <x v="3"/>
    <x v="2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9087/000020"/>
    <n v="1370149106"/>
    <n v="20"/>
    <x v="7"/>
    <x v="7"/>
    <s v="M1"/>
    <n v="1830003458"/>
    <n v="8"/>
    <s v="VU5540F0       "/>
    <s v="VU5540F0 STAND FAN TURBO SILENCE                  "/>
    <s v="S"/>
    <d v="2012-01-16T00:00:00"/>
    <m/>
    <s v="X"/>
    <x v="52"/>
    <n v="23.29"/>
    <n v="10"/>
    <d v="2012-02-06T00:00:00"/>
    <d v="2012-01-09T00:00:00"/>
    <n v="2000"/>
    <d v="2012-01-09T00:00:00"/>
    <n v="2000"/>
    <m/>
    <d v="2012-01-16T00:00:00"/>
    <n v="4000"/>
    <d v="2012-02-13T00:00:00"/>
    <d v="2012-01-16T00:00:00"/>
    <n v="2000"/>
    <n v="400"/>
    <x v="24"/>
    <d v="2012-02-10T00:00:00"/>
    <m/>
    <n v="9321658546"/>
    <n v="20"/>
    <s v="OOLU7415290"/>
    <s v="BUSAN EXPRESS/004W"/>
    <m/>
    <s v="YANTIAN"/>
    <s v="FORWARDER-PROB"/>
    <m/>
    <s v="JASON FAN"/>
    <s v="FO9"/>
    <s v="HOME COMFORT                  "/>
    <s v="CONFIRMED"/>
    <n v="1"/>
    <n v="2"/>
    <d v="2012-01-13T00:00:00"/>
    <s v="LINEN PERS HOME CARE          "/>
    <s v="HOME COMFORT                  "/>
    <x v="3"/>
    <x v="2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87/000020"/>
    <n v="1370149106"/>
    <n v="20"/>
    <x v="7"/>
    <x v="7"/>
    <s v="M1"/>
    <n v="1830003458"/>
    <n v="8"/>
    <s v="VU5540F0       "/>
    <s v="VU5540F0 STAND FAN TURBO SILENCE                  "/>
    <s v="S"/>
    <d v="2012-01-16T00:00:00"/>
    <m/>
    <s v="X"/>
    <x v="52"/>
    <n v="23.29"/>
    <n v="10"/>
    <d v="2012-02-06T00:00:00"/>
    <d v="2012-01-09T00:00:00"/>
    <n v="2000"/>
    <d v="2012-01-09T00:00:00"/>
    <n v="2000"/>
    <m/>
    <d v="2012-01-16T00:00:00"/>
    <n v="4000"/>
    <d v="2012-02-13T00:00:00"/>
    <d v="2012-01-16T00:00:00"/>
    <n v="2000"/>
    <n v="480"/>
    <x v="24"/>
    <d v="2012-02-10T00:00:00"/>
    <m/>
    <n v="9321658546"/>
    <n v="20"/>
    <s v="OOLU7334769"/>
    <s v="BUSAN EXPRESS/004W"/>
    <m/>
    <s v="YANTIAN"/>
    <s v="FORWARDER-PROB"/>
    <m/>
    <s v="JASON FAN"/>
    <s v="FO9"/>
    <s v="HOME COMFORT                  "/>
    <s v="CONFIRMED"/>
    <n v="1"/>
    <n v="2"/>
    <d v="2012-01-13T00:00:00"/>
    <s v="LINEN PERS HOME CARE          "/>
    <s v="HOME COMFORT                  "/>
    <x v="3"/>
    <x v="2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87/000050"/>
    <n v="1370149106"/>
    <n v="50"/>
    <x v="7"/>
    <x v="7"/>
    <s v="M1"/>
    <n v="1830003457"/>
    <n v="8"/>
    <s v="VU2560F0       "/>
    <s v="VU2560F0 DESK FAN TURBO SILENC.PROTECT A          "/>
    <s v="S"/>
    <d v="2012-01-16T00:00:00"/>
    <m/>
    <s v="X"/>
    <x v="52"/>
    <n v="18.25"/>
    <n v="10"/>
    <d v="2012-02-06T00:00:00"/>
    <d v="2012-01-09T00:00:00"/>
    <n v="900"/>
    <d v="2012-01-09T00:00:00"/>
    <n v="900"/>
    <m/>
    <d v="2012-01-10T00:00:00"/>
    <n v="1800"/>
    <d v="2012-02-07T00:00:00"/>
    <d v="2012-01-10T00:00:00"/>
    <n v="900"/>
    <n v="900"/>
    <x v="24"/>
    <d v="2012-02-10T00:00:00"/>
    <m/>
    <n v="9321658546"/>
    <n v="30"/>
    <s v="OOLU7415290"/>
    <s v="BUSAN EXPRESS/004W"/>
    <m/>
    <s v="YANTIAN"/>
    <s v="FORWARDER-PROB"/>
    <m/>
    <s v="JASON FAN"/>
    <s v="FO9"/>
    <s v="HOME COMFORT                  "/>
    <s v="CONFIRMED"/>
    <n v="1"/>
    <n v="2"/>
    <d v="2012-01-13T00:00:00"/>
    <s v="LINEN PERS HOME CARE          "/>
    <s v="HOME COMFORT                  "/>
    <x v="3"/>
    <x v="2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82/000010"/>
    <n v="1370149207"/>
    <n v="10"/>
    <x v="7"/>
    <x v="7"/>
    <s v="M1"/>
    <n v="1830003455"/>
    <n v="8"/>
    <s v="VU2530F0       "/>
    <s v="VU2530F0 DESK FAN TURBO SILENCE                   "/>
    <s v="S"/>
    <d v="2012-01-17T00:00:00"/>
    <m/>
    <s v="X"/>
    <x v="52"/>
    <n v="16.260000000000002"/>
    <n v="13"/>
    <d v="2012-02-10T00:00:00"/>
    <d v="2012-01-06T00:00:00"/>
    <n v="900"/>
    <d v="2012-01-06T00:00:00"/>
    <n v="900"/>
    <m/>
    <d v="2012-01-06T00:00:00"/>
    <n v="900"/>
    <d v="2012-02-15T00:00:00"/>
    <d v="2012-01-11T00:00:00"/>
    <n v="900"/>
    <n v="900"/>
    <x v="17"/>
    <d v="2012-02-15T00:00:00"/>
    <m/>
    <n v="9321658547"/>
    <n v="10"/>
    <s v="PONU1638886"/>
    <s v="GRETE MAERSK 121W/"/>
    <m/>
    <s v="YANTIAN"/>
    <m/>
    <m/>
    <s v="JASON FAN"/>
    <s v="FO9"/>
    <s v="HOME COMFORT                  "/>
    <s v="CONFIRMED"/>
    <n v="1"/>
    <n v="2"/>
    <d v="2012-01-11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85/000010"/>
    <n v="1370149210"/>
    <n v="10"/>
    <x v="7"/>
    <x v="7"/>
    <s v="M1"/>
    <n v="1830003458"/>
    <n v="8"/>
    <s v="VU5540F0       "/>
    <s v="VU5540F0 STAND FAN TURBO SILENCE                  "/>
    <s v="S"/>
    <d v="2012-01-17T00:00:00"/>
    <m/>
    <s v="X"/>
    <x v="52"/>
    <n v="23.29"/>
    <n v="19"/>
    <d v="2012-02-10T00:00:00"/>
    <d v="2012-01-06T00:00:00"/>
    <n v="970"/>
    <d v="2012-01-06T00:00:00"/>
    <n v="970"/>
    <m/>
    <d v="2012-01-06T00:00:00"/>
    <n v="970"/>
    <d v="2012-02-15T00:00:00"/>
    <d v="2012-01-11T00:00:00"/>
    <n v="970"/>
    <n v="970"/>
    <x v="17"/>
    <d v="2012-02-15T00:00:00"/>
    <m/>
    <n v="9321658548"/>
    <n v="10"/>
    <s v="TTNU5343443"/>
    <s v="GRETE MAERSK 121W/"/>
    <m/>
    <s v="YANTIAN"/>
    <m/>
    <m/>
    <s v="JASON FAN"/>
    <s v="FO9"/>
    <s v="HOME COMFORT                  "/>
    <s v="CONFIRMED"/>
    <n v="1"/>
    <n v="2"/>
    <d v="2012-01-11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88/000010"/>
    <n v="1370149215"/>
    <n v="10"/>
    <x v="7"/>
    <x v="7"/>
    <s v="M1"/>
    <n v="1830003458"/>
    <n v="8"/>
    <s v="VU5540F0       "/>
    <s v="VU5540F0 STAND FAN TURBO SILENCE                  "/>
    <s v="S"/>
    <d v="2012-01-17T00:00:00"/>
    <m/>
    <s v="X"/>
    <x v="52"/>
    <n v="23.29"/>
    <n v="19"/>
    <d v="2012-02-17T00:00:00"/>
    <d v="2012-01-13T00:00:00"/>
    <n v="970"/>
    <d v="2012-01-13T00:00:00"/>
    <n v="970"/>
    <m/>
    <d v="2012-01-13T00:00:00"/>
    <n v="970"/>
    <d v="2012-02-15T00:00:00"/>
    <d v="2012-01-11T00:00:00"/>
    <n v="970"/>
    <n v="970"/>
    <x v="17"/>
    <d v="2012-02-15T00:00:00"/>
    <m/>
    <n v="9321658549"/>
    <n v="10"/>
    <s v="MSKU6719445"/>
    <s v="GRETE MAERSK 121W/"/>
    <m/>
    <s v="YANTIAN"/>
    <m/>
    <m/>
    <s v="JASON FAN"/>
    <s v="FO9"/>
    <s v="HOME COMFORT                  "/>
    <s v="CONFIRMED"/>
    <n v="1"/>
    <n v="2"/>
    <d v="2012-01-11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79/000010"/>
    <n v="1370149221"/>
    <n v="10"/>
    <x v="7"/>
    <x v="7"/>
    <s v="M1"/>
    <n v="1830003456"/>
    <n v="8"/>
    <s v="VU2540F0       "/>
    <s v="VU2540F0 DESK FAN TURBO SILENCE                   "/>
    <s v="S"/>
    <d v="2012-01-17T00:00:00"/>
    <m/>
    <s v="X"/>
    <x v="52"/>
    <n v="18.649999999999999"/>
    <n v="15"/>
    <d v="2012-02-10T00:00:00"/>
    <d v="2012-01-06T00:00:00"/>
    <n v="1640"/>
    <d v="2012-01-06T00:00:00"/>
    <n v="1640"/>
    <m/>
    <d v="2012-01-06T00:00:00"/>
    <n v="1640"/>
    <d v="2012-02-15T00:00:00"/>
    <d v="2012-01-11T00:00:00"/>
    <n v="1640"/>
    <n v="1640"/>
    <x v="17"/>
    <d v="2012-02-15T00:00:00"/>
    <m/>
    <n v="9321658550"/>
    <n v="10"/>
    <s v="MSKU9538820"/>
    <s v="GRETE MAERSK 121W/"/>
    <m/>
    <s v="YANTIAN"/>
    <m/>
    <m/>
    <s v="JASON FAN"/>
    <s v="FO9"/>
    <s v="HOME COMFORT                  "/>
    <s v="CONFIRMED"/>
    <n v="1"/>
    <n v="2"/>
    <d v="2012-01-11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78/000010"/>
    <n v="1370149227"/>
    <n v="10"/>
    <x v="7"/>
    <x v="7"/>
    <s v="M1"/>
    <n v="1830003456"/>
    <n v="8"/>
    <s v="VU2540F0       "/>
    <s v="VU2540F0 DESK FAN TURBO SILENCE                   "/>
    <s v="S"/>
    <d v="2012-01-17T00:00:00"/>
    <m/>
    <s v="X"/>
    <x v="52"/>
    <n v="18.649999999999999"/>
    <n v="15"/>
    <d v="2012-02-10T00:00:00"/>
    <d v="2012-01-06T00:00:00"/>
    <n v="1640"/>
    <d v="2012-01-06T00:00:00"/>
    <n v="1640"/>
    <m/>
    <d v="2012-01-06T00:00:00"/>
    <n v="1640"/>
    <d v="2012-02-15T00:00:00"/>
    <d v="2012-01-11T00:00:00"/>
    <n v="1640"/>
    <n v="1640"/>
    <x v="17"/>
    <d v="2012-02-15T00:00:00"/>
    <m/>
    <n v="9321658551"/>
    <n v="10"/>
    <s v="PONU8236240"/>
    <s v="GRETE MAERSK 121W/"/>
    <m/>
    <s v="YANTIAN"/>
    <m/>
    <m/>
    <s v="JASON FAN"/>
    <s v="FO9"/>
    <s v="HOME COMFORT                  "/>
    <s v="CONFIRMED"/>
    <n v="1"/>
    <n v="2"/>
    <d v="2012-01-11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89/000010"/>
    <n v="1370149239"/>
    <n v="10"/>
    <x v="7"/>
    <x v="7"/>
    <s v="M1"/>
    <n v="1830003458"/>
    <n v="8"/>
    <s v="VU5540F0       "/>
    <s v="VU5540F0 STAND FAN TURBO SILENCE                  "/>
    <s v="S"/>
    <d v="2012-01-17T00:00:00"/>
    <m/>
    <s v="X"/>
    <x v="52"/>
    <n v="23.29"/>
    <n v="19"/>
    <d v="2012-02-17T00:00:00"/>
    <d v="2012-01-13T00:00:00"/>
    <n v="970"/>
    <d v="2012-01-13T00:00:00"/>
    <n v="970"/>
    <m/>
    <d v="2012-01-13T00:00:00"/>
    <n v="970"/>
    <d v="2012-02-15T00:00:00"/>
    <d v="2012-01-11T00:00:00"/>
    <n v="970"/>
    <n v="970"/>
    <x v="17"/>
    <d v="2012-02-15T00:00:00"/>
    <m/>
    <n v="9321658552"/>
    <n v="10"/>
    <s v="MSKU6606074"/>
    <s v="GRETE MAERSK 121W/"/>
    <m/>
    <s v="YANTIAN"/>
    <m/>
    <m/>
    <s v="JASON FAN"/>
    <s v="FO9"/>
    <s v="HOME COMFORT                  "/>
    <s v="CONFIRMED"/>
    <n v="1"/>
    <n v="2"/>
    <d v="2012-01-11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80/000010"/>
    <n v="1370149244"/>
    <n v="10"/>
    <x v="7"/>
    <x v="7"/>
    <s v="M1"/>
    <n v="1830003456"/>
    <n v="8"/>
    <s v="VU2540F0       "/>
    <s v="VU2540F0 DESK FAN TURBO SILENCE                   "/>
    <s v="S"/>
    <d v="2012-01-17T00:00:00"/>
    <m/>
    <s v="X"/>
    <x v="52"/>
    <n v="18.649999999999999"/>
    <n v="15"/>
    <d v="2012-02-17T00:00:00"/>
    <d v="2012-01-13T00:00:00"/>
    <n v="720"/>
    <d v="2012-01-13T00:00:00"/>
    <n v="720"/>
    <m/>
    <d v="2012-01-13T00:00:00"/>
    <n v="720"/>
    <d v="2012-02-15T00:00:00"/>
    <d v="2012-01-11T00:00:00"/>
    <n v="720"/>
    <n v="720"/>
    <x v="17"/>
    <d v="2012-02-15T00:00:00"/>
    <m/>
    <n v="9321658553"/>
    <n v="10"/>
    <s v="MSKU6465720"/>
    <s v="GRETE MAERSK 121W/"/>
    <m/>
    <s v="YANTIAN"/>
    <m/>
    <m/>
    <s v="JASON FAN"/>
    <s v="FO9"/>
    <s v="HOME COMFORT                  "/>
    <s v="CONFIRMED"/>
    <n v="1"/>
    <n v="2"/>
    <d v="2012-01-11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87/000010"/>
    <n v="1370149269"/>
    <n v="10"/>
    <x v="7"/>
    <x v="7"/>
    <s v="M1"/>
    <n v="1830003458"/>
    <n v="8"/>
    <s v="VU5540F0       "/>
    <s v="VU5540F0 STAND FAN TURBO SILENCE                  "/>
    <s v="S"/>
    <d v="2012-01-17T00:00:00"/>
    <m/>
    <s v="X"/>
    <x v="52"/>
    <n v="23.29"/>
    <n v="19"/>
    <d v="2012-02-17T00:00:00"/>
    <d v="2012-01-13T00:00:00"/>
    <n v="970"/>
    <d v="2012-01-13T00:00:00"/>
    <n v="970"/>
    <m/>
    <d v="2012-01-13T00:00:00"/>
    <n v="970"/>
    <d v="2012-02-15T00:00:00"/>
    <d v="2012-01-11T00:00:00"/>
    <n v="970"/>
    <n v="970"/>
    <x v="17"/>
    <d v="2012-02-15T00:00:00"/>
    <m/>
    <n v="9321658554"/>
    <n v="10"/>
    <s v="POCU1159128"/>
    <s v="GRETE MAERSK 121W/"/>
    <m/>
    <s v="YANTIAN"/>
    <m/>
    <m/>
    <s v="JASON FAN"/>
    <s v="FO9"/>
    <s v="HOME COMFORT                  "/>
    <s v="CONFIRMED"/>
    <n v="1"/>
    <n v="2"/>
    <d v="2012-01-11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86/000010"/>
    <n v="1370149306"/>
    <n v="10"/>
    <x v="7"/>
    <x v="7"/>
    <s v="M1"/>
    <n v="1830003458"/>
    <n v="8"/>
    <s v="VU5540F0       "/>
    <s v="VU5540F0 STAND FAN TURBO SILENCE                  "/>
    <s v="S"/>
    <d v="2012-01-17T00:00:00"/>
    <m/>
    <s v="X"/>
    <x v="52"/>
    <n v="23.29"/>
    <n v="19"/>
    <d v="2012-02-10T00:00:00"/>
    <d v="2012-01-06T00:00:00"/>
    <n v="970"/>
    <d v="2012-01-06T00:00:00"/>
    <n v="970"/>
    <m/>
    <d v="2012-01-06T00:00:00"/>
    <n v="970"/>
    <d v="2012-02-15T00:00:00"/>
    <d v="2012-01-11T00:00:00"/>
    <n v="970"/>
    <n v="970"/>
    <x v="17"/>
    <d v="2012-02-15T00:00:00"/>
    <m/>
    <n v="9321658555"/>
    <n v="10"/>
    <s v="MSKU6261711"/>
    <s v="GRETE MAERSK 121W/"/>
    <m/>
    <s v="YANTIAN"/>
    <m/>
    <m/>
    <s v="JASON FAN"/>
    <s v="FO9"/>
    <s v="HOME COMFORT                  "/>
    <s v="CONFIRMED"/>
    <n v="1"/>
    <n v="2"/>
    <d v="2012-01-11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156/000010"/>
    <n v="1370148121"/>
    <n v="10"/>
    <x v="9"/>
    <x v="9"/>
    <s v="N3"/>
    <n v="1500634280"/>
    <n v="150"/>
    <n v="634280"/>
    <s v="CY400051 EPC MINUT''COOK S/STEEL                  "/>
    <s v="S"/>
    <d v="2012-01-26T00:00:00"/>
    <m/>
    <s v="X"/>
    <x v="52"/>
    <n v="38.29"/>
    <n v="44"/>
    <d v="2012-01-25T00:00:00"/>
    <d v="2011-12-21T00:00:00"/>
    <n v="6500"/>
    <d v="2012-01-18T00:00:00"/>
    <n v="6720"/>
    <m/>
    <d v="2012-01-19T00:00:00"/>
    <n v="12480"/>
    <d v="2012-02-23T00:00:00"/>
    <d v="2012-01-19T00:00:00"/>
    <n v="6720"/>
    <n v="960"/>
    <x v="14"/>
    <d v="2012-02-24T00:00:00"/>
    <m/>
    <n v="9321658556"/>
    <n v="10"/>
    <s v="CMAU8000969"/>
    <s v="MSC INES TX831E/"/>
    <m/>
    <s v="YANTIAN"/>
    <s v="C-POST-CONF/-SHORTL/T(QTY issue with full container - NOV 01)"/>
    <m/>
    <s v="TWEETY LEUNG"/>
    <s v="FO9"/>
    <s v="ELECTRICAL COOKING            "/>
    <s v="CONFIRMED"/>
    <n v="1"/>
    <n v="3"/>
    <d v="2012-01-20T00:00:00"/>
    <s v="KITCHEN ELECTRICS             "/>
    <s v="ELECTRICAL COOKING            "/>
    <x v="4"/>
    <x v="1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156/000010"/>
    <n v="1370148121"/>
    <n v="10"/>
    <x v="9"/>
    <x v="9"/>
    <s v="N3"/>
    <n v="1500634280"/>
    <n v="150"/>
    <n v="634280"/>
    <s v="CY400051 EPC MINUT''COOK S/STEEL                  "/>
    <s v="S"/>
    <d v="2012-01-26T00:00:00"/>
    <m/>
    <s v="X"/>
    <x v="52"/>
    <n v="38.29"/>
    <n v="44"/>
    <d v="2012-01-25T00:00:00"/>
    <d v="2011-12-21T00:00:00"/>
    <n v="6500"/>
    <d v="2012-01-18T00:00:00"/>
    <n v="6720"/>
    <m/>
    <d v="2012-01-19T00:00:00"/>
    <n v="12480"/>
    <d v="2012-02-23T00:00:00"/>
    <d v="2012-01-19T00:00:00"/>
    <n v="6720"/>
    <n v="960"/>
    <x v="14"/>
    <d v="2012-02-24T00:00:00"/>
    <m/>
    <n v="9321658556"/>
    <n v="10"/>
    <s v="CMAU8166780"/>
    <s v="MSC INES TX831E/"/>
    <m/>
    <s v="YANTIAN"/>
    <s v="C-POST-CONF/-SHORTL/T(QTY issue with full container - NOV 01)"/>
    <m/>
    <s v="TWEETY LEUNG"/>
    <s v="FO9"/>
    <s v="ELECTRICAL COOKING            "/>
    <s v="CONFIRMED"/>
    <n v="1"/>
    <n v="3"/>
    <d v="2012-01-20T00:00:00"/>
    <s v="KITCHEN ELECTRICS             "/>
    <s v="ELECTRICAL COOKING            "/>
    <x v="4"/>
    <x v="1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156/000010"/>
    <n v="1370148121"/>
    <n v="10"/>
    <x v="9"/>
    <x v="9"/>
    <s v="N3"/>
    <n v="1500634280"/>
    <n v="150"/>
    <n v="634280"/>
    <s v="CY400051 EPC MINUT''COOK S/STEEL                  "/>
    <s v="S"/>
    <d v="2012-01-26T00:00:00"/>
    <m/>
    <s v="X"/>
    <x v="52"/>
    <n v="38.29"/>
    <n v="44"/>
    <d v="2012-01-25T00:00:00"/>
    <d v="2011-12-21T00:00:00"/>
    <n v="6500"/>
    <d v="2012-01-18T00:00:00"/>
    <n v="6720"/>
    <m/>
    <d v="2012-01-19T00:00:00"/>
    <n v="12480"/>
    <d v="2012-02-23T00:00:00"/>
    <d v="2012-01-19T00:00:00"/>
    <n v="6720"/>
    <n v="960"/>
    <x v="14"/>
    <d v="2012-02-24T00:00:00"/>
    <m/>
    <n v="9321658556"/>
    <n v="10"/>
    <s v="CMAU8358090"/>
    <s v="MSC INES TX831E/"/>
    <m/>
    <s v="YANTIAN"/>
    <s v="C-POST-CONF/-SHORTL/T(QTY issue with full container - NOV 01)"/>
    <m/>
    <s v="TWEETY LEUNG"/>
    <s v="FO9"/>
    <s v="ELECTRICAL COOKING            "/>
    <s v="CONFIRMED"/>
    <n v="1"/>
    <n v="3"/>
    <d v="2012-01-20T00:00:00"/>
    <s v="KITCHEN ELECTRICS             "/>
    <s v="ELECTRICAL COOKING            "/>
    <x v="4"/>
    <x v="1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156/000010"/>
    <n v="1370148121"/>
    <n v="10"/>
    <x v="9"/>
    <x v="9"/>
    <s v="N3"/>
    <n v="1500634280"/>
    <n v="150"/>
    <n v="634280"/>
    <s v="CY400051 EPC MINUT''COOK S/STEEL                  "/>
    <s v="S"/>
    <d v="2012-01-26T00:00:00"/>
    <m/>
    <s v="X"/>
    <x v="52"/>
    <n v="38.29"/>
    <n v="44"/>
    <d v="2012-01-25T00:00:00"/>
    <d v="2011-12-21T00:00:00"/>
    <n v="6500"/>
    <d v="2012-01-18T00:00:00"/>
    <n v="6720"/>
    <m/>
    <d v="2012-01-19T00:00:00"/>
    <n v="12480"/>
    <d v="2012-02-23T00:00:00"/>
    <d v="2012-01-19T00:00:00"/>
    <n v="6720"/>
    <n v="960"/>
    <x v="14"/>
    <d v="2012-02-24T00:00:00"/>
    <m/>
    <n v="9321658556"/>
    <n v="10"/>
    <s v="INBU5462607"/>
    <s v="MSC INES TX831E/"/>
    <m/>
    <s v="YANTIAN"/>
    <s v="C-POST-CONF/-SHORTL/T(QTY issue with full container - NOV 01)"/>
    <m/>
    <s v="TWEETY LEUNG"/>
    <s v="FO9"/>
    <s v="ELECTRICAL COOKING            "/>
    <s v="CONFIRMED"/>
    <n v="1"/>
    <n v="3"/>
    <d v="2012-01-20T00:00:00"/>
    <s v="KITCHEN ELECTRICS             "/>
    <s v="ELECTRICAL COOKING            "/>
    <x v="4"/>
    <x v="1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156/000010"/>
    <n v="1370148121"/>
    <n v="10"/>
    <x v="9"/>
    <x v="9"/>
    <s v="N3"/>
    <n v="1500634280"/>
    <n v="150"/>
    <n v="634280"/>
    <s v="CY400051 EPC MINUT''COOK S/STEEL                  "/>
    <s v="S"/>
    <d v="2012-01-26T00:00:00"/>
    <m/>
    <s v="X"/>
    <x v="52"/>
    <n v="38.29"/>
    <n v="44"/>
    <d v="2012-01-25T00:00:00"/>
    <d v="2011-12-21T00:00:00"/>
    <n v="6500"/>
    <d v="2012-01-18T00:00:00"/>
    <n v="6720"/>
    <m/>
    <d v="2012-01-19T00:00:00"/>
    <n v="12480"/>
    <d v="2012-02-23T00:00:00"/>
    <d v="2012-01-19T00:00:00"/>
    <n v="6720"/>
    <n v="960"/>
    <x v="14"/>
    <d v="2012-02-24T00:00:00"/>
    <m/>
    <n v="9321658556"/>
    <n v="10"/>
    <s v="CMAU8407595"/>
    <s v="MSC INES TX831E/"/>
    <m/>
    <s v="YANTIAN"/>
    <s v="C-POST-CONF/-SHORTL/T(QTY issue with full container - NOV 01)"/>
    <m/>
    <s v="TWEETY LEUNG"/>
    <s v="FO9"/>
    <s v="ELECTRICAL COOKING            "/>
    <s v="CONFIRMED"/>
    <n v="1"/>
    <n v="3"/>
    <d v="2012-01-20T00:00:00"/>
    <s v="KITCHEN ELECTRICS             "/>
    <s v="ELECTRICAL COOKING            "/>
    <x v="4"/>
    <x v="1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156/000010"/>
    <n v="1370148121"/>
    <n v="10"/>
    <x v="9"/>
    <x v="9"/>
    <s v="N3"/>
    <n v="1500634280"/>
    <n v="150"/>
    <n v="634280"/>
    <s v="CY400051 EPC MINUT''COOK S/STEEL                  "/>
    <s v="S"/>
    <d v="2012-01-26T00:00:00"/>
    <m/>
    <s v="X"/>
    <x v="52"/>
    <n v="38.29"/>
    <n v="44"/>
    <d v="2012-01-25T00:00:00"/>
    <d v="2011-12-21T00:00:00"/>
    <n v="6500"/>
    <d v="2012-01-18T00:00:00"/>
    <n v="6720"/>
    <m/>
    <d v="2012-01-19T00:00:00"/>
    <n v="12480"/>
    <d v="2012-02-23T00:00:00"/>
    <d v="2012-01-19T00:00:00"/>
    <n v="6720"/>
    <n v="960"/>
    <x v="14"/>
    <d v="2012-02-24T00:00:00"/>
    <m/>
    <n v="9321658556"/>
    <n v="10"/>
    <s v="TGHU4946837"/>
    <s v="MSC INES TX831E/"/>
    <m/>
    <s v="YANTIAN"/>
    <s v="C-POST-CONF/-SHORTL/T(QTY issue with full container - NOV 01)"/>
    <m/>
    <s v="TWEETY LEUNG"/>
    <s v="FO9"/>
    <s v="ELECTRICAL COOKING            "/>
    <s v="CONFIRMED"/>
    <n v="1"/>
    <n v="3"/>
    <d v="2012-01-20T00:00:00"/>
    <s v="KITCHEN ELECTRICS             "/>
    <s v="ELECTRICAL COOKING            "/>
    <x v="4"/>
    <x v="1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156/000010"/>
    <n v="1370148121"/>
    <n v="10"/>
    <x v="9"/>
    <x v="9"/>
    <s v="N3"/>
    <n v="1500634280"/>
    <n v="150"/>
    <n v="634280"/>
    <s v="CY400051 EPC MINUT''COOK S/STEEL                  "/>
    <s v="S"/>
    <d v="2012-01-26T00:00:00"/>
    <m/>
    <s v="X"/>
    <x v="52"/>
    <n v="38.29"/>
    <n v="44"/>
    <d v="2012-01-25T00:00:00"/>
    <d v="2011-12-21T00:00:00"/>
    <n v="6500"/>
    <d v="2012-01-18T00:00:00"/>
    <n v="6720"/>
    <m/>
    <d v="2012-01-19T00:00:00"/>
    <n v="12480"/>
    <d v="2012-02-23T00:00:00"/>
    <d v="2012-01-19T00:00:00"/>
    <n v="6720"/>
    <n v="960"/>
    <x v="14"/>
    <d v="2012-02-24T00:00:00"/>
    <m/>
    <n v="9321658556"/>
    <n v="10"/>
    <s v="CMAU8190175"/>
    <s v="MSC INES TX831E/"/>
    <m/>
    <s v="YANTIAN"/>
    <s v="C-POST-CONF/-SHORTL/T(QTY issue with full container - NOV 01)"/>
    <m/>
    <s v="TWEETY LEUNG"/>
    <s v="FO9"/>
    <s v="ELECTRICAL COOKING            "/>
    <s v="CONFIRMED"/>
    <n v="1"/>
    <n v="3"/>
    <d v="2012-01-20T00:00:00"/>
    <s v="KITCHEN ELECTRICS             "/>
    <s v="ELECTRICAL COOKING            "/>
    <x v="4"/>
    <x v="1"/>
    <x v="3"/>
    <s v="C-POST-CONF"/>
    <n v="-3"/>
    <n v="-3"/>
    <x v="0"/>
    <n v="3"/>
    <x v="0"/>
    <x v="0"/>
    <x v="1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8226/000010"/>
    <n v="1370149122"/>
    <n v="10"/>
    <x v="9"/>
    <x v="9"/>
    <s v="N3"/>
    <n v="1500634237"/>
    <n v="39"/>
    <n v="634237"/>
    <s v="MK700330 RICE.COOK 4 IN 1 - 10C - STAIN/          "/>
    <s v="S"/>
    <d v="2012-01-05T00:00:00"/>
    <m/>
    <s v="X"/>
    <x v="52"/>
    <n v="25.68"/>
    <n v="920"/>
    <d v="2012-02-13T00:00:00"/>
    <d v="2011-12-26T00:00:00"/>
    <n v="1904"/>
    <d v="2011-12-26T00:00:00"/>
    <n v="1904"/>
    <m/>
    <d v="2011-12-26T00:00:00"/>
    <n v="1904"/>
    <d v="2012-02-23T00:00:00"/>
    <d v="2012-01-05T00:00:00"/>
    <n v="1904"/>
    <n v="1904"/>
    <x v="6"/>
    <d v="2012-02-23T00:00:00"/>
    <m/>
    <n v="9321658558"/>
    <n v="10"/>
    <s v="APHU6513408"/>
    <s v="MOL MAXIM/010W"/>
    <m/>
    <s v="YANTIAN"/>
    <s v="SP-MTL/"/>
    <m/>
    <s v="KENUS WONG"/>
    <s v="FO9"/>
    <s v="ELECTRICAL COOKING            "/>
    <s v="CONFIRMED"/>
    <n v="1"/>
    <n v="1"/>
    <d v="2012-01-05T00:00:00"/>
    <s v="KITCHEN ELECTRICS             "/>
    <s v="ELECTRICAL COOKING            "/>
    <x v="4"/>
    <x v="1"/>
    <x v="9"/>
    <s v="SP-MTL"/>
    <n v="1"/>
    <n v="1"/>
    <x v="10"/>
    <n v="1"/>
    <x v="0"/>
    <x v="0"/>
    <x v="1"/>
    <n v="0"/>
    <n v="0"/>
    <n v="0"/>
    <n v="0"/>
    <n v="0"/>
    <n v="0"/>
    <x v="1"/>
    <x v="0"/>
    <x v="1"/>
    <x v="0"/>
  </r>
  <r>
    <s v="Shipment"/>
    <n v="99103498"/>
    <s v="GSE/DSV BLP WAREHOUSE YANTIAN                     "/>
    <n v="99005151"/>
    <x v="18"/>
    <s v="9321656654/000010"/>
    <n v="1370148913"/>
    <n v="10"/>
    <x v="9"/>
    <x v="9"/>
    <s v="N3"/>
    <n v="1500634043"/>
    <n v="177"/>
    <n v="634043"/>
    <s v="AM100970 FRYER UNO WITH REMOV.BOWL+TIMER          "/>
    <s v="S"/>
    <d v="2012-01-13T00:00:00"/>
    <m/>
    <s v="X"/>
    <x v="52"/>
    <n v="24.1"/>
    <n v="28"/>
    <d v="2012-01-16T00:00:00"/>
    <d v="2012-01-15T00:00:00"/>
    <n v="756"/>
    <d v="2012-01-15T00:00:00"/>
    <n v="756"/>
    <m/>
    <d v="2012-01-15T00:00:00"/>
    <n v="756"/>
    <d v="2012-01-13T00:00:00"/>
    <d v="2012-01-12T00:00:00"/>
    <n v="756"/>
    <n v="756"/>
    <x v="10"/>
    <d v="2012-01-13T00:00:00"/>
    <m/>
    <n v="9321658560"/>
    <n v="10"/>
    <s v="BY TRUCK"/>
    <s v="BY TRUCK"/>
    <m/>
    <s v="YANTIAN"/>
    <m/>
    <m/>
    <s v="ZANDRA LAM"/>
    <s v="FO9"/>
    <s v="ELECTRICAL COOKING            "/>
    <s v="CONFIRMED"/>
    <n v="1"/>
    <n v="2"/>
    <d v="2012-01-12T00:00:00"/>
    <s v="KITCHEN ELECTRICS             "/>
    <s v="ELECTRICAL COOKING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435/000010"/>
    <n v="1370148042"/>
    <n v="10"/>
    <x v="52"/>
    <x v="52"/>
    <s v="P1"/>
    <n v="1500816837"/>
    <n v="107"/>
    <n v="816837"/>
    <s v="HB713137 HBL PREP'LINE 700W WHT PL                "/>
    <s v="S"/>
    <d v="2012-01-05T00:00:00"/>
    <m/>
    <s v="X"/>
    <x v="52"/>
    <n v="18.18"/>
    <n v="4565240"/>
    <d v="2012-01-30T00:00:00"/>
    <d v="2011-12-26T00:00:00"/>
    <n v="1320"/>
    <d v="2012-01-05T00:00:00"/>
    <n v="1320"/>
    <m/>
    <d v="2011-12-27T00:00:00"/>
    <n v="1320"/>
    <d v="2012-02-09T00:00:00"/>
    <d v="2012-01-05T00:00:00"/>
    <n v="1320"/>
    <n v="1320"/>
    <x v="2"/>
    <d v="2012-02-08T00:00:00"/>
    <m/>
    <n v="9321658561"/>
    <n v="10"/>
    <s v="MRKU8204560"/>
    <s v="MAERSK LIMA/152W"/>
    <m/>
    <s v="YANTIAN"/>
    <s v="C-POST-CONF/"/>
    <m/>
    <s v="KENUS WONG"/>
    <s v="FO9"/>
    <s v="FOOD PREPARATION              "/>
    <s v="CONFIRMED"/>
    <n v="1"/>
    <n v="1"/>
    <d v="2012-01-04T00:00:00"/>
    <s v="KITCHEN ELECTRICS             "/>
    <s v="FOOD PREPARATION              "/>
    <x v="1"/>
    <x v="1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91/000010"/>
    <n v="1370148131"/>
    <n v="10"/>
    <x v="52"/>
    <x v="52"/>
    <s v="P1"/>
    <n v="1500813237"/>
    <n v="104"/>
    <n v="813237"/>
    <s v="GVX114 BURR GRINDER BLACK                         "/>
    <s v="S"/>
    <d v="2012-02-03T00:00:00"/>
    <m/>
    <s v="X"/>
    <x v="52"/>
    <n v="12.39"/>
    <n v="15"/>
    <d v="2012-01-30T00:00:00"/>
    <d v="2011-12-26T00:00:00"/>
    <n v="15000"/>
    <d v="2012-01-19T00:00:00"/>
    <n v="15000"/>
    <m/>
    <d v="2012-01-20T00:00:00"/>
    <n v="15000"/>
    <d v="2012-02-29T00:00:00"/>
    <d v="2012-01-25T00:00:00"/>
    <n v="15000"/>
    <n v="5680"/>
    <x v="27"/>
    <d v="2012-02-29T00:00:00"/>
    <m/>
    <n v="9321658562"/>
    <n v="10"/>
    <s v="PONU1461487"/>
    <s v="CLEMENTINE MAERSK 56"/>
    <m/>
    <s v="YANTIAN"/>
    <s v="SAILING-SCHED-UPDATE/C-PULLIN-CONF/"/>
    <m/>
    <s v="TWEETY LEUNG"/>
    <s v="FO9"/>
    <s v="FOOD PREPARATION              "/>
    <s v="CONFIRMED"/>
    <n v="1"/>
    <n v="4"/>
    <d v="2012-01-25T00:00:00"/>
    <s v="KITCHEN ELECTRICS             "/>
    <s v="FOOD PREPARATION              "/>
    <x v="1"/>
    <x v="1"/>
    <x v="1"/>
    <m/>
    <n v="0"/>
    <n v="0"/>
    <x v="1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091/000010"/>
    <n v="1370148131"/>
    <n v="10"/>
    <x v="52"/>
    <x v="52"/>
    <s v="P1"/>
    <n v="1500813237"/>
    <n v="104"/>
    <n v="813237"/>
    <s v="GVX114 BURR GRINDER BLACK                         "/>
    <s v="S"/>
    <d v="2012-02-03T00:00:00"/>
    <m/>
    <s v="X"/>
    <x v="52"/>
    <n v="12.39"/>
    <n v="15"/>
    <d v="2012-01-30T00:00:00"/>
    <d v="2011-12-26T00:00:00"/>
    <n v="15000"/>
    <d v="2012-01-19T00:00:00"/>
    <n v="15000"/>
    <m/>
    <d v="2012-01-20T00:00:00"/>
    <n v="15000"/>
    <d v="2012-02-29T00:00:00"/>
    <d v="2012-01-25T00:00:00"/>
    <n v="15000"/>
    <n v="6520"/>
    <x v="27"/>
    <d v="2012-02-29T00:00:00"/>
    <m/>
    <n v="9321658562"/>
    <n v="10"/>
    <s v="PONU8163910"/>
    <s v="CLEMENTINE MAERSK 56"/>
    <m/>
    <s v="YANTIAN"/>
    <s v="SAILING-SCHED-UPDATE/C-PULLIN-CONF/"/>
    <m/>
    <s v="TWEETY LEUNG"/>
    <s v="FO9"/>
    <s v="FOOD PREPARATION              "/>
    <s v="CONFIRMED"/>
    <n v="1"/>
    <n v="4"/>
    <d v="2012-01-25T00:00:00"/>
    <s v="KITCHEN ELECTRICS             "/>
    <s v="FOOD PREPARATION              "/>
    <x v="1"/>
    <x v="1"/>
    <x v="1"/>
    <m/>
    <n v="0"/>
    <n v="0"/>
    <x v="1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091/000010"/>
    <n v="1370148131"/>
    <n v="10"/>
    <x v="52"/>
    <x v="52"/>
    <s v="P1"/>
    <n v="1500813237"/>
    <n v="104"/>
    <n v="813237"/>
    <s v="GVX114 BURR GRINDER BLACK                         "/>
    <s v="S"/>
    <d v="2012-02-03T00:00:00"/>
    <m/>
    <s v="X"/>
    <x v="52"/>
    <n v="12.39"/>
    <n v="15"/>
    <d v="2012-01-30T00:00:00"/>
    <d v="2011-12-26T00:00:00"/>
    <n v="15000"/>
    <d v="2012-01-19T00:00:00"/>
    <n v="15000"/>
    <m/>
    <d v="2012-01-20T00:00:00"/>
    <n v="15000"/>
    <d v="2012-02-29T00:00:00"/>
    <d v="2012-01-25T00:00:00"/>
    <n v="15000"/>
    <n v="2800"/>
    <x v="27"/>
    <d v="2012-02-29T00:00:00"/>
    <m/>
    <n v="9321658562"/>
    <n v="10"/>
    <s v="PONU1943200"/>
    <s v="CLEMENTINE MAERSK 56"/>
    <m/>
    <s v="YANTIAN"/>
    <s v="SAILING-SCHED-UPDATE/C-PULLIN-CONF/"/>
    <m/>
    <s v="TWEETY LEUNG"/>
    <s v="FO9"/>
    <s v="FOOD PREPARATION              "/>
    <s v="CONFIRMED"/>
    <n v="1"/>
    <n v="4"/>
    <d v="2012-01-25T00:00:00"/>
    <s v="KITCHEN ELECTRICS             "/>
    <s v="FOOD PREPARATION              "/>
    <x v="1"/>
    <x v="1"/>
    <x v="1"/>
    <m/>
    <n v="0"/>
    <n v="0"/>
    <x v="1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152/000010"/>
    <n v="1370148171"/>
    <n v="10"/>
    <x v="52"/>
    <x v="52"/>
    <s v="P1"/>
    <n v="1500813248"/>
    <n v="104"/>
    <n v="813248"/>
    <s v="F2034251 FAST TOUCH BLADE GRINDER BLACK           "/>
    <s v="S"/>
    <d v="2012-02-03T00:00:00"/>
    <m/>
    <s v="X"/>
    <x v="52"/>
    <n v="5.73"/>
    <n v="7"/>
    <d v="2012-02-21T00:00:00"/>
    <d v="2012-01-17T00:00:00"/>
    <n v="10536"/>
    <d v="2012-01-25T00:00:00"/>
    <n v="10536"/>
    <m/>
    <d v="2012-01-18T00:00:00"/>
    <n v="10536"/>
    <d v="2012-02-29T00:00:00"/>
    <d v="2012-01-25T00:00:00"/>
    <n v="10536"/>
    <n v="10536"/>
    <x v="27"/>
    <d v="2012-02-29T00:00:00"/>
    <m/>
    <n v="9321658563"/>
    <n v="10"/>
    <s v="PONU1943200"/>
    <s v="CLEMENTINE MAERSK 56"/>
    <m/>
    <s v="YANTIAN"/>
    <s v="CONS-SHIPT/"/>
    <m/>
    <s v="TWEETY LEUNG"/>
    <s v="FO9"/>
    <s v="FOOD PREPARATION              "/>
    <s v="CONFIRMED"/>
    <n v="1"/>
    <n v="4"/>
    <d v="2012-01-25T00:00:00"/>
    <s v="KITCHEN ELECTRICS             "/>
    <s v="FOOD PREPARATION              "/>
    <x v="1"/>
    <x v="1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90/000010"/>
    <n v="1370148128"/>
    <n v="10"/>
    <x v="52"/>
    <x v="52"/>
    <s v="P1"/>
    <n v="1500813237"/>
    <n v="104"/>
    <n v="813237"/>
    <s v="GVX114 BURR GRINDER BLACK                         "/>
    <s v="S"/>
    <d v="2012-01-19T00:00:00"/>
    <m/>
    <s v="X"/>
    <x v="52"/>
    <n v="12.39"/>
    <n v="15"/>
    <d v="2012-01-27T00:00:00"/>
    <d v="2011-12-23T00:00:00"/>
    <n v="8500"/>
    <d v="2012-01-16T00:00:00"/>
    <n v="8500"/>
    <m/>
    <d v="2012-01-16T00:00:00"/>
    <n v="15108"/>
    <d v="2012-02-20T00:00:00"/>
    <d v="2012-01-16T00:00:00"/>
    <n v="8500"/>
    <n v="1892"/>
    <x v="8"/>
    <d v="2012-02-20T00:00:00"/>
    <m/>
    <n v="9321658564"/>
    <n v="10"/>
    <s v="GESU5646955"/>
    <s v="NYK NEBULA 25E02/"/>
    <m/>
    <s v="YANTIAN"/>
    <s v="CONS-SHIPT/CONS-SHIPT/"/>
    <m/>
    <s v="TWEETY LEUNG"/>
    <s v="FO9"/>
    <s v="FOOD PREPARATION              "/>
    <s v="CONFIRMED"/>
    <n v="1"/>
    <n v="3"/>
    <d v="2012-01-16T00:00:00"/>
    <s v="KITCHEN ELECTRICS             "/>
    <s v="FOOD PREPARATION              "/>
    <x v="1"/>
    <x v="1"/>
    <x v="10"/>
    <s v="CONS-SHIPT"/>
    <n v="-3"/>
    <n v="-3"/>
    <x v="8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090/000010"/>
    <n v="1370148128"/>
    <n v="10"/>
    <x v="52"/>
    <x v="52"/>
    <s v="P1"/>
    <n v="1500813237"/>
    <n v="104"/>
    <n v="813237"/>
    <s v="GVX114 BURR GRINDER BLACK                         "/>
    <s v="S"/>
    <d v="2012-01-19T00:00:00"/>
    <m/>
    <s v="X"/>
    <x v="52"/>
    <n v="12.39"/>
    <n v="15"/>
    <d v="2012-01-27T00:00:00"/>
    <d v="2011-12-23T00:00:00"/>
    <n v="8500"/>
    <d v="2012-01-16T00:00:00"/>
    <n v="8500"/>
    <m/>
    <d v="2012-01-16T00:00:00"/>
    <n v="15108"/>
    <d v="2012-02-20T00:00:00"/>
    <d v="2012-01-16T00:00:00"/>
    <n v="8500"/>
    <n v="6608"/>
    <x v="8"/>
    <d v="2012-02-20T00:00:00"/>
    <m/>
    <n v="9321658564"/>
    <n v="10"/>
    <s v="TCNU9242079"/>
    <s v="NYK NEBULA 25E02/"/>
    <m/>
    <s v="YANTIAN"/>
    <s v="CONS-SHIPT/CONS-SHIPT/"/>
    <m/>
    <s v="TWEETY LEUNG"/>
    <s v="FO9"/>
    <s v="FOOD PREPARATION              "/>
    <s v="CONFIRMED"/>
    <n v="1"/>
    <n v="3"/>
    <d v="2012-01-16T00:00:00"/>
    <s v="KITCHEN ELECTRICS             "/>
    <s v="FOOD PREPARATION              "/>
    <x v="1"/>
    <x v="1"/>
    <x v="10"/>
    <s v="CONS-SHIPT"/>
    <n v="-3"/>
    <n v="-3"/>
    <x v="8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48983/000010"/>
    <n v="1370148092"/>
    <n v="10"/>
    <x v="52"/>
    <x v="52"/>
    <s v="P1"/>
    <n v="1500813237"/>
    <n v="104"/>
    <n v="813237"/>
    <s v="GVX114 BURR GRINDER BLACK                         "/>
    <s v="S"/>
    <d v="2012-01-10T00:00:00"/>
    <m/>
    <s v="X"/>
    <x v="52"/>
    <n v="12.39"/>
    <n v="15"/>
    <d v="2012-01-27T00:00:00"/>
    <d v="2011-12-23T00:00:00"/>
    <n v="5760"/>
    <d v="2012-01-04T00:00:00"/>
    <n v="5760"/>
    <m/>
    <d v="2012-01-04T00:00:00"/>
    <n v="5760"/>
    <d v="2012-02-08T00:00:00"/>
    <d v="2012-01-04T00:00:00"/>
    <n v="5760"/>
    <n v="5760"/>
    <x v="7"/>
    <d v="2012-02-10T00:00:00"/>
    <m/>
    <n v="9321658565"/>
    <n v="10"/>
    <s v="GESU6659793"/>
    <s v="CMA CGM DON PASCUALE"/>
    <m/>
    <s v="YANTIAN"/>
    <m/>
    <m/>
    <s v="TWEETY LEUNG"/>
    <s v="FO9"/>
    <s v="FOOD PREPARATION              "/>
    <s v="CONFIRMED"/>
    <n v="1"/>
    <n v="1"/>
    <d v="2012-01-06T00:00:00"/>
    <s v="KITCHEN ELECTRICS             "/>
    <s v="FOOD PREPARATION              "/>
    <x v="1"/>
    <x v="1"/>
    <x v="1"/>
    <m/>
    <n v="0"/>
    <n v="0"/>
    <x v="1"/>
    <n v="0"/>
    <x v="0"/>
    <x v="0"/>
    <x v="1"/>
    <n v="1"/>
    <n v="0"/>
    <n v="1"/>
    <n v="0"/>
    <n v="0"/>
    <n v="1"/>
    <x v="0"/>
    <x v="0"/>
    <x v="1"/>
    <x v="1"/>
  </r>
  <r>
    <s v="Shipment"/>
    <n v="99002102"/>
    <s v="GROUPE SEB ITALIA S.p.a                           "/>
    <n v="99002102"/>
    <x v="14"/>
    <s v="4600079072/000070"/>
    <n v="1370149104"/>
    <n v="70"/>
    <x v="52"/>
    <x v="52"/>
    <s v="P1"/>
    <n v="1500675930"/>
    <n v="106"/>
    <n v="675930"/>
    <s v="ABM11A30 HMX EASY MAX WHT EUR                     "/>
    <s v="S"/>
    <d v="2012-01-10T00:00:00"/>
    <m/>
    <s v="X"/>
    <x v="52"/>
    <n v="7.88"/>
    <n v="7"/>
    <d v="2012-02-06T00:00:00"/>
    <d v="2012-01-09T00:00:00"/>
    <n v="4002"/>
    <d v="2012-01-09T00:00:00"/>
    <n v="4002"/>
    <m/>
    <d v="2012-01-06T00:00:00"/>
    <n v="4002"/>
    <d v="2012-02-03T00:00:00"/>
    <d v="2012-01-06T00:00:00"/>
    <n v="4002"/>
    <n v="4002"/>
    <x v="0"/>
    <d v="2012-02-06T00:00:00"/>
    <m/>
    <n v="9321658566"/>
    <n v="10"/>
    <s v="TTNU5049629"/>
    <s v="HANJIN BRUSSELS/0070"/>
    <m/>
    <s v="YANTIAN"/>
    <m/>
    <m/>
    <s v="JASON FAN"/>
    <s v="FO9"/>
    <s v="FOOD PREPARATION              "/>
    <s v="CONFIRMED"/>
    <n v="1"/>
    <n v="2"/>
    <d v="2012-01-09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2/000090"/>
    <n v="1370149104"/>
    <n v="90"/>
    <x v="52"/>
    <x v="52"/>
    <s v="P1"/>
    <n v="1500816830"/>
    <n v="107"/>
    <n v="816830"/>
    <s v="HB713131 HBL PREP'LINE 700W WHT ES                "/>
    <s v="S"/>
    <d v="2012-01-16T00:00:00"/>
    <m/>
    <s v="X"/>
    <x v="52"/>
    <n v="17.95"/>
    <n v="7"/>
    <d v="2012-02-06T00:00:00"/>
    <d v="2012-01-09T00:00:00"/>
    <n v="1320"/>
    <d v="2012-01-09T00:00:00"/>
    <n v="1320"/>
    <m/>
    <d v="2012-01-06T00:00:00"/>
    <n v="1320"/>
    <d v="2012-02-08T00:00:00"/>
    <d v="2012-01-11T00:00:00"/>
    <n v="1320"/>
    <n v="1320"/>
    <x v="24"/>
    <d v="2012-02-10T00:00:00"/>
    <m/>
    <n v="9321658566"/>
    <n v="20"/>
    <s v="OOLU7337623"/>
    <s v="BUSAN EXPRESS/04W01"/>
    <m/>
    <s v="YANTIAN"/>
    <s v="SAILING-SCHED-UPDATE/"/>
    <m/>
    <s v="JASON FAN"/>
    <s v="FO9"/>
    <s v="FOOD PREPARATION              "/>
    <s v="CONFIRMED"/>
    <n v="1"/>
    <n v="2"/>
    <d v="2012-01-13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2/000100"/>
    <n v="1370149104"/>
    <n v="100"/>
    <x v="52"/>
    <x v="52"/>
    <s v="P1"/>
    <n v="1500816930"/>
    <n v="107"/>
    <n v="816930"/>
    <s v="HB715131 HBL PREP'LINE NEW POWER 700W WH          "/>
    <s v="S"/>
    <d v="2012-01-16T00:00:00"/>
    <m/>
    <s v="X"/>
    <x v="52"/>
    <n v="15.88"/>
    <n v="7"/>
    <d v="2012-02-06T00:00:00"/>
    <d v="2012-01-09T00:00:00"/>
    <n v="1320"/>
    <d v="2012-01-09T00:00:00"/>
    <n v="1320"/>
    <m/>
    <d v="2012-01-06T00:00:00"/>
    <n v="1320"/>
    <d v="2012-02-08T00:00:00"/>
    <d v="2012-01-11T00:00:00"/>
    <n v="1320"/>
    <n v="1320"/>
    <x v="24"/>
    <d v="2012-02-10T00:00:00"/>
    <m/>
    <n v="9321658566"/>
    <n v="30"/>
    <s v="OOLU7337623"/>
    <s v="BUSAN EXPRESS/04W01"/>
    <m/>
    <s v="YANTIAN"/>
    <s v="SAILING-SCHED-UPDATE/"/>
    <m/>
    <s v="JASON FAN"/>
    <s v="FO9"/>
    <s v="FOOD PREPARATION              "/>
    <s v="CONFIRMED"/>
    <n v="1"/>
    <n v="2"/>
    <d v="2012-01-13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8285/000010"/>
    <n v="1370149166"/>
    <n v="10"/>
    <x v="52"/>
    <x v="52"/>
    <s v="P1"/>
    <n v="1500816987"/>
    <n v="107"/>
    <n v="816987"/>
    <s v="HB715188 HBL PREP'LINE NEW POWER 700W WH          "/>
    <s v="S"/>
    <d v="2012-01-13T00:00:00"/>
    <m/>
    <s v="X"/>
    <x v="52"/>
    <n v="15.74"/>
    <n v="574"/>
    <d v="2012-02-24T00:00:00"/>
    <d v="2012-01-06T00:00:00"/>
    <n v="3060"/>
    <d v="2012-01-06T00:00:00"/>
    <n v="3060"/>
    <m/>
    <d v="2012-01-12T00:00:00"/>
    <n v="3060"/>
    <d v="2012-03-01T00:00:00"/>
    <d v="2012-01-12T00:00:00"/>
    <n v="3060"/>
    <n v="3060"/>
    <x v="10"/>
    <d v="2012-03-01T00:00:00"/>
    <m/>
    <n v="9321658567"/>
    <n v="10"/>
    <s v="CAIU8598035"/>
    <s v="NYK ORPHEUS/18W52"/>
    <m/>
    <s v="YANTIAN"/>
    <m/>
    <m/>
    <s v="KENUS WONG"/>
    <s v="FO9"/>
    <s v="FOOD PREPARATION              "/>
    <s v="CONFIRMED"/>
    <n v="1"/>
    <n v="2"/>
    <d v="2012-01-12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5703/000010"/>
    <n v="1370149169"/>
    <n v="10"/>
    <x v="52"/>
    <x v="52"/>
    <s v="P1"/>
    <n v="1500816587"/>
    <n v="107"/>
    <n v="816587"/>
    <s v="HB710188 HBL PREP''LINE NEW POWER WHT CIS         "/>
    <s v="S"/>
    <d v="2012-01-13T00:00:00"/>
    <m/>
    <s v="X"/>
    <x v="52"/>
    <n v="11.28"/>
    <n v="416"/>
    <d v="2012-02-24T00:00:00"/>
    <d v="2012-01-06T00:00:00"/>
    <n v="1432"/>
    <d v="2012-01-06T00:00:00"/>
    <n v="1432"/>
    <m/>
    <d v="2012-01-12T00:00:00"/>
    <n v="1432"/>
    <d v="2012-03-01T00:00:00"/>
    <d v="2012-01-12T00:00:00"/>
    <n v="1432"/>
    <n v="1432"/>
    <x v="10"/>
    <d v="2012-03-01T00:00:00"/>
    <m/>
    <n v="9321658568"/>
    <n v="10"/>
    <s v="OOLU1320599"/>
    <s v="NYK ORPHEUS/18W52"/>
    <m/>
    <s v="YANTIAN"/>
    <m/>
    <m/>
    <s v="KENUS WONG"/>
    <s v="FO9"/>
    <s v="FOOD PREPARATION              "/>
    <s v="CONFIRMED"/>
    <n v="1"/>
    <n v="2"/>
    <d v="2012-01-12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5748/000010"/>
    <n v="1370149171"/>
    <n v="10"/>
    <x v="52"/>
    <x v="52"/>
    <s v="P1"/>
    <n v="1500816837"/>
    <n v="107"/>
    <n v="816837"/>
    <s v="HB713137 HBL PREP'LINE 700W WHT PL                "/>
    <s v="S"/>
    <d v="2012-01-18T00:00:00"/>
    <m/>
    <s v="X"/>
    <x v="52"/>
    <n v="18.18"/>
    <n v="660"/>
    <d v="2012-02-25T00:00:00"/>
    <d v="2012-01-07T00:00:00"/>
    <n v="2640"/>
    <d v="2012-01-07T00:00:00"/>
    <n v="2640"/>
    <m/>
    <d v="2012-01-12T00:00:00"/>
    <n v="2640"/>
    <d v="2012-03-03T00:00:00"/>
    <d v="2012-01-14T00:00:00"/>
    <n v="2640"/>
    <n v="2640"/>
    <x v="19"/>
    <d v="2012-03-06T00:00:00"/>
    <m/>
    <n v="9321658569"/>
    <n v="10"/>
    <s v="TCLU4112861"/>
    <s v="MOL COMPETENCE/021W"/>
    <m/>
    <s v="YANTIAN"/>
    <s v="SAILING-SCHED-UPDATE/"/>
    <m/>
    <s v="KENUS WONG"/>
    <s v="FO9"/>
    <s v="FOOD PREPARATION              "/>
    <s v="CONFIRMED"/>
    <n v="1"/>
    <n v="3"/>
    <d v="2012-01-17T00:00:00"/>
    <s v="KITCHEN ELECTRICS             "/>
    <s v="FOOD PREPARATION              "/>
    <x v="1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5746/000010"/>
    <n v="1370149174"/>
    <n v="10"/>
    <x v="52"/>
    <x v="52"/>
    <s v="P1"/>
    <n v="1500816837"/>
    <n v="107"/>
    <n v="816837"/>
    <s v="HB713137 HBL PREP'LINE 700W WHT PL                "/>
    <s v="S"/>
    <d v="2012-01-13T00:00:00"/>
    <m/>
    <s v="X"/>
    <x v="52"/>
    <n v="18.18"/>
    <n v="660"/>
    <d v="2012-02-24T00:00:00"/>
    <d v="2012-01-06T00:00:00"/>
    <n v="3060"/>
    <d v="2012-01-06T00:00:00"/>
    <n v="3060"/>
    <m/>
    <d v="2012-01-12T00:00:00"/>
    <n v="3060"/>
    <d v="2012-03-01T00:00:00"/>
    <d v="2012-01-12T00:00:00"/>
    <n v="3060"/>
    <n v="3060"/>
    <x v="10"/>
    <d v="2012-03-01T00:00:00"/>
    <m/>
    <n v="9321658570"/>
    <n v="10"/>
    <s v="CAXU8174173"/>
    <s v="NYK ORPHEUS/18W52"/>
    <m/>
    <s v="YANTIAN"/>
    <m/>
    <m/>
    <s v="KENUS WONG"/>
    <s v="FO9"/>
    <s v="FOOD PREPARATION              "/>
    <s v="CONFIRMED"/>
    <n v="1"/>
    <n v="2"/>
    <d v="2012-01-12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8287/000010"/>
    <n v="1370149181"/>
    <n v="10"/>
    <x v="52"/>
    <x v="52"/>
    <s v="P1"/>
    <n v="1500816987"/>
    <n v="107"/>
    <n v="816987"/>
    <s v="HB715188 HBL PREP'LINE NEW POWER 700W WH          "/>
    <s v="S"/>
    <d v="2012-01-13T00:00:00"/>
    <m/>
    <s v="X"/>
    <x v="52"/>
    <n v="15.74"/>
    <n v="574"/>
    <d v="2012-02-24T00:00:00"/>
    <d v="2012-01-06T00:00:00"/>
    <n v="3060"/>
    <d v="2012-01-12T00:00:00"/>
    <n v="3060"/>
    <m/>
    <d v="2012-01-12T00:00:00"/>
    <n v="3060"/>
    <d v="2012-03-01T00:00:00"/>
    <d v="2012-01-12T00:00:00"/>
    <n v="3060"/>
    <n v="3060"/>
    <x v="10"/>
    <d v="2012-03-01T00:00:00"/>
    <m/>
    <n v="9321658571"/>
    <n v="10"/>
    <s v="TRLU5535050"/>
    <s v="NYK ORPHEUS/18W52"/>
    <m/>
    <s v="YANTIAN"/>
    <m/>
    <m/>
    <s v="KENUS WONG"/>
    <s v="FO9"/>
    <s v="FOOD PREPARATION              "/>
    <s v="CONFIRMED"/>
    <n v="1"/>
    <n v="2"/>
    <d v="2012-01-12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5709/000010"/>
    <n v="1370149194"/>
    <n v="10"/>
    <x v="52"/>
    <x v="52"/>
    <s v="P1"/>
    <n v="1500816687"/>
    <n v="107"/>
    <n v="816687"/>
    <s v="HB711188 HBL PREP'LINE NEW POWER WHT CIS          "/>
    <s v="S"/>
    <d v="2012-01-05T00:00:00"/>
    <m/>
    <s v="X"/>
    <x v="52"/>
    <n v="13.61"/>
    <n v="498"/>
    <d v="2012-02-22T00:00:00"/>
    <d v="2012-01-04T00:00:00"/>
    <n v="2860"/>
    <d v="2012-01-04T00:00:00"/>
    <n v="2860"/>
    <m/>
    <d v="2012-01-08T00:00:00"/>
    <n v="2860"/>
    <d v="2012-02-23T00:00:00"/>
    <d v="2012-01-05T00:00:00"/>
    <n v="2860"/>
    <n v="2860"/>
    <x v="6"/>
    <d v="2012-02-23T00:00:00"/>
    <m/>
    <n v="9321658572"/>
    <n v="10"/>
    <s v="APZU3741705"/>
    <s v="MOL MAXIM/010W"/>
    <m/>
    <s v="YANTIAN"/>
    <s v="SAILING-SCHED-UPDATE/"/>
    <m/>
    <s v="KENUS WONG"/>
    <s v="FO9"/>
    <s v="FOOD PREPARATION              "/>
    <s v="CONFIRMED"/>
    <n v="1"/>
    <n v="1"/>
    <d v="2012-01-05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7456/000010"/>
    <n v="1370149196"/>
    <n v="10"/>
    <x v="52"/>
    <x v="52"/>
    <s v="P1"/>
    <n v="1500675982"/>
    <n v="106"/>
    <n v="675982"/>
    <s v="HM555182 HMX/STD EASYMAXPOWER 450W SA             "/>
    <s v="S"/>
    <d v="2012-01-17T00:00:00"/>
    <m/>
    <s v="X"/>
    <x v="52"/>
    <n v="17.63"/>
    <n v="20"/>
    <d v="2012-01-20T00:00:00"/>
    <d v="2012-01-19T00:00:00"/>
    <n v="1300"/>
    <d v="2012-01-19T00:00:00"/>
    <n v="1300"/>
    <m/>
    <d v="2012-01-13T00:00:00"/>
    <n v="1300"/>
    <d v="2012-01-14T00:00:00"/>
    <d v="2012-01-13T00:00:00"/>
    <n v="1300"/>
    <n v="1300"/>
    <x v="9"/>
    <d v="2012-01-15T00:00:00"/>
    <m/>
    <n v="9321658573"/>
    <n v="10"/>
    <s v="BY TRUCK"/>
    <s v="BY TRUCK"/>
    <m/>
    <s v="YANTIAN"/>
    <m/>
    <m/>
    <s v="ZANDRA LAM"/>
    <s v="FO9"/>
    <s v="FOOD PREPARATION              "/>
    <s v="CONFIRMED"/>
    <n v="1"/>
    <n v="2"/>
    <d v="2012-01-14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7462/000010"/>
    <n v="1370149197"/>
    <n v="10"/>
    <x v="52"/>
    <x v="52"/>
    <s v="P1"/>
    <n v="1500816640"/>
    <n v="107"/>
    <n v="816640"/>
    <s v="HB711141 HBL PREP''LINE NEW POWER WHT EUR         "/>
    <s v="S"/>
    <d v="2012-01-17T00:00:00"/>
    <m/>
    <s v="X"/>
    <x v="52"/>
    <n v="14.12"/>
    <n v="17"/>
    <d v="2012-01-20T00:00:00"/>
    <d v="2012-01-19T00:00:00"/>
    <n v="1432"/>
    <d v="2012-01-19T00:00:00"/>
    <n v="1432"/>
    <m/>
    <d v="2012-01-13T00:00:00"/>
    <n v="1432"/>
    <d v="2012-01-14T00:00:00"/>
    <d v="2012-01-13T00:00:00"/>
    <n v="1432"/>
    <n v="1432"/>
    <x v="9"/>
    <d v="2012-01-15T00:00:00"/>
    <m/>
    <n v="9321658574"/>
    <n v="10"/>
    <s v="BY TRUCK"/>
    <s v="BY TRUCK"/>
    <m/>
    <s v="YANTIAN"/>
    <m/>
    <m/>
    <s v="ZANDRA LAM"/>
    <s v="FO9"/>
    <s v="FOOD PREPARATION              "/>
    <s v="CONFIRMED"/>
    <n v="1"/>
    <n v="2"/>
    <d v="2012-01-14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7461/000010"/>
    <n v="1370149200"/>
    <n v="10"/>
    <x v="52"/>
    <x v="52"/>
    <s v="P1"/>
    <n v="1500675981"/>
    <n v="106"/>
    <n v="675981"/>
    <s v="ABM11181 HMX EASYMAX 200W WHT SA                  "/>
    <s v="S"/>
    <d v="2012-01-18T00:00:00"/>
    <m/>
    <s v="X"/>
    <x v="52"/>
    <n v="8.4"/>
    <n v="10"/>
    <d v="2012-01-19T00:00:00"/>
    <d v="2012-01-18T00:00:00"/>
    <n v="4002"/>
    <d v="2012-01-18T00:00:00"/>
    <n v="4002"/>
    <m/>
    <d v="2012-01-14T00:00:00"/>
    <n v="4002"/>
    <d v="2012-01-17T00:00:00"/>
    <d v="2012-01-16T00:00:00"/>
    <n v="4002"/>
    <n v="4002"/>
    <x v="19"/>
    <d v="2012-01-18T00:00:00"/>
    <m/>
    <n v="9321658575"/>
    <n v="10"/>
    <s v="BY TRUCK"/>
    <s v="BY TRUCK"/>
    <m/>
    <s v="YANTIAN"/>
    <s v="SAILING-SCHED-UPDATE/"/>
    <m/>
    <s v="ZANDRA LAM"/>
    <s v="FO9"/>
    <s v="FOOD PREPARATION              "/>
    <s v="CONFIRMED"/>
    <n v="1"/>
    <n v="3"/>
    <d v="2012-01-17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7457/000010"/>
    <n v="1370149202"/>
    <n v="10"/>
    <x v="52"/>
    <x v="52"/>
    <s v="P1"/>
    <n v="8000031090"/>
    <n v="104"/>
    <s v="AR1044         "/>
    <s v="AR1044 CFG COFFEE MILL WHT/SS                     "/>
    <s v="S"/>
    <d v="2012-01-13T00:00:00"/>
    <m/>
    <s v="X"/>
    <x v="52"/>
    <n v="6.57"/>
    <n v="8"/>
    <d v="2012-01-18T00:00:00"/>
    <d v="2012-01-17T00:00:00"/>
    <n v="3504"/>
    <d v="2012-01-17T00:00:00"/>
    <n v="3504"/>
    <m/>
    <d v="2012-01-16T00:00:00"/>
    <n v="3504"/>
    <d v="2012-01-13T00:00:00"/>
    <d v="2012-01-12T00:00:00"/>
    <n v="3504"/>
    <n v="3504"/>
    <x v="10"/>
    <d v="2012-01-13T00:00:00"/>
    <m/>
    <n v="9321658576"/>
    <n v="10"/>
    <s v="BY TRUCK"/>
    <s v="BY TRUCK"/>
    <m/>
    <s v="YANTIAN"/>
    <s v="SAILING-SCHED-UPDATE/"/>
    <m/>
    <s v="ZANDRA LAM"/>
    <s v="FO9"/>
    <s v="FOOD PREPARATION              "/>
    <s v="CONFIRMED"/>
    <n v="1"/>
    <n v="2"/>
    <d v="2012-01-12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333/000010"/>
    <n v="1370148047"/>
    <n v="10"/>
    <x v="28"/>
    <x v="28"/>
    <s v="R1"/>
    <n v="8000032030"/>
    <n v="55"/>
    <s v="BI662540       "/>
    <s v="BI662540 KET EXPRESS STAIN 1.7L                   "/>
    <s v="S"/>
    <d v="2012-01-06T00:00:00"/>
    <m/>
    <s v="X"/>
    <x v="52"/>
    <n v="16.14"/>
    <n v="4078470"/>
    <d v="2012-01-30T00:00:00"/>
    <d v="2011-12-26T00:00:00"/>
    <n v="1890"/>
    <d v="2011-12-26T00:00:00"/>
    <n v="1890"/>
    <m/>
    <d v="2011-12-26T00:00:00"/>
    <n v="1890"/>
    <d v="2012-01-30T00:00:00"/>
    <d v="2011-12-26T00:00:00"/>
    <n v="1890"/>
    <n v="1890"/>
    <x v="2"/>
    <d v="2012-02-08T00:00:00"/>
    <m/>
    <n v="9321658577"/>
    <n v="10"/>
    <s v="SEAU7873978"/>
    <s v="MAERSK LIMA/152W"/>
    <m/>
    <s v="YANTIAN"/>
    <m/>
    <m/>
    <s v="KENUS WONG"/>
    <s v="FO9"/>
    <s v="BEVERAGE                      "/>
    <s v="CONFIRMED"/>
    <n v="1"/>
    <n v="1"/>
    <d v="2012-01-04T00:00:00"/>
    <s v="KITCHEN ELECTRICS             "/>
    <s v="BREAKFAST &amp; BREVAGE PREP      "/>
    <x v="2"/>
    <x v="1"/>
    <x v="1"/>
    <m/>
    <n v="0"/>
    <n v="0"/>
    <x v="1"/>
    <n v="0"/>
    <x v="0"/>
    <x v="0"/>
    <x v="1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7306/000010"/>
    <n v="1370149112"/>
    <n v="10"/>
    <x v="28"/>
    <x v="28"/>
    <s v="R1"/>
    <n v="8000032030"/>
    <n v="55"/>
    <s v="BI662540       "/>
    <s v="BI662540 KET EXPRESS STAIN 1.7L                   "/>
    <s v="S"/>
    <d v="2012-01-05T00:00:00"/>
    <m/>
    <s v="X"/>
    <x v="52"/>
    <n v="16.14"/>
    <n v="589"/>
    <d v="2012-02-24T00:00:00"/>
    <d v="2012-01-06T00:00:00"/>
    <n v="3843"/>
    <d v="2012-01-06T00:00:00"/>
    <n v="3843"/>
    <m/>
    <d v="2012-01-06T00:00:00"/>
    <n v="3843"/>
    <d v="2012-02-24T00:00:00"/>
    <d v="2012-01-06T00:00:00"/>
    <n v="3843"/>
    <n v="3843"/>
    <x v="6"/>
    <d v="2012-02-23T00:00:00"/>
    <m/>
    <n v="9321658578"/>
    <n v="10"/>
    <s v="APZU4673971"/>
    <s v="MOL MAXIM/010W"/>
    <m/>
    <s v="YANTIAN"/>
    <m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4527/000010"/>
    <n v="1370148544"/>
    <n v="10"/>
    <x v="40"/>
    <x v="40"/>
    <s v="L4"/>
    <n v="1830003507"/>
    <n v="175"/>
    <s v="CF6510M4       "/>
    <s v="CF6510M4 CURL ACTIV CURLING TONG                  "/>
    <s v="S"/>
    <d v="2012-01-06T00:00:00"/>
    <m/>
    <s v="X"/>
    <x v="52"/>
    <n v="18.62"/>
    <n v="21483"/>
    <d v="2012-01-09T00:00:00"/>
    <d v="2012-01-08T00:00:00"/>
    <n v="3000"/>
    <d v="2012-01-08T00:00:00"/>
    <n v="3000"/>
    <m/>
    <d v="2012-01-09T00:00:00"/>
    <n v="3000"/>
    <d v="2012-01-06T00:00:00"/>
    <d v="2012-01-05T00:00:00"/>
    <n v="3000"/>
    <n v="3000"/>
    <x v="6"/>
    <d v="2012-01-06T00:00:00"/>
    <m/>
    <n v="9321658579"/>
    <n v="10"/>
    <s v="BY TRUCK"/>
    <s v="BY TRUCK"/>
    <m/>
    <s v="YANTIAN"/>
    <s v="CONS-SHIPT/"/>
    <m/>
    <s v="ZANDRA LAM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169/000010"/>
    <n v="1370147639"/>
    <n v="10"/>
    <x v="40"/>
    <x v="40"/>
    <s v="L4"/>
    <n v="1830003334"/>
    <n v="175"/>
    <s v="CF6510D4       "/>
    <s v="CF6510D4 CURL ACTIV CURLING TONG                  "/>
    <s v="S"/>
    <d v="2012-01-06T00:00:00"/>
    <m/>
    <s v="X"/>
    <x v="52"/>
    <n v="18.02"/>
    <n v="645601"/>
    <d v="2012-02-10T00:00:00"/>
    <d v="2011-12-23T00:00:00"/>
    <n v="3000"/>
    <d v="2011-12-31T00:00:00"/>
    <n v="3000"/>
    <m/>
    <d v="2011-12-23T00:00:00"/>
    <n v="3000"/>
    <d v="2012-02-18T00:00:00"/>
    <d v="2011-12-31T00:00:00"/>
    <n v="3000"/>
    <n v="3000"/>
    <x v="13"/>
    <d v="2012-02-19T00:00:00"/>
    <m/>
    <n v="9321658580"/>
    <n v="10"/>
    <s v="APHU6726213"/>
    <s v="APL FINLAND/020W"/>
    <m/>
    <s v="YANTIAN"/>
    <s v="CONS-SHIPT/"/>
    <m/>
    <s v="KENUS WONG"/>
    <s v="FO9"/>
    <s v="PERSONAL CARE                 "/>
    <s v="CONFIRMED"/>
    <n v="1"/>
    <n v="52"/>
    <d v="2012-01-01T00:00:00"/>
    <s v="LINEN PERS HOME CARE          "/>
    <s v="PERSONAL CARE                 "/>
    <x v="3"/>
    <x v="2"/>
    <x v="10"/>
    <s v="CONS-SHIPT"/>
    <n v="-3"/>
    <n v="-3"/>
    <x v="8"/>
    <n v="1"/>
    <x v="0"/>
    <x v="0"/>
    <x v="1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62/039732"/>
    <n v="1370149093"/>
    <n v="10"/>
    <x v="40"/>
    <x v="40"/>
    <s v="L4"/>
    <n v="1830003922"/>
    <n v="5"/>
    <s v="CV8503I0       "/>
    <s v="CV8503I0 HAIR DRYER INFINI PRO 1800W              "/>
    <s v="S"/>
    <d v="2012-01-18T00:00:00"/>
    <m/>
    <s v="X"/>
    <x v="52"/>
    <n v="12.06"/>
    <n v="14"/>
    <d v="2012-02-17T00:00:00"/>
    <d v="2012-01-13T00:00:00"/>
    <n v="3000"/>
    <d v="2012-01-13T00:00:00"/>
    <n v="3000"/>
    <m/>
    <d v="2012-01-13T00:00:00"/>
    <n v="3000"/>
    <d v="2012-02-20T00:00:00"/>
    <d v="2012-01-16T00:00:00"/>
    <n v="3000"/>
    <n v="3000"/>
    <x v="8"/>
    <d v="2012-02-20T00:00:00"/>
    <m/>
    <n v="9321658581"/>
    <n v="10"/>
    <s v="GLDU5559841"/>
    <s v="A.P. MOLLER 1201/"/>
    <m/>
    <s v="YANTIAN"/>
    <s v="CONS-SHIPT/"/>
    <m/>
    <s v="THOMAS HO"/>
    <s v="FO9"/>
    <s v="PERSONAL CARE                 "/>
    <s v="CONFIRMED"/>
    <n v="1"/>
    <n v="3"/>
    <d v="2012-01-16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1/000080"/>
    <n v="1370149100"/>
    <n v="80"/>
    <x v="40"/>
    <x v="40"/>
    <s v="L4"/>
    <n v="1830003060"/>
    <n v="5"/>
    <s v="CV4212F0       "/>
    <s v="CV4212F0 STUDIO DRY HAIR DRYER                    "/>
    <s v="S"/>
    <d v="2012-01-10T00:00:00"/>
    <m/>
    <s v="X"/>
    <x v="52"/>
    <n v="5.33"/>
    <n v="5"/>
    <d v="2012-02-06T00:00:00"/>
    <d v="2012-01-09T00:00:00"/>
    <n v="3000"/>
    <d v="2012-01-09T00:00:00"/>
    <n v="3000"/>
    <m/>
    <d v="2012-01-09T00:00:00"/>
    <n v="3000"/>
    <d v="2012-02-06T00:00:00"/>
    <d v="2012-01-09T00:00:00"/>
    <n v="3000"/>
    <n v="3000"/>
    <x v="0"/>
    <d v="2012-02-06T00:00:00"/>
    <m/>
    <n v="9321658582"/>
    <n v="10"/>
    <s v="TTNU5049629"/>
    <s v="HANJIN BRUSSELS/0070"/>
    <m/>
    <s v="YANTIAN"/>
    <s v="CONS-SHIPT/C-LCL-SHIPMENT/"/>
    <m/>
    <s v="JASON FAN"/>
    <s v="FO9"/>
    <s v="PERSONAL CARE                 "/>
    <s v="CONFIRMED"/>
    <n v="1"/>
    <n v="2"/>
    <d v="2012-01-09T00:00:00"/>
    <s v="LINEN PERS HOME CARE          "/>
    <s v="PERSONAL CARE                 "/>
    <x v="3"/>
    <x v="2"/>
    <x v="10"/>
    <s v="CONS-SHIPT"/>
    <n v="-3"/>
    <n v="-3"/>
    <x v="8"/>
    <n v="2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874/000010"/>
    <n v="1370149281"/>
    <n v="10"/>
    <x v="40"/>
    <x v="40"/>
    <s v="L4"/>
    <n v="1830003959"/>
    <n v="131"/>
    <s v="SF6020C0       "/>
    <s v="SF6020C0 STRAIGHTENER ULTIMATE STYLER             "/>
    <s v="S"/>
    <d v="2012-01-18T00:00:00"/>
    <m/>
    <s v="X"/>
    <x v="52"/>
    <n v="12.62"/>
    <n v="11"/>
    <d v="2012-02-17T00:00:00"/>
    <d v="2012-01-13T00:00:00"/>
    <n v="3000"/>
    <d v="2012-01-13T00:00:00"/>
    <n v="3000"/>
    <m/>
    <d v="2012-01-13T00:00:00"/>
    <n v="3000"/>
    <d v="2012-02-21T00:00:00"/>
    <d v="2012-01-17T00:00:00"/>
    <n v="3000"/>
    <n v="3000"/>
    <x v="19"/>
    <d v="2012-02-21T00:00:00"/>
    <m/>
    <n v="9321658583"/>
    <n v="10"/>
    <s v="APHU6841264"/>
    <s v="APL DHAKA/002W"/>
    <m/>
    <s v="YANTIAN"/>
    <s v="CONS-SHIPT/"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405/000010"/>
    <n v="1370148056"/>
    <n v="10"/>
    <x v="36"/>
    <x v="36"/>
    <s v="L4"/>
    <n v="1830002710"/>
    <n v="76"/>
    <s v="TN1110F0       "/>
    <s v="TN1110F0 MOVING HAIR CLIPPER                      "/>
    <s v="S"/>
    <d v="2012-01-16T00:00:00"/>
    <m/>
    <s v="X"/>
    <x v="52"/>
    <n v="6.42"/>
    <n v="1604"/>
    <d v="2012-01-30T00:00:00"/>
    <d v="2011-12-26T00:00:00"/>
    <n v="3000"/>
    <d v="2012-01-09T00:00:00"/>
    <n v="3000"/>
    <m/>
    <d v="2012-01-09T00:00:00"/>
    <n v="3000"/>
    <d v="2012-02-18T00:00:00"/>
    <d v="2012-01-14T00:00:00"/>
    <n v="3000"/>
    <n v="3000"/>
    <x v="9"/>
    <d v="2012-02-18T00:00:00"/>
    <m/>
    <n v="9321658584"/>
    <n v="10"/>
    <s v="PONU0720011"/>
    <s v="CMA CGM BALZAC/1202"/>
    <m/>
    <s v="YANTIAN"/>
    <s v="CONS-SHIPT/SP-NO-FORECAST/"/>
    <m/>
    <s v="KENUS WONG"/>
    <s v="FO9"/>
    <s v="PERSONAL CARE                 "/>
    <s v="CONFIRMED"/>
    <n v="1"/>
    <n v="2"/>
    <d v="2012-01-14T00:00:00"/>
    <s v="LINEN PERS HOME CARE          "/>
    <s v="PERSONAL CARE                 "/>
    <x v="3"/>
    <x v="2"/>
    <x v="10"/>
    <s v="CONS-SHIPT"/>
    <n v="-3"/>
    <n v="-3"/>
    <x v="8"/>
    <n v="2"/>
    <x v="0"/>
    <x v="0"/>
    <x v="1"/>
    <n v="1"/>
    <n v="0"/>
    <n v="1"/>
    <n v="0"/>
    <n v="0"/>
    <n v="1"/>
    <x v="0"/>
    <x v="0"/>
    <x v="1"/>
    <x v="1"/>
  </r>
  <r>
    <s v="Shipment"/>
    <n v="99002901"/>
    <s v="GROUPE SEB CENTRAL EUROPE KFT.                    "/>
    <n v="99002901"/>
    <x v="29"/>
    <s v="4500261406/000010"/>
    <n v="1370148063"/>
    <n v="10"/>
    <x v="36"/>
    <x v="36"/>
    <s v="L4"/>
    <n v="1830003899"/>
    <n v="76"/>
    <s v="TN1014F0       "/>
    <s v="TN1014F0 LOGIC HAIRCLIPPER                        "/>
    <s v="S"/>
    <d v="2012-01-16T00:00:00"/>
    <m/>
    <s v="X"/>
    <x v="52"/>
    <n v="6.29"/>
    <n v="1571"/>
    <d v="2012-01-30T00:00:00"/>
    <d v="2011-12-26T00:00:00"/>
    <n v="3000"/>
    <d v="2012-01-14T00:00:00"/>
    <n v="3000"/>
    <m/>
    <d v="2012-01-02T00:00:00"/>
    <n v="3000"/>
    <d v="2012-02-18T00:00:00"/>
    <d v="2012-01-14T00:00:00"/>
    <n v="3000"/>
    <n v="3000"/>
    <x v="9"/>
    <d v="2012-02-18T00:00:00"/>
    <m/>
    <n v="9321658585"/>
    <n v="10"/>
    <s v="PONU0720011"/>
    <s v="CMA CGM BALZAC/1202"/>
    <m/>
    <s v="YANTIAN"/>
    <s v="CONS-SHIPT/"/>
    <m/>
    <s v="KENUS WONG"/>
    <s v="FO9"/>
    <s v="PERSONAL CARE                 "/>
    <s v="CONFIRMED"/>
    <n v="1"/>
    <n v="2"/>
    <d v="2012-01-14T00:00:00"/>
    <s v="LINEN PERS HOME CARE          "/>
    <s v="PERSONAL CARE                 "/>
    <x v="3"/>
    <x v="2"/>
    <x v="10"/>
    <s v="CONS-SHIPT"/>
    <n v="-3"/>
    <n v="-3"/>
    <x v="8"/>
    <n v="1"/>
    <x v="0"/>
    <x v="0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379/000010"/>
    <n v="1370147752"/>
    <n v="10"/>
    <x v="36"/>
    <x v="36"/>
    <s v="L4"/>
    <n v="1830002968"/>
    <n v="15"/>
    <s v="MP7011F0       "/>
    <s v="MP7011F0 MANICURE/PEDICURE SET MANEIS             "/>
    <s v="S"/>
    <d v="2012-02-06T00:00:00"/>
    <m/>
    <s v="X"/>
    <x v="52"/>
    <n v="10.65"/>
    <n v="381"/>
    <d v="2012-02-17T00:00:00"/>
    <d v="2011-12-30T00:00:00"/>
    <n v="3000"/>
    <d v="2012-01-21T00:00:00"/>
    <n v="3000"/>
    <m/>
    <d v="2012-01-05T00:00:00"/>
    <n v="3000"/>
    <d v="2012-03-10T00:00:00"/>
    <d v="2012-01-21T00:00:00"/>
    <n v="3000"/>
    <n v="3000"/>
    <x v="4"/>
    <d v="2012-03-11T00:00:00"/>
    <m/>
    <n v="9321658586"/>
    <n v="10"/>
    <s v="TGHU4857088"/>
    <s v="MOL CHARISMA/009W"/>
    <m/>
    <s v="YANTIAN"/>
    <s v="SP-MTL/CONS-SHIPT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9"/>
    <s v="CONS-SHIPT"/>
    <n v="1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6128/000010"/>
    <n v="1370149120"/>
    <n v="10"/>
    <x v="36"/>
    <x v="36"/>
    <s v="L4"/>
    <n v="1830002710"/>
    <n v="76"/>
    <s v="TN1110F0       "/>
    <s v="TN1110F0 MOVING HAIR CLIPPER                      "/>
    <s v="S"/>
    <d v="2012-01-19T00:00:00"/>
    <m/>
    <s v="X"/>
    <x v="52"/>
    <n v="6.42"/>
    <n v="232"/>
    <d v="2012-02-24T00:00:00"/>
    <d v="2012-01-06T00:00:00"/>
    <n v="3000"/>
    <d v="2012-01-14T00:00:00"/>
    <n v="3000"/>
    <m/>
    <d v="2012-01-11T00:00:00"/>
    <n v="3000"/>
    <d v="2012-03-03T00:00:00"/>
    <d v="2012-01-14T00:00:00"/>
    <n v="3000"/>
    <n v="3000"/>
    <x v="19"/>
    <d v="2012-03-06T00:00:00"/>
    <m/>
    <n v="9321658588"/>
    <n v="10"/>
    <s v="TRLU5939241"/>
    <s v="MOL COMPETENCE/021W"/>
    <m/>
    <s v="YANTIAN"/>
    <s v="CONS-SHIPT/"/>
    <m/>
    <s v="KENUS WONG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771/000010"/>
    <n v="1370149248"/>
    <n v="10"/>
    <x v="36"/>
    <x v="36"/>
    <s v="L4"/>
    <n v="1830003895"/>
    <n v="76"/>
    <s v="TN1014C0       "/>
    <s v="TN1014C0 LOGIC HAIRCLIPPER                        "/>
    <s v="S"/>
    <d v="2012-01-09T00:00:00"/>
    <m/>
    <s v="X"/>
    <x v="52"/>
    <n v="6.08"/>
    <n v="5"/>
    <d v="2012-02-03T00:00:00"/>
    <d v="2011-12-30T00:00:00"/>
    <n v="3000"/>
    <d v="2011-12-30T00:00:00"/>
    <n v="3000"/>
    <m/>
    <d v="2012-01-04T00:00:00"/>
    <n v="3000"/>
    <d v="2012-02-10T00:00:00"/>
    <d v="2012-01-06T00:00:00"/>
    <n v="3000"/>
    <n v="3000"/>
    <x v="7"/>
    <d v="2012-02-10T00:00:00"/>
    <m/>
    <n v="9321658589"/>
    <n v="10"/>
    <s v="MRKU3219866"/>
    <s v="MAERSK ESSEN/1202"/>
    <m/>
    <s v="YANTIAN"/>
    <s v="CONS-SHIPT/"/>
    <m/>
    <s v="JASON FAN"/>
    <s v="FO9"/>
    <s v="PERSONAL CARE                 "/>
    <s v="CONFIRMED"/>
    <n v="1"/>
    <n v="1"/>
    <d v="2012-01-06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716/000010"/>
    <n v="1370149317"/>
    <n v="10"/>
    <x v="36"/>
    <x v="36"/>
    <s v="L4"/>
    <n v="1895970001"/>
    <n v="76"/>
    <n v="95970001"/>
    <s v="95970001 HAIR CLIPPER PERFECT LINE                "/>
    <s v="S"/>
    <d v="2012-01-09T00:00:00"/>
    <m/>
    <s v="X"/>
    <x v="52"/>
    <n v="6.29"/>
    <n v="5"/>
    <d v="2012-02-03T00:00:00"/>
    <d v="2011-12-30T00:00:00"/>
    <n v="3000"/>
    <d v="2011-12-30T00:00:00"/>
    <n v="3000"/>
    <m/>
    <d v="2012-01-02T00:00:00"/>
    <n v="3000"/>
    <d v="2012-02-10T00:00:00"/>
    <d v="2012-01-06T00:00:00"/>
    <n v="3000"/>
    <n v="3000"/>
    <x v="7"/>
    <d v="2012-02-10T00:00:00"/>
    <m/>
    <n v="9321658591"/>
    <n v="10"/>
    <s v="MRKU3219866"/>
    <s v="MAERSK ESSEN/1202"/>
    <m/>
    <s v="YANTIAN"/>
    <s v="CONS-SHIPT/"/>
    <m/>
    <s v="JASON FAN"/>
    <s v="FO9"/>
    <s v="PERSONAL CARE                 "/>
    <s v="CONFIRMED"/>
    <n v="1"/>
    <n v="1"/>
    <d v="2012-01-06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8/000010"/>
    <n v="1370147545"/>
    <n v="10"/>
    <x v="61"/>
    <x v="61"/>
    <s v="L2"/>
    <n v="2100062557"/>
    <n v="54"/>
    <s v="PP1100V0       "/>
    <s v="PP1100V0 BATHROOM SCALES CLASSIC GREY TE          "/>
    <s v="S"/>
    <d v="2012-01-10T00:00:00"/>
    <m/>
    <s v="X"/>
    <x v="52"/>
    <n v="5.55"/>
    <n v="5"/>
    <d v="2012-02-03T00:00:00"/>
    <d v="2012-01-06T00:00:00"/>
    <n v="1000"/>
    <d v="2012-01-06T00:00:00"/>
    <n v="1000"/>
    <m/>
    <d v="2012-01-06T00:00:00"/>
    <n v="1000"/>
    <d v="2012-02-03T00:00:00"/>
    <d v="2012-01-06T00:00:00"/>
    <n v="1000"/>
    <n v="1000"/>
    <x v="23"/>
    <d v="2012-02-05T00:00:00"/>
    <m/>
    <n v="9321658592"/>
    <n v="10"/>
    <s v="UACU3511845"/>
    <s v="XIN FU ZHOU/1202W"/>
    <m/>
    <s v="SHANGHAI"/>
    <m/>
    <m/>
    <s v="JASON FAN"/>
    <s v="FO9"/>
    <s v="PERSONAL CARE                 "/>
    <s v="CONFIRMED"/>
    <n v="1"/>
    <n v="1"/>
    <d v="2012-01-08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8/000020"/>
    <n v="1370147545"/>
    <n v="20"/>
    <x v="61"/>
    <x v="61"/>
    <s v="L2"/>
    <n v="2100062619"/>
    <n v="54"/>
    <s v="PP1101V0       "/>
    <s v="PP1101V0 BATHROOM SCALES CLASSIC BLUE TE          "/>
    <s v="S"/>
    <d v="2012-01-10T00:00:00"/>
    <m/>
    <s v="X"/>
    <x v="52"/>
    <n v="5.55"/>
    <n v="5"/>
    <d v="2012-02-03T00:00:00"/>
    <d v="2012-01-06T00:00:00"/>
    <n v="2000"/>
    <d v="2012-01-06T00:00:00"/>
    <n v="2000"/>
    <m/>
    <d v="2012-01-06T00:00:00"/>
    <n v="2000"/>
    <d v="2012-02-03T00:00:00"/>
    <d v="2012-01-06T00:00:00"/>
    <n v="2000"/>
    <n v="2000"/>
    <x v="23"/>
    <d v="2012-02-05T00:00:00"/>
    <m/>
    <n v="9321658592"/>
    <n v="20"/>
    <s v="UACU3511845"/>
    <s v="XIN FU ZHOU/1202W"/>
    <m/>
    <s v="SHANGHAI"/>
    <m/>
    <m/>
    <s v="JASON FAN"/>
    <s v="FO9"/>
    <s v="PERSONAL CARE                 "/>
    <s v="CONFIRMED"/>
    <n v="1"/>
    <n v="1"/>
    <d v="2012-01-08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8/000030"/>
    <n v="1370147545"/>
    <n v="30"/>
    <x v="61"/>
    <x v="61"/>
    <s v="L2"/>
    <n v="2100062620"/>
    <n v="54"/>
    <s v="PP1200V0       "/>
    <s v="PP1200V0 BATHROOM SCALES PREMIO GREY TEF          "/>
    <s v="S"/>
    <d v="2012-01-10T00:00:00"/>
    <m/>
    <s v="X"/>
    <x v="52"/>
    <n v="7.13"/>
    <n v="5"/>
    <d v="2012-02-03T00:00:00"/>
    <d v="2012-01-06T00:00:00"/>
    <n v="1000"/>
    <d v="2012-01-06T00:00:00"/>
    <n v="1000"/>
    <m/>
    <d v="2012-01-06T00:00:00"/>
    <n v="1000"/>
    <d v="2012-02-03T00:00:00"/>
    <d v="2012-01-06T00:00:00"/>
    <n v="1000"/>
    <n v="1000"/>
    <x v="23"/>
    <d v="2012-02-05T00:00:00"/>
    <m/>
    <n v="9321658592"/>
    <n v="30"/>
    <s v="UACU3511845"/>
    <s v="XIN FU ZHOU/1202W"/>
    <m/>
    <s v="SHANGHAI"/>
    <m/>
    <m/>
    <s v="JASON FAN"/>
    <s v="FO9"/>
    <s v="PERSONAL CARE                 "/>
    <s v="CONFIRMED"/>
    <n v="1"/>
    <n v="1"/>
    <d v="2012-01-08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8/000040"/>
    <n v="1370147545"/>
    <n v="40"/>
    <x v="61"/>
    <x v="61"/>
    <s v="L2"/>
    <n v="2100062639"/>
    <n v="54"/>
    <s v="PP1001V0       "/>
    <s v="PP1001V0 BATHROOM SCALES PREMISS BLACK T          "/>
    <s v="S"/>
    <d v="2012-01-10T00:00:00"/>
    <m/>
    <s v="X"/>
    <x v="52"/>
    <n v="5.0999999999999996"/>
    <n v="5"/>
    <d v="2012-02-03T00:00:00"/>
    <d v="2012-01-06T00:00:00"/>
    <n v="1000"/>
    <d v="2012-01-06T00:00:00"/>
    <n v="1000"/>
    <m/>
    <d v="2012-01-06T00:00:00"/>
    <n v="1000"/>
    <d v="2012-02-03T00:00:00"/>
    <d v="2012-01-06T00:00:00"/>
    <n v="1000"/>
    <n v="1000"/>
    <x v="23"/>
    <d v="2012-02-05T00:00:00"/>
    <m/>
    <n v="9321658592"/>
    <n v="40"/>
    <s v="UACU3511845"/>
    <s v="XIN FU ZHOU/1202W"/>
    <m/>
    <s v="SHANGHAI"/>
    <m/>
    <m/>
    <s v="JASON FAN"/>
    <s v="FO9"/>
    <s v="PERSONAL CARE                 "/>
    <s v="CONFIRMED"/>
    <n v="1"/>
    <n v="1"/>
    <d v="2012-01-08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456/000010"/>
    <n v="1370147686"/>
    <n v="10"/>
    <x v="61"/>
    <x v="61"/>
    <s v="L2"/>
    <n v="2100062813"/>
    <n v="54"/>
    <s v="PP1203V0       "/>
    <s v="PP1203V0 BATHROOM SCALES PREMIO BLUE TEF          "/>
    <s v="S"/>
    <d v="2012-01-04T00:00:00"/>
    <m/>
    <s v="X"/>
    <x v="52"/>
    <n v="7.13"/>
    <n v="264"/>
    <d v="2012-02-24T00:00:00"/>
    <d v="2012-01-06T00:00:00"/>
    <n v="1000"/>
    <d v="2011-12-30T00:00:00"/>
    <n v="1400"/>
    <m/>
    <d v="2012-01-06T00:00:00"/>
    <n v="1800"/>
    <d v="2012-02-17T00:00:00"/>
    <d v="2011-12-30T00:00:00"/>
    <n v="1400"/>
    <n v="1400"/>
    <x v="16"/>
    <d v="2012-02-21T00:00:00"/>
    <m/>
    <n v="9321658593"/>
    <n v="10"/>
    <s v="FCIU8796321"/>
    <s v="APL RUSSIA/020W"/>
    <m/>
    <s v="SHANGHAI"/>
    <s v="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466/000010"/>
    <n v="1370147736"/>
    <n v="10"/>
    <x v="61"/>
    <x v="61"/>
    <s v="L2"/>
    <n v="2100065566"/>
    <n v="54"/>
    <s v="PP1004V0       "/>
    <s v="PP1004V0 BATHROOM SCALES PREMISS BLUE TE          "/>
    <s v="S"/>
    <d v="2012-01-04T00:00:00"/>
    <m/>
    <s v="X"/>
    <x v="52"/>
    <n v="5.8"/>
    <n v="214"/>
    <d v="2012-02-24T00:00:00"/>
    <d v="2012-01-06T00:00:00"/>
    <n v="1500"/>
    <d v="2011-12-30T00:00:00"/>
    <n v="3000"/>
    <m/>
    <d v="2012-01-06T00:00:00"/>
    <n v="3000"/>
    <d v="2012-02-17T00:00:00"/>
    <d v="2011-12-30T00:00:00"/>
    <n v="3000"/>
    <n v="3000"/>
    <x v="16"/>
    <d v="2012-02-21T00:00:00"/>
    <m/>
    <n v="9321658594"/>
    <n v="10"/>
    <s v="FCIU8796321"/>
    <s v="APL RUSSIA/020W"/>
    <m/>
    <s v="SHANGHAI"/>
    <s v="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454/000010"/>
    <n v="1370147738"/>
    <n v="10"/>
    <x v="61"/>
    <x v="61"/>
    <s v="L2"/>
    <n v="2100062557"/>
    <n v="54"/>
    <s v="PP1100V0       "/>
    <s v="PP1100V0 BATHROOM SCALES CLASSIC GREY TE          "/>
    <s v="S"/>
    <d v="2012-01-04T00:00:00"/>
    <m/>
    <s v="X"/>
    <x v="52"/>
    <n v="5.55"/>
    <n v="204"/>
    <d v="2012-02-24T00:00:00"/>
    <d v="2012-01-06T00:00:00"/>
    <n v="2800"/>
    <d v="2011-12-30T00:00:00"/>
    <n v="3200"/>
    <m/>
    <d v="2012-01-06T00:00:00"/>
    <n v="3200"/>
    <d v="2012-02-17T00:00:00"/>
    <d v="2011-12-30T00:00:00"/>
    <n v="3200"/>
    <n v="3200"/>
    <x v="16"/>
    <d v="2012-02-21T00:00:00"/>
    <m/>
    <n v="9321658595"/>
    <n v="10"/>
    <s v="FCIU8796321"/>
    <s v="APL RUSSIA/020W"/>
    <m/>
    <s v="SHANGHAI"/>
    <s v="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463/000010"/>
    <n v="1370147711"/>
    <n v="10"/>
    <x v="61"/>
    <x v="61"/>
    <s v="L2"/>
    <n v="2100062619"/>
    <n v="54"/>
    <s v="PP1101V0       "/>
    <s v="PP1101V0 BATHROOM SCALES CLASSIC BLUE TE          "/>
    <s v="S"/>
    <d v="2012-01-04T00:00:00"/>
    <m/>
    <s v="X"/>
    <x v="52"/>
    <n v="5.55"/>
    <n v="204"/>
    <d v="2012-02-24T00:00:00"/>
    <d v="2012-01-06T00:00:00"/>
    <n v="1200"/>
    <d v="2011-12-30T00:00:00"/>
    <n v="2000"/>
    <m/>
    <d v="2012-01-06T00:00:00"/>
    <n v="2000"/>
    <d v="2012-02-17T00:00:00"/>
    <d v="2011-12-30T00:00:00"/>
    <n v="2000"/>
    <n v="2000"/>
    <x v="16"/>
    <d v="2012-02-21T00:00:00"/>
    <m/>
    <n v="9321658596"/>
    <n v="10"/>
    <s v="FCIU8796321"/>
    <s v="APL RUSSIA/020W"/>
    <m/>
    <s v="SHANGHAI"/>
    <s v="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458/000010"/>
    <n v="1370147677"/>
    <n v="10"/>
    <x v="61"/>
    <x v="61"/>
    <s v="L2"/>
    <n v="2100062640"/>
    <n v="54"/>
    <s v="PP1000V0       "/>
    <s v="PP1000V0 BATHROOM SCALES PREMISS WHITE T          "/>
    <s v="S"/>
    <d v="2012-01-04T00:00:00"/>
    <m/>
    <s v="X"/>
    <x v="52"/>
    <n v="5.0999999999999996"/>
    <n v="188"/>
    <d v="2012-02-24T00:00:00"/>
    <d v="2012-01-06T00:00:00"/>
    <n v="3000"/>
    <d v="2011-12-30T00:00:00"/>
    <n v="3200"/>
    <m/>
    <d v="2012-01-06T00:00:00"/>
    <n v="3200"/>
    <d v="2012-02-17T00:00:00"/>
    <d v="2011-12-30T00:00:00"/>
    <n v="3200"/>
    <n v="3200"/>
    <x v="16"/>
    <d v="2012-02-21T00:00:00"/>
    <m/>
    <n v="9321658597"/>
    <n v="10"/>
    <s v="FCIU8796321"/>
    <s v="APL RUSSIA/020W"/>
    <m/>
    <s v="SHANGHAI"/>
    <s v="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461/000010"/>
    <n v="1370147708"/>
    <n v="10"/>
    <x v="61"/>
    <x v="61"/>
    <s v="L2"/>
    <n v="2100062639"/>
    <n v="54"/>
    <s v="PP1001V0       "/>
    <s v="PP1001V0 BATHROOM SCALES PREMISS BLACK T          "/>
    <s v="S"/>
    <d v="2012-01-04T00:00:00"/>
    <m/>
    <s v="X"/>
    <x v="52"/>
    <n v="5.0999999999999996"/>
    <n v="188"/>
    <d v="2012-02-24T00:00:00"/>
    <d v="2012-01-06T00:00:00"/>
    <n v="1200"/>
    <d v="2011-12-30T00:00:00"/>
    <n v="1500"/>
    <m/>
    <d v="2012-01-06T00:00:00"/>
    <n v="1800"/>
    <d v="2012-02-17T00:00:00"/>
    <d v="2011-12-30T00:00:00"/>
    <n v="1500"/>
    <n v="1500"/>
    <x v="16"/>
    <d v="2012-02-21T00:00:00"/>
    <m/>
    <n v="9321658598"/>
    <n v="10"/>
    <s v="FCIU8796321"/>
    <s v="APL RUSSIA/020W"/>
    <m/>
    <s v="SHANGHAI"/>
    <s v="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4244/000010"/>
    <n v="1370148543"/>
    <n v="10"/>
    <x v="26"/>
    <x v="26"/>
    <s v="P1"/>
    <n v="1500833186"/>
    <n v="105"/>
    <n v="833186"/>
    <s v="BKB486 CTP VITAPRESS 1L WHT CL                    "/>
    <s v="S"/>
    <d v="2012-01-09T00:00:00"/>
    <m/>
    <s v="X"/>
    <x v="52"/>
    <n v="6.28"/>
    <n v="8"/>
    <d v="2012-01-05T00:00:00"/>
    <d v="2012-01-04T00:00:00"/>
    <n v="3024"/>
    <d v="2012-01-04T00:00:00"/>
    <n v="3024"/>
    <m/>
    <d v="2012-01-11T00:00:00"/>
    <n v="3024"/>
    <d v="2012-01-08T00:00:00"/>
    <d v="2012-01-07T00:00:00"/>
    <n v="3024"/>
    <n v="3024"/>
    <x v="12"/>
    <d v="2012-01-08T00:00:00"/>
    <m/>
    <n v="9321658599"/>
    <n v="10"/>
    <s v="BY TRUCK"/>
    <s v="BY TRUCK"/>
    <m/>
    <s v="YANTIAN"/>
    <s v="SP-BOTTLENECK/"/>
    <m/>
    <s v="ZANDRA LAM"/>
    <s v="FO9"/>
    <s v="FOOD PREPARATION              "/>
    <s v="CONFIRMED"/>
    <n v="1"/>
    <n v="1"/>
    <d v="2012-01-07T00:00:00"/>
    <s v="KITCHEN ELECTRICS             "/>
    <s v="FOOD PREPARATION              "/>
    <x v="1"/>
    <x v="1"/>
    <x v="6"/>
    <s v="SP-BOTTLENECK"/>
    <n v="1"/>
    <n v="1"/>
    <x v="16"/>
    <n v="1"/>
    <x v="0"/>
    <x v="1"/>
    <x v="0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60/039728"/>
    <n v="1370149088"/>
    <n v="10"/>
    <x v="26"/>
    <x v="26"/>
    <s v="P1"/>
    <n v="1500831645"/>
    <n v="105"/>
    <n v="831645"/>
    <s v="JU400145 JUI FRUTTI PRO XL WHT/GRE CO             "/>
    <s v="S"/>
    <d v="2012-01-10T00:00:00"/>
    <m/>
    <s v="X"/>
    <x v="52"/>
    <n v="28.2"/>
    <n v="32"/>
    <d v="2012-02-10T00:00:00"/>
    <d v="2012-01-06T00:00:00"/>
    <n v="872"/>
    <d v="2012-01-02T00:00:00"/>
    <n v="872"/>
    <m/>
    <d v="2012-01-16T00:00:00"/>
    <n v="872"/>
    <d v="2012-02-12T00:00:00"/>
    <d v="2012-01-08T00:00:00"/>
    <n v="872"/>
    <n v="872"/>
    <x v="23"/>
    <d v="2012-02-12T00:00:00"/>
    <m/>
    <n v="9321658601"/>
    <n v="10"/>
    <s v="MRKU7407223"/>
    <s v="MAERSK SANA 1203/"/>
    <m/>
    <s v="YANTIAN"/>
    <s v="SP-NO-FORECAST/"/>
    <m/>
    <s v="THOMAS HO"/>
    <s v="FO9"/>
    <s v="FOOD PREPARATION              "/>
    <s v="CONFIRMED"/>
    <n v="1"/>
    <n v="1"/>
    <d v="2012-01-08T00:00:00"/>
    <s v="KITCHEN ELECTRICS             "/>
    <s v="FOOD PREPARATION              "/>
    <x v="1"/>
    <x v="1"/>
    <x v="14"/>
    <s v="SP-NO-FORECAST"/>
    <n v="-3"/>
    <n v="-3"/>
    <x v="15"/>
    <n v="1"/>
    <x v="0"/>
    <x v="1"/>
    <x v="0"/>
    <n v="1"/>
    <n v="0"/>
    <n v="1"/>
    <n v="0"/>
    <n v="0"/>
    <n v="1"/>
    <x v="0"/>
    <x v="0"/>
    <x v="1"/>
    <x v="1"/>
  </r>
  <r>
    <s v="Shipment"/>
    <n v="99002102"/>
    <s v="GROUPE SEB ITALIA S.p.a                           "/>
    <n v="99002102"/>
    <x v="14"/>
    <s v="4600079071/000050"/>
    <n v="1370149100"/>
    <n v="50"/>
    <x v="26"/>
    <x v="26"/>
    <s v="M5"/>
    <n v="2210015908"/>
    <n v="69"/>
    <s v="AC446101       "/>
    <s v="AC446101 VAC CLEANER  EXTENSO CYLONIC 4           "/>
    <s v="S"/>
    <d v="2012-01-19T00:00:00"/>
    <m/>
    <s v="X"/>
    <x v="52"/>
    <n v="14.79"/>
    <n v="5"/>
    <d v="2012-02-06T00:00:00"/>
    <d v="2012-01-09T00:00:00"/>
    <n v="2430"/>
    <d v="2012-01-09T00:00:00"/>
    <n v="2430"/>
    <m/>
    <d v="2012-02-17T00:00:00"/>
    <n v="2430"/>
    <d v="2012-02-13T00:00:00"/>
    <d v="2012-01-16T00:00:00"/>
    <n v="2430"/>
    <n v="2430"/>
    <x v="15"/>
    <d v="2012-02-23T00:00:00"/>
    <m/>
    <n v="9321658602"/>
    <n v="10"/>
    <s v="OOLU7545294"/>
    <s v="LOS ANGELES EXPRESS"/>
    <m/>
    <s v="SHENZHEN"/>
    <s v="SP-PROD-ISSUE/SP-INSP-FAILED/"/>
    <m/>
    <s v="JASON FAN"/>
    <s v="FO9"/>
    <s v="HOME CLEANING                 "/>
    <s v="CONFIRMED"/>
    <n v="1"/>
    <n v="4"/>
    <d v="2012-01-26T00:00:00"/>
    <s v="HOME CLEANING                 "/>
    <s v="HOME CLEANING                 "/>
    <x v="1"/>
    <x v="1"/>
    <x v="12"/>
    <s v="SP-INSP-FAILED"/>
    <n v="1"/>
    <n v="1"/>
    <x v="12"/>
    <n v="2"/>
    <x v="0"/>
    <x v="0"/>
    <x v="0"/>
    <n v="1"/>
    <n v="0"/>
    <n v="0"/>
    <n v="0"/>
    <n v="0"/>
    <n v="0"/>
    <x v="0"/>
    <x v="1"/>
    <x v="1"/>
    <x v="0"/>
  </r>
  <r>
    <s v="Shipment"/>
    <n v="99002102"/>
    <s v="GROUPE SEB ITALIA S.p.a                           "/>
    <n v="99002102"/>
    <x v="14"/>
    <s v="4600079071/000120"/>
    <n v="1370149100"/>
    <n v="120"/>
    <x v="26"/>
    <x v="26"/>
    <s v="M5"/>
    <n v="2210015428"/>
    <n v="69"/>
    <s v="AC476901       "/>
    <s v="AC476901 VAC CLEANER 72 V  EXTENSO DRY            "/>
    <s v="S"/>
    <d v="2012-01-19T00:00:00"/>
    <m/>
    <s v="X"/>
    <x v="52"/>
    <n v="18.23"/>
    <n v="5"/>
    <d v="2012-02-06T00:00:00"/>
    <d v="2012-01-09T00:00:00"/>
    <n v="2430"/>
    <d v="2012-01-09T00:00:00"/>
    <n v="2430"/>
    <m/>
    <d v="2012-02-17T00:00:00"/>
    <n v="2430"/>
    <d v="2012-02-13T00:00:00"/>
    <d v="2012-01-16T00:00:00"/>
    <n v="2430"/>
    <n v="2430"/>
    <x v="15"/>
    <d v="2012-02-23T00:00:00"/>
    <m/>
    <n v="9321658602"/>
    <n v="20"/>
    <s v="OOLU7545294"/>
    <s v="LOS ANGELES EXPRESS"/>
    <m/>
    <s v="SHENZHEN"/>
    <s v="SP-PROD-ISSUE/SP-INSP-FAILED/"/>
    <m/>
    <s v="JASON FAN"/>
    <s v="FO9"/>
    <s v="HOME CLEANING                 "/>
    <s v="CONFIRMED"/>
    <n v="1"/>
    <n v="4"/>
    <d v="2012-01-26T00:00:00"/>
    <s v="HOME CLEANING                 "/>
    <s v="HOME CLEANING                 "/>
    <x v="1"/>
    <x v="1"/>
    <x v="12"/>
    <s v="SP-INSP-FAILED"/>
    <n v="1"/>
    <n v="1"/>
    <x v="12"/>
    <n v="2"/>
    <x v="0"/>
    <x v="0"/>
    <x v="0"/>
    <n v="1"/>
    <n v="0"/>
    <n v="0"/>
    <n v="0"/>
    <n v="0"/>
    <n v="0"/>
    <x v="0"/>
    <x v="1"/>
    <x v="1"/>
    <x v="0"/>
  </r>
  <r>
    <s v="Shipment"/>
    <n v="99102353"/>
    <s v="THE BRANCH OF ZAO &quot;GROUPE SEB                     "/>
    <n v="99004801"/>
    <x v="1"/>
    <s v="9321655964/000010"/>
    <n v="1370149118"/>
    <n v="10"/>
    <x v="26"/>
    <x v="26"/>
    <s v="P1"/>
    <n v="1500831597"/>
    <n v="105"/>
    <n v="831597"/>
    <s v="JU581136 JUI EASY FRUIT 700W PLAST SILV           "/>
    <s v="S"/>
    <d v="2012-01-31T00:00:00"/>
    <m/>
    <s v="X"/>
    <x v="52"/>
    <n v="31.5"/>
    <n v="1137"/>
    <d v="2012-02-27T00:00:00"/>
    <d v="2012-01-09T00:00:00"/>
    <n v="1164"/>
    <d v="2012-01-20T00:00:00"/>
    <n v="1164"/>
    <m/>
    <d v="2012-01-16T00:00:00"/>
    <n v="1164"/>
    <d v="2012-03-09T00:00:00"/>
    <d v="2012-01-20T00:00:00"/>
    <n v="1164"/>
    <n v="1164"/>
    <x v="15"/>
    <d v="2012-03-15T00:00:00"/>
    <m/>
    <n v="9321658604"/>
    <n v="10"/>
    <s v="APZU4520761"/>
    <s v="MOL MARVEL 008W"/>
    <m/>
    <s v="YANTIAN"/>
    <s v="C-POST-CONF/"/>
    <m/>
    <s v="KENUS WONG"/>
    <s v="FO9"/>
    <s v="FOOD PREPARATION              "/>
    <s v="CONFIRMED"/>
    <n v="1"/>
    <n v="4"/>
    <d v="2012-01-26T00:00:00"/>
    <s v="KITCHEN ELECTRICS             "/>
    <s v="FOOD PREPARATION              "/>
    <x v="1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5941/000010"/>
    <n v="1370149170"/>
    <n v="10"/>
    <x v="26"/>
    <x v="26"/>
    <s v="P1"/>
    <n v="1500831592"/>
    <n v="105"/>
    <n v="831592"/>
    <s v="JU585D3E JUI EASY FRUIT 700W SILV/SS CIS          "/>
    <s v="S"/>
    <d v="2012-01-07T00:00:00"/>
    <m/>
    <s v="X"/>
    <x v="52"/>
    <n v="34.450000000000003"/>
    <n v="1241"/>
    <d v="2012-02-27T00:00:00"/>
    <d v="2012-01-09T00:00:00"/>
    <n v="1164"/>
    <d v="2012-01-09T00:00:00"/>
    <n v="1164"/>
    <m/>
    <d v="2012-01-16T00:00:00"/>
    <n v="1164"/>
    <d v="2012-03-05T00:00:00"/>
    <d v="2012-01-16T00:00:00"/>
    <n v="1164"/>
    <n v="1164"/>
    <x v="6"/>
    <d v="2012-02-23T00:00:00"/>
    <m/>
    <n v="9321658605"/>
    <n v="10"/>
    <s v="TRLU6195946"/>
    <s v="MOL MAXIM/010W"/>
    <m/>
    <s v="YANTIAN"/>
    <m/>
    <m/>
    <s v="KENUS WONG"/>
    <s v="FO9"/>
    <s v="FOOD PREPARATION              "/>
    <s v="CONFIRMED"/>
    <n v="1"/>
    <n v="1"/>
    <d v="2012-01-05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277/000010"/>
    <n v="1370149214"/>
    <n v="10"/>
    <x v="26"/>
    <x v="26"/>
    <s v="P1"/>
    <n v="1500833146"/>
    <n v="105"/>
    <n v="833146"/>
    <s v="BKB246 CTP VITAPRESS 600 YEL FR                   "/>
    <s v="S"/>
    <d v="2012-01-10T00:00:00"/>
    <m/>
    <s v="X"/>
    <x v="52"/>
    <n v="6.15"/>
    <n v="5"/>
    <d v="2012-02-03T00:00:00"/>
    <d v="2011-12-30T00:00:00"/>
    <n v="6872"/>
    <d v="2012-01-03T00:00:00"/>
    <n v="6872"/>
    <m/>
    <d v="2012-01-13T00:00:00"/>
    <n v="6872"/>
    <d v="2012-02-07T00:00:00"/>
    <d v="2012-01-03T00:00:00"/>
    <n v="6872"/>
    <n v="6872"/>
    <x v="7"/>
    <d v="2012-02-10T00:00:00"/>
    <m/>
    <n v="9321658607"/>
    <n v="10"/>
    <s v="PONU1932308"/>
    <s v="MAERSK ESSEN/1202"/>
    <m/>
    <s v="YANTIAN"/>
    <s v="C-POST-CONF/SP-PROD-ISSUE/"/>
    <m/>
    <s v="JASON FAN"/>
    <s v="FO9"/>
    <s v="FOOD PREPARATION              "/>
    <s v="CONFIRMED"/>
    <n v="1"/>
    <n v="1"/>
    <d v="2012-01-06T00:00:00"/>
    <s v="KITCHEN ELECTRICS             "/>
    <s v="FOOD PREPARATION              "/>
    <x v="1"/>
    <x v="1"/>
    <x v="3"/>
    <s v="C-POST-CONF"/>
    <n v="-3"/>
    <n v="-3"/>
    <x v="0"/>
    <n v="2"/>
    <x v="0"/>
    <x v="1"/>
    <x v="0"/>
    <n v="1"/>
    <n v="0"/>
    <n v="1"/>
    <n v="0"/>
    <n v="0"/>
    <n v="1"/>
    <x v="0"/>
    <x v="0"/>
    <x v="1"/>
    <x v="1"/>
  </r>
  <r>
    <s v="Shipment"/>
    <n v="99002901"/>
    <s v="GROUPE SEB CENTRAL EUROPE KFT.                    "/>
    <n v="99002901"/>
    <x v="29"/>
    <s v="4500261451/000010"/>
    <n v="1370148053"/>
    <n v="10"/>
    <x v="46"/>
    <x v="46"/>
    <s v="L4"/>
    <n v="1830003142"/>
    <n v="175"/>
    <s v="CF4032D0       "/>
    <s v="CF4032D0 MULTI STYLER APPLIANCE                   "/>
    <s v="S"/>
    <d v="2012-01-23T00:00:00"/>
    <m/>
    <s v="X"/>
    <x v="52"/>
    <n v="14.88"/>
    <n v="3601"/>
    <d v="2012-01-30T00:00:00"/>
    <d v="2011-12-26T00:00:00"/>
    <n v="3000"/>
    <d v="2012-01-19T00:00:00"/>
    <n v="3000"/>
    <m/>
    <d v="2011-12-26T00:00:00"/>
    <n v="3000"/>
    <d v="2012-02-23T00:00:00"/>
    <d v="2012-01-19T00:00:00"/>
    <n v="3000"/>
    <n v="3000"/>
    <x v="26"/>
    <d v="2012-02-25T00:00:00"/>
    <m/>
    <n v="9321658608"/>
    <n v="10"/>
    <s v="MSKU6018403"/>
    <s v="MAERSK EINDHOVEN/120"/>
    <m/>
    <s v="YANTIAN"/>
    <s v="CONS-SHIPT/"/>
    <m/>
    <s v="KENUS WONG"/>
    <s v="FO9"/>
    <s v="PERSONAL CARE                 "/>
    <s v="CONFIRMED"/>
    <n v="1"/>
    <n v="3"/>
    <d v="2012-01-21T00:00:00"/>
    <s v="LINEN PERS HOME CARE          "/>
    <s v="PERSONAL CARE                 "/>
    <x v="3"/>
    <x v="2"/>
    <x v="10"/>
    <s v="CONS-SHIPT"/>
    <n v="-3"/>
    <n v="-3"/>
    <x v="8"/>
    <n v="1"/>
    <x v="0"/>
    <x v="0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8364/000010"/>
    <n v="1370149136"/>
    <n v="10"/>
    <x v="46"/>
    <x v="46"/>
    <s v="L4"/>
    <n v="1830001529"/>
    <n v="175"/>
    <s v="CF2012D0       "/>
    <s v="CF2012D0 CURLING IRON JUMBO                       "/>
    <s v="S"/>
    <d v="2012-01-18T00:00:00"/>
    <m/>
    <s v="X"/>
    <x v="52"/>
    <n v="5.24"/>
    <n v="186"/>
    <d v="2012-02-24T00:00:00"/>
    <d v="2012-01-06T00:00:00"/>
    <n v="3300"/>
    <d v="2012-01-14T00:00:00"/>
    <n v="3300"/>
    <m/>
    <d v="2012-01-06T00:00:00"/>
    <n v="3300"/>
    <d v="2012-03-03T00:00:00"/>
    <d v="2012-01-14T00:00:00"/>
    <n v="3300"/>
    <n v="3300"/>
    <x v="19"/>
    <d v="2012-03-06T00:00:00"/>
    <m/>
    <n v="9321658609"/>
    <n v="10"/>
    <s v="TRLU5939241"/>
    <s v="MOL COMPETENCE/021W"/>
    <m/>
    <s v="YANTIAN"/>
    <s v="CONS-SHIPT/"/>
    <m/>
    <s v="KENUS WONG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6767/000010"/>
    <n v="1370149148"/>
    <n v="10"/>
    <x v="46"/>
    <x v="46"/>
    <s v="L4"/>
    <n v="1830003142"/>
    <n v="175"/>
    <s v="CF4032D0       "/>
    <s v="CF4032D0 MULTI STYLER APPLIANCE                   "/>
    <s v="S"/>
    <d v="2012-01-29T00:00:00"/>
    <m/>
    <s v="X"/>
    <x v="52"/>
    <n v="14.88"/>
    <n v="520"/>
    <d v="2012-02-26T00:00:00"/>
    <d v="2012-01-08T00:00:00"/>
    <n v="3000"/>
    <d v="2012-01-14T00:00:00"/>
    <n v="3000"/>
    <m/>
    <d v="2012-01-08T00:00:00"/>
    <n v="3000"/>
    <d v="2012-03-03T00:00:00"/>
    <d v="2012-01-14T00:00:00"/>
    <n v="3000"/>
    <n v="3000"/>
    <x v="4"/>
    <d v="2012-03-11T00:00:00"/>
    <m/>
    <n v="9321658610"/>
    <n v="10"/>
    <s v="TTNU5034491"/>
    <s v="MOL CHARISMA/009W"/>
    <m/>
    <s v="YANTIAN"/>
    <s v="SAILING-SCHED-UPDATE/CONS-SHIPT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6841/000010"/>
    <n v="1370149154"/>
    <n v="10"/>
    <x v="46"/>
    <x v="46"/>
    <s v="L4"/>
    <n v="1830003413"/>
    <n v="175"/>
    <s v="CF4006F0       "/>
    <s v="CF4006F0 MULTI STYLER ARTIST                      "/>
    <s v="S"/>
    <d v="2012-01-29T00:00:00"/>
    <m/>
    <s v="X"/>
    <x v="52"/>
    <n v="9.59"/>
    <n v="358"/>
    <d v="2012-03-02T00:00:00"/>
    <d v="2012-01-13T00:00:00"/>
    <n v="3000"/>
    <d v="2012-01-14T00:00:00"/>
    <n v="3000"/>
    <m/>
    <d v="2012-01-13T00:00:00"/>
    <n v="3000"/>
    <d v="2012-03-03T00:00:00"/>
    <d v="2012-01-14T00:00:00"/>
    <n v="3000"/>
    <n v="3000"/>
    <x v="4"/>
    <d v="2012-03-11T00:00:00"/>
    <m/>
    <n v="9321658611"/>
    <n v="10"/>
    <s v="TTNU5034491"/>
    <s v="MOL CHARISMA/009W"/>
    <m/>
    <s v="YANTIAN"/>
    <s v="SAILING-SCHED-UPDATE/CONS-SHIPT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3058/000010"/>
    <n v="1370148255"/>
    <n v="10"/>
    <x v="37"/>
    <x v="37"/>
    <s v="N3"/>
    <n v="1500632010"/>
    <n v="177"/>
    <n v="632010"/>
    <s v="FR700951 EMERILWARE FRYER BY T-FAL                "/>
    <s v="S"/>
    <d v="2012-01-05T00:00:00"/>
    <m/>
    <s v="X"/>
    <x v="52"/>
    <n v="45.95"/>
    <n v="53262"/>
    <d v="2012-02-03T00:00:00"/>
    <d v="2011-12-30T00:00:00"/>
    <n v="2000"/>
    <d v="2012-01-05T00:00:00"/>
    <n v="2056"/>
    <m/>
    <d v="2011-12-30T00:00:00"/>
    <n v="2056"/>
    <d v="2012-02-09T00:00:00"/>
    <d v="2012-01-05T00:00:00"/>
    <n v="2056"/>
    <n v="1028"/>
    <x v="13"/>
    <d v="2012-02-05T00:00:00"/>
    <m/>
    <n v="9321658612"/>
    <n v="10"/>
    <s v="TCNU9852214"/>
    <s v="ITAL LAGUNA 0608-036"/>
    <m/>
    <s v="YANTIAN"/>
    <s v="SP-HOLIDAY"/>
    <m/>
    <s v="TWEETY LEUNG"/>
    <s v="FO9"/>
    <s v="ELECTRICAL COOKING            "/>
    <s v="CONFIRMED"/>
    <n v="1"/>
    <n v="52"/>
    <d v="2012-01-01T00:00:00"/>
    <s v="KITCHEN ELECTRICS             "/>
    <s v="ELECTRICAL COOKING            "/>
    <x v="1"/>
    <x v="1"/>
    <x v="7"/>
    <s v="SP-HOLIDAY"/>
    <n v="-3"/>
    <n v="-3"/>
    <x v="6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58/000010"/>
    <n v="1370148255"/>
    <n v="10"/>
    <x v="37"/>
    <x v="37"/>
    <s v="N3"/>
    <n v="1500632010"/>
    <n v="177"/>
    <n v="632010"/>
    <s v="FR700951 EMERILWARE FRYER BY T-FAL                "/>
    <s v="S"/>
    <d v="2012-01-06T00:00:00"/>
    <m/>
    <s v="X"/>
    <x v="52"/>
    <n v="45.95"/>
    <n v="53262"/>
    <d v="2012-02-03T00:00:00"/>
    <d v="2011-12-30T00:00:00"/>
    <n v="2000"/>
    <d v="2012-01-05T00:00:00"/>
    <n v="2056"/>
    <m/>
    <d v="2011-12-30T00:00:00"/>
    <n v="2056"/>
    <d v="2012-02-09T00:00:00"/>
    <d v="2012-01-05T00:00:00"/>
    <n v="2056"/>
    <n v="1028"/>
    <x v="13"/>
    <d v="2012-02-05T00:00:00"/>
    <m/>
    <n v="9321658612"/>
    <n v="10"/>
    <s v="FCIU8442863"/>
    <s v="ITAL LAGUNA 0608-036"/>
    <m/>
    <s v="YANTIAN"/>
    <s v="SP-HOLIDAY"/>
    <m/>
    <s v="TWEETY LEUNG"/>
    <s v="FO9"/>
    <s v="ELECTRICAL COOKING            "/>
    <s v="CONFIRMED"/>
    <n v="1"/>
    <n v="52"/>
    <d v="2012-01-01T00:00:00"/>
    <s v="KITCHEN ELECTRICS             "/>
    <s v="ELECTRICAL COOKING            "/>
    <x v="1"/>
    <x v="1"/>
    <x v="7"/>
    <s v="SP-HOLIDAY"/>
    <n v="-3"/>
    <n v="-3"/>
    <x v="6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31/000010"/>
    <n v="1370148262"/>
    <n v="10"/>
    <x v="37"/>
    <x v="37"/>
    <s v="N3"/>
    <n v="1500632000"/>
    <n v="177"/>
    <n v="632000"/>
    <s v="FR700850 ULTIMATE EZ CLEAN PRO FRYER              "/>
    <s v="S"/>
    <d v="2012-01-16T00:00:00"/>
    <m/>
    <s v="X"/>
    <x v="52"/>
    <n v="40.130000000000003"/>
    <n v="49"/>
    <d v="2012-02-03T00:00:00"/>
    <d v="2011-12-30T00:00:00"/>
    <n v="2000"/>
    <d v="2012-01-06T00:00:00"/>
    <n v="2056"/>
    <m/>
    <d v="2011-12-30T00:00:00"/>
    <n v="2056"/>
    <d v="2012-02-10T00:00:00"/>
    <d v="2012-01-06T00:00:00"/>
    <n v="2056"/>
    <n v="1028"/>
    <x v="5"/>
    <d v="2012-02-14T00:00:00"/>
    <m/>
    <n v="9321658613"/>
    <n v="10"/>
    <s v="TRLU7176982"/>
    <s v="ZIM ONTARIO 12E01/"/>
    <m/>
    <s v="YANTIAN"/>
    <s v="C-POST-CONF(FROM WK 52 TO WK01) UASC KHOR FAKKAN 0005E 06/01/12 03/02/12"/>
    <m/>
    <s v="TWEETY LEUNG"/>
    <s v="FO9"/>
    <s v="ELECTRICAL COOKING            "/>
    <s v="CONFIRMED"/>
    <n v="1"/>
    <n v="2"/>
    <d v="2012-01-10T00:00:00"/>
    <s v="KITCHEN ELECTRICS             "/>
    <s v="ELECTRICAL COOKING            "/>
    <x v="1"/>
    <x v="1"/>
    <x v="1"/>
    <m/>
    <n v="0"/>
    <n v="0"/>
    <x v="1"/>
    <n v="5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31/000010"/>
    <n v="1370148262"/>
    <n v="10"/>
    <x v="37"/>
    <x v="37"/>
    <s v="N3"/>
    <n v="1500632000"/>
    <n v="177"/>
    <n v="632000"/>
    <s v="FR700850 ULTIMATE EZ CLEAN PRO FRYER              "/>
    <s v="S"/>
    <d v="2012-01-16T00:00:00"/>
    <m/>
    <s v="X"/>
    <x v="52"/>
    <n v="40.130000000000003"/>
    <n v="49"/>
    <d v="2012-02-03T00:00:00"/>
    <d v="2011-12-30T00:00:00"/>
    <n v="2000"/>
    <d v="2012-01-06T00:00:00"/>
    <n v="2056"/>
    <m/>
    <d v="2011-12-30T00:00:00"/>
    <n v="2056"/>
    <d v="2012-02-10T00:00:00"/>
    <d v="2012-01-06T00:00:00"/>
    <n v="2056"/>
    <n v="1028"/>
    <x v="5"/>
    <d v="2012-02-14T00:00:00"/>
    <m/>
    <n v="9321658613"/>
    <n v="10"/>
    <s v="HLXU4560751"/>
    <s v="ZIM ONTARIO 12E01/"/>
    <m/>
    <s v="YANTIAN"/>
    <s v="C-POST-CONF(FROM WK 52 TO WK01) UASC KHOR FAKKAN 0005E 06/01/12 03/02/12"/>
    <m/>
    <s v="TWEETY LEUNG"/>
    <s v="FO9"/>
    <s v="ELECTRICAL COOKING            "/>
    <s v="CONFIRMED"/>
    <n v="1"/>
    <n v="2"/>
    <d v="2012-01-10T00:00:00"/>
    <s v="KITCHEN ELECTRICS             "/>
    <s v="ELECTRICAL COOKING            "/>
    <x v="1"/>
    <x v="1"/>
    <x v="1"/>
    <m/>
    <n v="0"/>
    <n v="0"/>
    <x v="1"/>
    <n v="5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5950/000010"/>
    <n v="1370149140"/>
    <n v="10"/>
    <x v="47"/>
    <x v="47"/>
    <s v="P4"/>
    <n v="8000034483"/>
    <n v="24"/>
    <s v="DO250DAE       "/>
    <s v="DO250DAE FDP STORE INN 2L MET CIS                 "/>
    <s v="S"/>
    <d v="2012-01-10T00:00:00"/>
    <m/>
    <s v="X"/>
    <x v="52"/>
    <n v="32.03"/>
    <n v="1231"/>
    <d v="2012-02-24T00:00:00"/>
    <d v="2012-01-06T00:00:00"/>
    <n v="912"/>
    <d v="2012-01-06T00:00:00"/>
    <n v="912"/>
    <m/>
    <d v="2012-01-09T00:00:00"/>
    <n v="912"/>
    <d v="2012-02-27T00:00:00"/>
    <d v="2012-01-09T00:00:00"/>
    <n v="912"/>
    <n v="912"/>
    <x v="0"/>
    <d v="2012-02-27T00:00:00"/>
    <m/>
    <n v="9321658616"/>
    <n v="10"/>
    <s v="TGHU0453982"/>
    <s v="HYUNDAI FORCE/017W"/>
    <m/>
    <s v="YANTIAN"/>
    <m/>
    <m/>
    <s v="KENUS WONG"/>
    <s v="FO9"/>
    <s v="FOOD PREPARATION              "/>
    <s v="CONFIRMED"/>
    <n v="1"/>
    <n v="2"/>
    <d v="2012-01-09T00:00:00"/>
    <s v="KITCHEN ELECTRICS             "/>
    <s v="FOOD PREPARATION  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7284/000010"/>
    <n v="1370148920"/>
    <n v="10"/>
    <x v="25"/>
    <x v="25"/>
    <s v="R1"/>
    <n v="1500576606"/>
    <n v="23"/>
    <n v="576606"/>
    <s v="TT110070 TOAS PRIN1BIS 2S WHT/RED                 "/>
    <s v="S"/>
    <d v="2012-01-06T00:00:00"/>
    <m/>
    <s v="X"/>
    <x v="52"/>
    <n v="6.76"/>
    <n v="7931"/>
    <d v="2012-01-09T00:00:00"/>
    <d v="2012-01-08T00:00:00"/>
    <n v="2976"/>
    <d v="2012-01-08T00:00:00"/>
    <n v="2976"/>
    <m/>
    <d v="2012-01-08T00:00:00"/>
    <n v="2976"/>
    <d v="2012-01-06T00:00:00"/>
    <d v="2012-01-05T00:00:00"/>
    <n v="2976"/>
    <n v="2976"/>
    <x v="6"/>
    <d v="2012-01-06T00:00:00"/>
    <m/>
    <n v="9321658620"/>
    <n v="10"/>
    <s v="BY TRUCK"/>
    <s v="BY TRUCK"/>
    <m/>
    <s v="YANTIAN"/>
    <s v="UNLOAD JAN.05  2012"/>
    <m/>
    <s v="ZANDRA LAM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96/000001"/>
    <n v="1370149110"/>
    <n v="10"/>
    <x v="25"/>
    <x v="25"/>
    <s v="R1"/>
    <n v="1500573414"/>
    <n v="23"/>
    <n v="573414"/>
    <s v="TT356970 TOAS APRECIA WHT/GRG JP                  "/>
    <s v="S"/>
    <d v="2012-01-10T00:00:00"/>
    <m/>
    <s v="X"/>
    <x v="52"/>
    <n v="12.83"/>
    <n v="11"/>
    <d v="2012-01-16T00:00:00"/>
    <d v="2012-01-02T00:00:00"/>
    <n v="2040"/>
    <d v="2012-01-02T00:00:00"/>
    <n v="2040"/>
    <m/>
    <d v="2012-01-02T00:00:00"/>
    <n v="2040"/>
    <d v="2012-01-16T00:00:00"/>
    <d v="2012-01-02T00:00:00"/>
    <n v="2040"/>
    <n v="2040"/>
    <x v="12"/>
    <d v="2012-01-21T00:00:00"/>
    <m/>
    <n v="9321658621"/>
    <n v="10"/>
    <s v="TSLU6401782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311/000010"/>
    <n v="1370149156"/>
    <n v="10"/>
    <x v="25"/>
    <x v="25"/>
    <s v="R1"/>
    <n v="1500576602"/>
    <n v="23"/>
    <n v="576602"/>
    <s v="TT110031 TOAS PRIN1BIS 2S H-X-Z                   "/>
    <s v="S"/>
    <d v="2012-01-05T00:00:00"/>
    <m/>
    <s v="X"/>
    <x v="52"/>
    <n v="6.76"/>
    <n v="246"/>
    <d v="2012-02-24T00:00:00"/>
    <d v="2012-01-06T00:00:00"/>
    <n v="2976"/>
    <d v="2012-01-06T00:00:00"/>
    <n v="2976"/>
    <m/>
    <d v="2012-01-06T00:00:00"/>
    <n v="2976"/>
    <d v="2012-02-23T00:00:00"/>
    <d v="2012-01-05T00:00:00"/>
    <n v="2976"/>
    <n v="2976"/>
    <x v="6"/>
    <d v="2012-02-23T00:00:00"/>
    <m/>
    <n v="9321658622"/>
    <n v="10"/>
    <s v="APZU3267690"/>
    <s v="MOL MAXIM/010W"/>
    <m/>
    <s v="YANTIAN"/>
    <m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927/000010"/>
    <n v="1370149163"/>
    <n v="10"/>
    <x v="25"/>
    <x v="25"/>
    <s v="R9"/>
    <n v="1500573613"/>
    <n v="23"/>
    <n v="573613"/>
    <s v="LT120530 TOAS SUBITO 2S WINE RED EE               "/>
    <s v="S"/>
    <d v="2012-01-18T00:00:00"/>
    <m/>
    <s v="X"/>
    <x v="52"/>
    <n v="10.16"/>
    <n v="341"/>
    <d v="2012-03-02T00:00:00"/>
    <d v="2012-01-13T00:00:00"/>
    <n v="2436"/>
    <d v="2012-01-13T00:00:00"/>
    <n v="2436"/>
    <m/>
    <d v="2012-01-13T00:00:00"/>
    <n v="2436"/>
    <d v="2012-03-02T00:00:00"/>
    <d v="2012-01-13T00:00:00"/>
    <n v="2436"/>
    <n v="2436"/>
    <x v="19"/>
    <d v="2012-03-06T00:00:00"/>
    <m/>
    <n v="9321658623"/>
    <n v="10"/>
    <s v="APZU3768861"/>
    <s v="MOL COMPETENCE/021W"/>
    <m/>
    <s v="YANTIAN"/>
    <m/>
    <m/>
    <s v="KENUS WONG"/>
    <s v="FO9"/>
    <s v="BEVERAGE                      "/>
    <s v="CONFIRMED"/>
    <n v="1"/>
    <n v="3"/>
    <d v="2012-01-17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17/000010"/>
    <n v="1370149230"/>
    <n v="10"/>
    <x v="25"/>
    <x v="25"/>
    <s v="R9"/>
    <n v="1500573702"/>
    <n v="23"/>
    <n v="573702"/>
    <s v="TL110030 TOAS PRIN1BIS LS WHT H-M-X-Z             "/>
    <s v="S"/>
    <d v="2012-01-10T00:00:00"/>
    <m/>
    <s v="X"/>
    <x v="52"/>
    <n v="8.01"/>
    <n v="7"/>
    <d v="2012-02-10T00:00:00"/>
    <d v="2012-01-06T00:00:00"/>
    <n v="5040"/>
    <d v="2012-01-06T00:00:00"/>
    <n v="5040"/>
    <m/>
    <d v="2012-01-06T00:00:00"/>
    <n v="5040"/>
    <d v="2012-02-10T00:00:00"/>
    <d v="2012-01-06T00:00:00"/>
    <n v="5040"/>
    <n v="5040"/>
    <x v="7"/>
    <d v="2012-02-10T00:00:00"/>
    <m/>
    <n v="9321658625"/>
    <n v="10"/>
    <s v="PONU1356331"/>
    <s v="MAERSK ESSEN 1202/"/>
    <m/>
    <s v="YANTIAN"/>
    <m/>
    <m/>
    <s v="JASON FAN"/>
    <s v="FO9"/>
    <s v="BEVERAGE                      "/>
    <s v="CONFIRMED"/>
    <n v="1"/>
    <n v="1"/>
    <d v="2012-01-06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19/000010"/>
    <n v="1370149232"/>
    <n v="10"/>
    <x v="25"/>
    <x v="25"/>
    <s v="R9"/>
    <n v="1500573704"/>
    <n v="23"/>
    <n v="573704"/>
    <s v="TL176130 TOAS SUBITO LS H-D-C-I-N BL              "/>
    <s v="S"/>
    <d v="2012-01-16T00:00:00"/>
    <m/>
    <s v="X"/>
    <x v="52"/>
    <n v="10.81"/>
    <n v="9"/>
    <d v="2012-02-03T00:00:00"/>
    <d v="2011-12-30T00:00:00"/>
    <n v="2280"/>
    <d v="2012-01-10T00:00:00"/>
    <n v="2280"/>
    <m/>
    <d v="2011-12-30T00:00:00"/>
    <n v="2280"/>
    <d v="2012-02-14T00:00:00"/>
    <d v="2012-01-10T00:00:00"/>
    <n v="2280"/>
    <n v="2280"/>
    <x v="17"/>
    <d v="2012-02-15T00:00:00"/>
    <m/>
    <n v="9321658626"/>
    <n v="10"/>
    <s v="TTNU5898903"/>
    <s v="APL PORTUGAL"/>
    <m/>
    <s v="YANTIAN"/>
    <s v="CONS-SHIPT/C-POST-CONF"/>
    <m/>
    <s v="JASON FAN"/>
    <s v="FO9"/>
    <s v="BEVERAGE                      "/>
    <s v="CONFIRMED"/>
    <n v="1"/>
    <n v="2"/>
    <d v="2012-01-11T00:00:00"/>
    <s v="KITCHEN ELECTRICS             "/>
    <s v="BREAKFAST &amp; BREVAGE PREP      "/>
    <x v="4"/>
    <x v="1"/>
    <x v="10"/>
    <s v="CONS-SHIPT"/>
    <n v="-3"/>
    <n v="-3"/>
    <x v="8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43/000010"/>
    <n v="1370149240"/>
    <n v="10"/>
    <x v="25"/>
    <x v="25"/>
    <s v="R1"/>
    <n v="1500578100"/>
    <n v="23"/>
    <n v="578100"/>
    <s v="TL365E00 TOAS NEW EXPRESS LS MET FR               "/>
    <s v="S"/>
    <d v="2012-01-17T00:00:00"/>
    <m/>
    <s v="X"/>
    <x v="52"/>
    <n v="12.56"/>
    <n v="11"/>
    <d v="2012-02-03T00:00:00"/>
    <d v="2011-12-30T00:00:00"/>
    <n v="3600"/>
    <d v="2012-01-09T00:00:00"/>
    <n v="3600"/>
    <m/>
    <d v="2011-12-30T00:00:00"/>
    <n v="3600"/>
    <d v="2012-02-15T00:00:00"/>
    <d v="2012-01-11T00:00:00"/>
    <n v="3600"/>
    <n v="3600"/>
    <x v="5"/>
    <d v="2012-02-14T00:00:00"/>
    <m/>
    <n v="9321658627"/>
    <n v="10"/>
    <s v="MRKU0659814"/>
    <s v="GRETE MAERSK 121W/"/>
    <m/>
    <s v="YANTIAN"/>
    <s v="C-POST-CONF"/>
    <m/>
    <s v="JASON FAN"/>
    <s v="FO9"/>
    <s v="BEVERAGE                      "/>
    <s v="CONFIRMED"/>
    <n v="1"/>
    <n v="2"/>
    <d v="2012-01-10T00:00:00"/>
    <s v="KITCHEN ELECTRICS             "/>
    <s v="BREAKFAST &amp; BREVAGE PREP      "/>
    <x v="4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35/000010"/>
    <n v="1370149252"/>
    <n v="10"/>
    <x v="25"/>
    <x v="25"/>
    <s v="R9"/>
    <n v="1500576900"/>
    <n v="23"/>
    <n v="576900"/>
    <s v="TL180001 TOAS CLASSIC LS BLK A                    "/>
    <s v="S"/>
    <d v="2012-01-10T00:00:00"/>
    <m/>
    <s v="X"/>
    <x v="52"/>
    <n v="8.02"/>
    <n v="6"/>
    <d v="2012-02-10T00:00:00"/>
    <d v="2012-01-06T00:00:00"/>
    <n v="4624"/>
    <d v="2012-01-06T00:00:00"/>
    <n v="4624"/>
    <m/>
    <d v="2012-01-06T00:00:00"/>
    <n v="4624"/>
    <d v="2012-02-10T00:00:00"/>
    <d v="2012-01-06T00:00:00"/>
    <n v="4624"/>
    <n v="4624"/>
    <x v="7"/>
    <d v="2012-02-10T00:00:00"/>
    <m/>
    <n v="9321658628"/>
    <n v="10"/>
    <s v="MSKU6092972"/>
    <s v="MAERSK ESSEN 1202/"/>
    <m/>
    <s v="YANTIAN"/>
    <m/>
    <m/>
    <s v="JASON FAN"/>
    <s v="FO9"/>
    <s v="BEVERAGE                      "/>
    <s v="CONFIRMED"/>
    <n v="1"/>
    <n v="1"/>
    <d v="2012-01-06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18/000010"/>
    <n v="1370149280"/>
    <n v="10"/>
    <x v="25"/>
    <x v="25"/>
    <s v="R9"/>
    <n v="1500573702"/>
    <n v="23"/>
    <n v="573702"/>
    <s v="TL110030 TOAS PRIN1BIS LS WHT H-M-X-Z             "/>
    <s v="S"/>
    <d v="2012-01-17T00:00:00"/>
    <m/>
    <s v="X"/>
    <x v="52"/>
    <n v="8.01"/>
    <n v="7"/>
    <d v="2012-02-17T00:00:00"/>
    <d v="2012-01-13T00:00:00"/>
    <n v="5040"/>
    <d v="2012-01-13T00:00:00"/>
    <n v="5040"/>
    <m/>
    <d v="2012-01-13T00:00:00"/>
    <n v="5040"/>
    <d v="2012-02-15T00:00:00"/>
    <d v="2012-01-11T00:00:00"/>
    <n v="5040"/>
    <n v="5040"/>
    <x v="5"/>
    <d v="2012-02-14T00:00:00"/>
    <m/>
    <n v="9321658629"/>
    <n v="10"/>
    <s v="MSKU6741984"/>
    <s v="GRETE MAERSK 121W/"/>
    <m/>
    <s v="YANTIAN"/>
    <m/>
    <m/>
    <s v="JASON FAN"/>
    <s v="FO9"/>
    <s v="BEVERAGE                      "/>
    <s v="CONFIRMED"/>
    <n v="1"/>
    <n v="2"/>
    <d v="2012-01-10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29/000010"/>
    <n v="1370149284"/>
    <n v="10"/>
    <x v="25"/>
    <x v="25"/>
    <s v="R1"/>
    <n v="1500576699"/>
    <n v="23"/>
    <n v="576699"/>
    <s v="TL360100 TOAS NEW EXPRESS LS PLAST WHT F          "/>
    <s v="S"/>
    <d v="2012-01-18T00:00:00"/>
    <m/>
    <s v="X"/>
    <x v="52"/>
    <n v="11.32"/>
    <n v="10"/>
    <d v="2012-02-10T00:00:00"/>
    <d v="2012-01-06T00:00:00"/>
    <n v="2040"/>
    <d v="2012-01-06T00:00:00"/>
    <n v="2040"/>
    <m/>
    <d v="2012-01-06T00:00:00"/>
    <n v="2040"/>
    <d v="2012-02-17T00:00:00"/>
    <d v="2012-01-13T00:00:00"/>
    <n v="2040"/>
    <n v="2040"/>
    <x v="24"/>
    <d v="2012-02-17T00:00:00"/>
    <m/>
    <n v="9321658630"/>
    <n v="10"/>
    <s v="MRKU0020762"/>
    <s v="CMA CGM A VESPUCCI 1"/>
    <m/>
    <s v="YANTIAN"/>
    <s v="BU-ETD-TEMP/"/>
    <m/>
    <s v="JASON FAN"/>
    <s v="FO9"/>
    <s v="BEVERAGE                      "/>
    <s v="CONFIRMED"/>
    <n v="1"/>
    <n v="2"/>
    <d v="2012-01-13T00:00:00"/>
    <s v="KITCHEN ELECTRICS             "/>
    <s v="BREAKFAST &amp; BREVAGE PREP      "/>
    <x v="4"/>
    <x v="1"/>
    <x v="4"/>
    <s v="BU-ETD-TEMP"/>
    <n v="-3"/>
    <n v="-3"/>
    <x v="3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42/000010"/>
    <n v="1370149285"/>
    <n v="10"/>
    <x v="25"/>
    <x v="25"/>
    <s v="R1"/>
    <n v="1500578100"/>
    <n v="23"/>
    <n v="578100"/>
    <s v="TL365E00 TOAS NEW EXPRESS LS MET FR               "/>
    <s v="S"/>
    <d v="2012-01-17T00:00:00"/>
    <m/>
    <s v="X"/>
    <x v="52"/>
    <n v="12.56"/>
    <n v="11"/>
    <d v="2012-01-27T00:00:00"/>
    <d v="2011-12-23T00:00:00"/>
    <n v="3600"/>
    <d v="2012-01-04T00:00:00"/>
    <n v="3600"/>
    <m/>
    <d v="2011-12-23T00:00:00"/>
    <n v="3600"/>
    <d v="2012-02-15T00:00:00"/>
    <d v="2012-01-11T00:00:00"/>
    <n v="3600"/>
    <n v="3600"/>
    <x v="5"/>
    <d v="2012-02-14T00:00:00"/>
    <m/>
    <n v="9321658631"/>
    <n v="10"/>
    <s v="TTNU5663468"/>
    <s v="GRETE MAERSK 121W/"/>
    <m/>
    <s v="YANTIAN"/>
    <s v="C-POST-CONF/"/>
    <m/>
    <s v="JASON FAN"/>
    <s v="FO9"/>
    <s v="BEVERAGE                      "/>
    <s v="CONFIRMED"/>
    <n v="1"/>
    <n v="2"/>
    <d v="2012-01-10T00:00:00"/>
    <s v="KITCHEN ELECTRICS             "/>
    <s v="BREAKFAST &amp; BREVAGE PREP      "/>
    <x v="4"/>
    <x v="1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48/000010"/>
    <n v="1370149301"/>
    <n v="10"/>
    <x v="25"/>
    <x v="25"/>
    <s v="R1"/>
    <n v="1500578151"/>
    <n v="23"/>
    <n v="578151"/>
    <s v="TL210101 TOAS UC LS PLAST WHT/GRG EUR             "/>
    <s v="S"/>
    <d v="2012-01-17T00:00:00"/>
    <m/>
    <s v="X"/>
    <x v="52"/>
    <n v="9.51"/>
    <n v="8"/>
    <d v="2012-02-10T00:00:00"/>
    <d v="2012-01-06T00:00:00"/>
    <n v="5016"/>
    <d v="2012-01-06T00:00:00"/>
    <n v="5016"/>
    <m/>
    <d v="2012-01-06T00:00:00"/>
    <n v="5016"/>
    <d v="2012-02-17T00:00:00"/>
    <d v="2012-01-13T00:00:00"/>
    <n v="5016"/>
    <n v="5016"/>
    <x v="24"/>
    <d v="2012-02-17T00:00:00"/>
    <m/>
    <n v="9321658633"/>
    <n v="10"/>
    <s v="MSKU6645471"/>
    <s v="CMA CGM A VESPUCCI 1"/>
    <m/>
    <s v="YANTIAN"/>
    <s v="BU-ETD-TEMP/"/>
    <m/>
    <s v="JASON FAN"/>
    <s v="FO9"/>
    <s v="BEVERAGE                      "/>
    <s v="CONFIRMED"/>
    <n v="1"/>
    <n v="2"/>
    <d v="2012-01-13T00:00:00"/>
    <s v="KITCHEN ELECTRICS             "/>
    <s v="BREAKFAST &amp; BREVAGE PREP      "/>
    <x v="4"/>
    <x v="1"/>
    <x v="4"/>
    <s v="BU-ETD-TEMP"/>
    <n v="-3"/>
    <n v="-3"/>
    <x v="3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46/000010"/>
    <n v="1370149303"/>
    <n v="10"/>
    <x v="25"/>
    <x v="25"/>
    <s v="R1"/>
    <n v="1500578100"/>
    <n v="23"/>
    <n v="578100"/>
    <s v="TL365E00 TOAS NEW EXPRESS LS MET FR               "/>
    <s v="S"/>
    <d v="2012-01-26T00:00:00"/>
    <m/>
    <s v="X"/>
    <x v="52"/>
    <n v="12.56"/>
    <n v="11"/>
    <d v="2012-02-17T00:00:00"/>
    <d v="2012-01-13T00:00:00"/>
    <n v="3600"/>
    <d v="2012-01-13T00:00:00"/>
    <n v="3600"/>
    <m/>
    <d v="2012-01-13T00:00:00"/>
    <n v="3600"/>
    <d v="2012-02-22T00:00:00"/>
    <d v="2012-01-18T00:00:00"/>
    <n v="3600"/>
    <n v="3600"/>
    <x v="21"/>
    <d v="2012-02-22T00:00:00"/>
    <m/>
    <n v="9321658635"/>
    <n v="10"/>
    <s v="SAMU4011987"/>
    <s v="GJERTRUD MAERSK"/>
    <m/>
    <s v="YANTIAN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25/000010"/>
    <n v="1370149304"/>
    <n v="10"/>
    <x v="25"/>
    <x v="25"/>
    <s v="R1"/>
    <n v="1500573708"/>
    <n v="23"/>
    <n v="573708"/>
    <s v="TL176530 TOAS SUBITO LS RED EUR                   "/>
    <s v="S"/>
    <d v="2012-01-17T00:00:00"/>
    <m/>
    <s v="X"/>
    <x v="52"/>
    <n v="13.1"/>
    <n v="11"/>
    <d v="2012-02-17T00:00:00"/>
    <d v="2012-01-13T00:00:00"/>
    <n v="2240"/>
    <d v="2012-01-13T00:00:00"/>
    <n v="2240"/>
    <m/>
    <d v="2012-01-13T00:00:00"/>
    <n v="2240"/>
    <d v="2012-02-17T00:00:00"/>
    <d v="2012-01-13T00:00:00"/>
    <n v="2240"/>
    <n v="2240"/>
    <x v="24"/>
    <d v="2012-02-17T00:00:00"/>
    <m/>
    <n v="9321658636"/>
    <n v="10"/>
    <s v="MSKU6011651"/>
    <s v="CMA CGM A VESPUCCI 1"/>
    <m/>
    <s v="YANTIAN"/>
    <m/>
    <m/>
    <s v="JASON FAN"/>
    <s v="FO9"/>
    <s v="BEVERAGE                      "/>
    <s v="CONFIRMED"/>
    <n v="1"/>
    <n v="2"/>
    <d v="2012-01-13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24/000010"/>
    <n v="1370149305"/>
    <n v="10"/>
    <x v="25"/>
    <x v="25"/>
    <s v="R1"/>
    <n v="1500573708"/>
    <n v="23"/>
    <n v="573708"/>
    <s v="TL176530 TOAS SUBITO LS RED EUR                   "/>
    <s v="S"/>
    <d v="2012-01-17T00:00:00"/>
    <m/>
    <s v="X"/>
    <x v="52"/>
    <n v="13.1"/>
    <n v="11"/>
    <d v="2012-02-10T00:00:00"/>
    <d v="2012-01-06T00:00:00"/>
    <n v="2240"/>
    <d v="2012-01-06T00:00:00"/>
    <n v="2240"/>
    <m/>
    <d v="2012-01-06T00:00:00"/>
    <n v="2240"/>
    <d v="2012-02-17T00:00:00"/>
    <d v="2012-01-13T00:00:00"/>
    <n v="2240"/>
    <n v="2240"/>
    <x v="24"/>
    <d v="2012-02-17T00:00:00"/>
    <m/>
    <n v="9321658637"/>
    <n v="10"/>
    <s v="MSKU6553708"/>
    <s v="CMA CGM A VESPUCCI 1"/>
    <m/>
    <s v="YANTIAN"/>
    <m/>
    <m/>
    <s v="JASON FAN"/>
    <s v="FO9"/>
    <s v="BEVERAGE                      "/>
    <s v="CONFIRMED"/>
    <n v="1"/>
    <n v="2"/>
    <d v="2012-01-13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21/000010"/>
    <n v="1370149310"/>
    <n v="10"/>
    <x v="25"/>
    <x v="25"/>
    <s v="R1"/>
    <n v="1500573708"/>
    <n v="23"/>
    <n v="573708"/>
    <s v="TL176530 TOAS SUBITO LS RED EUR                   "/>
    <s v="S"/>
    <d v="2012-01-07T00:00:00"/>
    <m/>
    <s v="X"/>
    <x v="52"/>
    <n v="13.1"/>
    <n v="11"/>
    <d v="2012-02-03T00:00:00"/>
    <d v="2011-12-30T00:00:00"/>
    <n v="2240"/>
    <d v="2012-01-02T00:00:00"/>
    <n v="2240"/>
    <m/>
    <d v="2011-12-30T00:00:00"/>
    <n v="2240"/>
    <d v="2012-02-08T00:00:00"/>
    <d v="2012-01-04T00:00:00"/>
    <n v="2240"/>
    <n v="2240"/>
    <x v="2"/>
    <d v="2012-02-08T00:00:00"/>
    <m/>
    <n v="9321658638"/>
    <n v="10"/>
    <s v="MSKU6407370"/>
    <s v="MAREN MAERSK 121W/"/>
    <m/>
    <s v="YANTIAN"/>
    <s v="C-POST-CONF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20/000010"/>
    <n v="1370149311"/>
    <n v="10"/>
    <x v="25"/>
    <x v="25"/>
    <s v="R9"/>
    <n v="1500573704"/>
    <n v="23"/>
    <n v="573704"/>
    <s v="TL176130 TOAS SUBITO LS H-D-C-I-N BL              "/>
    <s v="S"/>
    <d v="2012-01-17T00:00:00"/>
    <m/>
    <s v="X"/>
    <x v="52"/>
    <n v="10.81"/>
    <n v="9"/>
    <d v="2012-02-17T00:00:00"/>
    <d v="2012-01-13T00:00:00"/>
    <n v="2280"/>
    <d v="2012-01-13T00:00:00"/>
    <n v="2280"/>
    <m/>
    <d v="2012-01-13T00:00:00"/>
    <n v="2280"/>
    <d v="2012-02-17T00:00:00"/>
    <d v="2012-01-13T00:00:00"/>
    <n v="2280"/>
    <n v="2280"/>
    <x v="24"/>
    <d v="2012-02-17T00:00:00"/>
    <m/>
    <n v="9321658639"/>
    <n v="10"/>
    <s v="MSKU6011651"/>
    <s v="CMA CGM A VESPUCCI 1"/>
    <m/>
    <s v="YANTIAN"/>
    <m/>
    <m/>
    <s v="JASON FAN"/>
    <s v="FO9"/>
    <s v="BEVERAGE                      "/>
    <s v="CONFIRMED"/>
    <n v="1"/>
    <n v="2"/>
    <d v="2012-01-13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37/000010"/>
    <n v="1370149312"/>
    <n v="10"/>
    <x v="25"/>
    <x v="25"/>
    <s v="R9"/>
    <n v="1500576900"/>
    <n v="23"/>
    <n v="576900"/>
    <s v="TL180001 TOAS CLASSIC LS BLK A                    "/>
    <s v="S"/>
    <d v="2012-01-10T00:00:00"/>
    <m/>
    <s v="X"/>
    <x v="52"/>
    <n v="8.02"/>
    <n v="6"/>
    <d v="2012-02-17T00:00:00"/>
    <d v="2012-01-13T00:00:00"/>
    <n v="4624"/>
    <d v="2012-01-13T00:00:00"/>
    <n v="4624"/>
    <m/>
    <d v="2012-01-13T00:00:00"/>
    <n v="4624"/>
    <d v="2012-02-17T00:00:00"/>
    <d v="2012-01-13T00:00:00"/>
    <n v="4624"/>
    <n v="4624"/>
    <x v="7"/>
    <d v="2012-02-10T00:00:00"/>
    <m/>
    <n v="9321658640"/>
    <n v="10"/>
    <s v="MSKU6699797"/>
    <s v="MAERSK ESSEN 1202/"/>
    <m/>
    <s v="YANTIAN"/>
    <m/>
    <m/>
    <s v="JASON FAN"/>
    <s v="FO9"/>
    <s v="BEVERAGE                      "/>
    <s v="CONFIRMED"/>
    <n v="1"/>
    <n v="1"/>
    <d v="2012-01-06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45/000010"/>
    <n v="1370149313"/>
    <n v="10"/>
    <x v="25"/>
    <x v="25"/>
    <s v="R1"/>
    <n v="1500578100"/>
    <n v="23"/>
    <n v="578100"/>
    <s v="TL365E00 TOAS NEW EXPRESS LS MET FR               "/>
    <s v="S"/>
    <d v="2012-01-10T00:00:00"/>
    <m/>
    <s v="X"/>
    <x v="52"/>
    <n v="12.56"/>
    <n v="11"/>
    <d v="2012-02-10T00:00:00"/>
    <d v="2012-01-06T00:00:00"/>
    <n v="3600"/>
    <d v="2012-01-06T00:00:00"/>
    <n v="3600"/>
    <m/>
    <d v="2012-01-06T00:00:00"/>
    <n v="3600"/>
    <d v="2012-02-10T00:00:00"/>
    <d v="2012-01-06T00:00:00"/>
    <n v="3600"/>
    <n v="3600"/>
    <x v="7"/>
    <d v="2012-02-10T00:00:00"/>
    <m/>
    <n v="9321658641"/>
    <n v="10"/>
    <s v="POCU1069929"/>
    <s v="MAERSK ESSEN 1202/"/>
    <m/>
    <s v="YANTIAN"/>
    <m/>
    <m/>
    <s v="JASON FAN"/>
    <s v="FO9"/>
    <s v="BEVERAGE                      "/>
    <s v="CONFIRMED"/>
    <n v="1"/>
    <n v="1"/>
    <d v="2012-01-06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439/000010"/>
    <n v="1370148037"/>
    <n v="10"/>
    <x v="18"/>
    <x v="18"/>
    <s v="M5"/>
    <n v="2210016180"/>
    <n v="160"/>
    <s v="RO176701       "/>
    <s v="RO176701 WHITE VAC CLEANER COMPACTEO UPG          "/>
    <s v="S"/>
    <d v="2012-01-04T00:00:00"/>
    <m/>
    <s v="X"/>
    <x v="52"/>
    <n v="25.51"/>
    <n v="6488700"/>
    <d v="2012-01-30T00:00:00"/>
    <d v="2011-12-26T00:00:00"/>
    <n v="730"/>
    <d v="2011-12-26T00:00:00"/>
    <n v="730"/>
    <m/>
    <d v="2011-12-26T00:00:00"/>
    <n v="730"/>
    <d v="2012-02-05T00:00:00"/>
    <d v="2012-01-01T00:00:00"/>
    <n v="730"/>
    <n v="730"/>
    <x v="3"/>
    <d v="2012-02-06T00:00:00"/>
    <m/>
    <n v="9321658642"/>
    <n v="10"/>
    <s v="PONU1503263"/>
    <s v="CMA CGM RAVEL/785W"/>
    <m/>
    <s v="SHANGHAI"/>
    <m/>
    <m/>
    <s v="KENUS WONG"/>
    <s v="FO9"/>
    <s v="HOME CLEANING                 "/>
    <s v="CONFIRMED"/>
    <n v="1"/>
    <n v="1"/>
    <d v="2012-01-02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443/000010"/>
    <n v="1370148038"/>
    <n v="10"/>
    <x v="18"/>
    <x v="18"/>
    <s v="M5"/>
    <n v="2210015544"/>
    <n v="161"/>
    <s v="RO346301       "/>
    <s v="RO346301 VAC CLEANERCOMPACTEO CYCLONIC            "/>
    <s v="S"/>
    <d v="2012-01-04T00:00:00"/>
    <m/>
    <s v="X"/>
    <x v="52"/>
    <n v="32.409999999999997"/>
    <n v="8086060"/>
    <d v="2012-01-30T00:00:00"/>
    <d v="2011-12-26T00:00:00"/>
    <n v="730"/>
    <d v="2011-12-26T00:00:00"/>
    <n v="730"/>
    <m/>
    <d v="2011-12-26T00:00:00"/>
    <n v="730"/>
    <d v="2012-02-05T00:00:00"/>
    <d v="2012-01-01T00:00:00"/>
    <n v="730"/>
    <n v="730"/>
    <x v="3"/>
    <d v="2012-02-06T00:00:00"/>
    <m/>
    <n v="9321658643"/>
    <n v="10"/>
    <s v="MSKU2185059"/>
    <s v="CMA CGM RAVEL/785W"/>
    <m/>
    <s v="SHANGHAI"/>
    <m/>
    <m/>
    <s v="KENUS WONG"/>
    <s v="FO9"/>
    <s v="HOME CLEANING                 "/>
    <s v="CONFIRMED"/>
    <n v="1"/>
    <n v="1"/>
    <d v="2012-01-02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441/000010"/>
    <n v="1370148054"/>
    <n v="10"/>
    <x v="18"/>
    <x v="18"/>
    <s v="M5"/>
    <n v="2210016182"/>
    <n v="160"/>
    <s v="RO179501       "/>
    <s v="RO179501 BLACK VAC CLEANER COMPACTEO UPG          "/>
    <s v="S"/>
    <d v="2012-01-04T00:00:00"/>
    <m/>
    <s v="X"/>
    <x v="52"/>
    <n v="31.17"/>
    <n v="7889930"/>
    <d v="2012-01-30T00:00:00"/>
    <d v="2011-12-26T00:00:00"/>
    <n v="730"/>
    <d v="2011-12-26T00:00:00"/>
    <n v="730"/>
    <m/>
    <d v="2011-12-26T00:00:00"/>
    <n v="730"/>
    <d v="2012-02-05T00:00:00"/>
    <d v="2012-01-01T00:00:00"/>
    <n v="730"/>
    <n v="730"/>
    <x v="3"/>
    <d v="2012-02-06T00:00:00"/>
    <m/>
    <n v="9321658644"/>
    <n v="10"/>
    <s v="PONU1503263"/>
    <s v="CMA CGM RAVEL/785W"/>
    <m/>
    <s v="SHANGHAI"/>
    <m/>
    <m/>
    <s v="KENUS WONG"/>
    <s v="FO9"/>
    <s v="HOME CLEANING                 "/>
    <s v="CONFIRMED"/>
    <n v="1"/>
    <n v="1"/>
    <d v="2012-01-02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444/000010"/>
    <n v="1370148062"/>
    <n v="10"/>
    <x v="18"/>
    <x v="18"/>
    <s v="M5"/>
    <n v="2210016732"/>
    <n v="161"/>
    <s v="RO332101       "/>
    <s v="RO332101 VAC CLEANER MINISPACE CYCLONICR          "/>
    <s v="S"/>
    <d v="2012-01-04T00:00:00"/>
    <m/>
    <s v="X"/>
    <x v="52"/>
    <n v="23.47"/>
    <n v="5945220"/>
    <d v="2012-01-30T00:00:00"/>
    <d v="2011-12-26T00:00:00"/>
    <n v="800"/>
    <d v="2011-12-26T00:00:00"/>
    <n v="800"/>
    <m/>
    <d v="2011-12-26T00:00:00"/>
    <n v="800"/>
    <d v="2012-02-05T00:00:00"/>
    <d v="2012-01-01T00:00:00"/>
    <n v="800"/>
    <n v="800"/>
    <x v="3"/>
    <d v="2012-02-06T00:00:00"/>
    <m/>
    <n v="9321658645"/>
    <n v="10"/>
    <s v="INBU5333512"/>
    <s v="CMA CGM RAVEL/785W"/>
    <m/>
    <s v="SHANGHAI"/>
    <m/>
    <m/>
    <s v="KENUS WONG"/>
    <s v="FO9"/>
    <s v="HOME CLEANING                 "/>
    <s v="CONFIRMED"/>
    <n v="1"/>
    <n v="1"/>
    <d v="2012-01-02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442/000010"/>
    <n v="1370148067"/>
    <n v="10"/>
    <x v="18"/>
    <x v="18"/>
    <s v="M5"/>
    <n v="2210016202"/>
    <n v="160"/>
    <s v="RO185501       "/>
    <s v="RO185501 VACUUM CLEANER MINISPACE RO1855          "/>
    <s v="S"/>
    <d v="2012-01-04T00:00:00"/>
    <m/>
    <s v="X"/>
    <x v="52"/>
    <n v="20.8"/>
    <n v="5245780"/>
    <d v="2012-01-30T00:00:00"/>
    <d v="2011-12-26T00:00:00"/>
    <n v="800"/>
    <d v="2011-12-26T00:00:00"/>
    <n v="800"/>
    <m/>
    <d v="2011-12-26T00:00:00"/>
    <n v="800"/>
    <d v="2012-02-05T00:00:00"/>
    <d v="2012-01-01T00:00:00"/>
    <n v="800"/>
    <n v="800"/>
    <x v="3"/>
    <d v="2012-02-06T00:00:00"/>
    <m/>
    <n v="9321658646"/>
    <n v="10"/>
    <s v="INBU5333512"/>
    <s v="CMA CGM RAVEL/785W"/>
    <m/>
    <s v="SHANGHAI"/>
    <m/>
    <m/>
    <s v="KENUS WONG"/>
    <s v="FO9"/>
    <s v="HOME CLEANING                 "/>
    <s v="CONFIRMED"/>
    <n v="1"/>
    <n v="1"/>
    <d v="2012-01-02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52/039718"/>
    <n v="1370149084"/>
    <n v="10"/>
    <x v="18"/>
    <x v="18"/>
    <s v="M5"/>
    <n v="2210015271"/>
    <n v="160"/>
    <s v="SG2555WA       "/>
    <s v="SG2555WA BLACK VAC CLEANER COMPACTEO              "/>
    <s v="S"/>
    <d v="2012-01-17T00:00:00"/>
    <m/>
    <s v="X"/>
    <x v="52"/>
    <n v="28.46"/>
    <n v="34"/>
    <d v="2012-02-17T00:00:00"/>
    <d v="2012-01-13T00:00:00"/>
    <n v="730"/>
    <d v="2012-01-13T00:00:00"/>
    <n v="730"/>
    <m/>
    <d v="2012-01-13T00:00:00"/>
    <n v="730"/>
    <d v="2012-02-17T00:00:00"/>
    <d v="2012-01-13T00:00:00"/>
    <n v="730"/>
    <n v="730"/>
    <x v="9"/>
    <d v="2012-02-18T00:00:00"/>
    <m/>
    <n v="9321658649"/>
    <n v="10"/>
    <s v="MSKU6561067"/>
    <s v="MAERSK SANA 1203/"/>
    <m/>
    <s v="SHANGHAI"/>
    <m/>
    <m/>
    <s v="THOMAS HO"/>
    <s v="FO9"/>
    <s v="HOME CLEANING                 "/>
    <s v="CONFIRMED"/>
    <n v="1"/>
    <n v="2"/>
    <d v="2012-01-14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1/000010"/>
    <n v="1370149100"/>
    <n v="10"/>
    <x v="18"/>
    <x v="18"/>
    <s v="M5"/>
    <n v="2210016198"/>
    <n v="74"/>
    <s v="RH7637IA       "/>
    <s v="RH7637IA IVOIRY  POWERLINE STICK CLEANER          "/>
    <s v="S"/>
    <d v="2012-01-10T00:00:00"/>
    <m/>
    <s v="X"/>
    <x v="52"/>
    <n v="27.03"/>
    <n v="5"/>
    <d v="2012-02-06T00:00:00"/>
    <d v="2012-01-09T00:00:00"/>
    <n v="520"/>
    <d v="2012-01-09T00:00:00"/>
    <n v="520"/>
    <m/>
    <d v="2012-01-09T00:00:00"/>
    <n v="520"/>
    <d v="2012-02-05T00:00:00"/>
    <d v="2012-01-08T00:00:00"/>
    <n v="520"/>
    <n v="520"/>
    <x v="23"/>
    <d v="2012-02-05T00:00:00"/>
    <m/>
    <n v="9321658650"/>
    <n v="10"/>
    <s v="UACU8251463"/>
    <s v="XIN FU ZHOU/1202W"/>
    <m/>
    <s v="SHANGHAI"/>
    <m/>
    <m/>
    <s v="JASON FAN"/>
    <s v="FO9"/>
    <s v="HOME CLEANING                 "/>
    <s v="CONFIRMED"/>
    <n v="1"/>
    <n v="1"/>
    <d v="2012-01-08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1/000060"/>
    <n v="1370149100"/>
    <n v="60"/>
    <x v="18"/>
    <x v="18"/>
    <s v="M5"/>
    <n v="2210016200"/>
    <n v="74"/>
    <s v="RH7655IA       "/>
    <s v="RH7655IA POWERLINE STICK CLEANER ECO              "/>
    <s v="S"/>
    <d v="2012-01-10T00:00:00"/>
    <m/>
    <s v="X"/>
    <x v="52"/>
    <n v="35.479999999999997"/>
    <n v="5"/>
    <d v="2012-02-06T00:00:00"/>
    <d v="2012-01-09T00:00:00"/>
    <n v="520"/>
    <d v="2012-01-09T00:00:00"/>
    <n v="520"/>
    <m/>
    <d v="2012-01-09T00:00:00"/>
    <n v="520"/>
    <d v="2012-02-05T00:00:00"/>
    <d v="2012-01-08T00:00:00"/>
    <n v="520"/>
    <n v="520"/>
    <x v="23"/>
    <d v="2012-02-05T00:00:00"/>
    <m/>
    <n v="9321658650"/>
    <n v="20"/>
    <s v="UACU8251463"/>
    <s v="XIN FU ZHOU/1202W"/>
    <m/>
    <s v="SHANGHAI"/>
    <m/>
    <m/>
    <s v="JASON FAN"/>
    <s v="FO9"/>
    <s v="HOME CLEANING                 "/>
    <s v="CONFIRMED"/>
    <n v="1"/>
    <n v="1"/>
    <d v="2012-01-08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1/000070"/>
    <n v="1370149100"/>
    <n v="70"/>
    <x v="18"/>
    <x v="18"/>
    <s v="M5"/>
    <n v="2210015546"/>
    <n v="161"/>
    <s v="RO348601       "/>
    <s v="RO348601 VAC CLEANER COMPACTEO CYCLONIC           "/>
    <s v="S"/>
    <d v="2012-01-10T00:00:00"/>
    <m/>
    <s v="X"/>
    <x v="52"/>
    <n v="34.99"/>
    <n v="5"/>
    <d v="2012-02-06T00:00:00"/>
    <d v="2012-01-09T00:00:00"/>
    <n v="730"/>
    <d v="2012-01-09T00:00:00"/>
    <n v="730"/>
    <m/>
    <d v="2012-01-09T00:00:00"/>
    <n v="730"/>
    <d v="2012-02-05T00:00:00"/>
    <d v="2012-01-08T00:00:00"/>
    <n v="730"/>
    <n v="730"/>
    <x v="23"/>
    <d v="2012-02-05T00:00:00"/>
    <m/>
    <n v="9321658650"/>
    <n v="30"/>
    <s v="UACU8033292"/>
    <s v="XIN FU ZHOU/1202W"/>
    <m/>
    <s v="SHANGHAI"/>
    <m/>
    <m/>
    <s v="JASON FAN"/>
    <s v="FO9"/>
    <s v="HOME CLEANING                 "/>
    <s v="CONFIRMED"/>
    <n v="1"/>
    <n v="1"/>
    <d v="2012-01-08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1/000090"/>
    <n v="1370149100"/>
    <n v="90"/>
    <x v="18"/>
    <x v="18"/>
    <s v="M5"/>
    <n v="2210016489"/>
    <n v="74"/>
    <s v="RH7737IA       "/>
    <s v="RH7737IA POWERLINE BAGLESS CLEANER RH773          "/>
    <s v="S"/>
    <d v="2012-01-16T00:00:00"/>
    <m/>
    <s v="X"/>
    <x v="52"/>
    <n v="30.17"/>
    <n v="5"/>
    <d v="2012-02-06T00:00:00"/>
    <d v="2012-01-09T00:00:00"/>
    <n v="520"/>
    <d v="2012-01-09T00:00:00"/>
    <n v="520"/>
    <m/>
    <d v="2012-01-09T00:00:00"/>
    <n v="520"/>
    <d v="2012-02-10T00:00:00"/>
    <d v="2012-01-13T00:00:00"/>
    <n v="520"/>
    <n v="520"/>
    <x v="9"/>
    <d v="2012-02-11T00:00:00"/>
    <m/>
    <n v="9321658650"/>
    <n v="40"/>
    <s v="TCKU4508710"/>
    <s v="APL HAMBURG/015W"/>
    <m/>
    <s v="SHANGHAI"/>
    <m/>
    <m/>
    <s v="JASON FAN"/>
    <s v="FO9"/>
    <s v="HOME CLEANING                 "/>
    <s v="CONFIRMED"/>
    <n v="1"/>
    <n v="2"/>
    <d v="2012-01-14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1/000100"/>
    <n v="1370149100"/>
    <n v="100"/>
    <x v="18"/>
    <x v="18"/>
    <s v="M5"/>
    <n v="2210016489"/>
    <n v="74"/>
    <s v="RH7737IA       "/>
    <s v="RH7737IA POWERLINE BAGLESS CLEANER RH773          "/>
    <s v="S"/>
    <d v="2012-01-16T00:00:00"/>
    <m/>
    <s v="X"/>
    <x v="52"/>
    <n v="30.17"/>
    <n v="5"/>
    <d v="2012-02-06T00:00:00"/>
    <d v="2012-01-09T00:00:00"/>
    <n v="520"/>
    <d v="2012-01-09T00:00:00"/>
    <n v="520"/>
    <m/>
    <d v="2012-01-09T00:00:00"/>
    <n v="520"/>
    <d v="2012-02-10T00:00:00"/>
    <d v="2012-01-13T00:00:00"/>
    <n v="520"/>
    <n v="520"/>
    <x v="9"/>
    <d v="2012-02-11T00:00:00"/>
    <m/>
    <n v="9321658650"/>
    <n v="50"/>
    <s v="TCKU4508710"/>
    <s v="APL HAMBURG/015W"/>
    <m/>
    <s v="SHANGHAI"/>
    <m/>
    <m/>
    <s v="JASON FAN"/>
    <s v="FO9"/>
    <s v="HOME CLEANING                 "/>
    <s v="CONFIRMED"/>
    <n v="1"/>
    <n v="2"/>
    <d v="2012-01-14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1/000110"/>
    <n v="1370149100"/>
    <n v="110"/>
    <x v="18"/>
    <x v="18"/>
    <s v="M5"/>
    <n v="2210015544"/>
    <n v="161"/>
    <s v="RO346301       "/>
    <s v="RO346301 VAC CLEANERCOMPACTEO CYCLONIC            "/>
    <s v="S"/>
    <d v="2012-01-10T00:00:00"/>
    <m/>
    <s v="X"/>
    <x v="52"/>
    <n v="32.409999999999997"/>
    <n v="5"/>
    <d v="2012-02-06T00:00:00"/>
    <d v="2012-01-09T00:00:00"/>
    <n v="730"/>
    <d v="2012-01-09T00:00:00"/>
    <n v="730"/>
    <m/>
    <d v="2012-01-09T00:00:00"/>
    <n v="730"/>
    <d v="2012-02-05T00:00:00"/>
    <d v="2012-01-08T00:00:00"/>
    <n v="730"/>
    <n v="730"/>
    <x v="23"/>
    <d v="2012-02-05T00:00:00"/>
    <m/>
    <n v="9321658650"/>
    <n v="60"/>
    <s v="UACU8033292"/>
    <s v="XIN FU ZHOU/1202W"/>
    <m/>
    <s v="SHANGHAI"/>
    <m/>
    <m/>
    <s v="JASON FAN"/>
    <s v="FO9"/>
    <s v="HOME CLEANING                 "/>
    <s v="CONFIRMED"/>
    <n v="1"/>
    <n v="1"/>
    <d v="2012-01-08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5/000040"/>
    <n v="1370149101"/>
    <n v="40"/>
    <x v="18"/>
    <x v="18"/>
    <s v="M5"/>
    <n v="2210016534"/>
    <n v="160"/>
    <s v="RO212301       "/>
    <s v="RO212301 VAC CLEANER POWER SPACE RO21230          "/>
    <s v="S"/>
    <d v="2012-01-11T00:00:00"/>
    <m/>
    <s v="X"/>
    <x v="52"/>
    <n v="34.6"/>
    <n v="14"/>
    <d v="2012-02-06T00:00:00"/>
    <d v="2012-01-09T00:00:00"/>
    <n v="640"/>
    <d v="2012-01-09T00:00:00"/>
    <n v="640"/>
    <m/>
    <d v="2012-01-09T00:00:00"/>
    <n v="640"/>
    <d v="2012-02-03T00:00:00"/>
    <d v="2012-01-06T00:00:00"/>
    <n v="640"/>
    <n v="640"/>
    <x v="5"/>
    <d v="2012-02-07T00:00:00"/>
    <m/>
    <n v="9321658651"/>
    <n v="10"/>
    <s v="OOLU7669166"/>
    <s v="BUSAN EXPRESS/04W01"/>
    <m/>
    <s v="SHANGHAI"/>
    <m/>
    <m/>
    <s v="JASON FAN"/>
    <s v="FO9"/>
    <s v="HOME CLEANING                 "/>
    <s v="CONFIRMED"/>
    <n v="1"/>
    <n v="2"/>
    <d v="2012-01-10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5/000060"/>
    <n v="1370149101"/>
    <n v="60"/>
    <x v="18"/>
    <x v="18"/>
    <s v="M5"/>
    <n v="2210016257"/>
    <n v="161"/>
    <s v="RO342301       "/>
    <s v="RO342301 VAC CLEANER COMPACTEO CYCLONIC           "/>
    <s v="S"/>
    <d v="2012-01-11T00:00:00"/>
    <m/>
    <s v="X"/>
    <x v="52"/>
    <n v="29.34"/>
    <n v="14"/>
    <d v="2012-02-06T00:00:00"/>
    <d v="2012-01-09T00:00:00"/>
    <n v="730"/>
    <d v="2012-01-09T00:00:00"/>
    <n v="730"/>
    <m/>
    <d v="2012-01-09T00:00:00"/>
    <n v="730"/>
    <d v="2012-02-03T00:00:00"/>
    <d v="2012-01-06T00:00:00"/>
    <n v="730"/>
    <n v="730"/>
    <x v="5"/>
    <d v="2012-02-07T00:00:00"/>
    <m/>
    <n v="9321658651"/>
    <n v="20"/>
    <s v="OOLU7669166"/>
    <s v="BUSAN EXPRESS/04W01"/>
    <m/>
    <s v="SHANGHAI"/>
    <m/>
    <m/>
    <s v="JASON FAN"/>
    <s v="FO9"/>
    <s v="HOME CLEANING                 "/>
    <s v="CONFIRMED"/>
    <n v="1"/>
    <n v="2"/>
    <d v="2012-01-10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6865/000010"/>
    <n v="1370149113"/>
    <n v="10"/>
    <x v="18"/>
    <x v="18"/>
    <s v="M5"/>
    <n v="2210015544"/>
    <n v="161"/>
    <s v="RO346301       "/>
    <s v="RO346301 VAC CLEANERCOMPACTEO CYCLONIC            "/>
    <s v="S"/>
    <d v="2012-01-04T00:00:00"/>
    <m/>
    <s v="X"/>
    <x v="52"/>
    <n v="32.409999999999997"/>
    <n v="1168"/>
    <d v="2012-02-17T00:00:00"/>
    <d v="2011-12-30T00:00:00"/>
    <n v="730"/>
    <d v="2011-12-30T00:00:00"/>
    <n v="730"/>
    <m/>
    <d v="2011-12-30T00:00:00"/>
    <n v="730"/>
    <d v="2012-02-20T00:00:00"/>
    <d v="2012-01-02T00:00:00"/>
    <n v="730"/>
    <n v="730"/>
    <x v="16"/>
    <d v="2012-02-21T00:00:00"/>
    <m/>
    <n v="9321658652"/>
    <n v="10"/>
    <s v="TRLU6505527"/>
    <s v="APL RUSSIA/020W"/>
    <m/>
    <s v="SHANGHAI"/>
    <s v="TP ISSUE"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182/000010"/>
    <n v="1370149142"/>
    <n v="10"/>
    <x v="18"/>
    <x v="18"/>
    <s v="M5"/>
    <n v="2210016732"/>
    <n v="161"/>
    <s v="RO332101       "/>
    <s v="RO332101 VAC CLEANER MINISPACE CYCLONICR          "/>
    <s v="S"/>
    <d v="2012-01-04T00:00:00"/>
    <m/>
    <s v="X"/>
    <x v="52"/>
    <n v="23.47"/>
    <n v="859"/>
    <d v="2012-02-24T00:00:00"/>
    <d v="2012-01-06T00:00:00"/>
    <n v="800"/>
    <d v="2012-01-06T00:00:00"/>
    <n v="800"/>
    <m/>
    <d v="2012-01-06T00:00:00"/>
    <n v="800"/>
    <d v="2012-02-20T00:00:00"/>
    <d v="2012-01-02T00:00:00"/>
    <n v="800"/>
    <n v="800"/>
    <x v="16"/>
    <d v="2012-02-21T00:00:00"/>
    <m/>
    <n v="9321658653"/>
    <n v="10"/>
    <s v="TTNU5283067"/>
    <s v="APL RUSSIA/020W"/>
    <m/>
    <s v="SHANGHAI"/>
    <s v="TP ISSUE"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6857/000010"/>
    <n v="1370149155"/>
    <n v="10"/>
    <x v="18"/>
    <x v="18"/>
    <s v="M5"/>
    <n v="2210016282"/>
    <n v="160"/>
    <s v="RO1795R1       "/>
    <s v="RO1795R1 BLACK VAC CLEANER COMPACTEO UPG          "/>
    <s v="S"/>
    <d v="2012-01-04T00:00:00"/>
    <m/>
    <s v="X"/>
    <x v="52"/>
    <n v="31.94"/>
    <n v="1168"/>
    <d v="2012-02-24T00:00:00"/>
    <d v="2012-01-06T00:00:00"/>
    <n v="730"/>
    <d v="2012-01-06T00:00:00"/>
    <n v="730"/>
    <m/>
    <d v="2012-01-06T00:00:00"/>
    <n v="730"/>
    <d v="2012-02-20T00:00:00"/>
    <d v="2012-01-02T00:00:00"/>
    <n v="730"/>
    <n v="730"/>
    <x v="16"/>
    <d v="2012-02-21T00:00:00"/>
    <m/>
    <n v="9321658654"/>
    <n v="10"/>
    <s v="TTNU5609657"/>
    <s v="APL RUSSIA/020W"/>
    <m/>
    <s v="SHANGHAI"/>
    <s v="TP ISSUE"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005/000010"/>
    <n v="1370149158"/>
    <n v="10"/>
    <x v="18"/>
    <x v="18"/>
    <s v="M5"/>
    <n v="2210016257"/>
    <n v="161"/>
    <s v="RO342301       "/>
    <s v="RO342301 VAC CLEANER COMPACTEO CYCLONIC           "/>
    <s v="S"/>
    <d v="2012-01-04T00:00:00"/>
    <m/>
    <s v="X"/>
    <x v="52"/>
    <n v="29.34"/>
    <n v="1059"/>
    <d v="2012-02-24T00:00:00"/>
    <d v="2012-01-06T00:00:00"/>
    <n v="730"/>
    <d v="2012-01-06T00:00:00"/>
    <n v="730"/>
    <m/>
    <d v="2012-01-06T00:00:00"/>
    <n v="730"/>
    <d v="2012-02-20T00:00:00"/>
    <d v="2012-01-02T00:00:00"/>
    <n v="730"/>
    <n v="730"/>
    <x v="16"/>
    <d v="2012-02-21T00:00:00"/>
    <m/>
    <n v="9321658655"/>
    <n v="10"/>
    <s v="TTNU5609657"/>
    <s v="APL RUSSIA/020W"/>
    <m/>
    <s v="SHANGHAI"/>
    <s v="TP ISSUE"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743/000010"/>
    <n v="1370149245"/>
    <n v="10"/>
    <x v="18"/>
    <x v="18"/>
    <s v="M5"/>
    <n v="2210016185"/>
    <n v="161"/>
    <s v="MO452301       "/>
    <s v="MO452301 VAC CLEANER COMPACTEO CYCLONIC           "/>
    <s v="S"/>
    <d v="2012-01-05T00:00:00"/>
    <m/>
    <s v="X"/>
    <x v="52"/>
    <n v="29.34"/>
    <n v="25"/>
    <d v="2012-02-03T00:00:00"/>
    <d v="2011-12-30T00:00:00"/>
    <n v="1530"/>
    <d v="2011-12-30T00:00:00"/>
    <n v="1530"/>
    <m/>
    <d v="2012-01-02T00:00:00"/>
    <n v="1530"/>
    <d v="2012-01-31T00:00:00"/>
    <d v="2011-12-27T00:00:00"/>
    <n v="1530"/>
    <n v="1530"/>
    <x v="16"/>
    <d v="2012-02-07T00:00:00"/>
    <m/>
    <n v="9321658656"/>
    <n v="10"/>
    <s v="PONU1386207"/>
    <s v="MAERSK ESSEN 1202/"/>
    <m/>
    <s v="SHANGHAI"/>
    <s v="LATE DOC FROM FORWARDER"/>
    <m/>
    <s v="JASON FAN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195/000010"/>
    <n v="1370149277"/>
    <n v="10"/>
    <x v="18"/>
    <x v="18"/>
    <s v="M5"/>
    <n v="2210015542"/>
    <n v="161"/>
    <s v="MO454301       "/>
    <s v="MO454301 VAC CLEANER COMPACTEO CYCLONIC           "/>
    <s v="S"/>
    <d v="2012-01-05T00:00:00"/>
    <m/>
    <s v="X"/>
    <x v="52"/>
    <n v="31.18"/>
    <n v="27"/>
    <d v="2012-02-03T00:00:00"/>
    <d v="2011-12-30T00:00:00"/>
    <n v="1530"/>
    <d v="2011-12-30T00:00:00"/>
    <n v="1530"/>
    <m/>
    <d v="2012-01-02T00:00:00"/>
    <n v="1530"/>
    <d v="2012-01-31T00:00:00"/>
    <d v="2011-12-27T00:00:00"/>
    <n v="1530"/>
    <n v="1530"/>
    <x v="16"/>
    <d v="2012-02-07T00:00:00"/>
    <m/>
    <n v="9321658657"/>
    <n v="10"/>
    <s v="MSKU6708477"/>
    <s v="MAERSK ESSEN 1202/"/>
    <m/>
    <s v="SHANGHAI"/>
    <s v="LATE DOC FROM FORWARDER"/>
    <m/>
    <s v="JASON FAN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834/000010"/>
    <n v="1370149282"/>
    <n v="10"/>
    <x v="18"/>
    <x v="18"/>
    <s v="M5"/>
    <n v="2210016368"/>
    <n v="160"/>
    <s v="MO153501       "/>
    <s v="MO153501 BLACK VAC CLEANER COMPACTEO              "/>
    <s v="S"/>
    <d v="2012-01-05T00:00:00"/>
    <m/>
    <s v="X"/>
    <x v="52"/>
    <n v="25.66"/>
    <n v="23"/>
    <d v="2012-02-03T00:00:00"/>
    <d v="2011-12-30T00:00:00"/>
    <n v="1530"/>
    <d v="2011-12-30T00:00:00"/>
    <n v="1530"/>
    <m/>
    <d v="2012-01-02T00:00:00"/>
    <n v="1530"/>
    <d v="2012-01-31T00:00:00"/>
    <d v="2011-12-27T00:00:00"/>
    <n v="1530"/>
    <n v="1530"/>
    <x v="16"/>
    <d v="2012-02-07T00:00:00"/>
    <m/>
    <n v="9321658658"/>
    <n v="10"/>
    <s v="PONU1339680"/>
    <s v="MAERSK ESSEN 1202/"/>
    <m/>
    <s v="SHANGHAI"/>
    <s v="LATE DOC FROM FORWARDER"/>
    <m/>
    <s v="JASON FAN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759/000010"/>
    <n v="1370149298"/>
    <n v="10"/>
    <x v="18"/>
    <x v="18"/>
    <s v="M5"/>
    <n v="2210016534"/>
    <n v="160"/>
    <s v="RO212301       "/>
    <s v="RO212301 VAC CLEANER POWER SPACE RO21230          "/>
    <s v="S"/>
    <d v="2012-01-05T00:00:00"/>
    <m/>
    <s v="X"/>
    <x v="52"/>
    <n v="34.6"/>
    <n v="30"/>
    <d v="2012-02-10T00:00:00"/>
    <d v="2012-01-06T00:00:00"/>
    <n v="1530"/>
    <d v="2012-01-06T00:00:00"/>
    <n v="1530"/>
    <m/>
    <d v="2012-01-09T00:00:00"/>
    <n v="1530"/>
    <d v="2012-02-13T00:00:00"/>
    <d v="2012-01-09T00:00:00"/>
    <n v="1530"/>
    <n v="1530"/>
    <x v="16"/>
    <d v="2012-02-07T00:00:00"/>
    <m/>
    <n v="9321658659"/>
    <n v="10"/>
    <s v="PONU7337302"/>
    <s v="MAERSK ESSEN 1202/"/>
    <m/>
    <s v="SHANGHAI"/>
    <m/>
    <m/>
    <s v="JASON FAN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7459/000010"/>
    <n v="1370149199"/>
    <n v="10"/>
    <x v="29"/>
    <x v="29"/>
    <s v="P1"/>
    <n v="1500831560"/>
    <n v="105"/>
    <n v="831560"/>
    <s v="ZN250160 JUI TORAJA WHT GSE                       "/>
    <s v="S"/>
    <d v="2012-01-17T00:00:00"/>
    <m/>
    <s v="X"/>
    <x v="52"/>
    <n v="16.920000000000002"/>
    <n v="20"/>
    <d v="2012-01-19T00:00:00"/>
    <d v="2012-01-18T00:00:00"/>
    <n v="1200"/>
    <d v="2012-01-18T00:00:00"/>
    <n v="1200"/>
    <m/>
    <d v="2012-01-18T00:00:00"/>
    <n v="1200"/>
    <d v="2012-01-19T00:00:00"/>
    <d v="2012-01-18T00:00:00"/>
    <n v="1200"/>
    <n v="1200"/>
    <x v="24"/>
    <d v="2012-01-14T00:00:00"/>
    <m/>
    <n v="9321658661"/>
    <n v="10"/>
    <m/>
    <m/>
    <m/>
    <s v="YANTIAN"/>
    <m/>
    <m/>
    <s v="ZANDRA LAM"/>
    <s v="FO9"/>
    <s v="FOOD PREPARATION              "/>
    <s v="CONFIRMED"/>
    <n v="1"/>
    <n v="2"/>
    <d v="2012-01-13T00:00:00"/>
    <s v="KITCHEN ELECTRICS             "/>
    <s v="FOOD PREPARATION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39/000001"/>
    <n v="1370148077"/>
    <n v="10"/>
    <x v="11"/>
    <x v="11"/>
    <s v="N3"/>
    <n v="1500578011"/>
    <n v="53"/>
    <n v="578011"/>
    <s v="OX130850 OVEN UNO GRILL M BLK/SILV MX             "/>
    <s v="S"/>
    <d v="2012-01-09T00:00:00"/>
    <m/>
    <s v="X"/>
    <x v="52"/>
    <n v="29"/>
    <n v="437"/>
    <d v="2012-02-10T00:00:00"/>
    <d v="2012-01-06T00:00:00"/>
    <n v="390"/>
    <d v="2012-01-06T00:00:00"/>
    <n v="390"/>
    <m/>
    <d v="2012-01-07T00:00:00"/>
    <n v="390"/>
    <d v="2012-02-11T00:00:00"/>
    <d v="2012-01-07T00:00:00"/>
    <n v="390"/>
    <n v="390"/>
    <x v="12"/>
    <d v="2012-02-11T00:00:00"/>
    <m/>
    <n v="9321658662"/>
    <n v="10"/>
    <s v="SUDU7456291"/>
    <s v="MONTE ROSA 201E/"/>
    <m/>
    <s v="XIAMEN"/>
    <m/>
    <m/>
    <s v="TWEETY LEUNG"/>
    <s v="FO9"/>
    <s v="ELECTRICAL COOKING            "/>
    <s v="CONFIRMED"/>
    <n v="1"/>
    <n v="1"/>
    <d v="2012-01-07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31/000001"/>
    <n v="1370148088"/>
    <n v="10"/>
    <x v="11"/>
    <x v="11"/>
    <s v="J4"/>
    <n v="1830003143"/>
    <n v="64"/>
    <s v="IS5200Q0       "/>
    <s v="IS5200Q0 GARMENT STEAMER STEAM CONTROL            "/>
    <s v="S"/>
    <d v="2012-01-09T00:00:00"/>
    <m/>
    <s v="X"/>
    <x v="52"/>
    <n v="33.36"/>
    <n v="511"/>
    <d v="2012-02-04T00:00:00"/>
    <d v="2011-12-31T00:00:00"/>
    <n v="450"/>
    <d v="2011-12-31T00:00:00"/>
    <n v="450"/>
    <m/>
    <m/>
    <m/>
    <d v="2012-02-11T00:00:00"/>
    <d v="2012-01-07T00:00:00"/>
    <n v="450"/>
    <n v="450"/>
    <x v="12"/>
    <d v="2012-02-11T00:00:00"/>
    <m/>
    <n v="9321658663"/>
    <n v="10"/>
    <s v="SUDU8954961"/>
    <s v="MONTE ROSA 201E/"/>
    <m/>
    <s v="XIAMEN"/>
    <s v="CONS-SHIPT/"/>
    <m/>
    <s v="TWEETY LEUNG"/>
    <s v="FO9"/>
    <s v="LINEN CARE                    "/>
    <s v="CONFIRMED"/>
    <n v="1"/>
    <n v="1"/>
    <d v="2012-01-07T00:00:00"/>
    <s v="LINEN PERS HOME CARE          "/>
    <s v="LINEN CARE                    "/>
    <x v="5"/>
    <x v="2"/>
    <x v="10"/>
    <s v="CONS-SHIPT"/>
    <n v="-3"/>
    <n v="-3"/>
    <x v="8"/>
    <n v="1"/>
    <x v="0"/>
    <x v="1"/>
    <x v="0"/>
    <n v="0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931/000002"/>
    <n v="1370148088"/>
    <n v="20"/>
    <x v="11"/>
    <x v="11"/>
    <s v="J4"/>
    <n v="1830003143"/>
    <n v="64"/>
    <s v="IS5200Q0       "/>
    <s v="IS5200Q0 GARMENT STEAMER STEAM CONTROL            "/>
    <s v="S"/>
    <d v="2012-01-09T00:00:00"/>
    <m/>
    <s v="X"/>
    <x v="52"/>
    <n v="33.36"/>
    <n v="511"/>
    <d v="2012-02-11T00:00:00"/>
    <d v="2012-01-07T00:00:00"/>
    <n v="450"/>
    <d v="2012-01-07T00:00:00"/>
    <n v="450"/>
    <m/>
    <m/>
    <m/>
    <d v="2012-02-11T00:00:00"/>
    <d v="2012-01-07T00:00:00"/>
    <n v="450"/>
    <n v="450"/>
    <x v="12"/>
    <d v="2012-02-11T00:00:00"/>
    <m/>
    <n v="9321658663"/>
    <n v="20"/>
    <s v="SUDU8954961"/>
    <s v="MONTE ROSA 201E/"/>
    <m/>
    <s v="XIAMEN"/>
    <s v="CONS-SHIPT/"/>
    <m/>
    <s v="TWEETY LEUNG"/>
    <s v="FO9"/>
    <s v="LINEN CARE                    "/>
    <s v="CONFIRMED"/>
    <n v="1"/>
    <n v="1"/>
    <d v="2012-01-07T00:00:00"/>
    <s v="LINEN PERS HOME CARE          "/>
    <s v="LINEN CARE                    "/>
    <x v="5"/>
    <x v="2"/>
    <x v="10"/>
    <s v="CONS-SHIPT"/>
    <n v="-3"/>
    <n v="-3"/>
    <x v="8"/>
    <n v="1"/>
    <x v="0"/>
    <x v="1"/>
    <x v="0"/>
    <n v="0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931/000003"/>
    <n v="1370148088"/>
    <n v="30"/>
    <x v="11"/>
    <x v="11"/>
    <s v="J4"/>
    <n v="1830003143"/>
    <n v="64"/>
    <s v="IS5200Q0       "/>
    <s v="IS5200Q0 GARMENT STEAMER STEAM CONTROL            "/>
    <s v="S"/>
    <d v="2012-01-10T00:00:00"/>
    <m/>
    <s v="X"/>
    <x v="52"/>
    <n v="33.36"/>
    <n v="511"/>
    <d v="2012-02-18T00:00:00"/>
    <d v="2012-01-14T00:00:00"/>
    <n v="450"/>
    <d v="2012-01-07T00:00:00"/>
    <n v="450"/>
    <m/>
    <m/>
    <m/>
    <d v="2012-02-11T00:00:00"/>
    <d v="2012-01-07T00:00:00"/>
    <n v="450"/>
    <n v="450"/>
    <x v="12"/>
    <d v="2012-02-11T00:00:00"/>
    <m/>
    <n v="9321658663"/>
    <n v="30"/>
    <s v="SUDU8582822"/>
    <s v="MONTE ROSA/201E/"/>
    <m/>
    <s v="XIAMEN"/>
    <s v="CONS-SHIPT/"/>
    <m/>
    <s v="TWEETY LEUNG"/>
    <s v="FO9"/>
    <s v="LINEN CARE                    "/>
    <s v="CONFIRMED"/>
    <n v="1"/>
    <n v="1"/>
    <d v="2012-01-07T00:00:00"/>
    <s v="LINEN PERS HOME CARE          "/>
    <s v="LINEN CARE                    "/>
    <x v="5"/>
    <x v="2"/>
    <x v="10"/>
    <s v="CONS-SHIPT"/>
    <n v="-3"/>
    <n v="-3"/>
    <x v="8"/>
    <n v="1"/>
    <x v="0"/>
    <x v="1"/>
    <x v="0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136/000010"/>
    <n v="1370148299"/>
    <n v="10"/>
    <x v="11"/>
    <x v="11"/>
    <s v="J4"/>
    <n v="1830003652"/>
    <n v="64"/>
    <s v="IS6200U1       "/>
    <s v="IS6200U1 GARMENT STEAMER COMPACT VALET R          "/>
    <s v="S"/>
    <d v="2012-01-19T00:00:00"/>
    <m/>
    <s v="X"/>
    <x v="52"/>
    <n v="28.03"/>
    <n v="32"/>
    <d v="2012-02-21T00:00:00"/>
    <d v="2012-01-17T00:00:00"/>
    <n v="1630"/>
    <d v="2012-01-17T00:00:00"/>
    <n v="1630"/>
    <m/>
    <d v="2012-01-22T00:00:00"/>
    <n v="1630"/>
    <d v="2012-02-26T00:00:00"/>
    <d v="2012-01-22T00:00:00"/>
    <n v="1630"/>
    <n v="711"/>
    <x v="4"/>
    <d v="2012-02-26T00:00:00"/>
    <m/>
    <n v="9321658665"/>
    <n v="10"/>
    <s v="CMAU9044241"/>
    <s v="CMA CGM ORFEO"/>
    <m/>
    <s v="XIAMEN"/>
    <m/>
    <m/>
    <s v="TWEETY LEUNG"/>
    <s v="FO9"/>
    <s v="LINEN CARE                    "/>
    <s v="CONFIRMED"/>
    <n v="1"/>
    <n v="3"/>
    <d v="2012-01-22T00:00:00"/>
    <s v="LINEN PERS HOME CARE          "/>
    <s v="LINEN CARE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36/000010"/>
    <n v="1370148299"/>
    <n v="10"/>
    <x v="11"/>
    <x v="11"/>
    <s v="J4"/>
    <n v="1830003652"/>
    <n v="64"/>
    <s v="IS6200U1       "/>
    <s v="IS6200U1 GARMENT STEAMER COMPACT VALET R          "/>
    <s v="S"/>
    <d v="2012-01-19T00:00:00"/>
    <m/>
    <s v="X"/>
    <x v="52"/>
    <n v="28.03"/>
    <n v="32"/>
    <d v="2012-02-21T00:00:00"/>
    <d v="2012-01-17T00:00:00"/>
    <n v="1630"/>
    <d v="2012-01-17T00:00:00"/>
    <n v="1630"/>
    <m/>
    <d v="2012-01-22T00:00:00"/>
    <n v="1630"/>
    <d v="2012-02-26T00:00:00"/>
    <d v="2012-01-22T00:00:00"/>
    <n v="1630"/>
    <n v="919"/>
    <x v="4"/>
    <d v="2012-02-26T00:00:00"/>
    <m/>
    <n v="9321658665"/>
    <n v="10"/>
    <s v="TRLU5838708"/>
    <s v="CMA CGM ORFEO"/>
    <m/>
    <s v="XIAMEN"/>
    <m/>
    <m/>
    <s v="TWEETY LEUNG"/>
    <s v="FO9"/>
    <s v="LINEN CARE                    "/>
    <s v="CONFIRMED"/>
    <n v="1"/>
    <n v="3"/>
    <d v="2012-01-22T00:00:00"/>
    <s v="LINEN PERS HOME CARE          "/>
    <s v="LINEN CARE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352/000010"/>
    <n v="1370147780"/>
    <n v="10"/>
    <x v="11"/>
    <x v="11"/>
    <s v="J4"/>
    <n v="1830003345"/>
    <n v="1"/>
    <s v="IM1220E1       "/>
    <s v="IM1220E1 STEAM IRON INICIO 20                     "/>
    <s v="S"/>
    <d v="2012-01-17T00:00:00"/>
    <m/>
    <s v="X"/>
    <x v="52"/>
    <n v="7.48"/>
    <n v="263"/>
    <d v="2012-02-24T00:00:00"/>
    <d v="2012-01-06T00:00:00"/>
    <n v="4320"/>
    <d v="2012-01-06T00:00:00"/>
    <n v="4320"/>
    <m/>
    <d v="2012-01-11T00:00:00"/>
    <n v="4320"/>
    <d v="2012-02-26T00:00:00"/>
    <d v="2012-01-08T00:00:00"/>
    <n v="4320"/>
    <n v="4320"/>
    <x v="23"/>
    <d v="2012-02-26T00:00:00"/>
    <m/>
    <n v="9321658666"/>
    <n v="10"/>
    <s v="OOLU7734214"/>
    <s v="OOCL LONDON/10W01"/>
    <m/>
    <s v="XIAMEN"/>
    <s v="SUPPLIER WRONG DOC"/>
    <m/>
    <s v="KENUS WONG"/>
    <s v="FO9"/>
    <s v="LINEN CARE                    "/>
    <s v="CONFIRMED"/>
    <n v="1"/>
    <n v="1"/>
    <d v="2012-01-08T00:00:00"/>
    <s v="LINEN PERS HOME CARE          "/>
    <s v="LINEN CARE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333/000010"/>
    <n v="1370147656"/>
    <n v="10"/>
    <x v="11"/>
    <x v="11"/>
    <s v="J4"/>
    <n v="1830003344"/>
    <n v="1"/>
    <s v="IM1210E1       "/>
    <s v="IM1210E1 STEAM IRON INICIO                        "/>
    <s v="S"/>
    <d v="2012-01-17T00:00:00"/>
    <m/>
    <s v="X"/>
    <x v="52"/>
    <n v="6.97"/>
    <n v="262"/>
    <d v="2012-02-24T00:00:00"/>
    <d v="2012-01-06T00:00:00"/>
    <n v="4320"/>
    <d v="2012-01-06T00:00:00"/>
    <n v="4320"/>
    <m/>
    <d v="2012-01-11T00:00:00"/>
    <n v="4320"/>
    <d v="2012-02-26T00:00:00"/>
    <d v="2012-01-08T00:00:00"/>
    <n v="4320"/>
    <n v="4320"/>
    <x v="23"/>
    <d v="2012-02-26T00:00:00"/>
    <m/>
    <n v="9321658667"/>
    <n v="10"/>
    <s v="OOLU7734214"/>
    <s v="OOCL LONDON/10W01"/>
    <m/>
    <s v="XIAMEN"/>
    <s v="SUPPLIER WRONG DOC"/>
    <m/>
    <s v="KENUS WONG"/>
    <s v="FO9"/>
    <s v="LINEN CARE                    "/>
    <s v="CONFIRMED"/>
    <n v="1"/>
    <n v="1"/>
    <d v="2012-01-08T00:00:00"/>
    <s v="LINEN PERS HOME CARE          "/>
    <s v="LINEN CARE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25/000001"/>
    <n v="1370148079"/>
    <n v="10"/>
    <x v="11"/>
    <x v="11"/>
    <s v="J4"/>
    <n v="1830003367"/>
    <n v="1"/>
    <s v="IM1220X0       "/>
    <s v="IM1220X0 STEAM IRON INICIO 20                     "/>
    <s v="S"/>
    <d v="2012-01-13T00:00:00"/>
    <m/>
    <s v="X"/>
    <x v="52"/>
    <n v="7.48"/>
    <n v="104"/>
    <d v="2012-02-10T00:00:00"/>
    <d v="2012-01-06T00:00:00"/>
    <n v="4320"/>
    <d v="2012-01-06T00:00:00"/>
    <n v="4320"/>
    <m/>
    <d v="2012-01-07T00:00:00"/>
    <n v="4320"/>
    <d v="2012-02-11T00:00:00"/>
    <d v="2012-01-07T00:00:00"/>
    <n v="4320"/>
    <n v="4320"/>
    <x v="12"/>
    <d v="2012-02-11T00:00:00"/>
    <m/>
    <n v="9321658669"/>
    <n v="10"/>
    <s v="ECMU9667080"/>
    <s v="MONTE ROSA VOY 201E"/>
    <m/>
    <s v="XIAMEN"/>
    <s v="WRONG DOC FROM SUPPLIER"/>
    <m/>
    <s v="TWEETY LEUNG"/>
    <s v="FO9"/>
    <s v="LINEN CARE                    "/>
    <s v="CONFIRMED"/>
    <n v="1"/>
    <n v="1"/>
    <d v="2012-01-07T00:00:00"/>
    <s v="LINEN PERS HOME CARE          "/>
    <s v="LINEN CARE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24/000001"/>
    <n v="1370148087"/>
    <n v="10"/>
    <x v="11"/>
    <x v="11"/>
    <s v="J4"/>
    <n v="1830003348"/>
    <n v="1"/>
    <s v="IM1215X0       "/>
    <s v="IM1215X0 STEAM IRON INICIO 15                     "/>
    <s v="S"/>
    <d v="2012-01-13T00:00:00"/>
    <m/>
    <s v="X"/>
    <x v="52"/>
    <n v="7.42"/>
    <n v="104"/>
    <d v="2012-02-10T00:00:00"/>
    <d v="2012-01-06T00:00:00"/>
    <n v="4320"/>
    <d v="2012-01-06T00:00:00"/>
    <n v="4320"/>
    <m/>
    <d v="2012-01-07T00:00:00"/>
    <n v="4320"/>
    <d v="2012-02-11T00:00:00"/>
    <d v="2012-01-07T00:00:00"/>
    <n v="4320"/>
    <n v="4320"/>
    <x v="12"/>
    <d v="2012-02-11T00:00:00"/>
    <m/>
    <n v="9321658670"/>
    <n v="10"/>
    <s v="ECMU9667080"/>
    <s v="MONTE ROSA VOY 201E"/>
    <m/>
    <s v="XIAMEN"/>
    <s v="WRONG DOC FROM SUPPLIER"/>
    <m/>
    <s v="TWEETY LEUNG"/>
    <s v="FO9"/>
    <s v="LINEN CARE                    "/>
    <s v="CONFIRMED"/>
    <n v="1"/>
    <n v="1"/>
    <d v="2012-01-07T00:00:00"/>
    <s v="LINEN PERS HOME CARE          "/>
    <s v="LINEN CARE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24/000002"/>
    <n v="1370148087"/>
    <n v="20"/>
    <x v="11"/>
    <x v="11"/>
    <s v="J4"/>
    <n v="1830003348"/>
    <n v="1"/>
    <s v="IM1215X0       "/>
    <s v="IM1215X0 STEAM IRON INICIO 15                     "/>
    <s v="S"/>
    <d v="2012-01-20T00:00:00"/>
    <m/>
    <s v="X"/>
    <x v="52"/>
    <n v="7.42"/>
    <n v="104"/>
    <d v="2012-02-18T00:00:00"/>
    <d v="2012-01-14T00:00:00"/>
    <n v="4320"/>
    <d v="2012-01-14T00:00:00"/>
    <n v="4320"/>
    <m/>
    <d v="2012-01-07T00:00:00"/>
    <n v="4320"/>
    <d v="2012-02-11T00:00:00"/>
    <d v="2012-01-07T00:00:00"/>
    <n v="4320"/>
    <n v="4320"/>
    <x v="11"/>
    <d v="2012-02-19T00:00:00"/>
    <m/>
    <n v="9321658670"/>
    <n v="20"/>
    <s v="SUDU3690320"/>
    <s v="MONTE SARMIENTO 202E"/>
    <m/>
    <s v="XIAMEN"/>
    <m/>
    <m/>
    <s v="TWEETY LEUNG"/>
    <s v="FO9"/>
    <s v="LINEN CARE                    "/>
    <s v="CONFIRMED"/>
    <n v="1"/>
    <n v="2"/>
    <d v="2012-01-15T00:00:00"/>
    <s v="LINEN PERS HOME CARE          "/>
    <s v="LINEN CARE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52212/000010"/>
    <n v="1370147554"/>
    <n v="10"/>
    <x v="11"/>
    <x v="11"/>
    <s v="N3"/>
    <n v="1500578004"/>
    <n v="53"/>
    <n v="578004"/>
    <s v="OX130230 OVEN UNO GRILL M 15L SILVER FR           "/>
    <s v="S"/>
    <d v="2012-01-07T00:00:00"/>
    <m/>
    <s v="X"/>
    <x v="52"/>
    <n v="27.81"/>
    <n v="22619"/>
    <d v="2012-01-24T00:00:00"/>
    <d v="2011-12-27T00:00:00"/>
    <n v="790"/>
    <d v="2011-12-27T00:00:00"/>
    <n v="790"/>
    <m/>
    <d v="2011-12-28T00:00:00"/>
    <n v="790"/>
    <d v="2012-01-25T00:00:00"/>
    <d v="2011-12-28T00:00:00"/>
    <n v="790"/>
    <n v="790"/>
    <x v="13"/>
    <d v="2012-01-29T00:00:00"/>
    <m/>
    <n v="9321658671"/>
    <n v="10"/>
    <s v="NYKU8028770"/>
    <s v="OOCL ROTTERDAM 62W52"/>
    <m/>
    <s v="XIAMEN"/>
    <m/>
    <m/>
    <s v="KENUS WONG"/>
    <s v="FO9"/>
    <s v="ELECTRICAL COOKING            "/>
    <s v="CONFIRMED"/>
    <n v="1"/>
    <n v="52"/>
    <d v="2012-01-01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804"/>
    <s v="ALMAVIVA S.A. USUARIO COMERCIAL                   "/>
    <n v="99001800"/>
    <x v="26"/>
    <s v="22553/039719"/>
    <n v="1370149099"/>
    <n v="10"/>
    <x v="11"/>
    <x v="11"/>
    <s v="J4"/>
    <n v="1830003639"/>
    <n v="1"/>
    <s v="IM1230I0       "/>
    <s v="IM1230I0 STEAM IRON ACCESS 30                     "/>
    <s v="S"/>
    <d v="2012-01-11T00:00:00"/>
    <m/>
    <s v="X"/>
    <x v="52"/>
    <n v="7.85"/>
    <n v="8"/>
    <d v="2012-02-09T00:00:00"/>
    <d v="2012-01-05T00:00:00"/>
    <n v="4260"/>
    <d v="2012-01-06T00:00:00"/>
    <n v="4260"/>
    <m/>
    <d v="2012-01-11T00:00:00"/>
    <n v="4260"/>
    <d v="2012-02-15T00:00:00"/>
    <d v="2012-01-11T00:00:00"/>
    <n v="4260"/>
    <n v="4260"/>
    <x v="16"/>
    <d v="2012-02-07T00:00:00"/>
    <m/>
    <n v="9321658672"/>
    <n v="10"/>
    <s v="MRKU7835371"/>
    <s v="MAERSK SANA 1203/"/>
    <m/>
    <s v="XIAMEN"/>
    <s v="LATE DOC FROM FORWARDER"/>
    <m/>
    <s v="THOMAS HO"/>
    <s v="FO9"/>
    <s v="LINEN CARE                    "/>
    <s v="CONFIRMED"/>
    <n v="1"/>
    <n v="1"/>
    <d v="2012-01-03T00:00:00"/>
    <s v="LINEN PERS HOME CARE          "/>
    <s v="LINEN CARE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2/000080"/>
    <n v="1370149104"/>
    <n v="80"/>
    <x v="11"/>
    <x v="11"/>
    <s v="P1"/>
    <n v="1500675345"/>
    <n v="106"/>
    <n v="675345"/>
    <s v="HM101045 HAND MIXER PRINCIPIO 2                   "/>
    <s v="S"/>
    <d v="2012-01-11T00:00:00"/>
    <m/>
    <s v="X"/>
    <x v="52"/>
    <n v="7.88"/>
    <n v="7"/>
    <d v="2012-02-06T00:00:00"/>
    <d v="2012-01-09T00:00:00"/>
    <n v="1002"/>
    <d v="2012-01-09T00:00:00"/>
    <n v="1002"/>
    <m/>
    <d v="2012-01-10T00:00:00"/>
    <n v="1002"/>
    <d v="2012-02-05T00:00:00"/>
    <d v="2012-01-08T00:00:00"/>
    <n v="1002"/>
    <n v="1002"/>
    <x v="5"/>
    <d v="2012-02-07T00:00:00"/>
    <m/>
    <n v="9321658673"/>
    <n v="10"/>
    <s v="SLSU7040201"/>
    <s v="BAI CHAY BRIDGE/02E"/>
    <m/>
    <s v="XIAMEN"/>
    <m/>
    <m/>
    <s v="JASON FAN"/>
    <s v="FO9"/>
    <s v="FOOD PREPARATION              "/>
    <s v="CONFIRMED"/>
    <n v="1"/>
    <n v="2"/>
    <d v="2012-01-10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68/039739"/>
    <n v="1370149108"/>
    <n v="10"/>
    <x v="11"/>
    <x v="11"/>
    <s v="J4"/>
    <n v="1830004006"/>
    <n v="64"/>
    <s v="IS6200Q1       "/>
    <s v="IS6200Q1 GARMENT STEAMER COMPACT VALET            "/>
    <s v="S"/>
    <d v="2012-02-02T00:00:00"/>
    <m/>
    <s v="X"/>
    <x v="52"/>
    <n v="29.63"/>
    <n v="33"/>
    <d v="2012-02-15T00:00:00"/>
    <d v="2012-01-18T00:00:00"/>
    <n v="1800"/>
    <d v="2012-01-18T00:00:00"/>
    <n v="1800"/>
    <m/>
    <d v="2012-01-18T00:00:00"/>
    <n v="1800"/>
    <d v="2012-02-21T00:00:00"/>
    <d v="2012-01-24T00:00:00"/>
    <n v="1800"/>
    <n v="881"/>
    <x v="1"/>
    <d v="2012-02-20T00:00:00"/>
    <m/>
    <n v="9321658674"/>
    <n v="10"/>
    <s v="OOLU8345900"/>
    <s v="UNI-ARDENT 1366A/"/>
    <m/>
    <s v="XIAMEN"/>
    <m/>
    <m/>
    <s v="TWEETY LEUNG"/>
    <s v="FO9"/>
    <s v="LINEN CARE                    "/>
    <s v="CONFIRMED"/>
    <n v="1"/>
    <n v="4"/>
    <d v="2012-01-23T00:00:00"/>
    <s v="LINEN PERS HOME CARE          "/>
    <s v="LINEN CARE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68/039739"/>
    <n v="1370149108"/>
    <n v="10"/>
    <x v="11"/>
    <x v="11"/>
    <s v="J4"/>
    <n v="1830004006"/>
    <n v="64"/>
    <s v="IS6200Q1       "/>
    <s v="IS6200Q1 GARMENT STEAMER COMPACT VALET            "/>
    <s v="S"/>
    <d v="2012-02-02T00:00:00"/>
    <m/>
    <s v="X"/>
    <x v="52"/>
    <n v="29.63"/>
    <n v="33"/>
    <d v="2012-02-15T00:00:00"/>
    <d v="2012-01-18T00:00:00"/>
    <n v="1800"/>
    <d v="2012-01-18T00:00:00"/>
    <n v="1800"/>
    <m/>
    <d v="2012-01-18T00:00:00"/>
    <n v="1800"/>
    <d v="2012-02-21T00:00:00"/>
    <d v="2012-01-24T00:00:00"/>
    <n v="1800"/>
    <n v="919"/>
    <x v="1"/>
    <d v="2012-02-20T00:00:00"/>
    <m/>
    <n v="9321658674"/>
    <n v="10"/>
    <s v="OOLU8586554"/>
    <s v="UNI-ARDENT 1366A/"/>
    <m/>
    <s v="XIAMEN"/>
    <m/>
    <m/>
    <s v="TWEETY LEUNG"/>
    <s v="FO9"/>
    <s v="LINEN CARE                    "/>
    <s v="CONFIRMED"/>
    <n v="1"/>
    <n v="4"/>
    <d v="2012-01-23T00:00:00"/>
    <s v="LINEN PERS HOME CARE          "/>
    <s v="LINEN CARE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67/039737"/>
    <n v="1370149109"/>
    <n v="10"/>
    <x v="11"/>
    <x v="11"/>
    <s v="J4"/>
    <n v="1830004006"/>
    <n v="64"/>
    <s v="IS6200Q1       "/>
    <s v="IS6200Q1 GARMENT STEAMER COMPACT VALET            "/>
    <s v="S"/>
    <d v="2012-01-09T00:00:00"/>
    <m/>
    <s v="X"/>
    <x v="52"/>
    <n v="29.63"/>
    <n v="33"/>
    <d v="2012-01-24T00:00:00"/>
    <d v="2011-12-27T00:00:00"/>
    <n v="2600"/>
    <d v="2012-01-02T00:00:00"/>
    <n v="2600"/>
    <m/>
    <d v="2011-12-28T00:00:00"/>
    <n v="2600"/>
    <d v="2012-02-01T00:00:00"/>
    <d v="2012-01-04T00:00:00"/>
    <n v="2600"/>
    <n v="919"/>
    <x v="2"/>
    <d v="2012-02-01T00:00:00"/>
    <m/>
    <n v="9321658675"/>
    <n v="10"/>
    <s v="UESU4706945"/>
    <s v="KANG PING 060E/"/>
    <m/>
    <s v="XIAMEN"/>
    <s v="C-POST-CONF"/>
    <m/>
    <s v="TWEETY LEUNG"/>
    <s v="FO9"/>
    <s v="LINEN CARE                    "/>
    <s v="CONFIRMED"/>
    <n v="1"/>
    <n v="1"/>
    <d v="2012-01-04T00:00:00"/>
    <s v="LINEN PERS HOME CARE          "/>
    <s v="LINEN CARE                    "/>
    <x v="5"/>
    <x v="2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67/039737"/>
    <n v="1370149109"/>
    <n v="10"/>
    <x v="11"/>
    <x v="11"/>
    <s v="J4"/>
    <n v="1830004006"/>
    <n v="64"/>
    <s v="IS6200Q1       "/>
    <s v="IS6200Q1 GARMENT STEAMER COMPACT VALET            "/>
    <s v="S"/>
    <d v="2012-01-09T00:00:00"/>
    <m/>
    <s v="X"/>
    <x v="52"/>
    <n v="29.63"/>
    <n v="33"/>
    <d v="2012-01-24T00:00:00"/>
    <d v="2011-12-27T00:00:00"/>
    <n v="2600"/>
    <d v="2012-01-02T00:00:00"/>
    <n v="2600"/>
    <m/>
    <d v="2011-12-28T00:00:00"/>
    <n v="2600"/>
    <d v="2012-02-01T00:00:00"/>
    <d v="2012-01-04T00:00:00"/>
    <n v="2600"/>
    <n v="919"/>
    <x v="2"/>
    <d v="2012-02-01T00:00:00"/>
    <m/>
    <n v="9321658675"/>
    <n v="10"/>
    <s v="OOLU8670731"/>
    <s v="KANG PING 060E/"/>
    <m/>
    <s v="XIAMEN"/>
    <s v="C-POST-CONF"/>
    <m/>
    <s v="TWEETY LEUNG"/>
    <s v="FO9"/>
    <s v="LINEN CARE                    "/>
    <s v="CONFIRMED"/>
    <n v="1"/>
    <n v="1"/>
    <d v="2012-01-04T00:00:00"/>
    <s v="LINEN PERS HOME CARE          "/>
    <s v="LINEN CARE                    "/>
    <x v="5"/>
    <x v="2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67/039737"/>
    <n v="1370149109"/>
    <n v="10"/>
    <x v="11"/>
    <x v="11"/>
    <s v="J4"/>
    <n v="1830004006"/>
    <n v="64"/>
    <s v="IS6200Q1       "/>
    <s v="IS6200Q1 GARMENT STEAMER COMPACT VALET            "/>
    <s v="S"/>
    <d v="2012-01-09T00:00:00"/>
    <m/>
    <s v="X"/>
    <x v="52"/>
    <n v="29.63"/>
    <n v="33"/>
    <d v="2012-01-24T00:00:00"/>
    <d v="2011-12-27T00:00:00"/>
    <n v="2600"/>
    <d v="2012-01-02T00:00:00"/>
    <n v="2600"/>
    <m/>
    <d v="2011-12-28T00:00:00"/>
    <n v="2600"/>
    <d v="2012-02-01T00:00:00"/>
    <d v="2012-01-04T00:00:00"/>
    <n v="2600"/>
    <n v="762"/>
    <x v="2"/>
    <d v="2012-02-01T00:00:00"/>
    <m/>
    <n v="9321658675"/>
    <n v="10"/>
    <s v="OOLU7313067"/>
    <s v="KANG PING 060E/"/>
    <m/>
    <s v="XIAMEN"/>
    <s v="C-POST-CONF"/>
    <m/>
    <s v="TWEETY LEUNG"/>
    <s v="FO9"/>
    <s v="LINEN CARE                    "/>
    <s v="CONFIRMED"/>
    <n v="1"/>
    <n v="1"/>
    <d v="2012-01-04T00:00:00"/>
    <s v="LINEN PERS HOME CARE          "/>
    <s v="LINEN CARE                    "/>
    <x v="5"/>
    <x v="2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287/000010"/>
    <n v="1370149139"/>
    <n v="10"/>
    <x v="11"/>
    <x v="11"/>
    <s v="R1"/>
    <n v="8000030658"/>
    <n v="27"/>
    <s v="BCA1L4         "/>
    <s v="BCA1L4 FCM LITTLE SOLEA 6C BLK CIS                "/>
    <s v="S"/>
    <d v="2012-01-17T00:00:00"/>
    <m/>
    <s v="X"/>
    <x v="52"/>
    <n v="9.19"/>
    <n v="322"/>
    <d v="2012-02-17T00:00:00"/>
    <d v="2011-12-30T00:00:00"/>
    <n v="1320"/>
    <d v="2011-12-30T00:00:00"/>
    <n v="1320"/>
    <m/>
    <d v="2012-01-01T00:00:00"/>
    <n v="1320"/>
    <d v="2012-02-19T00:00:00"/>
    <d v="2012-01-01T00:00:00"/>
    <n v="1320"/>
    <n v="1320"/>
    <x v="23"/>
    <d v="2012-02-26T00:00:00"/>
    <m/>
    <n v="9321658676"/>
    <n v="10"/>
    <s v="OOLU1327910"/>
    <s v="OOCL LONDON/10W01"/>
    <m/>
    <s v="XIAMEN"/>
    <s v="SUPPLIER WORNG DOC"/>
    <m/>
    <s v="KENUS WONG"/>
    <s v="FO9"/>
    <s v="BEVERAGE                      "/>
    <s v="CONFIRMED"/>
    <n v="1"/>
    <n v="1"/>
    <d v="2012-01-08T00:00:00"/>
    <s v="KITCHEN ELECTRICS             "/>
    <s v="BREAKFAST &amp; BREVAGE PREP      "/>
    <x v="1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103498"/>
    <s v="GSE/DSV BLP WAREHOUSE YANTIAN                     "/>
    <n v="99005151"/>
    <x v="18"/>
    <s v="9321657455/000010"/>
    <n v="1370149201"/>
    <n v="10"/>
    <x v="11"/>
    <x v="11"/>
    <s v="P1"/>
    <n v="1500675360"/>
    <n v="106"/>
    <n v="675360"/>
    <s v="HM101060 BATTEUR B/R MLX ARAB.                    "/>
    <s v="S"/>
    <d v="2012-01-18T00:00:00"/>
    <m/>
    <s v="X"/>
    <x v="52"/>
    <n v="8.3800000000000008"/>
    <n v="9"/>
    <d v="2012-01-20T00:00:00"/>
    <d v="2012-01-17T00:00:00"/>
    <n v="1002"/>
    <d v="2012-01-17T00:00:00"/>
    <n v="1002"/>
    <m/>
    <d v="2012-01-17T00:00:00"/>
    <n v="1002"/>
    <d v="2012-01-20T00:00:00"/>
    <d v="2012-01-17T00:00:00"/>
    <n v="1002"/>
    <n v="1002"/>
    <x v="19"/>
    <d v="2012-01-20T00:00:00"/>
    <m/>
    <n v="9321658677"/>
    <n v="10"/>
    <s v="BY TRUCK"/>
    <s v="BY TRUCK"/>
    <m/>
    <s v="XIAMEN"/>
    <m/>
    <m/>
    <s v="ZANDRA LAM"/>
    <s v="FO9"/>
    <s v="FOOD PREPARATION              "/>
    <s v="CONFIRMED"/>
    <n v="1"/>
    <n v="3"/>
    <d v="2012-01-17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7454/000010"/>
    <n v="1370149203"/>
    <n v="10"/>
    <x v="11"/>
    <x v="11"/>
    <s v="P1"/>
    <n v="1500675345"/>
    <n v="106"/>
    <n v="675345"/>
    <s v="HM101045 HAND MIXER PRINCIPIO 2                   "/>
    <s v="S"/>
    <d v="2012-01-18T00:00:00"/>
    <m/>
    <s v="X"/>
    <x v="52"/>
    <n v="7.88"/>
    <n v="9"/>
    <d v="2012-01-20T00:00:00"/>
    <d v="2012-01-17T00:00:00"/>
    <n v="1002"/>
    <d v="2012-01-17T00:00:00"/>
    <n v="1002"/>
    <m/>
    <d v="2012-01-17T00:00:00"/>
    <n v="1002"/>
    <d v="2012-01-20T00:00:00"/>
    <d v="2012-01-17T00:00:00"/>
    <n v="1002"/>
    <n v="1002"/>
    <x v="19"/>
    <d v="2012-01-20T00:00:00"/>
    <m/>
    <n v="9321658678"/>
    <n v="10"/>
    <s v="BY TRUCK"/>
    <s v="BY TRUCK"/>
    <m/>
    <s v="XIAMEN"/>
    <m/>
    <m/>
    <s v="ZANDRA LAM"/>
    <s v="FO9"/>
    <s v="FOOD PREPARATION              "/>
    <s v="CONFIRMED"/>
    <n v="1"/>
    <n v="3"/>
    <d v="2012-01-17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628/000010"/>
    <n v="1370148126"/>
    <n v="10"/>
    <x v="20"/>
    <x v="20"/>
    <s v="A7"/>
    <n v="2100034853"/>
    <n v="235"/>
    <s v="K0031162       "/>
    <s v="K0031162 MEASURING CUP AND SPOON COMBO S          "/>
    <s v="S"/>
    <d v="2012-01-06T00:00:00"/>
    <m/>
    <s v="X"/>
    <x v="52"/>
    <n v="10.8"/>
    <n v="13"/>
    <d v="2012-02-10T00:00:00"/>
    <d v="2012-01-06T00:00:00"/>
    <n v="1000"/>
    <d v="2012-01-06T00:00:00"/>
    <n v="1000"/>
    <m/>
    <d v="2012-01-02T00:00:00"/>
    <n v="1000"/>
    <d v="2012-02-06T00:00:00"/>
    <d v="2012-01-02T00:00:00"/>
    <n v="1000"/>
    <n v="1000"/>
    <x v="13"/>
    <d v="2012-02-05T00:00:00"/>
    <m/>
    <n v="9321658679"/>
    <n v="10"/>
    <s v="TCLU8226939"/>
    <s v="ITAL LAGUNA 0608-036"/>
    <m/>
    <s v="YANTIAN"/>
    <s v="LATE EDI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736/000010"/>
    <n v="1370148156"/>
    <n v="10"/>
    <x v="20"/>
    <x v="20"/>
    <s v="A7"/>
    <n v="8701000492"/>
    <n v="235"/>
    <s v="T181           "/>
    <s v="T181 WS 7 PCE TOOL SET                            "/>
    <s v="S"/>
    <d v="2012-01-31T00:00:00"/>
    <m/>
    <s v="X"/>
    <x v="52"/>
    <n v="26.14"/>
    <n v="31"/>
    <d v="2012-02-21T00:00:00"/>
    <d v="2012-01-17T00:00:00"/>
    <n v="1000"/>
    <d v="2012-01-17T00:00:00"/>
    <n v="1000"/>
    <m/>
    <d v="2012-01-17T00:00:00"/>
    <n v="1000"/>
    <d v="2012-02-21T00:00:00"/>
    <d v="2012-01-17T00:00:00"/>
    <n v="1000"/>
    <n v="1000"/>
    <x v="19"/>
    <d v="2012-02-21T00:00:00"/>
    <m/>
    <n v="9321658680"/>
    <n v="10"/>
    <s v="FSCU9416955"/>
    <s v="NYK NEBULA 25E02"/>
    <m/>
    <s v="YANTIAN"/>
    <s v="WRONG DOC FROM SUPPLIER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720/000010"/>
    <n v="1370148160"/>
    <n v="10"/>
    <x v="20"/>
    <x v="20"/>
    <s v="A7"/>
    <n v="8700800667"/>
    <n v="235"/>
    <s v="T147           "/>
    <s v="T147 BBQ TOOL SET WITH CARRY CASE                 "/>
    <s v="S"/>
    <d v="2012-01-31T00:00:00"/>
    <m/>
    <s v="X"/>
    <x v="52"/>
    <n v="27.24"/>
    <n v="33"/>
    <d v="2012-02-05T00:00:00"/>
    <d v="2012-01-01T00:00:00"/>
    <n v="1000"/>
    <d v="2012-01-01T00:00:00"/>
    <n v="1000"/>
    <m/>
    <d v="2012-01-02T00:00:00"/>
    <n v="1000"/>
    <d v="2012-02-20T00:00:00"/>
    <d v="2012-01-16T00:00:00"/>
    <n v="1000"/>
    <n v="1000"/>
    <x v="19"/>
    <d v="2012-02-21T00:00:00"/>
    <m/>
    <n v="9321658681"/>
    <n v="10"/>
    <s v="CRXU1224929"/>
    <s v="NYK NEBULA 25E02"/>
    <m/>
    <s v="YANTIAN"/>
    <s v="SP-MTL/WRONG DOC FROM SUPPLIER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9"/>
    <s v="SP-MTL"/>
    <n v="1"/>
    <n v="1"/>
    <x v="10"/>
    <n v="2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2648/000010"/>
    <n v="1370148161"/>
    <n v="10"/>
    <x v="20"/>
    <x v="20"/>
    <s v="A7"/>
    <n v="2100034958"/>
    <n v="235"/>
    <s v="K0031362       "/>
    <s v="K0031362 MEASURING SPOON SET - WILLIAMS           "/>
    <s v="S"/>
    <d v="2012-01-06T00:00:00"/>
    <m/>
    <s v="X"/>
    <x v="52"/>
    <n v="3.07"/>
    <n v="4"/>
    <d v="2012-02-06T00:00:00"/>
    <d v="2012-01-02T00:00:00"/>
    <n v="4000"/>
    <d v="2012-01-02T00:00:00"/>
    <n v="4000"/>
    <m/>
    <d v="2012-01-02T00:00:00"/>
    <n v="4000"/>
    <d v="2012-02-06T00:00:00"/>
    <d v="2012-01-02T00:00:00"/>
    <n v="4000"/>
    <n v="4000"/>
    <x v="13"/>
    <d v="2012-02-05T00:00:00"/>
    <m/>
    <n v="9321658682"/>
    <n v="10"/>
    <s v="LTIU8006025"/>
    <s v="ITAL LAGUNA 0608-036"/>
    <m/>
    <s v="YANTIAN"/>
    <s v="LATE EDI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7529/000010"/>
    <n v="1370149327"/>
    <n v="10"/>
    <x v="20"/>
    <x v="20"/>
    <s v="A7"/>
    <n v="8700800204"/>
    <n v="205"/>
    <n v="59912"/>
    <s v="59912 12 QT MULTICOOKER                           "/>
    <s v="S"/>
    <d v="2012-01-31T00:00:00"/>
    <m/>
    <s v="X"/>
    <x v="52"/>
    <n v="38.619999999999997"/>
    <n v="45"/>
    <d v="2012-02-21T00:00:00"/>
    <d v="2012-01-17T00:00:00"/>
    <n v="1200"/>
    <d v="2012-01-16T00:00:00"/>
    <n v="1200"/>
    <m/>
    <d v="2012-01-17T00:00:00"/>
    <n v="1200"/>
    <d v="2012-02-21T00:00:00"/>
    <d v="2012-01-17T00:00:00"/>
    <n v="1200"/>
    <n v="1100"/>
    <x v="19"/>
    <d v="2012-02-21T00:00:00"/>
    <m/>
    <n v="9321658683"/>
    <n v="10"/>
    <s v="FSCU9416955"/>
    <s v="NYK NEBULA 25E02"/>
    <m/>
    <s v="YANTIAN"/>
    <s v="WRONG DOC FROM SUPPLIER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7529/000010"/>
    <n v="1370149327"/>
    <n v="10"/>
    <x v="20"/>
    <x v="20"/>
    <s v="A7"/>
    <n v="8700800204"/>
    <n v="205"/>
    <n v="59912"/>
    <s v="59912 12 QT MULTICOOKER                           "/>
    <s v="S"/>
    <d v="2012-01-31T00:00:00"/>
    <m/>
    <s v="X"/>
    <x v="52"/>
    <n v="38.619999999999997"/>
    <n v="45"/>
    <d v="2012-02-21T00:00:00"/>
    <d v="2012-01-17T00:00:00"/>
    <n v="1200"/>
    <d v="2012-01-16T00:00:00"/>
    <n v="1200"/>
    <m/>
    <d v="2012-01-17T00:00:00"/>
    <n v="1200"/>
    <d v="2012-02-21T00:00:00"/>
    <d v="2012-01-17T00:00:00"/>
    <n v="1200"/>
    <n v="100"/>
    <x v="19"/>
    <d v="2012-02-21T00:00:00"/>
    <m/>
    <n v="9321658683"/>
    <n v="10"/>
    <s v="CRXU1224929"/>
    <s v="NYK NEBULA 25E02"/>
    <m/>
    <s v="YANTIAN"/>
    <s v="WRONG DOC FROM SUPPLIER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7523/000010"/>
    <n v="1370149328"/>
    <n v="10"/>
    <x v="20"/>
    <x v="20"/>
    <s v="A7"/>
    <n v="2100034848"/>
    <n v="235"/>
    <s v="K0030662       "/>
    <s v="K0030662 LARGE LADLE - WILLIAMS SONOMA            "/>
    <s v="S"/>
    <d v="2012-01-31T00:00:00"/>
    <m/>
    <s v="X"/>
    <x v="52"/>
    <n v="4.08"/>
    <n v="5"/>
    <d v="2012-02-21T00:00:00"/>
    <d v="2012-01-17T00:00:00"/>
    <n v="1008"/>
    <d v="2012-01-17T00:00:00"/>
    <n v="1008"/>
    <m/>
    <d v="2012-01-17T00:00:00"/>
    <n v="1008"/>
    <d v="2012-02-21T00:00:00"/>
    <d v="2012-01-17T00:00:00"/>
    <n v="1008"/>
    <n v="1008"/>
    <x v="19"/>
    <d v="2012-02-21T00:00:00"/>
    <m/>
    <n v="9321658684"/>
    <n v="10"/>
    <s v="FSCU9416955"/>
    <s v="NYK NEBULA 25E02"/>
    <m/>
    <s v="YANTIAN"/>
    <s v="WRONG DOC FROM SUPPLIER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7524/000010"/>
    <n v="1370149339"/>
    <n v="10"/>
    <x v="20"/>
    <x v="20"/>
    <s v="A7"/>
    <n v="2100034958"/>
    <n v="235"/>
    <s v="K0031362       "/>
    <s v="K0031362 MEASURING SPOON SET - WILLIAMS           "/>
    <s v="S"/>
    <d v="2012-01-31T00:00:00"/>
    <m/>
    <s v="X"/>
    <x v="52"/>
    <n v="3.07"/>
    <n v="4"/>
    <d v="2012-03-02T00:00:00"/>
    <d v="2012-01-27T00:00:00"/>
    <n v="1500"/>
    <d v="2012-01-19T00:00:00"/>
    <n v="1500"/>
    <m/>
    <d v="2012-01-27T00:00:00"/>
    <n v="1500"/>
    <d v="2012-02-21T00:00:00"/>
    <d v="2012-01-17T00:00:00"/>
    <n v="1500"/>
    <n v="1500"/>
    <x v="19"/>
    <d v="2012-02-21T00:00:00"/>
    <m/>
    <n v="9321658685"/>
    <n v="10"/>
    <s v="FSCU9416955"/>
    <s v="NYK NEBULA 25E02"/>
    <m/>
    <s v="YANTIAN"/>
    <s v="SP-HOLIDAY/WRONG DOC FROM SUPPLIER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7"/>
    <s v="SP-HOLIDAY"/>
    <n v="-3"/>
    <n v="-3"/>
    <x v="6"/>
    <n v="2"/>
    <x v="0"/>
    <x v="0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298/000010"/>
    <n v="1370148044"/>
    <n v="10"/>
    <x v="53"/>
    <x v="53"/>
    <s v="R1"/>
    <n v="1500539646"/>
    <n v="23"/>
    <n v="539646"/>
    <s v="539646 TOAS LC WHT/GRG RU                         "/>
    <s v="S"/>
    <d v="2012-01-06T00:00:00"/>
    <m/>
    <s v="X"/>
    <x v="52"/>
    <n v="7.37"/>
    <n v="1876190"/>
    <d v="2012-01-30T00:00:00"/>
    <d v="2011-12-26T00:00:00"/>
    <n v="2400"/>
    <d v="2012-01-05T00:00:00"/>
    <n v="2400"/>
    <m/>
    <d v="2011-12-26T00:00:00"/>
    <n v="2400"/>
    <d v="2012-02-09T00:00:00"/>
    <d v="2012-01-05T00:00:00"/>
    <n v="2400"/>
    <n v="2400"/>
    <x v="2"/>
    <d v="2012-02-08T00:00:00"/>
    <m/>
    <n v="9321658686"/>
    <n v="10"/>
    <s v="MRKU8214255"/>
    <s v="MAERSK LIMA/152W"/>
    <m/>
    <s v="YANTIAN"/>
    <s v="C-POST-CONF"/>
    <m/>
    <s v="KENUS WONG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6827/000010"/>
    <n v="1370148935"/>
    <n v="10"/>
    <x v="53"/>
    <x v="53"/>
    <s v="R1"/>
    <n v="1500577601"/>
    <n v="23"/>
    <n v="577601"/>
    <s v="LS100030 TOAS ACCES LS WHT H1                     "/>
    <s v="S"/>
    <d v="2012-01-10T00:00:00"/>
    <m/>
    <s v="X"/>
    <x v="52"/>
    <n v="8.44"/>
    <n v="7"/>
    <d v="2012-01-23T00:00:00"/>
    <d v="2011-12-26T00:00:00"/>
    <n v="1400"/>
    <d v="2012-01-07T00:00:00"/>
    <n v="1400"/>
    <m/>
    <d v="2011-12-26T00:00:00"/>
    <n v="1400"/>
    <d v="2012-02-04T00:00:00"/>
    <d v="2012-01-07T00:00:00"/>
    <n v="1400"/>
    <n v="1400"/>
    <x v="23"/>
    <d v="2012-02-05T00:00:00"/>
    <m/>
    <n v="9321658687"/>
    <n v="10"/>
    <s v="MRKU0449119"/>
    <s v="MAERSK SANTANA/1202"/>
    <m/>
    <s v="YANTIAN"/>
    <s v="C-POST-CONF"/>
    <m/>
    <s v="JASON FAN"/>
    <s v="FO9"/>
    <s v="BEVERAGE                      "/>
    <s v="CONFIRMED"/>
    <n v="1"/>
    <n v="1"/>
    <d v="2012-01-08T00:00:00"/>
    <s v="KITCHEN ELECTRICS             "/>
    <s v="BREAKFAST &amp; BREVAGE PREP      "/>
    <x v="4"/>
    <x v="1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6823/000010"/>
    <n v="1370148937"/>
    <n v="10"/>
    <x v="53"/>
    <x v="53"/>
    <s v="R1"/>
    <n v="1500577602"/>
    <n v="23"/>
    <n v="577602"/>
    <s v="LT110030 TOAS ACCES 2S MET/BLK EUR                "/>
    <s v="S"/>
    <d v="2012-01-10T00:00:00"/>
    <m/>
    <s v="X"/>
    <x v="52"/>
    <n v="9.0399999999999991"/>
    <n v="8"/>
    <d v="2012-01-23T00:00:00"/>
    <d v="2011-12-26T00:00:00"/>
    <n v="1526"/>
    <d v="2012-01-07T00:00:00"/>
    <n v="1526"/>
    <m/>
    <d v="2011-12-26T00:00:00"/>
    <n v="1526"/>
    <d v="2012-02-04T00:00:00"/>
    <d v="2012-01-07T00:00:00"/>
    <n v="1526"/>
    <n v="1526"/>
    <x v="23"/>
    <d v="2012-02-05T00:00:00"/>
    <m/>
    <n v="9321658688"/>
    <n v="10"/>
    <s v="MSKU6462064"/>
    <s v="MAERSK SANTANA/1202"/>
    <m/>
    <s v="YANTIAN"/>
    <s v="C-POST-CONF"/>
    <m/>
    <s v="JASON FAN"/>
    <s v="FO9"/>
    <s v="BEVERAGE                      "/>
    <s v="CONFIRMED"/>
    <n v="1"/>
    <n v="1"/>
    <d v="2012-01-08T00:00:00"/>
    <s v="KITCHEN ELECTRICS             "/>
    <s v="BREAKFAST &amp; BREVAGE PREP      "/>
    <x v="4"/>
    <x v="1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6822/000010"/>
    <n v="1370148938"/>
    <n v="10"/>
    <x v="53"/>
    <x v="53"/>
    <s v="R1"/>
    <n v="1500572105"/>
    <n v="23"/>
    <n v="572105"/>
    <s v="A15451 TOASTER MULTIPAN                           "/>
    <s v="S"/>
    <d v="2012-01-16T00:00:00"/>
    <m/>
    <s v="X"/>
    <x v="52"/>
    <n v="6.46"/>
    <n v="5"/>
    <d v="2012-01-23T00:00:00"/>
    <d v="2011-12-26T00:00:00"/>
    <n v="3480"/>
    <d v="2012-01-14T00:00:00"/>
    <n v="3480"/>
    <m/>
    <d v="2011-12-26T00:00:00"/>
    <n v="3480"/>
    <d v="2012-02-11T00:00:00"/>
    <d v="2012-01-14T00:00:00"/>
    <n v="3480"/>
    <n v="3480"/>
    <x v="9"/>
    <d v="2012-02-11T00:00:00"/>
    <m/>
    <n v="9321658689"/>
    <n v="10"/>
    <s v="MRKU3275448"/>
    <s v="MAERSK SHEERNESS/120"/>
    <m/>
    <s v="YANTIAN"/>
    <s v="C-POST-CONF"/>
    <m/>
    <s v="JASON FAN"/>
    <s v="FO9"/>
    <s v="BEVERAGE                      "/>
    <s v="CONFIRMED"/>
    <n v="1"/>
    <n v="2"/>
    <d v="2012-01-14T00:00:00"/>
    <s v="KITCHEN ELECTRICS             "/>
    <s v="BREAKFAST &amp; BREVAGE PREP      "/>
    <x v="4"/>
    <x v="1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6822/000020"/>
    <n v="1370148938"/>
    <n v="20"/>
    <x v="53"/>
    <x v="53"/>
    <s v="R1"/>
    <n v="1500577600"/>
    <n v="23"/>
    <n v="577600"/>
    <s v="LT100030 TOAS ACCES 2S WHT H1                     "/>
    <s v="S"/>
    <d v="2012-01-10T00:00:00"/>
    <m/>
    <s v="X"/>
    <x v="52"/>
    <n v="7.66"/>
    <n v="5"/>
    <d v="2012-01-23T00:00:00"/>
    <d v="2011-12-26T00:00:00"/>
    <n v="1526"/>
    <d v="2012-01-07T00:00:00"/>
    <n v="1526"/>
    <m/>
    <d v="2011-12-26T00:00:00"/>
    <n v="1526"/>
    <d v="2012-02-04T00:00:00"/>
    <d v="2012-01-07T00:00:00"/>
    <n v="1526"/>
    <n v="1526"/>
    <x v="23"/>
    <d v="2012-02-05T00:00:00"/>
    <m/>
    <n v="9321658689"/>
    <n v="20"/>
    <s v="MSKU6462064"/>
    <s v="MAERSK SANTANA/1202"/>
    <m/>
    <s v="YANTIAN"/>
    <s v="C-POST-CONF"/>
    <m/>
    <s v="JASON FAN"/>
    <s v="FO9"/>
    <s v="BEVERAGE                      "/>
    <s v="CONFIRMED"/>
    <n v="1"/>
    <n v="1"/>
    <d v="2012-01-08T00:00:00"/>
    <s v="KITCHEN ELECTRICS             "/>
    <s v="BREAKFAST &amp; BREVAGE PREP      "/>
    <x v="4"/>
    <x v="1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2/000020"/>
    <n v="1370149104"/>
    <n v="20"/>
    <x v="53"/>
    <x v="53"/>
    <s v="R1"/>
    <n v="1500576605"/>
    <n v="23"/>
    <n v="576605"/>
    <s v="TT222030 TOAS INVENT WHT B                        "/>
    <s v="S"/>
    <d v="2012-01-16T00:00:00"/>
    <m/>
    <s v="X"/>
    <x v="52"/>
    <n v="7.28"/>
    <n v="7"/>
    <d v="2012-02-06T00:00:00"/>
    <d v="2012-01-09T00:00:00"/>
    <n v="1494"/>
    <d v="2012-01-09T00:00:00"/>
    <n v="1494"/>
    <m/>
    <d v="2012-01-09T00:00:00"/>
    <n v="1494"/>
    <d v="2012-02-08T00:00:00"/>
    <d v="2012-01-11T00:00:00"/>
    <n v="1494"/>
    <n v="1494"/>
    <x v="24"/>
    <d v="2012-02-10T00:00:00"/>
    <m/>
    <n v="9321658690"/>
    <n v="10"/>
    <s v="OOLU1157814"/>
    <s v="BUSAN EXPRESS/04W01"/>
    <m/>
    <s v="YANTIAN"/>
    <m/>
    <m/>
    <s v="JASON FAN"/>
    <s v="FO9"/>
    <s v="BEVERAGE                      "/>
    <s v="CONFIRMED"/>
    <n v="1"/>
    <n v="2"/>
    <d v="2012-01-13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314/000010"/>
    <n v="1370149193"/>
    <n v="10"/>
    <x v="53"/>
    <x v="53"/>
    <s v="R1"/>
    <n v="8000032656"/>
    <n v="55"/>
    <s v="KI201540       "/>
    <s v="KI201540 KET REMINISCE STAIN/BLK                  "/>
    <s v="S"/>
    <d v="2012-01-13T00:00:00"/>
    <m/>
    <s v="X"/>
    <x v="52"/>
    <n v="16.850000000000001"/>
    <n v="600"/>
    <d v="2012-02-27T00:00:00"/>
    <d v="2012-01-09T00:00:00"/>
    <n v="2019"/>
    <d v="2012-01-09T00:00:00"/>
    <n v="2019"/>
    <m/>
    <d v="2012-01-09T00:00:00"/>
    <n v="2019"/>
    <d v="2012-03-01T00:00:00"/>
    <d v="2012-01-12T00:00:00"/>
    <n v="2019"/>
    <n v="2019"/>
    <x v="10"/>
    <d v="2012-03-01T00:00:00"/>
    <m/>
    <n v="9321658691"/>
    <n v="10"/>
    <s v="OOLU7355186"/>
    <s v="NYK ORPHEUS/18W52"/>
    <m/>
    <s v="YANTIAN"/>
    <m/>
    <m/>
    <s v="KENUS WONG"/>
    <s v="FO9"/>
    <s v="BEVERAGE                      "/>
    <s v="CONFIRMED"/>
    <n v="1"/>
    <n v="2"/>
    <d v="2012-01-12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34/000010"/>
    <n v="1370148338"/>
    <n v="10"/>
    <x v="71"/>
    <x v="71"/>
    <s v="A1"/>
    <n v="2100038470"/>
    <n v="201"/>
    <s v="A9228064       "/>
    <s v="A9228064 T-FAL TNS 12QT STOCK POT                 "/>
    <s v="S"/>
    <d v="2012-01-04T00:00:00"/>
    <m/>
    <s v="X"/>
    <x v="52"/>
    <n v="12.25"/>
    <n v="14157"/>
    <d v="2012-02-01T00:00:00"/>
    <d v="2011-12-28T00:00:00"/>
    <n v="2500"/>
    <d v="2011-12-28T00:00:00"/>
    <n v="2500"/>
    <m/>
    <d v="2011-12-29T00:00:00"/>
    <n v="2500"/>
    <d v="2012-02-02T00:00:00"/>
    <d v="2011-12-29T00:00:00"/>
    <n v="2500"/>
    <n v="800"/>
    <x v="3"/>
    <d v="2012-02-06T00:00:00"/>
    <m/>
    <n v="9321658692"/>
    <n v="10"/>
    <s v="GESU1397767"/>
    <s v="CMA CGM DON PASCUALE"/>
    <m/>
    <s v="NINGBO"/>
    <m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34/000010"/>
    <n v="1370148338"/>
    <n v="10"/>
    <x v="71"/>
    <x v="71"/>
    <s v="A1"/>
    <n v="2100038470"/>
    <n v="201"/>
    <s v="A9228064       "/>
    <s v="A9228064 T-FAL TNS 12QT STOCK POT                 "/>
    <s v="S"/>
    <d v="2012-01-04T00:00:00"/>
    <m/>
    <s v="X"/>
    <x v="52"/>
    <n v="12.25"/>
    <n v="14157"/>
    <d v="2012-02-01T00:00:00"/>
    <d v="2011-12-28T00:00:00"/>
    <n v="2500"/>
    <d v="2011-12-28T00:00:00"/>
    <n v="2500"/>
    <m/>
    <d v="2011-12-29T00:00:00"/>
    <n v="2500"/>
    <d v="2012-02-02T00:00:00"/>
    <d v="2011-12-29T00:00:00"/>
    <n v="2500"/>
    <n v="1700"/>
    <x v="3"/>
    <d v="2012-02-06T00:00:00"/>
    <m/>
    <n v="9321658692"/>
    <n v="10"/>
    <s v="FCIU9217790"/>
    <s v="CMA CGM DON PASCUALE"/>
    <m/>
    <s v="NINGBO"/>
    <m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7347/000010"/>
    <n v="1370148945"/>
    <n v="10"/>
    <x v="4"/>
    <x v="4"/>
    <s v="M5"/>
    <n v="2210015096"/>
    <n v="68"/>
    <s v="RH856501       "/>
    <s v="RH856501 CORDLESS HANDSTICK-24V                   "/>
    <s v="S"/>
    <d v="2012-01-16T00:00:00"/>
    <m/>
    <s v="X"/>
    <x v="52"/>
    <n v="54.33"/>
    <n v="46"/>
    <d v="2012-02-10T00:00:00"/>
    <d v="2012-01-13T00:00:00"/>
    <n v="826"/>
    <d v="2012-01-13T00:00:00"/>
    <n v="826"/>
    <m/>
    <d v="2012-01-13T00:00:00"/>
    <n v="826"/>
    <d v="2012-02-10T00:00:00"/>
    <d v="2012-01-13T00:00:00"/>
    <n v="826"/>
    <n v="826"/>
    <x v="12"/>
    <d v="2012-02-04T00:00:00"/>
    <m/>
    <n v="9321658694"/>
    <n v="10"/>
    <s v="MAEU6132085"/>
    <s v="MAERSK SANTANA/1202"/>
    <m/>
    <s v="YANTIAN"/>
    <s v="FORWARDER LATE DOC"/>
    <m/>
    <s v="JASON FAN"/>
    <s v="FO9"/>
    <s v="HOME CLEANING                 "/>
    <s v="CONFIRMED"/>
    <n v="1"/>
    <n v="1"/>
    <d v="2012-01-07T00:00:00"/>
    <s v="HOME CLEANING                 "/>
    <s v="HOME CLEANING                 "/>
    <x v="3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7356/000010"/>
    <n v="1370148947"/>
    <n v="10"/>
    <x v="4"/>
    <x v="4"/>
    <s v="M5"/>
    <n v="2210016328"/>
    <n v="68"/>
    <s v="RH865701       "/>
    <s v="RH865701 LITHIUM ION AIRFORCE STICKCLEAN          "/>
    <s v="S"/>
    <d v="2012-01-29T00:00:00"/>
    <m/>
    <s v="X"/>
    <x v="52"/>
    <n v="68.73"/>
    <n v="59"/>
    <d v="2012-01-23T00:00:00"/>
    <d v="2011-12-26T00:00:00"/>
    <n v="826"/>
    <d v="2012-01-14T00:00:00"/>
    <n v="826"/>
    <m/>
    <d v="2011-12-26T00:00:00"/>
    <n v="826"/>
    <d v="2012-02-11T00:00:00"/>
    <d v="2012-01-14T00:00:00"/>
    <n v="826"/>
    <n v="826"/>
    <x v="4"/>
    <d v="2012-02-19T00:00:00"/>
    <m/>
    <n v="9321658696"/>
    <n v="10"/>
    <s v="MSKU2114420"/>
    <s v="MAERSK TANJONG/1202"/>
    <m/>
    <s v="SHANGHAI"/>
    <s v="SAILING-SCHED-UPDATE/C-POST-CONF"/>
    <m/>
    <s v="JASON FAN"/>
    <s v="FO9"/>
    <s v="HOME CLEANING                 "/>
    <s v="CONFIRMED"/>
    <n v="1"/>
    <n v="3"/>
    <d v="2012-01-22T00:00:00"/>
    <s v="HOME CLEANING                 "/>
    <s v="HOME CLEANING                 "/>
    <x v="3"/>
    <x v="2"/>
    <x v="3"/>
    <s v="C-POST-CONF"/>
    <n v="-3"/>
    <n v="-3"/>
    <x v="0"/>
    <n v="2"/>
    <x v="0"/>
    <x v="0"/>
    <x v="1"/>
    <n v="0"/>
    <n v="0"/>
    <n v="0"/>
    <n v="1"/>
    <n v="0"/>
    <n v="1"/>
    <x v="0"/>
    <x v="0"/>
    <x v="0"/>
    <x v="0"/>
  </r>
  <r>
    <s v="Shipment"/>
    <n v="99008200"/>
    <s v="GROUPE SEB IBERICA                                "/>
    <n v="99008200"/>
    <x v="21"/>
    <s v="9321657345/000010"/>
    <n v="1370148955"/>
    <n v="10"/>
    <x v="4"/>
    <x v="4"/>
    <s v="M5"/>
    <n v="2210015096"/>
    <n v="68"/>
    <s v="RH856501       "/>
    <s v="RH856501 CORDLESS HANDSTICK-24V                   "/>
    <s v="S"/>
    <d v="2012-01-12T00:00:00"/>
    <m/>
    <s v="X"/>
    <x v="52"/>
    <n v="54.33"/>
    <n v="46"/>
    <d v="2012-02-06T00:00:00"/>
    <d v="2012-01-09T00:00:00"/>
    <n v="1722"/>
    <d v="2012-01-09T00:00:00"/>
    <n v="1722"/>
    <m/>
    <d v="2012-01-09T00:00:00"/>
    <n v="1722"/>
    <d v="2012-02-06T00:00:00"/>
    <d v="2012-01-09T00:00:00"/>
    <n v="1722"/>
    <n v="1722"/>
    <x v="2"/>
    <d v="2012-02-01T00:00:00"/>
    <m/>
    <n v="9321658699"/>
    <n v="10"/>
    <s v="HDMU4418264"/>
    <s v="CHINA EXPRESS/008W"/>
    <m/>
    <s v="YANTIAN"/>
    <s v="FORWARDER LATE DOC"/>
    <m/>
    <s v="JASON FAN"/>
    <s v="FO9"/>
    <s v="HOME CLEANING                 "/>
    <s v="CONFIRMED"/>
    <n v="1"/>
    <n v="1"/>
    <d v="2012-01-04T00:00:00"/>
    <s v="HOME CLEANING                 "/>
    <s v="HOME CLEANING                 "/>
    <x v="3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7342/000010"/>
    <n v="1370148956"/>
    <n v="10"/>
    <x v="4"/>
    <x v="4"/>
    <s v="M5"/>
    <n v="2210015096"/>
    <n v="68"/>
    <s v="RH856501       "/>
    <s v="RH856501 CORDLESS HANDSTICK-24V                   "/>
    <s v="S"/>
    <d v="2012-01-16T00:00:00"/>
    <m/>
    <s v="X"/>
    <x v="52"/>
    <n v="54.33"/>
    <n v="46"/>
    <d v="2012-01-30T00:00:00"/>
    <d v="2012-01-02T00:00:00"/>
    <n v="826"/>
    <d v="2012-01-02T00:00:00"/>
    <n v="826"/>
    <m/>
    <d v="2012-01-02T00:00:00"/>
    <n v="826"/>
    <d v="2012-02-04T00:00:00"/>
    <d v="2012-01-07T00:00:00"/>
    <n v="826"/>
    <n v="826"/>
    <x v="12"/>
    <d v="2012-02-04T00:00:00"/>
    <m/>
    <n v="9321658700"/>
    <n v="10"/>
    <s v="MSKU5581794"/>
    <s v="MAERSK SANTANA/1202"/>
    <m/>
    <s v="YANTIAN"/>
    <s v="FORWARDER LATE DOC"/>
    <m/>
    <s v="JASON FAN"/>
    <s v="FO9"/>
    <s v="HOME CLEANING                 "/>
    <s v="CONFIRMED"/>
    <n v="1"/>
    <n v="1"/>
    <d v="2012-01-07T00:00:00"/>
    <s v="HOME CLEANING                 "/>
    <s v="HOME CLEANING                 "/>
    <x v="3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5/000070"/>
    <n v="1370149101"/>
    <n v="70"/>
    <x v="4"/>
    <x v="4"/>
    <s v="M5"/>
    <n v="2210015884"/>
    <n v="69"/>
    <s v="AC925801       "/>
    <s v="AC925801 VAC CLEANER AIR FORCE  18 V CYC          "/>
    <s v="S"/>
    <d v="2012-01-19T00:00:00"/>
    <m/>
    <s v="X"/>
    <x v="52"/>
    <n v="41.28"/>
    <n v="14"/>
    <d v="2012-02-06T00:00:00"/>
    <d v="2012-01-09T00:00:00"/>
    <n v="1888"/>
    <d v="2012-01-09T00:00:00"/>
    <n v="1888"/>
    <m/>
    <d v="2012-01-09T00:00:00"/>
    <n v="1888"/>
    <d v="2012-02-06T00:00:00"/>
    <d v="2012-01-09T00:00:00"/>
    <n v="1888"/>
    <n v="1888"/>
    <x v="19"/>
    <d v="2012-02-14T00:00:00"/>
    <m/>
    <n v="9321658702"/>
    <n v="10"/>
    <s v="OOLU1351049"/>
    <s v="APL HAMBURG/015W"/>
    <m/>
    <s v="YANTIAN"/>
    <s v="SP-LABOR"/>
    <m/>
    <s v="JASON FAN"/>
    <s v="FO9"/>
    <s v="HOME CLEANING                 "/>
    <s v="CONFIRMED"/>
    <n v="1"/>
    <n v="3"/>
    <d v="2012-01-17T00:00:00"/>
    <s v="HOME CLEANING                 "/>
    <s v="HOME CLEANING                 "/>
    <x v="3"/>
    <x v="2"/>
    <x v="17"/>
    <s v="SP-LABOR"/>
    <n v="1"/>
    <n v="1"/>
    <x v="17"/>
    <n v="1"/>
    <x v="0"/>
    <x v="0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9075/000080"/>
    <n v="1370149101"/>
    <n v="80"/>
    <x v="4"/>
    <x v="4"/>
    <s v="M5"/>
    <n v="2210016091"/>
    <n v="68"/>
    <s v="RH857901       "/>
    <s v="RH857901 CORDLESS HANDSTICK-24V                   "/>
    <s v="S"/>
    <d v="2012-01-11T00:00:00"/>
    <m/>
    <s v="X"/>
    <x v="52"/>
    <n v="54.33"/>
    <n v="14"/>
    <d v="2012-02-06T00:00:00"/>
    <d v="2012-01-09T00:00:00"/>
    <n v="826"/>
    <d v="2012-01-09T00:00:00"/>
    <n v="826"/>
    <m/>
    <d v="2012-01-09T00:00:00"/>
    <n v="826"/>
    <d v="2012-02-06T00:00:00"/>
    <d v="2012-01-09T00:00:00"/>
    <n v="826"/>
    <n v="826"/>
    <x v="0"/>
    <d v="2012-02-06T00:00:00"/>
    <m/>
    <n v="9321658702"/>
    <n v="20"/>
    <s v="UACU8289828"/>
    <s v="HANJIN BRUSSELS/0070"/>
    <m/>
    <s v="YANTIAN"/>
    <m/>
    <m/>
    <s v="JASON FAN"/>
    <s v="FO9"/>
    <s v="HOME CLEANING                 "/>
    <s v="CONFIRMED"/>
    <n v="1"/>
    <n v="2"/>
    <d v="2012-01-09T00:00:00"/>
    <s v="HOME CLEANING                 "/>
    <s v="HOME CLEANING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4/000010"/>
    <n v="1370149102"/>
    <n v="10"/>
    <x v="4"/>
    <x v="4"/>
    <s v="M5"/>
    <n v="2210016669"/>
    <n v="68"/>
    <s v="RH855101       "/>
    <s v="RH855101 AIR FORCE CORDLESS HANDSTICK-18          "/>
    <s v="S"/>
    <d v="2012-01-11T00:00:00"/>
    <m/>
    <s v="X"/>
    <x v="52"/>
    <n v="48.06"/>
    <n v="41"/>
    <d v="2012-02-06T00:00:00"/>
    <d v="2012-01-09T00:00:00"/>
    <n v="826"/>
    <d v="2012-01-09T00:00:00"/>
    <n v="826"/>
    <m/>
    <d v="2012-01-09T00:00:00"/>
    <n v="826"/>
    <d v="2012-02-06T00:00:00"/>
    <d v="2012-01-09T00:00:00"/>
    <n v="826"/>
    <n v="826"/>
    <x v="0"/>
    <d v="2012-02-06T00:00:00"/>
    <m/>
    <n v="9321658703"/>
    <n v="10"/>
    <s v="UACU8229140"/>
    <s v="HANJIN BRUSSELS/0070"/>
    <m/>
    <s v="YANTIAN"/>
    <m/>
    <m/>
    <s v="JASON FAN"/>
    <s v="FO9"/>
    <s v="HOME CLEANING                 "/>
    <s v="CONFIRMED"/>
    <n v="1"/>
    <n v="2"/>
    <d v="2012-01-09T00:00:00"/>
    <s v="HOME CLEANING                 "/>
    <s v="HOME CLEANING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3/000050"/>
    <n v="1370149103"/>
    <n v="50"/>
    <x v="4"/>
    <x v="4"/>
    <s v="M5"/>
    <n v="2210015096"/>
    <n v="68"/>
    <s v="RH856501       "/>
    <s v="RH856501 CORDLESS HANDSTICK-24V                   "/>
    <s v="S"/>
    <d v="2012-01-11T00:00:00"/>
    <m/>
    <s v="X"/>
    <x v="52"/>
    <n v="54.33"/>
    <n v="17"/>
    <d v="2012-02-06T00:00:00"/>
    <d v="2012-01-09T00:00:00"/>
    <n v="826"/>
    <d v="2012-01-09T00:00:00"/>
    <n v="826"/>
    <m/>
    <d v="2012-01-09T00:00:00"/>
    <n v="826"/>
    <d v="2012-02-06T00:00:00"/>
    <d v="2012-01-09T00:00:00"/>
    <n v="826"/>
    <n v="826"/>
    <x v="0"/>
    <d v="2012-02-06T00:00:00"/>
    <m/>
    <n v="9321658704"/>
    <n v="10"/>
    <s v="UACU8289828"/>
    <s v="HANJIN BRUSSELS/0070"/>
    <m/>
    <s v="YANTIAN"/>
    <m/>
    <m/>
    <s v="JASON FAN"/>
    <s v="FO9"/>
    <s v="HOME CLEANING                 "/>
    <s v="CONFIRMED"/>
    <n v="1"/>
    <n v="2"/>
    <d v="2012-01-09T00:00:00"/>
    <s v="HOME CLEANING                 "/>
    <s v="HOME CLEANING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3/000080"/>
    <n v="1370149103"/>
    <n v="80"/>
    <x v="4"/>
    <x v="4"/>
    <s v="M5"/>
    <n v="2210015883"/>
    <n v="69"/>
    <s v="AC923501       "/>
    <s v="AC923501 VAC CLEANER AIR FORCE  108 V C           "/>
    <s v="S"/>
    <d v="2012-01-06T00:00:00"/>
    <m/>
    <s v="X"/>
    <x v="52"/>
    <n v="31.43"/>
    <n v="17"/>
    <d v="2012-02-06T00:00:00"/>
    <d v="2012-01-09T00:00:00"/>
    <n v="1888"/>
    <d v="2012-01-09T00:00:00"/>
    <n v="1888"/>
    <m/>
    <d v="2012-01-09T00:00:00"/>
    <n v="1888"/>
    <d v="2012-01-31T00:00:00"/>
    <d v="2012-01-03T00:00:00"/>
    <n v="1888"/>
    <n v="1888"/>
    <x v="2"/>
    <d v="2012-02-01T00:00:00"/>
    <m/>
    <n v="9321658704"/>
    <n v="20"/>
    <s v="FSCU3429111"/>
    <s v="CHINA EXPRESS/08W52"/>
    <m/>
    <s v="YANTIAN"/>
    <s v="waiting TP"/>
    <m/>
    <s v="JASON FAN"/>
    <s v="FO9"/>
    <s v="HOME CLEANING                 "/>
    <s v="CONFIRMED"/>
    <n v="1"/>
    <n v="1"/>
    <d v="2012-01-04T00:00:00"/>
    <s v="HOME CLEANING                 "/>
    <s v="HOME CLEANING                 "/>
    <x v="3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8037/000010"/>
    <n v="1370149116"/>
    <n v="10"/>
    <x v="4"/>
    <x v="4"/>
    <s v="M5"/>
    <n v="2210016367"/>
    <n v="68"/>
    <s v="RH8548R1       "/>
    <s v="RH8548R1 CORDLESS HANDSTICK -AIR FORCE-1          "/>
    <s v="S"/>
    <d v="2012-01-05T00:00:00"/>
    <m/>
    <s v="X"/>
    <x v="52"/>
    <n v="47.96"/>
    <n v="1716"/>
    <d v="2012-02-24T00:00:00"/>
    <d v="2012-01-06T00:00:00"/>
    <n v="826"/>
    <d v="2012-01-06T00:00:00"/>
    <n v="826"/>
    <m/>
    <d v="2012-01-06T00:00:00"/>
    <n v="826"/>
    <d v="2012-02-21T00:00:00"/>
    <d v="2012-01-03T00:00:00"/>
    <n v="826"/>
    <n v="826"/>
    <x v="16"/>
    <d v="2012-02-21T00:00:00"/>
    <m/>
    <n v="9321658705"/>
    <n v="10"/>
    <s v="TCKU3238647"/>
    <s v="NYK VESTA/28W51"/>
    <m/>
    <s v="YANTIAN"/>
    <s v="TP ISSUE"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3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4337/000010"/>
    <n v="1370149322"/>
    <n v="10"/>
    <x v="4"/>
    <x v="4"/>
    <s v="M5"/>
    <n v="2210016537"/>
    <n v="68"/>
    <s v="RH8548U1       "/>
    <s v="RH8548U1 CORDLESS HANDSTICK-DETA FORCE-1          "/>
    <s v="S"/>
    <d v="2012-01-31T00:00:00"/>
    <m/>
    <s v="X"/>
    <x v="52"/>
    <n v="47.56"/>
    <n v="55"/>
    <d v="2012-02-15T00:00:00"/>
    <d v="2012-01-11T00:00:00"/>
    <n v="826"/>
    <d v="2012-01-11T00:00:00"/>
    <n v="826"/>
    <m/>
    <d v="2012-01-11T00:00:00"/>
    <n v="826"/>
    <d v="2012-02-15T00:00:00"/>
    <d v="2012-01-11T00:00:00"/>
    <n v="826"/>
    <n v="826"/>
    <x v="19"/>
    <d v="2012-02-21T00:00:00"/>
    <m/>
    <n v="9321658707"/>
    <n v="10"/>
    <s v="TRLU3954015"/>
    <s v="NYK NEBULA 25E02"/>
    <m/>
    <s v="SHANGHAI"/>
    <s v="EDI MISSING"/>
    <m/>
    <s v="TWEETY LEUNG"/>
    <s v="FO9"/>
    <s v="HOME CLEANING                 "/>
    <s v="CONFIRMED"/>
    <n v="1"/>
    <n v="3"/>
    <d v="2012-01-17T00:00:00"/>
    <s v="HOME CLEANING                 "/>
    <s v="HOME CLEANING                 "/>
    <x v="3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5220"/>
    <s v="GROUPE SEB ARGENTINA SA                           "/>
    <n v="99005200"/>
    <x v="33"/>
    <s v="970/000001"/>
    <n v="1370148554"/>
    <n v="10"/>
    <x v="38"/>
    <x v="38"/>
    <s v="L4"/>
    <n v="1830003586"/>
    <n v="76"/>
    <s v="TN3010A0       "/>
    <s v="TN3010A0 NOSE&amp;EAR TRIMMER                         "/>
    <s v="S"/>
    <d v="2012-01-18T00:00:00"/>
    <m/>
    <s v="X"/>
    <x v="52"/>
    <n v="3.3"/>
    <n v="4"/>
    <d v="2012-02-10T00:00:00"/>
    <d v="2011-12-30T00:00:00"/>
    <n v="3000"/>
    <d v="2012-01-12T00:00:00"/>
    <n v="3000"/>
    <m/>
    <d v="2011-12-30T00:00:00"/>
    <n v="3000"/>
    <d v="2012-02-23T00:00:00"/>
    <d v="2012-01-12T00:00:00"/>
    <n v="3000"/>
    <n v="3000"/>
    <x v="10"/>
    <d v="2012-02-23T00:00:00"/>
    <m/>
    <n v="9321658708"/>
    <n v="10"/>
    <s v="MOFU0304385"/>
    <s v="MOL MISSION 006W/"/>
    <m/>
    <s v="YANTIAN"/>
    <s v="C-LCL-SHIPMENT/LATE DOC"/>
    <m/>
    <s v="THOMAS HO"/>
    <s v="FO9"/>
    <s v="PERSONAL CARE                 "/>
    <s v="CONFIRMED"/>
    <n v="1"/>
    <n v="2"/>
    <d v="2012-01-12T00:00:00"/>
    <s v="LINEN PERS HOME CARE          "/>
    <s v="PERSONAL CARE                 "/>
    <x v="3"/>
    <x v="2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3/000040"/>
    <n v="1370149103"/>
    <n v="40"/>
    <x v="38"/>
    <x v="38"/>
    <s v="L4"/>
    <n v="1830002979"/>
    <n v="76"/>
    <s v="TN5030E0       "/>
    <s v="TN5030E0 WET &amp; DRY HAIR CLIPPER                   "/>
    <s v="S"/>
    <d v="2012-01-19T00:00:00"/>
    <m/>
    <s v="X"/>
    <x v="52"/>
    <n v="10.31"/>
    <n v="17"/>
    <d v="2012-02-06T00:00:00"/>
    <d v="2012-01-09T00:00:00"/>
    <n v="3000"/>
    <d v="2012-01-09T00:00:00"/>
    <n v="3000"/>
    <m/>
    <d v="2012-01-16T00:00:00"/>
    <n v="4520"/>
    <d v="2012-02-13T00:00:00"/>
    <d v="2012-01-16T00:00:00"/>
    <n v="3000"/>
    <n v="1520"/>
    <x v="19"/>
    <d v="2012-02-14T00:00:00"/>
    <m/>
    <n v="9321658709"/>
    <n v="10"/>
    <s v="UACU8241681"/>
    <s v="HANJIN BASEL"/>
    <m/>
    <s v="YANTIAN"/>
    <s v="CONS-SHIPT/"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9073/000040"/>
    <n v="1370149103"/>
    <n v="40"/>
    <x v="38"/>
    <x v="38"/>
    <s v="L4"/>
    <n v="1830002979"/>
    <n v="76"/>
    <s v="TN5030E0       "/>
    <s v="TN5030E0 WET &amp; DRY HAIR CLIPPER                   "/>
    <s v="S"/>
    <d v="2012-01-16T00:00:00"/>
    <m/>
    <s v="X"/>
    <x v="52"/>
    <n v="10.31"/>
    <n v="17"/>
    <d v="2012-02-06T00:00:00"/>
    <d v="2012-01-09T00:00:00"/>
    <n v="3000"/>
    <d v="2012-01-09T00:00:00"/>
    <n v="3000"/>
    <m/>
    <d v="2012-01-16T00:00:00"/>
    <n v="4520"/>
    <d v="2012-02-13T00:00:00"/>
    <d v="2012-01-16T00:00:00"/>
    <n v="3000"/>
    <n v="1480"/>
    <x v="17"/>
    <d v="2012-02-08T00:00:00"/>
    <m/>
    <n v="9321658709"/>
    <n v="10"/>
    <s v="OOLU1011455"/>
    <s v="BUSAN EXPRESS/04W01"/>
    <m/>
    <s v="YANTIAN"/>
    <s v="CONS-SHIPT/"/>
    <m/>
    <s v="JASON FAN"/>
    <s v="FO9"/>
    <s v="PERSONAL CARE                 "/>
    <s v="CONFIRMED"/>
    <n v="1"/>
    <n v="2"/>
    <d v="2012-01-11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3/000100"/>
    <n v="1370149103"/>
    <n v="100"/>
    <x v="38"/>
    <x v="38"/>
    <s v="L4"/>
    <n v="1830002709"/>
    <n v="76"/>
    <s v="TN1050F0       "/>
    <s v="TN1050F0 HAIR CLIPPER DRIVER                      "/>
    <s v="S"/>
    <d v="2012-01-19T00:00:00"/>
    <m/>
    <s v="X"/>
    <x v="52"/>
    <n v="6.23"/>
    <n v="17"/>
    <d v="2012-02-06T00:00:00"/>
    <d v="2012-01-09T00:00:00"/>
    <n v="3000"/>
    <d v="2012-01-09T00:00:00"/>
    <n v="3000"/>
    <m/>
    <d v="2012-01-16T00:00:00"/>
    <n v="6000"/>
    <d v="2012-02-13T00:00:00"/>
    <d v="2012-01-16T00:00:00"/>
    <n v="3000"/>
    <n v="3000"/>
    <x v="19"/>
    <d v="2012-02-14T00:00:00"/>
    <m/>
    <n v="9321658709"/>
    <n v="20"/>
    <s v="UACU8241681"/>
    <s v="HANJIN BASEL"/>
    <m/>
    <s v="YANTIAN"/>
    <s v="CONS-SHIPT/"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6107/000010"/>
    <n v="1370149121"/>
    <n v="10"/>
    <x v="38"/>
    <x v="38"/>
    <s v="L4"/>
    <n v="1830002709"/>
    <n v="76"/>
    <s v="TN1050F0       "/>
    <s v="TN1050F0 HAIR CLIPPER DRIVER                      "/>
    <s v="S"/>
    <d v="2012-01-12T00:00:00"/>
    <m/>
    <s v="X"/>
    <x v="52"/>
    <n v="6.23"/>
    <n v="223"/>
    <d v="2012-02-27T00:00:00"/>
    <d v="2012-01-09T00:00:00"/>
    <n v="3000"/>
    <d v="2012-01-09T00:00:00"/>
    <n v="3000"/>
    <m/>
    <m/>
    <m/>
    <d v="2012-03-01T00:00:00"/>
    <d v="2012-01-12T00:00:00"/>
    <n v="3000"/>
    <n v="3000"/>
    <x v="10"/>
    <d v="2012-03-01T00:00:00"/>
    <m/>
    <n v="9321658710"/>
    <n v="10"/>
    <s v="OOLU1752910"/>
    <s v="NYK ORPHEUS/18W52"/>
    <m/>
    <s v="YANTIAN"/>
    <s v="CONS-SHIPT/"/>
    <m/>
    <s v="KENUS WONG"/>
    <s v="FO9"/>
    <s v="PERSONAL CARE                 "/>
    <s v="CONFIRMED"/>
    <n v="1"/>
    <n v="2"/>
    <d v="2012-01-12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6762/000010"/>
    <n v="1370149173"/>
    <n v="10"/>
    <x v="38"/>
    <x v="38"/>
    <s v="L4"/>
    <n v="1830003003"/>
    <n v="76"/>
    <s v="TN5030D0       "/>
    <s v="TN5030D0 WET &amp; DRY HAIR CLIPPER                   "/>
    <s v="S"/>
    <d v="2012-01-12T00:00:00"/>
    <m/>
    <s v="X"/>
    <x v="52"/>
    <n v="10.25"/>
    <n v="365"/>
    <d v="2012-02-27T00:00:00"/>
    <d v="2012-01-09T00:00:00"/>
    <n v="3000"/>
    <d v="2012-01-09T00:00:00"/>
    <n v="3000"/>
    <m/>
    <m/>
    <m/>
    <d v="2012-03-01T00:00:00"/>
    <d v="2012-01-12T00:00:00"/>
    <n v="3000"/>
    <n v="3000"/>
    <x v="10"/>
    <d v="2012-03-01T00:00:00"/>
    <m/>
    <n v="9321658711"/>
    <n v="10"/>
    <s v="OOLU1752910"/>
    <s v="NYK ORPHEUS/18W52"/>
    <m/>
    <s v="YANTIAN"/>
    <s v="CONS-SHIPT/"/>
    <m/>
    <s v="KENUS WONG"/>
    <s v="FO9"/>
    <s v="PERSONAL CARE                 "/>
    <s v="CONFIRMED"/>
    <n v="1"/>
    <n v="2"/>
    <d v="2012-01-12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938/000001"/>
    <n v="1370148081"/>
    <n v="10"/>
    <x v="13"/>
    <x v="13"/>
    <s v="A3"/>
    <n v="2100051641"/>
    <n v="205"/>
    <s v="C8422152       "/>
    <s v="C8422152 SCP14LID CLASSICA SS UNCOATED E          "/>
    <s v="S"/>
    <d v="2012-01-10T00:00:00"/>
    <m/>
    <s v="X"/>
    <x v="52"/>
    <n v="6.42"/>
    <n v="96"/>
    <d v="2012-02-10T00:00:00"/>
    <d v="2012-01-06T00:00:00"/>
    <n v="1000"/>
    <d v="2012-01-06T00:00:00"/>
    <n v="1000"/>
    <m/>
    <d v="2012-01-06T00:00:00"/>
    <n v="1000"/>
    <d v="2012-02-11T00:00:00"/>
    <d v="2012-01-07T00:00:00"/>
    <n v="1000"/>
    <n v="1000"/>
    <x v="12"/>
    <d v="2012-02-11T00:00:00"/>
    <m/>
    <n v="9321658712"/>
    <n v="10"/>
    <s v="MAEU6392842"/>
    <s v="CONVENT 1202/"/>
    <m/>
    <s v="YANTIAN"/>
    <s v="LCL SHIPMENT(ETD DON'T LATE THAN 13-Jan)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86/000010"/>
    <n v="1370148102"/>
    <n v="10"/>
    <x v="13"/>
    <x v="13"/>
    <s v="A3"/>
    <n v="2100051598"/>
    <n v="205"/>
    <s v="C8360764       "/>
    <s v="C8360764 ULTIMATE SS COPPER BOTTOM FP 12          "/>
    <s v="S"/>
    <d v="2012-01-20T00:00:00"/>
    <m/>
    <s v="X"/>
    <x v="52"/>
    <n v="13.18"/>
    <n v="15"/>
    <d v="2012-02-20T00:00:00"/>
    <d v="2012-01-16T00:00:00"/>
    <n v="999"/>
    <d v="2012-01-16T00:00:00"/>
    <n v="999"/>
    <m/>
    <d v="2012-01-16T00:00:00"/>
    <n v="999"/>
    <d v="2012-02-22T00:00:00"/>
    <d v="2012-01-18T00:00:00"/>
    <n v="999"/>
    <n v="999"/>
    <x v="21"/>
    <d v="2012-02-22T00:00:00"/>
    <m/>
    <n v="9321658713"/>
    <n v="10"/>
    <s v="MAEU6363459"/>
    <s v="CMA CGM TANCREDI 557"/>
    <m/>
    <s v="YANTIAN"/>
    <s v="TP MISSING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22/000010"/>
    <n v="1370148179"/>
    <n v="10"/>
    <x v="13"/>
    <x v="13"/>
    <s v="A3"/>
    <n v="2100055687"/>
    <n v="205"/>
    <s v="E9379364       "/>
    <s v="E9379364 EMERIL SS/COPPER 3 SAUCE+STRAIN          "/>
    <s v="S"/>
    <d v="2012-01-07T00:00:00"/>
    <m/>
    <s v="X"/>
    <x v="52"/>
    <n v="13.05"/>
    <n v="15"/>
    <d v="2012-02-10T00:00:00"/>
    <d v="2012-01-06T00:00:00"/>
    <n v="1000"/>
    <d v="2012-01-06T00:00:00"/>
    <n v="1000"/>
    <m/>
    <d v="2012-01-06T00:00:00"/>
    <n v="1000"/>
    <d v="2012-02-06T00:00:00"/>
    <d v="2012-01-02T00:00:00"/>
    <n v="1000"/>
    <n v="1000"/>
    <x v="13"/>
    <d v="2012-02-05T00:00:00"/>
    <m/>
    <n v="9321658714"/>
    <n v="10"/>
    <s v="EMCU3527380"/>
    <s v="ITAL LAGUNA 0608-036"/>
    <m/>
    <s v="YANTIAN"/>
    <s v="LATE DOC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90/000010"/>
    <n v="1370148200"/>
    <n v="10"/>
    <x v="13"/>
    <x v="13"/>
    <s v="A3"/>
    <n v="2100053173"/>
    <n v="205"/>
    <s v="C839SA64       "/>
    <s v="C839SA64 T-FAL PERFORMANCE SS COPPER BOT          "/>
    <s v="S"/>
    <d v="2012-01-20T00:00:00"/>
    <m/>
    <s v="X"/>
    <x v="52"/>
    <n v="53.16"/>
    <n v="61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1000"/>
    <x v="21"/>
    <d v="2012-02-22T00:00:00"/>
    <m/>
    <n v="9321658716"/>
    <n v="10"/>
    <s v="MSKU9684764"/>
    <s v="CMA CGM TANCREDI 557"/>
    <m/>
    <s v="YANTIAN"/>
    <m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87/000010"/>
    <n v="1370148201"/>
    <n v="10"/>
    <x v="13"/>
    <x v="13"/>
    <s v="A3"/>
    <n v="2100051598"/>
    <n v="205"/>
    <s v="C8360764       "/>
    <s v="C8360764 ULTIMATE SS COPPER BOTTOM FP 12          "/>
    <s v="S"/>
    <d v="2012-01-20T00:00:00"/>
    <m/>
    <s v="X"/>
    <x v="52"/>
    <n v="13.18"/>
    <n v="15"/>
    <d v="2012-02-27T00:00:00"/>
    <d v="2012-01-23T00:00:00"/>
    <n v="999"/>
    <d v="2012-01-19T00:00:00"/>
    <n v="999"/>
    <m/>
    <d v="2012-01-23T00:00:00"/>
    <n v="999"/>
    <d v="2012-02-22T00:00:00"/>
    <d v="2012-01-18T00:00:00"/>
    <n v="999"/>
    <n v="999"/>
    <x v="21"/>
    <d v="2012-02-22T00:00:00"/>
    <m/>
    <n v="9321658717"/>
    <n v="10"/>
    <s v="MAEU6363459"/>
    <s v="CMA CGM TANCREDI 557"/>
    <m/>
    <s v="YANTIAN"/>
    <s v="SP-HOLIDAY/TP MISSING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7"/>
    <s v="SP-HOLIDAY"/>
    <n v="-3"/>
    <n v="-3"/>
    <x v="6"/>
    <n v="2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85/000010"/>
    <n v="1370148203"/>
    <n v="10"/>
    <x v="13"/>
    <x v="13"/>
    <s v="A3"/>
    <n v="2100051597"/>
    <n v="205"/>
    <s v="C8360564       "/>
    <s v="C8360564 ULTIMATE SS COPPER BOTTOM FP 10          "/>
    <s v="S"/>
    <d v="2012-01-20T00:00:00"/>
    <m/>
    <s v="X"/>
    <x v="52"/>
    <n v="10.66"/>
    <n v="12"/>
    <d v="2012-02-20T00:00:00"/>
    <d v="2012-01-16T00:00:00"/>
    <n v="999"/>
    <d v="2012-01-16T00:00:00"/>
    <n v="999"/>
    <m/>
    <d v="2012-01-16T00:00:00"/>
    <n v="999"/>
    <d v="2012-02-22T00:00:00"/>
    <d v="2012-01-18T00:00:00"/>
    <n v="999"/>
    <n v="999"/>
    <x v="21"/>
    <d v="2012-02-22T00:00:00"/>
    <m/>
    <n v="9321658718"/>
    <n v="10"/>
    <s v="MAEU6363459"/>
    <s v="CMA CGM TANCREDI 557"/>
    <m/>
    <s v="YANTIAN"/>
    <s v="TP MISSING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89/000010"/>
    <n v="1370148253"/>
    <n v="10"/>
    <x v="13"/>
    <x v="13"/>
    <s v="A3"/>
    <n v="2100055688"/>
    <n v="205"/>
    <s v="E9379764       "/>
    <s v="E9379764 EMERIL SS/COPPER 1Q OPEN SAUCIE          "/>
    <s v="S"/>
    <d v="2012-01-06T00:00:00"/>
    <m/>
    <s v="X"/>
    <x v="52"/>
    <n v="8.2899999999999991"/>
    <n v="9"/>
    <d v="2012-02-22T00:00:00"/>
    <d v="2012-01-18T00:00:00"/>
    <n v="2000"/>
    <d v="2012-01-11T00:00:00"/>
    <n v="2000"/>
    <m/>
    <d v="2012-01-18T00:00:00"/>
    <n v="2000"/>
    <d v="2012-02-06T00:00:00"/>
    <d v="2012-01-02T00:00:00"/>
    <n v="2000"/>
    <n v="2000"/>
    <x v="3"/>
    <d v="2012-02-06T00:00:00"/>
    <m/>
    <n v="9321658720"/>
    <n v="10"/>
    <s v="HLXU3315940"/>
    <s v="NYK REMUS 16E52/"/>
    <m/>
    <s v="YANTIAN"/>
    <s v="CONS-SHIPT/C-PULLIN-CONF/"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10"/>
    <s v="CONS-SHIPT"/>
    <n v="-3"/>
    <n v="-3"/>
    <x v="8"/>
    <n v="2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3080/000010"/>
    <n v="1370148267"/>
    <n v="10"/>
    <x v="13"/>
    <x v="13"/>
    <s v="A3"/>
    <n v="2100055677"/>
    <n v="205"/>
    <s v="E9370264       "/>
    <s v="E9370264 EMERIL SS/COPPER 8&quot; FRY SLEEVED          "/>
    <s v="S"/>
    <d v="2012-01-09T00:00:00"/>
    <m/>
    <s v="X"/>
    <x v="52"/>
    <n v="7.48"/>
    <n v="9"/>
    <d v="2012-02-05T00:00:00"/>
    <d v="2012-01-01T00:00:00"/>
    <n v="2600"/>
    <d v="2012-01-01T00:00:00"/>
    <n v="2600"/>
    <m/>
    <d v="2012-01-01T00:00:00"/>
    <n v="2600"/>
    <d v="2012-02-06T00:00:00"/>
    <d v="2012-01-02T00:00:00"/>
    <n v="2600"/>
    <n v="2600"/>
    <x v="13"/>
    <d v="2012-02-05T00:00:00"/>
    <m/>
    <n v="9321658721"/>
    <n v="10"/>
    <s v="EISU9906526"/>
    <s v="ITAL LAGUNA 0608-036"/>
    <m/>
    <s v="YANTIAN"/>
    <s v="LATE DOC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79/000010"/>
    <n v="1370148287"/>
    <n v="10"/>
    <x v="13"/>
    <x v="13"/>
    <s v="A3"/>
    <n v="2100055685"/>
    <n v="205"/>
    <s v="E9377964       "/>
    <s v="E9377964 EMERIL SS/COPPER 8 TALL STOCK P          "/>
    <s v="S"/>
    <d v="2012-01-06T00:00:00"/>
    <m/>
    <s v="X"/>
    <x v="52"/>
    <n v="16.09"/>
    <n v="18"/>
    <d v="2012-02-20T00:00:00"/>
    <d v="2012-01-16T00:00:00"/>
    <n v="3000"/>
    <d v="2012-01-16T00:00:00"/>
    <n v="3000"/>
    <m/>
    <d v="2012-01-16T00:00:00"/>
    <n v="3000"/>
    <d v="2012-02-06T00:00:00"/>
    <d v="2012-01-02T00:00:00"/>
    <n v="3000"/>
    <n v="460"/>
    <x v="3"/>
    <d v="2012-02-06T00:00:00"/>
    <m/>
    <n v="9321658724"/>
    <n v="10"/>
    <s v="HLXU3315940"/>
    <s v="NYK REMUS 16E52/"/>
    <m/>
    <s v="YANTIAN"/>
    <s v="CONS-SHIPT/C-PULLIN-CONF/"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10"/>
    <s v="CONS-SHIPT"/>
    <n v="-3"/>
    <n v="-3"/>
    <x v="8"/>
    <n v="2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3079/000010"/>
    <n v="1370148287"/>
    <n v="10"/>
    <x v="13"/>
    <x v="13"/>
    <s v="A3"/>
    <n v="2100055685"/>
    <n v="205"/>
    <s v="E9377964       "/>
    <s v="E9377964 EMERIL SS/COPPER 8 TALL STOCK P          "/>
    <s v="S"/>
    <d v="2012-01-06T00:00:00"/>
    <m/>
    <s v="X"/>
    <x v="52"/>
    <n v="16.09"/>
    <n v="18"/>
    <d v="2012-02-20T00:00:00"/>
    <d v="2012-01-16T00:00:00"/>
    <n v="3000"/>
    <d v="2012-01-16T00:00:00"/>
    <n v="3000"/>
    <m/>
    <d v="2012-01-16T00:00:00"/>
    <n v="3000"/>
    <d v="2012-02-06T00:00:00"/>
    <d v="2012-01-02T00:00:00"/>
    <n v="3000"/>
    <n v="2440"/>
    <x v="3"/>
    <d v="2012-02-06T00:00:00"/>
    <m/>
    <n v="9321658724"/>
    <n v="10"/>
    <s v="TCKU9292584"/>
    <s v="NYK REMUS 16E52/"/>
    <m/>
    <s v="YANTIAN"/>
    <s v="CONS-SHIPT/C-PULLIN-CONF/"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10"/>
    <s v="CONS-SHIPT"/>
    <n v="-3"/>
    <n v="-3"/>
    <x v="8"/>
    <n v="2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3079/000010"/>
    <n v="1370148287"/>
    <n v="10"/>
    <x v="13"/>
    <x v="13"/>
    <s v="A3"/>
    <n v="2100055685"/>
    <n v="205"/>
    <s v="E9377964       "/>
    <s v="E9377964 EMERIL SS/COPPER 8 TALL STOCK P          "/>
    <s v="S"/>
    <d v="2012-01-06T00:00:00"/>
    <m/>
    <s v="X"/>
    <x v="52"/>
    <n v="16.09"/>
    <n v="18"/>
    <d v="2012-02-20T00:00:00"/>
    <d v="2012-01-16T00:00:00"/>
    <n v="3000"/>
    <d v="2012-01-16T00:00:00"/>
    <n v="3000"/>
    <m/>
    <d v="2012-01-16T00:00:00"/>
    <n v="3000"/>
    <d v="2012-02-06T00:00:00"/>
    <d v="2012-01-02T00:00:00"/>
    <n v="3000"/>
    <n v="100"/>
    <x v="3"/>
    <d v="2012-02-06T00:00:00"/>
    <m/>
    <n v="9321658724"/>
    <n v="10"/>
    <s v="FCIU8162163"/>
    <s v="NYK REMUS 16E52/"/>
    <m/>
    <s v="YANTIAN"/>
    <s v="CONS-SHIPT/C-PULLIN-CONF/"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10"/>
    <s v="CONS-SHIPT"/>
    <n v="-3"/>
    <n v="-3"/>
    <x v="8"/>
    <n v="2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3095/000010"/>
    <n v="1370148290"/>
    <n v="10"/>
    <x v="13"/>
    <x v="13"/>
    <s v="A3"/>
    <n v="2100055689"/>
    <n v="205"/>
    <s v="E937SA64       "/>
    <s v="E937SA64 EMERIL SS/COPPER 10PC SET                "/>
    <s v="S"/>
    <d v="2012-01-07T00:00:00"/>
    <m/>
    <s v="X"/>
    <x v="52"/>
    <n v="63.29"/>
    <n v="72"/>
    <d v="2012-02-05T00:00:00"/>
    <d v="2012-01-01T00:00:00"/>
    <n v="6524"/>
    <d v="2012-01-01T00:00:00"/>
    <n v="6524"/>
    <m/>
    <d v="2012-01-01T00:00:00"/>
    <n v="6524"/>
    <d v="2012-02-06T00:00:00"/>
    <d v="2012-01-02T00:00:00"/>
    <n v="6524"/>
    <n v="970"/>
    <x v="13"/>
    <d v="2012-02-05T00:00:00"/>
    <m/>
    <n v="9321658726"/>
    <n v="10"/>
    <s v="EISU9043343"/>
    <s v="ITAL LAGUNA 0608-036"/>
    <m/>
    <s v="YANTIAN"/>
    <s v="C-PULL-IN(BU/MARKET /WIHTOUT MARKET)/LATE DOC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4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95/000010"/>
    <n v="1370148290"/>
    <n v="10"/>
    <x v="13"/>
    <x v="13"/>
    <s v="A3"/>
    <n v="2100055689"/>
    <n v="205"/>
    <s v="E937SA64       "/>
    <s v="E937SA64 EMERIL SS/COPPER 10PC SET                "/>
    <s v="S"/>
    <d v="2012-01-09T00:00:00"/>
    <m/>
    <s v="X"/>
    <x v="52"/>
    <n v="63.29"/>
    <n v="72"/>
    <d v="2012-02-05T00:00:00"/>
    <d v="2012-01-01T00:00:00"/>
    <n v="6524"/>
    <d v="2012-01-01T00:00:00"/>
    <n v="6524"/>
    <m/>
    <d v="2012-01-01T00:00:00"/>
    <n v="6524"/>
    <d v="2012-02-06T00:00:00"/>
    <d v="2012-01-02T00:00:00"/>
    <n v="6524"/>
    <n v="704"/>
    <x v="13"/>
    <d v="2012-02-05T00:00:00"/>
    <m/>
    <n v="9321658726"/>
    <n v="10"/>
    <s v="EISU9906526"/>
    <s v="ITAL LAGUNA 0608-036"/>
    <m/>
    <s v="YANTIAN"/>
    <s v="C-PULL-IN(BU/MARKET /WIHTOUT MARKET)/LATE DOC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4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95/000010"/>
    <n v="1370148290"/>
    <n v="10"/>
    <x v="13"/>
    <x v="13"/>
    <s v="A3"/>
    <n v="2100055689"/>
    <n v="205"/>
    <s v="E937SA64       "/>
    <s v="E937SA64 EMERIL SS/COPPER 10PC SET                "/>
    <s v="S"/>
    <d v="2012-01-07T00:00:00"/>
    <m/>
    <s v="X"/>
    <x v="52"/>
    <n v="63.29"/>
    <n v="72"/>
    <d v="2012-02-05T00:00:00"/>
    <d v="2012-01-01T00:00:00"/>
    <n v="6524"/>
    <d v="2012-01-01T00:00:00"/>
    <n v="6524"/>
    <m/>
    <d v="2012-01-01T00:00:00"/>
    <n v="6524"/>
    <d v="2012-02-06T00:00:00"/>
    <d v="2012-01-02T00:00:00"/>
    <n v="6524"/>
    <n v="970"/>
    <x v="13"/>
    <d v="2012-02-05T00:00:00"/>
    <m/>
    <n v="9321658726"/>
    <n v="10"/>
    <s v="DFSU6030027"/>
    <s v="ITAL LAGUNA 0608-036"/>
    <m/>
    <s v="YANTIAN"/>
    <s v="C-PULL-IN(BU/MARKET /WIHTOUT MARKET)/LATE DOC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4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95/000010"/>
    <n v="1370148290"/>
    <n v="10"/>
    <x v="13"/>
    <x v="13"/>
    <s v="A3"/>
    <n v="2100055689"/>
    <n v="205"/>
    <s v="E937SA64       "/>
    <s v="E937SA64 EMERIL SS/COPPER 10PC SET                "/>
    <s v="S"/>
    <d v="2012-01-07T00:00:00"/>
    <m/>
    <s v="X"/>
    <x v="52"/>
    <n v="63.29"/>
    <n v="72"/>
    <d v="2012-02-05T00:00:00"/>
    <d v="2012-01-01T00:00:00"/>
    <n v="6524"/>
    <d v="2012-01-01T00:00:00"/>
    <n v="6524"/>
    <m/>
    <d v="2012-01-01T00:00:00"/>
    <n v="6524"/>
    <d v="2012-02-06T00:00:00"/>
    <d v="2012-01-02T00:00:00"/>
    <n v="6524"/>
    <n v="970"/>
    <x v="13"/>
    <d v="2012-02-05T00:00:00"/>
    <m/>
    <n v="9321658726"/>
    <n v="10"/>
    <s v="EMCU9568540"/>
    <s v="ITAL LAGUNA 0608-036"/>
    <m/>
    <s v="YANTIAN"/>
    <s v="C-PULL-IN(BU/MARKET /WIHTOUT MARKET)/LATE DOC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4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95/000010"/>
    <n v="1370148290"/>
    <n v="10"/>
    <x v="13"/>
    <x v="13"/>
    <s v="A3"/>
    <n v="2100055689"/>
    <n v="205"/>
    <s v="E937SA64       "/>
    <s v="E937SA64 EMERIL SS/COPPER 10PC SET                "/>
    <s v="S"/>
    <d v="2012-01-07T00:00:00"/>
    <m/>
    <s v="X"/>
    <x v="52"/>
    <n v="63.29"/>
    <n v="72"/>
    <d v="2012-02-05T00:00:00"/>
    <d v="2012-01-01T00:00:00"/>
    <n v="6524"/>
    <d v="2012-01-01T00:00:00"/>
    <n v="6524"/>
    <m/>
    <d v="2012-01-01T00:00:00"/>
    <n v="6524"/>
    <d v="2012-02-06T00:00:00"/>
    <d v="2012-01-02T00:00:00"/>
    <n v="6524"/>
    <n v="970"/>
    <x v="13"/>
    <d v="2012-02-05T00:00:00"/>
    <m/>
    <n v="9321658726"/>
    <n v="10"/>
    <s v="EMCU9762771"/>
    <s v="ITAL LAGUNA 0608-036"/>
    <m/>
    <s v="YANTIAN"/>
    <s v="C-PULL-IN(BU/MARKET /WIHTOUT MARKET)/LATE DOC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4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95/000010"/>
    <n v="1370148290"/>
    <n v="10"/>
    <x v="13"/>
    <x v="13"/>
    <s v="A3"/>
    <n v="2100055689"/>
    <n v="205"/>
    <s v="E937SA64       "/>
    <s v="E937SA64 EMERIL SS/COPPER 10PC SET                "/>
    <s v="S"/>
    <d v="2012-01-07T00:00:00"/>
    <m/>
    <s v="X"/>
    <x v="52"/>
    <n v="63.29"/>
    <n v="72"/>
    <d v="2012-02-05T00:00:00"/>
    <d v="2012-01-01T00:00:00"/>
    <n v="6524"/>
    <d v="2012-01-01T00:00:00"/>
    <n v="6524"/>
    <m/>
    <d v="2012-01-01T00:00:00"/>
    <n v="6524"/>
    <d v="2012-02-06T00:00:00"/>
    <d v="2012-01-02T00:00:00"/>
    <n v="6524"/>
    <n v="970"/>
    <x v="13"/>
    <d v="2012-02-05T00:00:00"/>
    <m/>
    <n v="9321658726"/>
    <n v="10"/>
    <s v="XINU8173410"/>
    <s v="ITAL LAGUNA 0608-036"/>
    <m/>
    <s v="YANTIAN"/>
    <s v="C-PULL-IN(BU/MARKET /WIHTOUT MARKET)/LATE DOC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4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95/000010"/>
    <n v="1370148290"/>
    <n v="10"/>
    <x v="13"/>
    <x v="13"/>
    <s v="A3"/>
    <n v="2100055689"/>
    <n v="205"/>
    <s v="E937SA64       "/>
    <s v="E937SA64 EMERIL SS/COPPER 10PC SET                "/>
    <s v="S"/>
    <d v="2012-01-07T00:00:00"/>
    <m/>
    <s v="X"/>
    <x v="52"/>
    <n v="63.29"/>
    <n v="72"/>
    <d v="2012-02-05T00:00:00"/>
    <d v="2012-01-01T00:00:00"/>
    <n v="6524"/>
    <d v="2012-01-01T00:00:00"/>
    <n v="6524"/>
    <m/>
    <d v="2012-01-01T00:00:00"/>
    <n v="6524"/>
    <d v="2012-02-06T00:00:00"/>
    <d v="2012-01-02T00:00:00"/>
    <n v="6524"/>
    <n v="970"/>
    <x v="13"/>
    <d v="2012-02-05T00:00:00"/>
    <m/>
    <n v="9321658726"/>
    <n v="10"/>
    <s v="FCIU8187325"/>
    <s v="ITAL LAGUNA 0608-036"/>
    <m/>
    <s v="YANTIAN"/>
    <s v="C-PULL-IN(BU/MARKET /WIHTOUT MARKET)/LATE DOC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4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83/000010"/>
    <n v="1370148291"/>
    <n v="10"/>
    <x v="13"/>
    <x v="13"/>
    <s v="A3"/>
    <n v="2100055683"/>
    <n v="205"/>
    <s v="E9373164       "/>
    <s v="E9373164 EMERIL SS/COPPER 2SAUTE/SAUCE S          "/>
    <s v="S"/>
    <d v="2012-01-07T00:00:00"/>
    <m/>
    <s v="X"/>
    <x v="52"/>
    <n v="12.5"/>
    <n v="14"/>
    <d v="2012-02-05T00:00:00"/>
    <d v="2012-01-01T00:00:00"/>
    <n v="2600"/>
    <d v="2012-01-01T00:00:00"/>
    <n v="2600"/>
    <m/>
    <d v="2012-01-01T00:00:00"/>
    <n v="2600"/>
    <d v="2012-02-06T00:00:00"/>
    <d v="2012-01-02T00:00:00"/>
    <n v="2600"/>
    <n v="2600"/>
    <x v="13"/>
    <d v="2012-02-05T00:00:00"/>
    <m/>
    <n v="9321658727"/>
    <n v="10"/>
    <s v="DFSU4126140"/>
    <s v="ITAL LAGUNA 0608-036"/>
    <m/>
    <s v="YANTIAN"/>
    <s v="LATE DOC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91/000010"/>
    <n v="1370148328"/>
    <n v="10"/>
    <x v="13"/>
    <x v="13"/>
    <s v="A3"/>
    <n v="2100061660"/>
    <n v="205"/>
    <s v="E937SB64       "/>
    <s v="E937SB64 EMERIL SS/COPPER 14PC SET BONUS          "/>
    <s v="S"/>
    <d v="2012-01-06T00:00:00"/>
    <m/>
    <s v="X"/>
    <x v="52"/>
    <n v="90.22"/>
    <n v="103"/>
    <d v="2012-02-20T00:00:00"/>
    <d v="2012-01-16T00:00:00"/>
    <n v="2000"/>
    <d v="2012-01-11T00:00:00"/>
    <n v="2000"/>
    <m/>
    <d v="2012-01-16T00:00:00"/>
    <n v="2000"/>
    <d v="2012-02-06T00:00:00"/>
    <d v="2012-01-02T00:00:00"/>
    <n v="2000"/>
    <n v="640"/>
    <x v="3"/>
    <d v="2012-02-06T00:00:00"/>
    <m/>
    <n v="9321658729"/>
    <n v="10"/>
    <s v="FCIU8162163"/>
    <s v="NYK REMUS 16E52/"/>
    <m/>
    <s v="YANTIAN"/>
    <s v="CONS-SHIPT/C-PULLIN-CONF/"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10"/>
    <s v="CONS-SHIPT"/>
    <n v="-3"/>
    <n v="-3"/>
    <x v="8"/>
    <n v="2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3091/000010"/>
    <n v="1370148328"/>
    <n v="10"/>
    <x v="13"/>
    <x v="13"/>
    <s v="A3"/>
    <n v="2100061660"/>
    <n v="205"/>
    <s v="E937SB64       "/>
    <s v="E937SB64 EMERIL SS/COPPER 14PC SET BONUS          "/>
    <s v="S"/>
    <d v="2012-01-06T00:00:00"/>
    <m/>
    <s v="X"/>
    <x v="52"/>
    <n v="90.22"/>
    <n v="103"/>
    <d v="2012-02-20T00:00:00"/>
    <d v="2012-01-16T00:00:00"/>
    <n v="2000"/>
    <d v="2012-01-11T00:00:00"/>
    <n v="2000"/>
    <m/>
    <d v="2012-01-16T00:00:00"/>
    <n v="2000"/>
    <d v="2012-02-06T00:00:00"/>
    <d v="2012-01-02T00:00:00"/>
    <n v="2000"/>
    <n v="680"/>
    <x v="3"/>
    <d v="2012-02-06T00:00:00"/>
    <m/>
    <n v="9321658729"/>
    <n v="10"/>
    <s v="CLHU8222710"/>
    <s v="NYK REMUS 16E52/"/>
    <m/>
    <s v="YANTIAN"/>
    <s v="CONS-SHIPT/C-PULLIN-CONF/"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10"/>
    <s v="CONS-SHIPT"/>
    <n v="-3"/>
    <n v="-3"/>
    <x v="8"/>
    <n v="2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3091/000010"/>
    <n v="1370148328"/>
    <n v="10"/>
    <x v="13"/>
    <x v="13"/>
    <s v="A3"/>
    <n v="2100061660"/>
    <n v="205"/>
    <s v="E937SB64       "/>
    <s v="E937SB64 EMERIL SS/COPPER 14PC SET BONUS          "/>
    <s v="S"/>
    <d v="2012-01-06T00:00:00"/>
    <m/>
    <s v="X"/>
    <x v="52"/>
    <n v="90.22"/>
    <n v="103"/>
    <d v="2012-02-20T00:00:00"/>
    <d v="2012-01-16T00:00:00"/>
    <n v="2000"/>
    <d v="2012-01-11T00:00:00"/>
    <n v="2000"/>
    <m/>
    <d v="2012-01-16T00:00:00"/>
    <n v="2000"/>
    <d v="2012-02-06T00:00:00"/>
    <d v="2012-01-02T00:00:00"/>
    <n v="2000"/>
    <n v="680"/>
    <x v="3"/>
    <d v="2012-02-06T00:00:00"/>
    <m/>
    <n v="9321658729"/>
    <n v="10"/>
    <s v="TCLU8078744"/>
    <s v="NYK REMUS 16E52/"/>
    <m/>
    <s v="YANTIAN"/>
    <s v="CONS-SHIPT/C-PULLIN-CONF/"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10"/>
    <s v="CONS-SHIPT"/>
    <n v="-3"/>
    <n v="-3"/>
    <x v="8"/>
    <n v="2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3087/000010"/>
    <n v="1370148348"/>
    <n v="10"/>
    <x v="13"/>
    <x v="13"/>
    <s v="A3"/>
    <n v="2100055688"/>
    <n v="205"/>
    <s v="E9379764       "/>
    <s v="E9379764 EMERIL SS/COPPER 1Q OPEN SAUCIE          "/>
    <s v="S"/>
    <d v="2012-01-07T00:00:00"/>
    <m/>
    <s v="X"/>
    <x v="52"/>
    <n v="8.2899999999999991"/>
    <n v="9"/>
    <d v="2012-02-05T00:00:00"/>
    <d v="2012-01-01T00:00:00"/>
    <n v="3240"/>
    <d v="2012-01-01T00:00:00"/>
    <n v="3240"/>
    <m/>
    <d v="2012-01-01T00:00:00"/>
    <n v="3240"/>
    <d v="2012-02-06T00:00:00"/>
    <d v="2012-01-02T00:00:00"/>
    <n v="3240"/>
    <n v="2500"/>
    <x v="13"/>
    <d v="2012-02-05T00:00:00"/>
    <m/>
    <n v="9321658731"/>
    <n v="10"/>
    <s v="DFSU4126140"/>
    <s v="ITAL LAGUNA 0608-036"/>
    <m/>
    <s v="YANTIAN"/>
    <s v="LATE DOC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87/000010"/>
    <n v="1370148348"/>
    <n v="10"/>
    <x v="13"/>
    <x v="13"/>
    <s v="A3"/>
    <n v="2100055688"/>
    <n v="205"/>
    <s v="E9379764       "/>
    <s v="E9379764 EMERIL SS/COPPER 1Q OPEN SAUCIE          "/>
    <s v="S"/>
    <d v="2012-01-07T00:00:00"/>
    <m/>
    <s v="X"/>
    <x v="52"/>
    <n v="8.2899999999999991"/>
    <n v="9"/>
    <d v="2012-02-05T00:00:00"/>
    <d v="2012-01-01T00:00:00"/>
    <n v="3240"/>
    <d v="2012-01-01T00:00:00"/>
    <n v="3240"/>
    <m/>
    <d v="2012-01-01T00:00:00"/>
    <n v="3240"/>
    <d v="2012-02-06T00:00:00"/>
    <d v="2012-01-02T00:00:00"/>
    <n v="3240"/>
    <n v="740"/>
    <x v="13"/>
    <d v="2012-02-05T00:00:00"/>
    <m/>
    <n v="9321658731"/>
    <n v="10"/>
    <s v="EMCU3527380"/>
    <s v="ITAL LAGUNA 0608-036"/>
    <m/>
    <s v="YANTIAN"/>
    <s v="LATE DOC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97/000001"/>
    <n v="1370149111"/>
    <n v="10"/>
    <x v="13"/>
    <x v="13"/>
    <s v="A3"/>
    <n v="2100064363"/>
    <n v="205"/>
    <s v="C8092394       "/>
    <s v="C8092394 SCP18LID SAT&amp;GLAS VOLUPTY SS UN          "/>
    <s v="S"/>
    <d v="2012-01-11T00:00:00"/>
    <m/>
    <s v="X"/>
    <x v="52"/>
    <n v="7.82"/>
    <n v="7"/>
    <d v="2012-01-23T00:00:00"/>
    <d v="2012-01-09T00:00:00"/>
    <n v="1004"/>
    <d v="2012-01-09T00:00:00"/>
    <n v="1004"/>
    <m/>
    <d v="2012-01-09T00:00:00"/>
    <n v="1004"/>
    <d v="2012-01-21T00:00:00"/>
    <d v="2012-01-07T00:00:00"/>
    <n v="1004"/>
    <n v="1004"/>
    <x v="12"/>
    <d v="2012-01-21T00:00:00"/>
    <m/>
    <n v="9321658735"/>
    <n v="10"/>
    <s v="MRKU8214553"/>
    <s v="SILS/1201"/>
    <m/>
    <s v="YANTIAN"/>
    <m/>
    <m/>
    <s v="DOROTHEA LI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97/000002"/>
    <n v="1370149111"/>
    <n v="20"/>
    <x v="13"/>
    <x v="13"/>
    <s v="A3"/>
    <n v="2100064364"/>
    <n v="205"/>
    <s v="C8094494       "/>
    <s v="C8094494 D.OV20LID SAT&amp;GLAS VOLUPTY SS U          "/>
    <s v="S"/>
    <d v="2012-01-11T00:00:00"/>
    <m/>
    <s v="X"/>
    <x v="52"/>
    <n v="9.49"/>
    <n v="7"/>
    <d v="2012-01-23T00:00:00"/>
    <d v="2012-01-09T00:00:00"/>
    <n v="1004"/>
    <d v="2012-01-09T00:00:00"/>
    <n v="1004"/>
    <m/>
    <d v="2012-01-09T00:00:00"/>
    <n v="1004"/>
    <d v="2012-01-21T00:00:00"/>
    <d v="2012-01-07T00:00:00"/>
    <n v="1004"/>
    <n v="1004"/>
    <x v="12"/>
    <d v="2012-01-21T00:00:00"/>
    <m/>
    <n v="9321658735"/>
    <n v="20"/>
    <s v="MRKU8214553"/>
    <s v="SILS/1201"/>
    <m/>
    <s v="YANTIAN"/>
    <m/>
    <m/>
    <s v="DOROTHEA LI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54610/000010"/>
    <n v="1370149274"/>
    <n v="10"/>
    <x v="13"/>
    <x v="13"/>
    <s v="A3"/>
    <n v="2100068044"/>
    <n v="205"/>
    <s v="A6079054       "/>
    <s v="A6079054 SET 10PC SIMPLE CHEF SS UNCOAT           "/>
    <s v="S"/>
    <d v="2012-02-06T00:00:00"/>
    <m/>
    <s v="X"/>
    <x v="52"/>
    <n v="37.15"/>
    <n v="31"/>
    <d v="2012-02-17T00:00:00"/>
    <d v="2012-01-13T00:00:00"/>
    <n v="1000"/>
    <d v="2012-01-13T00:00:00"/>
    <n v="1000"/>
    <m/>
    <d v="2012-01-13T00:00:00"/>
    <n v="1000"/>
    <d v="2012-03-06T00:00:00"/>
    <d v="2012-01-31T00:00:00"/>
    <n v="1000"/>
    <n v="1000"/>
    <x v="20"/>
    <d v="2012-03-06T00:00:00"/>
    <m/>
    <n v="9321658736"/>
    <n v="10"/>
    <s v="TTNU4360301"/>
    <s v="MOL PREMIUM/029W"/>
    <m/>
    <s v="YANTIAN"/>
    <s v="SP-CONT-BOOKING/"/>
    <m/>
    <s v="JASON FAN"/>
    <s v="FO9"/>
    <s v="COOKWARE                      "/>
    <s v="CONFIRMED"/>
    <n v="1"/>
    <n v="5"/>
    <d v="2012-01-31T00:00:00"/>
    <s v="COOKWARE                      "/>
    <s v="COOKWARE                      "/>
    <x v="5"/>
    <x v="2"/>
    <x v="20"/>
    <s v="SP-CONT-BOOKING"/>
    <n v="1"/>
    <n v="1"/>
    <x v="20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7521/000010"/>
    <n v="1370149340"/>
    <n v="10"/>
    <x v="13"/>
    <x v="13"/>
    <s v="A3"/>
    <n v="2100067291"/>
    <n v="205"/>
    <s v="E8979064       "/>
    <s v="E8979064 SET DIM SUM D.OV24+LID 2 INSERT          "/>
    <s v="S"/>
    <d v="2012-01-20T00:00:00"/>
    <m/>
    <s v="X"/>
    <x v="52"/>
    <n v="34.520000000000003"/>
    <n v="39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1000"/>
    <x v="21"/>
    <d v="2012-02-22T00:00:00"/>
    <m/>
    <n v="9321658738"/>
    <n v="10"/>
    <s v="CMAU8389275"/>
    <s v="CMA CGM TANCREDI US5"/>
    <m/>
    <s v="YANTIAN"/>
    <s v="FORWARDER-PROB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54/000010"/>
    <n v="1370148302"/>
    <n v="10"/>
    <x v="39"/>
    <x v="39"/>
    <s v="R1"/>
    <n v="1500634613"/>
    <n v="27"/>
    <n v="634613"/>
    <s v="KM100050 FILTERED COFFEE MAKER                    "/>
    <s v="S"/>
    <d v="2012-01-19T00:00:00"/>
    <m/>
    <s v="X"/>
    <x v="52"/>
    <n v="19.670000000000002"/>
    <n v="22"/>
    <d v="2012-02-21T00:00:00"/>
    <d v="2012-01-17T00:00:00"/>
    <n v="3456"/>
    <d v="2012-01-17T00:00:00"/>
    <n v="3456"/>
    <m/>
    <d v="2012-01-17T00:00:00"/>
    <n v="3456"/>
    <d v="2012-02-21T00:00:00"/>
    <d v="2012-01-17T00:00:00"/>
    <n v="3456"/>
    <n v="436"/>
    <x v="21"/>
    <d v="2012-02-22T00:00:00"/>
    <m/>
    <n v="9321658740"/>
    <n v="10"/>
    <s v="CMAU1472599"/>
    <s v="CMA CGM TANCREDI"/>
    <m/>
    <s v="YANTIAN"/>
    <m/>
    <m/>
    <s v="TWEETY LEUNG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54/000010"/>
    <n v="1370148302"/>
    <n v="10"/>
    <x v="39"/>
    <x v="39"/>
    <s v="R1"/>
    <n v="1500634613"/>
    <n v="27"/>
    <n v="634613"/>
    <s v="KM100050 FILTERED COFFEE MAKER                    "/>
    <s v="S"/>
    <d v="2012-01-19T00:00:00"/>
    <m/>
    <s v="X"/>
    <x v="52"/>
    <n v="19.670000000000002"/>
    <n v="22"/>
    <d v="2012-02-21T00:00:00"/>
    <d v="2012-01-17T00:00:00"/>
    <n v="3456"/>
    <d v="2012-01-17T00:00:00"/>
    <n v="3456"/>
    <m/>
    <d v="2012-01-17T00:00:00"/>
    <n v="3456"/>
    <d v="2012-02-21T00:00:00"/>
    <d v="2012-01-17T00:00:00"/>
    <n v="3456"/>
    <n v="1510"/>
    <x v="21"/>
    <d v="2012-02-22T00:00:00"/>
    <m/>
    <n v="9321658740"/>
    <n v="10"/>
    <s v="CMAU8102174"/>
    <s v="CMA CGM TANCREDI"/>
    <m/>
    <s v="YANTIAN"/>
    <m/>
    <m/>
    <s v="TWEETY LEUNG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54/000010"/>
    <n v="1370148302"/>
    <n v="10"/>
    <x v="39"/>
    <x v="39"/>
    <s v="R1"/>
    <n v="1500634613"/>
    <n v="27"/>
    <n v="634613"/>
    <s v="KM100050 FILTERED COFFEE MAKER                    "/>
    <s v="S"/>
    <d v="2012-01-19T00:00:00"/>
    <m/>
    <s v="X"/>
    <x v="52"/>
    <n v="19.670000000000002"/>
    <n v="22"/>
    <d v="2012-02-21T00:00:00"/>
    <d v="2012-01-17T00:00:00"/>
    <n v="3456"/>
    <d v="2012-01-17T00:00:00"/>
    <n v="3456"/>
    <m/>
    <d v="2012-01-17T00:00:00"/>
    <n v="3456"/>
    <d v="2012-02-21T00:00:00"/>
    <d v="2012-01-17T00:00:00"/>
    <n v="3456"/>
    <n v="1510"/>
    <x v="21"/>
    <d v="2012-02-22T00:00:00"/>
    <m/>
    <n v="9321658740"/>
    <n v="10"/>
    <s v="CMAU8405611"/>
    <s v="CMA CGM TANCREDI"/>
    <m/>
    <s v="YANTIAN"/>
    <m/>
    <m/>
    <s v="TWEETY LEUNG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404/000010"/>
    <n v="1370147782"/>
    <n v="10"/>
    <x v="39"/>
    <x v="39"/>
    <s v="L2"/>
    <n v="2100060412"/>
    <n v="48"/>
    <s v="TD4200K0       "/>
    <s v="TD4200K0 STERILIZER + BOTTLE WARMER DISN          "/>
    <s v="S"/>
    <d v="2012-01-05T00:00:00"/>
    <m/>
    <s v="X"/>
    <x v="52"/>
    <n v="11.35"/>
    <n v="454"/>
    <d v="2012-02-17T00:00:00"/>
    <d v="2011-12-30T00:00:00"/>
    <n v="1056"/>
    <d v="2011-12-30T00:00:00"/>
    <n v="1056"/>
    <m/>
    <d v="2011-12-30T00:00:00"/>
    <n v="1056"/>
    <d v="2012-02-17T00:00:00"/>
    <d v="2011-12-30T00:00:00"/>
    <n v="1056"/>
    <n v="1056"/>
    <x v="6"/>
    <d v="2012-02-23T00:00:00"/>
    <m/>
    <n v="9321658741"/>
    <n v="10"/>
    <s v="TCKU3371829"/>
    <s v="MOL MAXIM/010W"/>
    <m/>
    <s v="YANTIAN"/>
    <m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36/000001"/>
    <n v="1370148073"/>
    <n v="10"/>
    <x v="39"/>
    <x v="39"/>
    <s v="L2"/>
    <n v="2100059781"/>
    <n v="48"/>
    <s v="PX1401M1       "/>
    <s v="PX1401M1 STEAMER BLENDER MLX MEXICO               "/>
    <s v="S"/>
    <d v="2012-01-09T00:00:00"/>
    <m/>
    <s v="X"/>
    <x v="52"/>
    <n v="29.8"/>
    <n v="451"/>
    <d v="2012-02-10T00:00:00"/>
    <d v="2012-01-06T00:00:00"/>
    <n v="1300"/>
    <d v="2012-01-06T00:00:00"/>
    <n v="1300"/>
    <m/>
    <d v="2012-01-06T00:00:00"/>
    <n v="1300"/>
    <d v="2012-02-10T00:00:00"/>
    <d v="2012-01-06T00:00:00"/>
    <n v="1300"/>
    <n v="1300"/>
    <x v="16"/>
    <d v="2012-02-07T00:00:00"/>
    <m/>
    <n v="9321658743"/>
    <n v="10"/>
    <s v="SUDU8899859"/>
    <s v="MONTE ROSA VOY 201E"/>
    <m/>
    <s v="YANTIAN"/>
    <s v="wrong EDI P/L"/>
    <m/>
    <s v="TWEETY LEUNG"/>
    <s v="FO9"/>
    <s v="PERSONAL CARE                 "/>
    <s v="CONFIRMED"/>
    <n v="1"/>
    <n v="1"/>
    <d v="2012-01-03T00:00:00"/>
    <s v="LINEN PERS HOME CARE          "/>
    <s v="PERSONAL CARE                 "/>
    <x v="4"/>
    <x v="1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1258/000010"/>
    <n v="1370147482"/>
    <n v="10"/>
    <x v="2"/>
    <x v="2"/>
    <s v="R1"/>
    <n v="8000032025"/>
    <n v="27"/>
    <s v="FG110510       "/>
    <s v="FG110510 FCM CM823 10/15C BLK/SS EUR              "/>
    <s v="S"/>
    <d v="2012-01-09T00:00:00"/>
    <m/>
    <s v="X"/>
    <x v="52"/>
    <n v="8.26"/>
    <n v="7032"/>
    <d v="2012-02-06T00:00:00"/>
    <d v="2012-01-02T00:00:00"/>
    <n v="1332"/>
    <d v="2012-01-02T00:00:00"/>
    <n v="1332"/>
    <m/>
    <d v="2011-12-30T00:00:00"/>
    <n v="1332"/>
    <d v="2012-02-05T00:00:00"/>
    <d v="2012-01-01T00:00:00"/>
    <n v="1332"/>
    <n v="1332"/>
    <x v="13"/>
    <d v="2012-02-05T00:00:00"/>
    <m/>
    <n v="9321658744"/>
    <n v="10"/>
    <s v="MOAU0221592"/>
    <s v="HYUNDAI SPLENDOR/016"/>
    <m/>
    <s v="SHENZHEN"/>
    <s v="SAILING-SCHED-UPDATE/"/>
    <m/>
    <s v="AGNES NUNES"/>
    <s v="FO9"/>
    <s v="BEVERAGE                      "/>
    <s v="CONFIRMED"/>
    <n v="1"/>
    <n v="52"/>
    <d v="2012-01-01T00:00:00"/>
    <s v="KITCHEN ELECTRICS             "/>
    <s v="BREAKFAST &amp; BREVAGE PREP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21/000001"/>
    <n v="1370148072"/>
    <n v="10"/>
    <x v="2"/>
    <x v="2"/>
    <s v="R1"/>
    <n v="8000032511"/>
    <n v="27"/>
    <s v="FG110550       "/>
    <s v="FG110550 FCM MLX CM823 10/15C BLK/STAIN           "/>
    <s v="S"/>
    <d v="2012-01-05T00:00:00"/>
    <m/>
    <s v="X"/>
    <x v="52"/>
    <n v="8.3670000000000009"/>
    <n v="124908"/>
    <d v="2012-02-10T00:00:00"/>
    <d v="2012-01-06T00:00:00"/>
    <n v="1332"/>
    <d v="2012-01-03T00:00:00"/>
    <n v="1332"/>
    <m/>
    <d v="2011-12-30T00:00:00"/>
    <n v="1332"/>
    <d v="2012-02-07T00:00:00"/>
    <d v="2012-01-03T00:00:00"/>
    <n v="1332"/>
    <n v="1332"/>
    <x v="16"/>
    <d v="2012-02-07T00:00:00"/>
    <m/>
    <n v="9321658745"/>
    <n v="10"/>
    <s v="SUDU5927005"/>
    <s v="MONTE ROSA 201E/"/>
    <m/>
    <s v="SHENZHEN"/>
    <s v="SP-OVERCAP/"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11"/>
    <s v="SP-OVERCAP"/>
    <n v="-3"/>
    <n v="-3"/>
    <x v="9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26/000001"/>
    <n v="1370148080"/>
    <n v="10"/>
    <x v="2"/>
    <x v="2"/>
    <s v="R1"/>
    <n v="8000033212"/>
    <n v="27"/>
    <s v="FG1115ME       "/>
    <s v="FG1115ME FCM HELIORA COMFORT BLK MX               "/>
    <s v="S"/>
    <d v="2012-01-05T00:00:00"/>
    <m/>
    <s v="X"/>
    <x v="52"/>
    <n v="8.14"/>
    <n v="121609"/>
    <d v="2012-02-10T00:00:00"/>
    <d v="2012-01-06T00:00:00"/>
    <n v="1320"/>
    <d v="2012-01-03T00:00:00"/>
    <n v="1320"/>
    <m/>
    <d v="2011-12-30T00:00:00"/>
    <n v="1320"/>
    <d v="2012-02-07T00:00:00"/>
    <d v="2012-01-03T00:00:00"/>
    <n v="1320"/>
    <n v="1320"/>
    <x v="16"/>
    <d v="2012-02-07T00:00:00"/>
    <m/>
    <n v="9321658747"/>
    <n v="10"/>
    <s v="SUDU5927005"/>
    <s v="MONTE ROSA 201E/"/>
    <m/>
    <s v="YANTIAN"/>
    <s v="SP-OVERCAP/SAILING-SCHED-UPDATE/"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11"/>
    <s v="SP-OVERCAP"/>
    <n v="-3"/>
    <n v="-3"/>
    <x v="9"/>
    <n v="2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37/000001"/>
    <n v="1370148085"/>
    <n v="10"/>
    <x v="2"/>
    <x v="2"/>
    <s v="R1"/>
    <n v="8000033214"/>
    <n v="27"/>
    <s v="FG4105ME       "/>
    <s v="FG4105ME FCM HELIORA SELECTIVE BLK MX             "/>
    <s v="S"/>
    <d v="2012-01-05T00:00:00"/>
    <m/>
    <s v="X"/>
    <x v="52"/>
    <n v="9.52"/>
    <n v="140683"/>
    <d v="2012-02-10T00:00:00"/>
    <d v="2012-01-06T00:00:00"/>
    <n v="1617"/>
    <d v="2012-01-06T00:00:00"/>
    <n v="1617"/>
    <m/>
    <d v="2012-01-06T00:00:00"/>
    <n v="1617"/>
    <d v="2012-02-07T00:00:00"/>
    <d v="2012-01-03T00:00:00"/>
    <n v="1617"/>
    <n v="1617"/>
    <x v="16"/>
    <d v="2012-02-07T00:00:00"/>
    <m/>
    <n v="9321658748"/>
    <n v="10"/>
    <s v="SUDU1884287"/>
    <s v="MONTE ROSA 201E/"/>
    <m/>
    <s v="YANTIAN"/>
    <m/>
    <m/>
    <s v="TWEETY LEUNG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220"/>
    <s v="GROUPE SEB ARGENTINA SA                           "/>
    <n v="99005200"/>
    <x v="33"/>
    <s v="963/000001"/>
    <n v="1370148551"/>
    <n v="10"/>
    <x v="2"/>
    <x v="2"/>
    <s v="R1"/>
    <n v="8000032382"/>
    <n v="27"/>
    <s v="CJ6005AR       "/>
    <s v="CJ6005AR COFFEE MAKER THERM                       "/>
    <s v="S"/>
    <d v="2012-01-07T00:00:00"/>
    <m/>
    <s v="X"/>
    <x v="52"/>
    <n v="13.15"/>
    <n v="15"/>
    <d v="2012-02-10T00:00:00"/>
    <d v="2011-12-30T00:00:00"/>
    <n v="2296"/>
    <d v="2012-01-04T00:00:00"/>
    <n v="2296"/>
    <m/>
    <d v="2011-12-30T00:00:00"/>
    <n v="2296"/>
    <d v="2012-02-15T00:00:00"/>
    <d v="2012-01-04T00:00:00"/>
    <n v="2296"/>
    <n v="2296"/>
    <x v="2"/>
    <d v="2012-02-15T00:00:00"/>
    <m/>
    <n v="9321658749"/>
    <n v="10"/>
    <s v="UXXU4313803"/>
    <s v="MAERSK LIMA 152W/"/>
    <m/>
    <s v="SHENZHEN"/>
    <s v="C-POST-CONF/"/>
    <m/>
    <s v="THOMAS HO"/>
    <s v="FO9"/>
    <s v="BEVERAGE                      "/>
    <s v="CONFIRMED"/>
    <n v="1"/>
    <n v="1"/>
    <d v="2012-01-04T00:00:00"/>
    <s v="KITCHEN ELECTRICS             "/>
    <s v="BREAKFAST &amp; BREVAGE PREP      "/>
    <x v="1"/>
    <x v="1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7303/000010"/>
    <n v="1370148958"/>
    <n v="10"/>
    <x v="2"/>
    <x v="2"/>
    <s v="R1"/>
    <n v="8000032914"/>
    <n v="27"/>
    <s v="FG410E10       "/>
    <s v="FG410E10 FCM CM931 DINIVO 10/12C BLACK S          "/>
    <s v="S"/>
    <d v="2012-01-16T00:00:00"/>
    <m/>
    <s v="X"/>
    <x v="52"/>
    <n v="9.08"/>
    <n v="8"/>
    <d v="2012-02-13T00:00:00"/>
    <d v="2012-01-16T00:00:00"/>
    <n v="1617"/>
    <d v="2012-01-16T00:00:00"/>
    <n v="1617"/>
    <m/>
    <d v="2012-01-16T00:00:00"/>
    <n v="1617"/>
    <d v="2012-02-11T00:00:00"/>
    <d v="2012-01-14T00:00:00"/>
    <n v="1617"/>
    <n v="1617"/>
    <x v="9"/>
    <d v="2012-02-11T00:00:00"/>
    <m/>
    <n v="9321658752"/>
    <n v="10"/>
    <s v="MRKU8237939"/>
    <s v="MAERSK SHEERNESS/120"/>
    <m/>
    <s v="SHENZHEN"/>
    <s v="SP-OVERCAP/"/>
    <m/>
    <s v="JASON FAN"/>
    <s v="FO9"/>
    <s v="BEVERAGE                      "/>
    <s v="CONFIRMED"/>
    <n v="1"/>
    <n v="2"/>
    <d v="2012-01-14T00:00:00"/>
    <s v="KITCHEN ELECTRICS             "/>
    <s v="BREAKFAST &amp; BREVAGE PREP      "/>
    <x v="1"/>
    <x v="1"/>
    <x v="11"/>
    <s v="SP-OVERCAP"/>
    <n v="-3"/>
    <n v="-3"/>
    <x v="9"/>
    <n v="1"/>
    <x v="0"/>
    <x v="1"/>
    <x v="0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57/039724"/>
    <n v="1370149096"/>
    <n v="10"/>
    <x v="2"/>
    <x v="2"/>
    <s v="R1"/>
    <n v="1500634662"/>
    <n v="27"/>
    <n v="634662"/>
    <s v="CM212850 FCM CM828 CAF.CLAS. 10/15C BLK/          "/>
    <s v="S"/>
    <d v="2012-01-16T00:00:00"/>
    <m/>
    <s v="X"/>
    <x v="52"/>
    <n v="9.48"/>
    <n v="11"/>
    <d v="2012-02-10T00:00:00"/>
    <d v="2012-01-06T00:00:00"/>
    <n v="1134"/>
    <d v="2012-01-06T00:00:00"/>
    <n v="1134"/>
    <m/>
    <d v="2012-01-06T00:00:00"/>
    <n v="1134"/>
    <d v="2012-02-13T00:00:00"/>
    <d v="2012-01-09T00:00:00"/>
    <n v="1134"/>
    <n v="1134"/>
    <x v="0"/>
    <d v="2012-02-13T00:00:00"/>
    <m/>
    <n v="9321658754"/>
    <n v="10"/>
    <s v="MRKU3269126"/>
    <s v="MAERSK SANA 1203/"/>
    <m/>
    <s v="YANTIAN"/>
    <s v="SAILING-SCHED-UPDATE/LATE P/L CREATION"/>
    <m/>
    <s v="THOMAS HO"/>
    <s v="FO9"/>
    <s v="BEVERAGE                      "/>
    <s v="CONFIRMED"/>
    <n v="1"/>
    <n v="2"/>
    <d v="2012-01-09T00:00:00"/>
    <s v="KITCHEN ELECTRICS             "/>
    <s v="BREAKFAST &amp; BREVAGE PREP      "/>
    <x v="1"/>
    <x v="1"/>
    <x v="1"/>
    <m/>
    <n v="0"/>
    <n v="0"/>
    <x v="1"/>
    <n v="3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00/000010"/>
    <n v="1370149206"/>
    <n v="10"/>
    <x v="2"/>
    <x v="2"/>
    <s v="R1"/>
    <n v="1500634618"/>
    <n v="27"/>
    <n v="634618"/>
    <s v="FG111Z30 FCM PRINCIPIO 10/15C RED EUR             "/>
    <s v="S"/>
    <d v="2012-01-09T00:00:00"/>
    <m/>
    <s v="X"/>
    <x v="52"/>
    <n v="8.26"/>
    <n v="7"/>
    <d v="2012-02-17T00:00:00"/>
    <d v="2012-01-13T00:00:00"/>
    <n v="2640"/>
    <d v="2011-12-30T00:00:00"/>
    <n v="2640"/>
    <m/>
    <d v="2012-01-13T00:00:00"/>
    <n v="2640"/>
    <d v="2012-02-07T00:00:00"/>
    <d v="2012-01-03T00:00:00"/>
    <n v="2640"/>
    <n v="2640"/>
    <x v="16"/>
    <d v="2012-02-07T00:00:00"/>
    <m/>
    <n v="9321658755"/>
    <n v="10"/>
    <s v="TRLU6196080"/>
    <s v="H.VANCOUVER/007W"/>
    <m/>
    <s v="YANTIAN"/>
    <s v="C-POST-CONF/SP-OVERCAP/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07/000010"/>
    <n v="1370149219"/>
    <n v="10"/>
    <x v="2"/>
    <x v="2"/>
    <s v="R1"/>
    <n v="8000032910"/>
    <n v="27"/>
    <s v="FG120510       "/>
    <s v="FG120510 COFFEE MAKER MOULINEX TIMER FR           "/>
    <s v="S"/>
    <d v="2012-01-06T00:00:00"/>
    <m/>
    <s v="X"/>
    <x v="52"/>
    <n v="10.92"/>
    <n v="9321"/>
    <d v="2012-02-17T00:00:00"/>
    <d v="2012-01-13T00:00:00"/>
    <n v="1332"/>
    <d v="2012-01-03T00:00:00"/>
    <n v="1332"/>
    <m/>
    <d v="2012-01-13T00:00:00"/>
    <n v="1332"/>
    <d v="2012-02-07T00:00:00"/>
    <d v="2012-01-03T00:00:00"/>
    <n v="1332"/>
    <n v="1332"/>
    <x v="16"/>
    <d v="2012-02-07T00:00:00"/>
    <m/>
    <n v="9321658756"/>
    <n v="10"/>
    <s v="APZU4183470"/>
    <s v="H.VANCOUVER/007W"/>
    <m/>
    <s v="SHENZHEN"/>
    <s v="C-POST-CONF/SP-OVERCAP/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06/000010"/>
    <n v="1370149220"/>
    <n v="10"/>
    <x v="2"/>
    <x v="2"/>
    <s v="R1"/>
    <n v="8000032435"/>
    <n v="27"/>
    <s v="FG111010       "/>
    <s v="FG111010 FCM CM823 WHT FR/TR                      "/>
    <s v="S"/>
    <d v="2012-01-05T00:00:00"/>
    <m/>
    <s v="X"/>
    <x v="52"/>
    <n v="7.94"/>
    <n v="6755"/>
    <d v="2012-02-17T00:00:00"/>
    <d v="2012-01-13T00:00:00"/>
    <n v="9378"/>
    <d v="2011-12-30T00:00:00"/>
    <n v="9378"/>
    <m/>
    <d v="2012-01-13T00:00:00"/>
    <n v="9378"/>
    <d v="2012-02-07T00:00:00"/>
    <d v="2012-01-03T00:00:00"/>
    <n v="9378"/>
    <n v="3126"/>
    <x v="16"/>
    <d v="2012-02-07T00:00:00"/>
    <m/>
    <n v="9321658757"/>
    <n v="10"/>
    <s v="MOTU5809116"/>
    <s v="H.VANCOUVER/007W"/>
    <m/>
    <s v="SHENZHEN"/>
    <s v="C-POST-CONF/SP-OVERCAP/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06/000010"/>
    <n v="1370149220"/>
    <n v="10"/>
    <x v="2"/>
    <x v="2"/>
    <s v="R1"/>
    <n v="8000032435"/>
    <n v="27"/>
    <s v="FG111010       "/>
    <s v="FG111010 FCM CM823 WHT FR/TR                      "/>
    <s v="S"/>
    <d v="2012-01-05T00:00:00"/>
    <m/>
    <s v="X"/>
    <x v="52"/>
    <n v="7.94"/>
    <n v="6755"/>
    <d v="2012-02-17T00:00:00"/>
    <d v="2012-01-13T00:00:00"/>
    <n v="9378"/>
    <d v="2011-12-30T00:00:00"/>
    <n v="9378"/>
    <m/>
    <d v="2012-01-13T00:00:00"/>
    <n v="9378"/>
    <d v="2012-02-07T00:00:00"/>
    <d v="2012-01-03T00:00:00"/>
    <n v="9378"/>
    <n v="3126"/>
    <x v="16"/>
    <d v="2012-02-07T00:00:00"/>
    <m/>
    <n v="9321658757"/>
    <n v="10"/>
    <s v="GESU5588308"/>
    <s v="H.VANCOUVER/007W"/>
    <m/>
    <s v="SHENZHEN"/>
    <s v="C-POST-CONF/SP-OVERCAP/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06/000010"/>
    <n v="1370149220"/>
    <n v="10"/>
    <x v="2"/>
    <x v="2"/>
    <s v="R1"/>
    <n v="8000032435"/>
    <n v="27"/>
    <s v="FG111010       "/>
    <s v="FG111010 FCM CM823 WHT FR/TR                      "/>
    <s v="S"/>
    <d v="2012-01-05T00:00:00"/>
    <m/>
    <s v="X"/>
    <x v="52"/>
    <n v="7.94"/>
    <n v="6755"/>
    <d v="2012-02-17T00:00:00"/>
    <d v="2012-01-13T00:00:00"/>
    <n v="9378"/>
    <d v="2011-12-30T00:00:00"/>
    <n v="9378"/>
    <m/>
    <d v="2012-01-13T00:00:00"/>
    <n v="9378"/>
    <d v="2012-02-07T00:00:00"/>
    <d v="2012-01-03T00:00:00"/>
    <n v="9378"/>
    <n v="3126"/>
    <x v="16"/>
    <d v="2012-02-07T00:00:00"/>
    <m/>
    <n v="9321658757"/>
    <n v="10"/>
    <s v="APHU6691040"/>
    <s v="H.VANCOUVER/007W"/>
    <m/>
    <s v="SHENZHEN"/>
    <s v="C-POST-CONF/SP-OVERCAP/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08/000010"/>
    <n v="1370149257"/>
    <n v="10"/>
    <x v="2"/>
    <x v="2"/>
    <s v="R1"/>
    <n v="8000033530"/>
    <n v="27"/>
    <s v="CM3305FR       "/>
    <s v="CM3305FR FCM CM921 SEB BLK/STAIN FR               "/>
    <s v="S"/>
    <d v="2012-01-05T00:00:00"/>
    <m/>
    <s v="X"/>
    <x v="52"/>
    <n v="9.92"/>
    <n v="8547"/>
    <d v="2012-02-17T00:00:00"/>
    <d v="2012-01-13T00:00:00"/>
    <n v="2550"/>
    <d v="2012-01-03T00:00:00"/>
    <n v="2550"/>
    <m/>
    <d v="2012-01-13T00:00:00"/>
    <n v="2550"/>
    <d v="2012-02-07T00:00:00"/>
    <d v="2012-01-03T00:00:00"/>
    <n v="2550"/>
    <n v="2550"/>
    <x v="16"/>
    <d v="2012-02-07T00:00:00"/>
    <m/>
    <n v="9321658758"/>
    <n v="10"/>
    <s v="APZU4895372"/>
    <s v="H.VANCOUVER/007W"/>
    <m/>
    <s v="YANTIAN"/>
    <s v="C-POST-CONF/SP-OVERCAP/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05/000010"/>
    <n v="1370149268"/>
    <n v="10"/>
    <x v="2"/>
    <x v="2"/>
    <s v="R1"/>
    <n v="8000032025"/>
    <n v="27"/>
    <s v="FG110510       "/>
    <s v="FG110510 FCM CM823 10/15C BLK/SS EUR              "/>
    <s v="S"/>
    <d v="2012-01-06T00:00:00"/>
    <m/>
    <s v="X"/>
    <x v="52"/>
    <n v="8.26"/>
    <n v="7032"/>
    <d v="2012-02-17T00:00:00"/>
    <d v="2012-01-13T00:00:00"/>
    <n v="6660"/>
    <d v="2011-12-30T00:00:00"/>
    <n v="6660"/>
    <m/>
    <d v="2012-01-13T00:00:00"/>
    <n v="6660"/>
    <d v="2012-02-07T00:00:00"/>
    <d v="2012-01-03T00:00:00"/>
    <n v="6660"/>
    <n v="1320"/>
    <x v="16"/>
    <d v="2012-02-07T00:00:00"/>
    <m/>
    <n v="9321658759"/>
    <n v="10"/>
    <s v="APZU4183470"/>
    <s v="H.VANCOUVER/007W"/>
    <m/>
    <s v="SHENZHEN"/>
    <s v="C-POST-CONF/SP-OVERCAP/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05/000010"/>
    <n v="1370149268"/>
    <n v="10"/>
    <x v="2"/>
    <x v="2"/>
    <s v="R1"/>
    <n v="8000032025"/>
    <n v="27"/>
    <s v="FG110510       "/>
    <s v="FG110510 FCM CM823 10/15C BLK/SS EUR              "/>
    <s v="S"/>
    <d v="2012-01-09T00:00:00"/>
    <m/>
    <s v="X"/>
    <x v="52"/>
    <n v="8.26"/>
    <n v="7032"/>
    <d v="2012-02-17T00:00:00"/>
    <d v="2012-01-13T00:00:00"/>
    <n v="6660"/>
    <d v="2011-12-30T00:00:00"/>
    <n v="6660"/>
    <m/>
    <d v="2012-01-13T00:00:00"/>
    <n v="6660"/>
    <d v="2012-02-07T00:00:00"/>
    <d v="2012-01-03T00:00:00"/>
    <n v="6660"/>
    <n v="2670"/>
    <x v="16"/>
    <d v="2012-02-07T00:00:00"/>
    <m/>
    <n v="9321658759"/>
    <n v="10"/>
    <s v="APZU4884758"/>
    <s v="H.VANCOUVER/007W"/>
    <m/>
    <s v="SHENZHEN"/>
    <s v="C-POST-CONF/SP-OVERCAP/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296/000010"/>
    <n v="1370149294"/>
    <n v="10"/>
    <x v="2"/>
    <x v="2"/>
    <s v="R1"/>
    <n v="1500634597"/>
    <n v="27"/>
    <n v="634597"/>
    <s v="FG610130 FCM COCOON 10/15C WHT EUR                "/>
    <s v="S"/>
    <d v="2012-01-21T00:00:00"/>
    <m/>
    <s v="X"/>
    <x v="52"/>
    <n v="12"/>
    <n v="11"/>
    <d v="2012-02-17T00:00:00"/>
    <d v="2012-01-13T00:00:00"/>
    <n v="1167"/>
    <d v="2012-01-13T00:00:00"/>
    <n v="1131"/>
    <m/>
    <d v="2012-01-13T00:00:00"/>
    <n v="1131"/>
    <d v="2012-02-24T00:00:00"/>
    <d v="2012-01-20T00:00:00"/>
    <n v="1131"/>
    <n v="1131"/>
    <x v="26"/>
    <d v="2012-02-25T00:00:00"/>
    <m/>
    <n v="9321658760"/>
    <n v="10"/>
    <s v="MSKU6460246"/>
    <s v="MAERSK EINDHOVEN/120"/>
    <m/>
    <s v="YANTIAN"/>
    <s v="SAILING-SCHED-UPDATE/BU-ETD-TEMP/SP-OVERCAP/"/>
    <m/>
    <s v="JASON FAN"/>
    <s v="FO9"/>
    <s v="BEVERAGE                      "/>
    <s v="CONFIRMED"/>
    <n v="1"/>
    <n v="3"/>
    <d v="2012-01-21T00:00:00"/>
    <s v="KITCHEN ELECTRICS             "/>
    <s v="BREAKFAST &amp; BREVAGE PREP      "/>
    <x v="1"/>
    <x v="1"/>
    <x v="4"/>
    <s v="BU-ETD-TEMP"/>
    <n v="-3"/>
    <n v="-3"/>
    <x v="3"/>
    <n v="3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58295/000010"/>
    <n v="1370149296"/>
    <n v="10"/>
    <x v="2"/>
    <x v="2"/>
    <s v="R1"/>
    <n v="1500634513"/>
    <n v="27"/>
    <n v="634513"/>
    <s v="FG110800 FCM SUBITO 10C BLK/RED FR                "/>
    <s v="S"/>
    <d v="2012-01-05T00:00:00"/>
    <m/>
    <s v="X"/>
    <x v="52"/>
    <n v="9.16"/>
    <n v="7806"/>
    <d v="2012-02-17T00:00:00"/>
    <d v="2012-01-13T00:00:00"/>
    <n v="5340"/>
    <d v="2012-01-06T00:00:00"/>
    <n v="5340"/>
    <m/>
    <d v="2012-01-13T00:00:00"/>
    <n v="5340"/>
    <d v="2012-02-07T00:00:00"/>
    <d v="2012-01-03T00:00:00"/>
    <n v="5340"/>
    <n v="2670"/>
    <x v="16"/>
    <d v="2012-02-07T00:00:00"/>
    <m/>
    <n v="9321658761"/>
    <n v="10"/>
    <s v="APZU4061678"/>
    <s v="HYUNDAI VANCOUVER/00"/>
    <m/>
    <s v="YANTIAN"/>
    <s v="SP-OVERCAP/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11"/>
    <s v="SP-OVERCAP"/>
    <n v="-3"/>
    <n v="-3"/>
    <x v="9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295/000010"/>
    <n v="1370149296"/>
    <n v="10"/>
    <x v="2"/>
    <x v="2"/>
    <s v="R1"/>
    <n v="1500634513"/>
    <n v="27"/>
    <n v="634513"/>
    <s v="FG110800 FCM SUBITO 10C BLK/RED FR                "/>
    <s v="S"/>
    <d v="2012-01-05T00:00:00"/>
    <m/>
    <s v="X"/>
    <x v="52"/>
    <n v="9.16"/>
    <n v="7806"/>
    <d v="2012-02-17T00:00:00"/>
    <d v="2012-01-13T00:00:00"/>
    <n v="5340"/>
    <d v="2012-01-06T00:00:00"/>
    <n v="5340"/>
    <m/>
    <d v="2012-01-13T00:00:00"/>
    <n v="5340"/>
    <d v="2012-02-07T00:00:00"/>
    <d v="2012-01-03T00:00:00"/>
    <n v="5340"/>
    <n v="2670"/>
    <x v="16"/>
    <d v="2012-02-07T00:00:00"/>
    <m/>
    <n v="9321658761"/>
    <n v="10"/>
    <s v="GSTU6706350"/>
    <s v="HYUNDAI VANCOUVER/00"/>
    <m/>
    <s v="YANTIAN"/>
    <s v="SP-OVERCAP/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11"/>
    <s v="SP-OVERCAP"/>
    <n v="-3"/>
    <n v="-3"/>
    <x v="9"/>
    <n v="1"/>
    <x v="0"/>
    <x v="0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6651/000010"/>
    <n v="1370148915"/>
    <n v="10"/>
    <x v="42"/>
    <x v="42"/>
    <s v="N1"/>
    <n v="2100046320"/>
    <n v="50"/>
    <s v="GC300540       "/>
    <s v="GC300540 GRIL TEF  ULTRACOMP 600 MO PO            "/>
    <s v="S"/>
    <d v="2012-01-13T00:00:00"/>
    <m/>
    <s v="X"/>
    <x v="52"/>
    <n v="19.600000000000001"/>
    <n v="23"/>
    <d v="2012-01-16T00:00:00"/>
    <d v="2012-01-15T00:00:00"/>
    <n v="1092"/>
    <d v="2012-01-15T00:00:00"/>
    <n v="1092"/>
    <m/>
    <d v="2012-01-15T00:00:00"/>
    <n v="1092"/>
    <d v="2012-01-16T00:00:00"/>
    <d v="2012-01-15T00:00:00"/>
    <n v="1092"/>
    <n v="1092"/>
    <x v="10"/>
    <d v="2012-01-13T00:00:00"/>
    <m/>
    <n v="9321658762"/>
    <n v="10"/>
    <s v="BY TRUCK"/>
    <s v="BY TRUCK"/>
    <m/>
    <s v="YANTIAN"/>
    <m/>
    <m/>
    <s v="ZANDRA LAM"/>
    <s v="FO9"/>
    <s v="ELECTRICAL COOKING            "/>
    <s v="CONFIRMED"/>
    <n v="1"/>
    <n v="2"/>
    <d v="2012-01-12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90/000010"/>
    <n v="1370149105"/>
    <n v="10"/>
    <x v="42"/>
    <x v="42"/>
    <s v="N1"/>
    <n v="2100062462"/>
    <n v="50"/>
    <s v="GR306012       "/>
    <s v="GR306012 GRILL UC600 A12 COMFORT ROWENTA          "/>
    <s v="S"/>
    <d v="2012-01-16T00:00:00"/>
    <m/>
    <s v="X"/>
    <x v="52"/>
    <n v="31.41"/>
    <n v="27"/>
    <d v="2012-02-06T00:00:00"/>
    <d v="2012-01-09T00:00:00"/>
    <n v="4020"/>
    <d v="2012-01-09T00:00:00"/>
    <n v="4020"/>
    <m/>
    <d v="2012-01-09T00:00:00"/>
    <n v="6030"/>
    <d v="2012-02-06T00:00:00"/>
    <d v="2012-01-09T00:00:00"/>
    <n v="4020"/>
    <n v="2010"/>
    <x v="24"/>
    <d v="2012-02-10T00:00:00"/>
    <m/>
    <n v="9321658763"/>
    <n v="10"/>
    <s v="OOLU8123328"/>
    <s v="BUSAN EXPRESS/04W01"/>
    <m/>
    <s v="YANTIAN"/>
    <m/>
    <m/>
    <s v="JASON FAN"/>
    <s v="FO9"/>
    <s v="ELECTRICAL COOKING            "/>
    <s v="CONFIRMED"/>
    <n v="1"/>
    <n v="2"/>
    <d v="2012-01-13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90/000010"/>
    <n v="1370149105"/>
    <n v="10"/>
    <x v="42"/>
    <x v="42"/>
    <s v="N1"/>
    <n v="2100062462"/>
    <n v="50"/>
    <s v="GR306012       "/>
    <s v="GR306012 GRILL UC600 A12 COMFORT ROWENTA          "/>
    <s v="S"/>
    <d v="2012-01-16T00:00:00"/>
    <m/>
    <s v="X"/>
    <x v="52"/>
    <n v="31.41"/>
    <n v="27"/>
    <d v="2012-02-06T00:00:00"/>
    <d v="2012-01-09T00:00:00"/>
    <n v="4020"/>
    <d v="2012-01-09T00:00:00"/>
    <n v="4020"/>
    <m/>
    <d v="2012-01-09T00:00:00"/>
    <n v="6030"/>
    <d v="2012-02-06T00:00:00"/>
    <d v="2012-01-09T00:00:00"/>
    <n v="4020"/>
    <n v="2010"/>
    <x v="24"/>
    <d v="2012-02-10T00:00:00"/>
    <m/>
    <n v="9321658763"/>
    <n v="10"/>
    <s v="TGHU9696849"/>
    <s v="BUSAN EXPRESS/04W01"/>
    <m/>
    <s v="YANTIAN"/>
    <m/>
    <m/>
    <s v="JASON FAN"/>
    <s v="FO9"/>
    <s v="ELECTRICAL COOKING            "/>
    <s v="CONFIRMED"/>
    <n v="1"/>
    <n v="2"/>
    <d v="2012-01-13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90/000020"/>
    <n v="1370149105"/>
    <n v="20"/>
    <x v="42"/>
    <x v="42"/>
    <s v="N1"/>
    <n v="2100062462"/>
    <n v="50"/>
    <s v="GR306012       "/>
    <s v="GR306012 GRILL UC600 A12 COMFORT ROWENTA          "/>
    <s v="S"/>
    <d v="2012-01-16T00:00:00"/>
    <m/>
    <s v="X"/>
    <x v="52"/>
    <n v="31.41"/>
    <n v="27"/>
    <d v="2012-02-10T00:00:00"/>
    <d v="2012-01-13T00:00:00"/>
    <n v="4020"/>
    <d v="2012-01-13T00:00:00"/>
    <n v="4020"/>
    <m/>
    <d v="2012-01-13T00:00:00"/>
    <n v="8040"/>
    <d v="2012-02-10T00:00:00"/>
    <d v="2012-01-13T00:00:00"/>
    <n v="4020"/>
    <n v="2010"/>
    <x v="24"/>
    <d v="2012-02-10T00:00:00"/>
    <m/>
    <n v="9321658763"/>
    <n v="20"/>
    <s v="OOLU8235333"/>
    <s v="BUSAN EXPRESS/04W01"/>
    <m/>
    <s v="YANTIAN"/>
    <m/>
    <m/>
    <s v="JASON FAN"/>
    <s v="FO9"/>
    <s v="ELECTRICAL COOKING            "/>
    <s v="CONFIRMED"/>
    <n v="1"/>
    <n v="2"/>
    <d v="2012-01-13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90/000020"/>
    <n v="1370149105"/>
    <n v="20"/>
    <x v="42"/>
    <x v="42"/>
    <s v="N1"/>
    <n v="2100062462"/>
    <n v="50"/>
    <s v="GR306012       "/>
    <s v="GR306012 GRILL UC600 A12 COMFORT ROWENTA          "/>
    <s v="S"/>
    <d v="2012-01-16T00:00:00"/>
    <m/>
    <s v="X"/>
    <x v="52"/>
    <n v="31.41"/>
    <n v="27"/>
    <d v="2012-02-10T00:00:00"/>
    <d v="2012-01-13T00:00:00"/>
    <n v="4020"/>
    <d v="2012-01-13T00:00:00"/>
    <n v="4020"/>
    <m/>
    <d v="2012-01-13T00:00:00"/>
    <n v="8040"/>
    <d v="2012-02-10T00:00:00"/>
    <d v="2012-01-13T00:00:00"/>
    <n v="4020"/>
    <n v="2010"/>
    <x v="24"/>
    <d v="2012-02-10T00:00:00"/>
    <m/>
    <n v="9321658763"/>
    <n v="20"/>
    <s v="OOLU8286855"/>
    <s v="BUSAN EXPRESS/04W01"/>
    <m/>
    <s v="YANTIAN"/>
    <m/>
    <m/>
    <s v="JASON FAN"/>
    <s v="FO9"/>
    <s v="ELECTRICAL COOKING            "/>
    <s v="CONFIRMED"/>
    <n v="1"/>
    <n v="2"/>
    <d v="2012-01-13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61/039731"/>
    <n v="1370149095"/>
    <n v="30"/>
    <x v="70"/>
    <x v="70"/>
    <s v="N3"/>
    <n v="1500635116"/>
    <n v="39"/>
    <n v="635116"/>
    <s v="RK150850 RC COOLTOUCH 8C NO SWITCH BLK C          "/>
    <s v="S"/>
    <d v="2012-01-16T00:00:00"/>
    <m/>
    <s v="X"/>
    <x v="52"/>
    <n v="9.2899999999999991"/>
    <n v="12"/>
    <d v="2012-02-10T00:00:00"/>
    <d v="2012-01-06T00:00:00"/>
    <n v="1168"/>
    <d v="2012-01-06T00:00:00"/>
    <n v="1168"/>
    <m/>
    <d v="2012-01-06T00:00:00"/>
    <n v="1168"/>
    <d v="2012-02-10T00:00:00"/>
    <d v="2012-01-06T00:00:00"/>
    <n v="1168"/>
    <n v="1168"/>
    <x v="0"/>
    <d v="2012-02-13T00:00:00"/>
    <m/>
    <n v="9321658765"/>
    <n v="10"/>
    <s v="MRKU3269126"/>
    <s v="MAERSK SANA 1203/"/>
    <m/>
    <s v="YANTIAN"/>
    <s v="LATE P/L CREATION"/>
    <m/>
    <s v="THOMAS HO"/>
    <s v="FO9"/>
    <s v="ELECTRICAL COOKING            "/>
    <s v="CONFIRMED"/>
    <n v="1"/>
    <n v="2"/>
    <d v="2012-01-09T00:00:00"/>
    <s v="KITCHEN ELECTRICS             "/>
    <s v="ELECTRICAL COOKING            "/>
    <x v="1"/>
    <x v="1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544/000010"/>
    <n v="1370149126"/>
    <n v="10"/>
    <x v="62"/>
    <x v="62"/>
    <s v="N3"/>
    <n v="1500576713"/>
    <n v="57"/>
    <n v="576713"/>
    <s v="MW221031 COMP MEGRIL SILVER D1                    "/>
    <s v="S"/>
    <d v="2012-01-12T00:00:00"/>
    <m/>
    <s v="X"/>
    <x v="52"/>
    <n v="36.51"/>
    <n v="1331"/>
    <d v="2012-02-24T00:00:00"/>
    <d v="2012-01-06T00:00:00"/>
    <n v="448"/>
    <d v="2011-12-22T00:00:00"/>
    <n v="448"/>
    <m/>
    <d v="2012-01-06T00:00:00"/>
    <n v="448"/>
    <d v="2012-02-09T00:00:00"/>
    <d v="2011-12-22T00:00:00"/>
    <n v="448"/>
    <n v="448"/>
    <x v="16"/>
    <d v="2012-02-21T00:00:00"/>
    <m/>
    <n v="9321658771"/>
    <n v="10"/>
    <s v="TTNU4478130"/>
    <s v="OOCL NETHERLANDS/23W"/>
    <m/>
    <s v="YANTIAN"/>
    <s v="C-PULLIN-CONF/SUPPLIER LATE DOC"/>
    <m/>
    <s v="KENUS WONG"/>
    <s v="FO9"/>
    <s v="ELECTRICAL COOKING            "/>
    <s v="CONFIRMED"/>
    <n v="1"/>
    <n v="1"/>
    <d v="2012-01-03T00:00:00"/>
    <s v="KITCHEN ELECTRICS             "/>
    <s v="ELECTRICAL COOKING            "/>
    <x v="2"/>
    <x v="1"/>
    <x v="1"/>
    <m/>
    <n v="0"/>
    <n v="0"/>
    <x v="1"/>
    <n v="2"/>
    <x v="0"/>
    <x v="1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54230/000010"/>
    <n v="1370148441"/>
    <n v="10"/>
    <x v="3"/>
    <x v="3"/>
    <s v="R1"/>
    <n v="8000032956"/>
    <n v="27"/>
    <s v="CM425D31       "/>
    <s v="CM425D31 FCM EXPRESS TIMER 12T FR                 "/>
    <s v="S"/>
    <d v="2012-01-27T00:00:00"/>
    <m/>
    <s v="X"/>
    <x v="52"/>
    <n v="18.13"/>
    <n v="15"/>
    <d v="2012-01-27T00:00:00"/>
    <d v="2011-12-23T00:00:00"/>
    <n v="1500"/>
    <d v="2011-12-23T00:00:00"/>
    <n v="1500"/>
    <m/>
    <d v="2011-12-23T00:00:00"/>
    <n v="1500"/>
    <d v="2012-02-22T00:00:00"/>
    <d v="2012-01-18T00:00:00"/>
    <n v="1500"/>
    <n v="1500"/>
    <x v="14"/>
    <d v="2012-02-24T00:00:00"/>
    <m/>
    <n v="9321658773"/>
    <n v="10"/>
    <s v="MRKU0311916"/>
    <s v="MAERSK EINDHOVEN"/>
    <m/>
    <s v="YANTIAN"/>
    <s v="SP-MTL/"/>
    <m/>
    <s v="JASON FAN"/>
    <s v="FO9"/>
    <s v="BEVERAGE                      "/>
    <s v="CONFIRMED"/>
    <n v="1"/>
    <n v="3"/>
    <d v="2012-01-20T00:00:00"/>
    <s v="KITCHEN ELECTRICS             "/>
    <s v="BREAKFAST &amp; BREVAGE PREP      "/>
    <x v="2"/>
    <x v="1"/>
    <x v="9"/>
    <s v="SP-MTL"/>
    <n v="1"/>
    <n v="1"/>
    <x v="10"/>
    <n v="1"/>
    <x v="0"/>
    <x v="0"/>
    <x v="1"/>
    <n v="0"/>
    <n v="0"/>
    <n v="0"/>
    <n v="0"/>
    <n v="0"/>
    <n v="0"/>
    <x v="1"/>
    <x v="0"/>
    <x v="1"/>
    <x v="0"/>
  </r>
  <r>
    <s v="Shipment"/>
    <n v="99007300"/>
    <s v="GROUPE SEB DEUTSCHLAND                            "/>
    <n v="99007300"/>
    <x v="17"/>
    <s v="4500261650/000010"/>
    <n v="1370148647"/>
    <n v="10"/>
    <x v="3"/>
    <x v="3"/>
    <s v="R1"/>
    <n v="8000032189"/>
    <n v="27"/>
    <s v="CM415510       "/>
    <s v="CM415510 FCM 10/15T GLASS JUG                     "/>
    <s v="S"/>
    <d v="2012-01-17T00:00:00"/>
    <m/>
    <s v="X"/>
    <x v="52"/>
    <n v="15.07"/>
    <n v="13"/>
    <d v="2012-02-06T00:00:00"/>
    <d v="2012-01-02T00:00:00"/>
    <n v="1500"/>
    <d v="2012-01-19T00:00:00"/>
    <n v="1500"/>
    <m/>
    <d v="2012-01-02T00:00:00"/>
    <n v="1500"/>
    <d v="2012-02-23T00:00:00"/>
    <d v="2012-01-19T00:00:00"/>
    <n v="1500"/>
    <n v="1500"/>
    <x v="8"/>
    <d v="2012-02-20T00:00:00"/>
    <m/>
    <n v="9321658774"/>
    <n v="10"/>
    <s v="MOFU0733944"/>
    <s v="HYUNDAI BRAVE/023W"/>
    <m/>
    <s v="YANTIAN"/>
    <s v="C-POST-CONF/"/>
    <m/>
    <s v="AGNES NUNES"/>
    <s v="FO9"/>
    <s v="BEVERAGE                      "/>
    <s v="CONFIRMED"/>
    <n v="1"/>
    <n v="3"/>
    <d v="2012-01-16T00:00:00"/>
    <s v="KITCHEN ELECTRICS             "/>
    <s v="BREAKFAST &amp; BREVAGE PREP      "/>
    <x v="2"/>
    <x v="1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09/000010"/>
    <n v="1370149218"/>
    <n v="10"/>
    <x v="3"/>
    <x v="3"/>
    <s v="R1"/>
    <n v="1500634590"/>
    <n v="27"/>
    <n v="634590"/>
    <s v="CM430D00 FCM NEW EXPRESS MET/BLK FR               "/>
    <s v="S"/>
    <d v="2012-01-17T00:00:00"/>
    <m/>
    <s v="X"/>
    <x v="52"/>
    <n v="15.43"/>
    <n v="13"/>
    <d v="2012-02-10T00:00:00"/>
    <d v="2012-01-06T00:00:00"/>
    <n v="3424"/>
    <d v="2012-01-06T00:00:00"/>
    <n v="3424"/>
    <m/>
    <d v="2012-01-06T00:00:00"/>
    <n v="3424"/>
    <d v="2012-02-10T00:00:00"/>
    <d v="2012-01-06T00:00:00"/>
    <n v="3424"/>
    <n v="1712"/>
    <x v="17"/>
    <d v="2012-02-15T00:00:00"/>
    <m/>
    <n v="9321658776"/>
    <n v="10"/>
    <s v="MSKU1578555"/>
    <s v="GRETE MAERSK 121W/"/>
    <m/>
    <s v="HONG KONG"/>
    <m/>
    <m/>
    <s v="JASON FAN"/>
    <s v="FO9"/>
    <s v="BEVERAGE                      "/>
    <s v="CONFIRMED"/>
    <n v="1"/>
    <n v="2"/>
    <d v="2012-01-11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09/000010"/>
    <n v="1370149218"/>
    <n v="10"/>
    <x v="3"/>
    <x v="3"/>
    <s v="R1"/>
    <n v="1500634590"/>
    <n v="27"/>
    <n v="634590"/>
    <s v="CM430D00 FCM NEW EXPRESS MET/BLK FR               "/>
    <s v="S"/>
    <d v="2012-01-17T00:00:00"/>
    <m/>
    <s v="X"/>
    <x v="52"/>
    <n v="15.43"/>
    <n v="13"/>
    <d v="2012-02-10T00:00:00"/>
    <d v="2012-01-06T00:00:00"/>
    <n v="3424"/>
    <d v="2012-01-06T00:00:00"/>
    <n v="3424"/>
    <m/>
    <d v="2012-01-06T00:00:00"/>
    <n v="3424"/>
    <d v="2012-02-10T00:00:00"/>
    <d v="2012-01-06T00:00:00"/>
    <n v="3424"/>
    <n v="1712"/>
    <x v="17"/>
    <d v="2012-02-15T00:00:00"/>
    <m/>
    <n v="9321658776"/>
    <n v="10"/>
    <s v="MSKU1153993"/>
    <s v="GRETE MAERSK 121W/"/>
    <m/>
    <s v="HONG KONG"/>
    <m/>
    <m/>
    <s v="JASON FAN"/>
    <s v="FO9"/>
    <s v="BEVERAGE                      "/>
    <s v="CONFIRMED"/>
    <n v="1"/>
    <n v="2"/>
    <d v="2012-01-11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10/000010"/>
    <n v="1370149246"/>
    <n v="10"/>
    <x v="3"/>
    <x v="3"/>
    <s v="R1"/>
    <n v="1500634590"/>
    <n v="27"/>
    <n v="634590"/>
    <s v="CM430D00 FCM NEW EXPRESS MET/BLK FR               "/>
    <s v="S"/>
    <d v="2012-01-27T00:00:00"/>
    <m/>
    <s v="X"/>
    <x v="52"/>
    <n v="15.43"/>
    <n v="13"/>
    <d v="2012-02-17T00:00:00"/>
    <d v="2012-01-13T00:00:00"/>
    <n v="3424"/>
    <d v="2012-01-13T00:00:00"/>
    <n v="3424"/>
    <m/>
    <d v="2012-01-13T00:00:00"/>
    <n v="3424"/>
    <d v="2012-02-17T00:00:00"/>
    <d v="2012-01-13T00:00:00"/>
    <n v="3424"/>
    <n v="1712"/>
    <x v="14"/>
    <d v="2012-02-24T00:00:00"/>
    <m/>
    <n v="9321658778"/>
    <n v="10"/>
    <s v="MRKU3403683"/>
    <s v="MAERSK EINDHOVEN"/>
    <m/>
    <s v="HONG KONG"/>
    <m/>
    <m/>
    <s v="JASON FAN"/>
    <s v="FO9"/>
    <s v="BEVERAGE                      "/>
    <s v="CONFIRMED"/>
    <n v="1"/>
    <n v="3"/>
    <d v="2012-01-20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10/000010"/>
    <n v="1370149246"/>
    <n v="10"/>
    <x v="3"/>
    <x v="3"/>
    <s v="R1"/>
    <n v="1500634590"/>
    <n v="27"/>
    <n v="634590"/>
    <s v="CM430D00 FCM NEW EXPRESS MET/BLK FR               "/>
    <s v="S"/>
    <d v="2012-01-27T00:00:00"/>
    <m/>
    <s v="X"/>
    <x v="52"/>
    <n v="15.43"/>
    <n v="13"/>
    <d v="2012-02-17T00:00:00"/>
    <d v="2012-01-13T00:00:00"/>
    <n v="3424"/>
    <d v="2012-01-13T00:00:00"/>
    <n v="3424"/>
    <m/>
    <d v="2012-01-13T00:00:00"/>
    <n v="3424"/>
    <d v="2012-02-17T00:00:00"/>
    <d v="2012-01-13T00:00:00"/>
    <n v="3424"/>
    <n v="1712"/>
    <x v="14"/>
    <d v="2012-02-24T00:00:00"/>
    <m/>
    <n v="9321658778"/>
    <n v="10"/>
    <s v="MRKU3374179"/>
    <s v="MAERSK EINDHOVEN"/>
    <m/>
    <s v="HONG KONG"/>
    <m/>
    <m/>
    <s v="JASON FAN"/>
    <s v="FO9"/>
    <s v="BEVERAGE                      "/>
    <s v="CONFIRMED"/>
    <n v="1"/>
    <n v="3"/>
    <d v="2012-01-20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11/000010"/>
    <n v="1370149259"/>
    <n v="10"/>
    <x v="3"/>
    <x v="3"/>
    <s v="R1"/>
    <n v="1500634689"/>
    <n v="27"/>
    <n v="634689"/>
    <s v="CM431100 FCM NEW EXPRESS 10/15C WHT FR            "/>
    <s v="S"/>
    <d v="2012-01-17T00:00:00"/>
    <m/>
    <s v="X"/>
    <x v="52"/>
    <n v="12.63"/>
    <n v="11"/>
    <d v="2012-02-10T00:00:00"/>
    <d v="2012-01-06T00:00:00"/>
    <n v="2896"/>
    <d v="2012-01-06T00:00:00"/>
    <n v="2896"/>
    <m/>
    <d v="2012-01-06T00:00:00"/>
    <n v="2896"/>
    <d v="2012-02-10T00:00:00"/>
    <d v="2012-01-06T00:00:00"/>
    <n v="2896"/>
    <n v="1448"/>
    <x v="5"/>
    <d v="2012-02-14T00:00:00"/>
    <m/>
    <n v="9321658780"/>
    <n v="10"/>
    <s v="HDLU4003921"/>
    <s v="GRETE MAERSK 121W/"/>
    <m/>
    <s v="HONG KONG"/>
    <s v="BU-ETD-TEMP/"/>
    <m/>
    <s v="JASON FAN"/>
    <s v="FO9"/>
    <s v="BEVERAGE                      "/>
    <s v="CONFIRMED"/>
    <n v="1"/>
    <n v="2"/>
    <d v="2012-01-10T00:00:00"/>
    <s v="KITCHEN ELECTRICS             "/>
    <s v="BREAKFAST &amp; BREVAGE PREP      "/>
    <x v="2"/>
    <x v="1"/>
    <x v="4"/>
    <s v="BU-ETD-TEMP"/>
    <n v="-3"/>
    <n v="-3"/>
    <x v="3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11/000010"/>
    <n v="1370149259"/>
    <n v="10"/>
    <x v="3"/>
    <x v="3"/>
    <s v="R1"/>
    <n v="1500634689"/>
    <n v="27"/>
    <n v="634689"/>
    <s v="CM431100 FCM NEW EXPRESS 10/15C WHT FR            "/>
    <s v="S"/>
    <d v="2012-01-17T00:00:00"/>
    <m/>
    <s v="X"/>
    <x v="52"/>
    <n v="12.63"/>
    <n v="11"/>
    <d v="2012-02-10T00:00:00"/>
    <d v="2012-01-06T00:00:00"/>
    <n v="2896"/>
    <d v="2012-01-06T00:00:00"/>
    <n v="2896"/>
    <m/>
    <d v="2012-01-06T00:00:00"/>
    <n v="2896"/>
    <d v="2012-02-10T00:00:00"/>
    <d v="2012-01-06T00:00:00"/>
    <n v="2896"/>
    <n v="1448"/>
    <x v="5"/>
    <d v="2012-02-14T00:00:00"/>
    <m/>
    <n v="9321658780"/>
    <n v="10"/>
    <s v="PONU1761144"/>
    <s v="GRETE MAERSK 121W/"/>
    <m/>
    <s v="HONG KONG"/>
    <s v="BU-ETD-TEMP/"/>
    <m/>
    <s v="JASON FAN"/>
    <s v="FO9"/>
    <s v="BEVERAGE                      "/>
    <s v="CONFIRMED"/>
    <n v="1"/>
    <n v="2"/>
    <d v="2012-01-10T00:00:00"/>
    <s v="KITCHEN ELECTRICS             "/>
    <s v="BREAKFAST &amp; BREVAGE PREP      "/>
    <x v="2"/>
    <x v="1"/>
    <x v="4"/>
    <s v="BU-ETD-TEMP"/>
    <n v="-3"/>
    <n v="-3"/>
    <x v="3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248/000010"/>
    <n v="1370149288"/>
    <n v="10"/>
    <x v="3"/>
    <x v="3"/>
    <s v="R1"/>
    <n v="1500634590"/>
    <n v="27"/>
    <n v="634590"/>
    <s v="CM430D00 FCM NEW EXPRESS MET/BLK FR               "/>
    <s v="S"/>
    <d v="2012-01-07T00:00:00"/>
    <m/>
    <s v="X"/>
    <x v="52"/>
    <n v="15.43"/>
    <n v="13"/>
    <d v="2012-02-03T00:00:00"/>
    <d v="2011-12-30T00:00:00"/>
    <n v="1712"/>
    <d v="2012-01-02T00:00:00"/>
    <n v="1712"/>
    <m/>
    <d v="2011-12-30T00:00:00"/>
    <n v="1712"/>
    <d v="2012-02-06T00:00:00"/>
    <d v="2012-01-02T00:00:00"/>
    <n v="1712"/>
    <n v="1712"/>
    <x v="2"/>
    <d v="2012-02-08T00:00:00"/>
    <m/>
    <n v="9321658781"/>
    <n v="10"/>
    <s v="MSKU8205342"/>
    <s v="MAREN MAERSK 121W/"/>
    <m/>
    <s v="HONG KONG"/>
    <s v="C-POST-CONF/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2"/>
    <x v="1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27/000010"/>
    <n v="1370148162"/>
    <n v="10"/>
    <x v="72"/>
    <x v="72"/>
    <s v="A3"/>
    <n v="2100065046"/>
    <n v="211"/>
    <s v="E9649064       "/>
    <s v="E9649064 COCORICO ROAST EMER CAST IRON U          "/>
    <s v="S"/>
    <d v="2012-01-11T00:00:00"/>
    <m/>
    <s v="X"/>
    <x v="52"/>
    <n v="8.39"/>
    <n v="10"/>
    <d v="2012-02-01T00:00:00"/>
    <d v="2011-12-28T00:00:00"/>
    <n v="1472"/>
    <d v="2012-01-03T00:00:00"/>
    <n v="1472"/>
    <m/>
    <d v="2011-12-28T00:00:00"/>
    <n v="1472"/>
    <d v="2012-02-07T00:00:00"/>
    <d v="2012-01-03T00:00:00"/>
    <n v="1472"/>
    <n v="1472"/>
    <x v="5"/>
    <d v="2012-02-14T00:00:00"/>
    <m/>
    <n v="9321658782"/>
    <n v="10"/>
    <s v="TEXU7234252"/>
    <s v="KARMEN/038E"/>
    <m/>
    <s v="XINGANG"/>
    <s v="C-POST-CONF(WK52 TO WK 01)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5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23/000010"/>
    <n v="1370148216"/>
    <n v="10"/>
    <x v="72"/>
    <x v="72"/>
    <s v="A3"/>
    <n v="2100065050"/>
    <n v="211"/>
    <s v="E9644064       "/>
    <s v="E9644064 GRILL FP 26X26 EMERIL CAST IRON          "/>
    <s v="S"/>
    <d v="2012-01-11T00:00:00"/>
    <m/>
    <s v="X"/>
    <x v="52"/>
    <n v="5.63"/>
    <n v="7"/>
    <d v="2012-02-01T00:00:00"/>
    <d v="2011-12-28T00:00:00"/>
    <n v="2500"/>
    <d v="2012-01-03T00:00:00"/>
    <n v="2500"/>
    <m/>
    <d v="2011-12-28T00:00:00"/>
    <n v="2500"/>
    <d v="2012-02-07T00:00:00"/>
    <d v="2012-01-03T00:00:00"/>
    <n v="2500"/>
    <n v="2500"/>
    <x v="5"/>
    <d v="2012-02-14T00:00:00"/>
    <m/>
    <n v="9321658783"/>
    <n v="10"/>
    <s v="TEXU7234252"/>
    <s v="KARMEN/038E"/>
    <m/>
    <s v="XINGANG"/>
    <s v="C-POST-CONF(WK52 TO WK 01)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5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25/000010"/>
    <n v="1370148298"/>
    <n v="10"/>
    <x v="72"/>
    <x v="72"/>
    <s v="A3"/>
    <n v="2100065050"/>
    <n v="211"/>
    <s v="E9644064       "/>
    <s v="E9644064 GRILL FP 26X26 EMERIL CAST IRON          "/>
    <s v="S"/>
    <d v="2012-01-11T00:00:00"/>
    <m/>
    <s v="X"/>
    <x v="52"/>
    <n v="5.63"/>
    <n v="7"/>
    <d v="2012-02-10T00:00:00"/>
    <d v="2012-01-06T00:00:00"/>
    <n v="5078"/>
    <d v="2012-01-03T00:00:00"/>
    <n v="5078"/>
    <m/>
    <d v="2012-01-06T00:00:00"/>
    <n v="10036"/>
    <d v="2012-02-07T00:00:00"/>
    <d v="2012-01-03T00:00:00"/>
    <n v="5078"/>
    <n v="4958"/>
    <x v="5"/>
    <d v="2012-02-14T00:00:00"/>
    <m/>
    <n v="9321658784"/>
    <n v="10"/>
    <s v="TCNU8435704"/>
    <s v="KARMEN/038E"/>
    <m/>
    <s v="XINGANG"/>
    <s v="SAILING-SCHED-UPDATE/SAILING-SCHED-UPDATE/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5"/>
    <x v="2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25/000010"/>
    <n v="1370148298"/>
    <n v="10"/>
    <x v="72"/>
    <x v="72"/>
    <s v="A3"/>
    <n v="2100065050"/>
    <n v="211"/>
    <s v="E9644064       "/>
    <s v="E9644064 GRILL FP 26X26 EMERIL CAST IRON          "/>
    <s v="S"/>
    <d v="2012-01-11T00:00:00"/>
    <m/>
    <s v="X"/>
    <x v="52"/>
    <n v="5.63"/>
    <n v="7"/>
    <d v="2012-02-10T00:00:00"/>
    <d v="2012-01-06T00:00:00"/>
    <n v="5078"/>
    <d v="2012-01-03T00:00:00"/>
    <n v="5078"/>
    <m/>
    <d v="2012-01-06T00:00:00"/>
    <n v="10036"/>
    <d v="2012-02-07T00:00:00"/>
    <d v="2012-01-03T00:00:00"/>
    <n v="5078"/>
    <n v="120"/>
    <x v="5"/>
    <d v="2012-02-14T00:00:00"/>
    <m/>
    <n v="9321658784"/>
    <n v="10"/>
    <s v="TEXU7234252"/>
    <s v="KARMEN/038E"/>
    <m/>
    <s v="XINGANG"/>
    <s v="SAILING-SCHED-UPDATE/SAILING-SCHED-UPDATE/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5"/>
    <x v="2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3/000060"/>
    <n v="1370149103"/>
    <n v="60"/>
    <x v="73"/>
    <x v="73"/>
    <s v="R1"/>
    <n v="1500576604"/>
    <n v="23"/>
    <n v="576604"/>
    <s v="TT626030 TOAS PRELUDE MET B                       "/>
    <s v="S"/>
    <d v="2012-01-05T00:00:00"/>
    <m/>
    <s v="X"/>
    <x v="52"/>
    <n v="11.85"/>
    <n v="17"/>
    <d v="2012-02-06T00:00:00"/>
    <d v="2012-01-09T00:00:00"/>
    <n v="1248"/>
    <d v="2012-01-09T00:00:00"/>
    <n v="1248"/>
    <m/>
    <d v="2012-02-15T00:00:00"/>
    <n v="1248"/>
    <d v="2012-02-06T00:00:00"/>
    <d v="2012-01-09T00:00:00"/>
    <n v="1248"/>
    <n v="1248"/>
    <x v="6"/>
    <d v="2012-02-02T00:00:00"/>
    <m/>
    <n v="9321658785"/>
    <n v="10"/>
    <s v="TGHU2583938"/>
    <s v="XIN PU DONG/1201W"/>
    <m/>
    <s v="YANTIAN"/>
    <s v="SP-HOLIDAY/waiting TP"/>
    <m/>
    <s v="JASON FAN"/>
    <s v="FO9"/>
    <s v="BEVERAGE                      "/>
    <s v="CONFIRMED"/>
    <n v="1"/>
    <n v="1"/>
    <d v="2012-01-05T00:00:00"/>
    <s v="KITCHEN ELECTRICS             "/>
    <s v="BREAKFAST &amp; BREVAGE PREP      "/>
    <x v="0"/>
    <x v="0"/>
    <x v="7"/>
    <s v="SP-HOLIDAY"/>
    <n v="-3"/>
    <n v="-3"/>
    <x v="6"/>
    <n v="2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601/000010"/>
    <n v="1370148129"/>
    <n v="10"/>
    <x v="63"/>
    <x v="63"/>
    <s v="N3"/>
    <n v="1500632304"/>
    <n v="179"/>
    <n v="632304"/>
    <s v="SD700450 STMC CERAMIC US                          "/>
    <s v="S"/>
    <d v="2012-01-19T00:00:00"/>
    <m/>
    <s v="X"/>
    <x v="52"/>
    <n v="36.5"/>
    <n v="43"/>
    <d v="2012-02-26T00:00:00"/>
    <d v="2012-01-22T00:00:00"/>
    <n v="952"/>
    <d v="2012-01-15T00:00:00"/>
    <n v="952"/>
    <m/>
    <d v="2012-01-22T00:00:00"/>
    <n v="952"/>
    <d v="2012-02-20T00:00:00"/>
    <d v="2012-01-16T00:00:00"/>
    <n v="952"/>
    <n v="952"/>
    <x v="19"/>
    <d v="2012-02-21T00:00:00"/>
    <m/>
    <n v="9321658786"/>
    <n v="10"/>
    <s v="HLXU4395024"/>
    <s v="NYK NEBULA 25E02/"/>
    <m/>
    <s v="YANTIAN"/>
    <s v="SP-HOLIDAY/"/>
    <m/>
    <s v="TWEETY LEUNG"/>
    <s v="FO9"/>
    <s v="ELECTRICAL COOKING            "/>
    <s v="CONFIRMED"/>
    <n v="1"/>
    <n v="3"/>
    <d v="2012-01-17T00:00:00"/>
    <s v="KITCHEN ELECTRICS             "/>
    <s v="ELECTRICAL COOKING            "/>
    <x v="4"/>
    <x v="1"/>
    <x v="7"/>
    <s v="SP-HOLIDAY"/>
    <n v="-3"/>
    <n v="-3"/>
    <x v="6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590/000010"/>
    <n v="1370148130"/>
    <n v="10"/>
    <x v="63"/>
    <x v="63"/>
    <s v="N3"/>
    <n v="1500632303"/>
    <n v="179"/>
    <n v="632303"/>
    <s v="SD700350 STMC LUXE US                             "/>
    <s v="S"/>
    <d v="2012-01-16T00:00:00"/>
    <m/>
    <s v="X"/>
    <x v="52"/>
    <n v="52.92"/>
    <n v="62"/>
    <d v="2012-02-21T00:00:00"/>
    <d v="2012-01-17T00:00:00"/>
    <n v="1904"/>
    <d v="2012-01-05T00:00:00"/>
    <n v="1904"/>
    <m/>
    <d v="2012-01-05T00:00:00"/>
    <n v="1904"/>
    <d v="2012-02-13T00:00:00"/>
    <d v="2012-01-09T00:00:00"/>
    <n v="1904"/>
    <n v="952"/>
    <x v="5"/>
    <d v="2012-02-14T00:00:00"/>
    <m/>
    <n v="9321658787"/>
    <n v="10"/>
    <s v="GATU4087944"/>
    <s v="ZIM ONTARIO 12E01/"/>
    <m/>
    <s v="YANTIAN"/>
    <s v="C-PULLIN-CONF/LATE EDI"/>
    <m/>
    <s v="TWEETY LEUNG"/>
    <s v="FO9"/>
    <s v="ELECTRICAL COOKING            "/>
    <s v="CONFIRMED"/>
    <n v="1"/>
    <n v="2"/>
    <d v="2012-01-10T00:00:00"/>
    <s v="KITCHEN ELECTRICS             "/>
    <s v="ELECTRICAL COOKING            "/>
    <x v="4"/>
    <x v="1"/>
    <x v="1"/>
    <m/>
    <n v="0"/>
    <n v="0"/>
    <x v="1"/>
    <n v="2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590/000010"/>
    <n v="1370148130"/>
    <n v="10"/>
    <x v="63"/>
    <x v="63"/>
    <s v="N3"/>
    <n v="1500632303"/>
    <n v="179"/>
    <n v="632303"/>
    <s v="SD700350 STMC LUXE US                             "/>
    <s v="S"/>
    <d v="2012-01-16T00:00:00"/>
    <m/>
    <s v="X"/>
    <x v="52"/>
    <n v="52.92"/>
    <n v="62"/>
    <d v="2012-02-21T00:00:00"/>
    <d v="2012-01-17T00:00:00"/>
    <n v="1904"/>
    <d v="2012-01-05T00:00:00"/>
    <n v="1904"/>
    <m/>
    <d v="2012-01-05T00:00:00"/>
    <n v="1904"/>
    <d v="2012-02-13T00:00:00"/>
    <d v="2012-01-09T00:00:00"/>
    <n v="1904"/>
    <n v="952"/>
    <x v="5"/>
    <d v="2012-02-14T00:00:00"/>
    <m/>
    <n v="9321658787"/>
    <n v="10"/>
    <s v="CAXU7018073"/>
    <s v="ZIM ONTARIO 12E01/"/>
    <m/>
    <s v="YANTIAN"/>
    <s v="C-PULLIN-CONF/LATE EDI"/>
    <m/>
    <s v="TWEETY LEUNG"/>
    <s v="FO9"/>
    <s v="ELECTRICAL COOKING            "/>
    <s v="CONFIRMED"/>
    <n v="1"/>
    <n v="2"/>
    <d v="2012-01-10T00:00:00"/>
    <s v="KITCHEN ELECTRICS             "/>
    <s v="ELECTRICAL COOKING            "/>
    <x v="4"/>
    <x v="1"/>
    <x v="1"/>
    <m/>
    <n v="0"/>
    <n v="0"/>
    <x v="1"/>
    <n v="2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066/000010"/>
    <n v="1370148279"/>
    <n v="10"/>
    <x v="58"/>
    <x v="58"/>
    <s v="A3"/>
    <n v="2100060622"/>
    <n v="231"/>
    <s v="J0959074       "/>
    <s v="J0959074 WEAEREVER COMMERCIAL ROASTER             "/>
    <s v="S"/>
    <d v="2012-01-20T00:00:00"/>
    <m/>
    <s v="X"/>
    <x v="52"/>
    <n v="4.0999999999999996"/>
    <n v="5"/>
    <d v="2012-02-15T00:00:00"/>
    <d v="2012-01-11T00:00:00"/>
    <n v="12500"/>
    <d v="2012-01-17T00:00:00"/>
    <n v="12500"/>
    <m/>
    <d v="2012-01-04T00:00:00"/>
    <n v="12500"/>
    <d v="2012-02-20T00:00:00"/>
    <d v="2012-01-16T00:00:00"/>
    <n v="12500"/>
    <n v="1700"/>
    <x v="21"/>
    <d v="2012-02-22T00:00:00"/>
    <m/>
    <n v="9321658788"/>
    <n v="10"/>
    <s v="TTNU3926272"/>
    <s v="CMA CGM TANCREDI 557"/>
    <m/>
    <s v="YANTIAN"/>
    <s v="CONS-SHIPT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66/000010"/>
    <n v="1370148279"/>
    <n v="10"/>
    <x v="58"/>
    <x v="58"/>
    <s v="A3"/>
    <n v="2100060622"/>
    <n v="231"/>
    <s v="J0959074       "/>
    <s v="J0959074 WEAEREVER COMMERCIAL ROASTER             "/>
    <s v="S"/>
    <d v="2012-01-20T00:00:00"/>
    <m/>
    <s v="X"/>
    <x v="52"/>
    <n v="4.0999999999999996"/>
    <n v="5"/>
    <d v="2012-02-15T00:00:00"/>
    <d v="2012-01-11T00:00:00"/>
    <n v="12500"/>
    <d v="2012-01-17T00:00:00"/>
    <n v="12500"/>
    <m/>
    <d v="2012-01-04T00:00:00"/>
    <n v="12500"/>
    <d v="2012-02-20T00:00:00"/>
    <d v="2012-01-16T00:00:00"/>
    <n v="12500"/>
    <n v="5400"/>
    <x v="21"/>
    <d v="2012-02-22T00:00:00"/>
    <m/>
    <n v="9321658788"/>
    <n v="10"/>
    <s v="PONU1495110"/>
    <s v="CMA CGM TANCREDI 557"/>
    <m/>
    <s v="YANTIAN"/>
    <s v="CONS-SHIPT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66/000010"/>
    <n v="1370148279"/>
    <n v="10"/>
    <x v="58"/>
    <x v="58"/>
    <s v="A3"/>
    <n v="2100060622"/>
    <n v="231"/>
    <s v="J0959074       "/>
    <s v="J0959074 WEAEREVER COMMERCIAL ROASTER             "/>
    <s v="S"/>
    <d v="2012-01-20T00:00:00"/>
    <m/>
    <s v="X"/>
    <x v="52"/>
    <n v="4.0999999999999996"/>
    <n v="5"/>
    <d v="2012-02-15T00:00:00"/>
    <d v="2012-01-11T00:00:00"/>
    <n v="12500"/>
    <d v="2012-01-17T00:00:00"/>
    <n v="12500"/>
    <m/>
    <d v="2012-01-04T00:00:00"/>
    <n v="12500"/>
    <d v="2012-02-20T00:00:00"/>
    <d v="2012-01-16T00:00:00"/>
    <n v="12500"/>
    <n v="5400"/>
    <x v="21"/>
    <d v="2012-02-22T00:00:00"/>
    <m/>
    <n v="9321658788"/>
    <n v="10"/>
    <s v="MRKU0700939"/>
    <s v="CMA CGM TANCREDI 557"/>
    <m/>
    <s v="YANTIAN"/>
    <s v="CONS-SHIPT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65/000010"/>
    <n v="1370148360"/>
    <n v="10"/>
    <x v="58"/>
    <x v="58"/>
    <s v="A3"/>
    <n v="2100060622"/>
    <n v="231"/>
    <s v="J0959074       "/>
    <s v="J0959074 WEAEREVER COMMERCIAL ROASTER             "/>
    <s v="S"/>
    <d v="2012-01-05T00:00:00"/>
    <m/>
    <s v="X"/>
    <x v="52"/>
    <n v="4.0999999999999996"/>
    <n v="5225"/>
    <d v="2012-02-05T00:00:00"/>
    <d v="2012-01-01T00:00:00"/>
    <n v="12500"/>
    <d v="2012-01-02T00:00:00"/>
    <n v="12500"/>
    <m/>
    <d v="2012-01-02T00:00:00"/>
    <n v="12500"/>
    <d v="2012-02-06T00:00:00"/>
    <d v="2012-01-02T00:00:00"/>
    <n v="12500"/>
    <n v="1700"/>
    <x v="3"/>
    <d v="2012-02-06T00:00:00"/>
    <m/>
    <n v="9321658789"/>
    <n v="10"/>
    <s v="CLHU2365798"/>
    <s v="NYK REMUS 16E52/"/>
    <m/>
    <s v="YANTIAN"/>
    <s v="CONS-SHIPT"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65/000010"/>
    <n v="1370148360"/>
    <n v="10"/>
    <x v="58"/>
    <x v="58"/>
    <s v="A3"/>
    <n v="2100060622"/>
    <n v="231"/>
    <s v="J0959074       "/>
    <s v="J0959074 WEAEREVER COMMERCIAL ROASTER             "/>
    <s v="S"/>
    <d v="2012-01-05T00:00:00"/>
    <m/>
    <s v="X"/>
    <x v="52"/>
    <n v="4.0999999999999996"/>
    <n v="5225"/>
    <d v="2012-02-05T00:00:00"/>
    <d v="2012-01-01T00:00:00"/>
    <n v="12500"/>
    <d v="2012-01-02T00:00:00"/>
    <n v="12500"/>
    <m/>
    <d v="2012-01-02T00:00:00"/>
    <n v="12500"/>
    <d v="2012-02-06T00:00:00"/>
    <d v="2012-01-02T00:00:00"/>
    <n v="12500"/>
    <n v="5400"/>
    <x v="3"/>
    <d v="2012-02-06T00:00:00"/>
    <m/>
    <n v="9321658789"/>
    <n v="10"/>
    <s v="HLXU5087094"/>
    <s v="NYK REMUS 16E52/"/>
    <m/>
    <s v="YANTIAN"/>
    <s v="CONS-SHIPT"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65/000010"/>
    <n v="1370148360"/>
    <n v="10"/>
    <x v="58"/>
    <x v="58"/>
    <s v="A3"/>
    <n v="2100060622"/>
    <n v="231"/>
    <s v="J0959074       "/>
    <s v="J0959074 WEAEREVER COMMERCIAL ROASTER             "/>
    <s v="S"/>
    <d v="2012-01-05T00:00:00"/>
    <m/>
    <s v="X"/>
    <x v="52"/>
    <n v="4.0999999999999996"/>
    <n v="5225"/>
    <d v="2012-02-05T00:00:00"/>
    <d v="2012-01-01T00:00:00"/>
    <n v="12500"/>
    <d v="2012-01-02T00:00:00"/>
    <n v="12500"/>
    <m/>
    <d v="2012-01-02T00:00:00"/>
    <n v="12500"/>
    <d v="2012-02-06T00:00:00"/>
    <d v="2012-01-02T00:00:00"/>
    <n v="12500"/>
    <n v="5400"/>
    <x v="3"/>
    <d v="2012-02-06T00:00:00"/>
    <m/>
    <n v="9321658789"/>
    <n v="10"/>
    <s v="HLXU4163965"/>
    <s v="NYK REMUS 16E52/"/>
    <m/>
    <s v="YANTIAN"/>
    <s v="CONS-SHIPT"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5777/000010"/>
    <n v="1370148718"/>
    <n v="10"/>
    <x v="58"/>
    <x v="58"/>
    <s v="A3"/>
    <n v="2100068020"/>
    <n v="231"/>
    <s v="J0855344       "/>
    <s v="J0855344 LOAF PAN 24X14 STEEL COMM GREY           "/>
    <s v="S"/>
    <d v="2012-01-19T00:00:00"/>
    <m/>
    <s v="X"/>
    <x v="52"/>
    <n v="1.1299999999999999"/>
    <n v="1"/>
    <d v="2012-03-05T00:00:00"/>
    <d v="2012-01-30T00:00:00"/>
    <n v="1500"/>
    <d v="2012-01-16T00:00:00"/>
    <n v="3000"/>
    <m/>
    <d v="2012-01-23T00:00:00"/>
    <n v="1500"/>
    <d v="2012-02-20T00:00:00"/>
    <d v="2012-01-16T00:00:00"/>
    <n v="3000"/>
    <n v="2700"/>
    <x v="8"/>
    <d v="2012-02-20T00:00:00"/>
    <m/>
    <n v="9321658791"/>
    <n v="10"/>
    <s v="PONU0656859"/>
    <s v="MAERSK TUKANG 1202"/>
    <m/>
    <s v="YANTIAN"/>
    <s v="CONS-SHIPT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5780/000010"/>
    <n v="1370148719"/>
    <n v="10"/>
    <x v="58"/>
    <x v="58"/>
    <s v="A3"/>
    <n v="2100068022"/>
    <n v="231"/>
    <s v="J0859644       "/>
    <s v="J0859644 ROUND CAKE 24 STEEL COMM GREY T          "/>
    <s v="S"/>
    <d v="2012-01-19T00:00:00"/>
    <m/>
    <s v="X"/>
    <x v="52"/>
    <n v="1.22"/>
    <n v="1"/>
    <d v="2012-03-05T00:00:00"/>
    <d v="2012-01-30T00:00:00"/>
    <n v="1500"/>
    <d v="2012-01-16T00:00:00"/>
    <n v="3000"/>
    <m/>
    <d v="2012-01-23T00:00:00"/>
    <n v="1500"/>
    <d v="2012-02-20T00:00:00"/>
    <d v="2012-01-16T00:00:00"/>
    <n v="3000"/>
    <n v="2700"/>
    <x v="8"/>
    <d v="2012-02-20T00:00:00"/>
    <m/>
    <n v="9321658792"/>
    <n v="10"/>
    <s v="PONU0656859"/>
    <s v="MAERSK TUKANG 1202"/>
    <m/>
    <s v="YANTIAN"/>
    <s v="CONS-SHIPT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5779/000010"/>
    <n v="1370148720"/>
    <n v="10"/>
    <x v="58"/>
    <x v="58"/>
    <s v="A3"/>
    <n v="2100068024"/>
    <n v="231"/>
    <s v="J0857044       "/>
    <s v="J0857044 BAKING TRAY 44.5X30 STEEL COMM           "/>
    <s v="S"/>
    <d v="2012-01-19T00:00:00"/>
    <m/>
    <s v="X"/>
    <x v="52"/>
    <n v="1.98"/>
    <n v="2"/>
    <d v="2012-03-05T00:00:00"/>
    <d v="2012-01-30T00:00:00"/>
    <n v="1500"/>
    <d v="2012-01-16T00:00:00"/>
    <n v="3000"/>
    <m/>
    <d v="2012-01-23T00:00:00"/>
    <n v="1500"/>
    <d v="2012-02-20T00:00:00"/>
    <d v="2012-01-16T00:00:00"/>
    <n v="3000"/>
    <n v="2700"/>
    <x v="8"/>
    <d v="2012-02-20T00:00:00"/>
    <m/>
    <n v="9321658793"/>
    <n v="10"/>
    <s v="PONU0656859"/>
    <s v="MAERSK TUKANG 1202"/>
    <m/>
    <s v="YANTIAN"/>
    <s v="CONS-SHIPT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5776/000010"/>
    <n v="1370148721"/>
    <n v="10"/>
    <x v="58"/>
    <x v="58"/>
    <s v="A3"/>
    <n v="2100068018"/>
    <n v="231"/>
    <s v="J0855244       "/>
    <s v="J0855244 SQUARE CAKE 23X23 STEEL COMM GR          "/>
    <s v="S"/>
    <d v="2012-01-19T00:00:00"/>
    <m/>
    <s v="X"/>
    <x v="52"/>
    <n v="1.22"/>
    <n v="1"/>
    <d v="2012-03-05T00:00:00"/>
    <d v="2012-01-30T00:00:00"/>
    <n v="1500"/>
    <d v="2012-01-16T00:00:00"/>
    <n v="3000"/>
    <m/>
    <d v="2012-01-23T00:00:00"/>
    <n v="1500"/>
    <d v="2012-02-20T00:00:00"/>
    <d v="2012-01-16T00:00:00"/>
    <n v="3000"/>
    <n v="2700"/>
    <x v="8"/>
    <d v="2012-02-20T00:00:00"/>
    <m/>
    <n v="9321658794"/>
    <n v="10"/>
    <s v="PONU0656859"/>
    <s v="MAERSK TUKANG 1202"/>
    <m/>
    <s v="YANTIAN"/>
    <s v="CONS-SHIPT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9257/000010"/>
    <n v="1370147092"/>
    <n v="10"/>
    <x v="58"/>
    <x v="58"/>
    <s v="A3"/>
    <n v="2100065465"/>
    <n v="231"/>
    <s v="J0895044       "/>
    <s v="J0895044 JO VIRTUOSO 12 MUFFINS GREY GB           "/>
    <s v="S"/>
    <d v="2012-01-19T00:00:00"/>
    <m/>
    <s v="X"/>
    <x v="52"/>
    <n v="3.3"/>
    <n v="3"/>
    <d v="2012-02-13T00:00:00"/>
    <d v="2012-01-09T00:00:00"/>
    <n v="1200"/>
    <d v="2012-01-09T00:00:00"/>
    <n v="2400"/>
    <m/>
    <d v="2012-01-16T00:00:00"/>
    <n v="1200"/>
    <d v="2012-02-20T00:00:00"/>
    <d v="2012-01-16T00:00:00"/>
    <n v="2400"/>
    <n v="2200"/>
    <x v="8"/>
    <d v="2012-02-20T00:00:00"/>
    <m/>
    <n v="9321658795"/>
    <n v="10"/>
    <s v="PONU0656859"/>
    <s v="MAERSK TUKANG 1202"/>
    <m/>
    <s v="YANTIAN"/>
    <s v="CONS-SHIPT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9292/000010"/>
    <n v="1370147093"/>
    <n v="10"/>
    <x v="58"/>
    <x v="58"/>
    <s v="A3"/>
    <n v="2100065467"/>
    <n v="231"/>
    <s v="J0895344       "/>
    <s v="J0895344 JO VIRTUOSO LOAF PAN 12X25 GREY          "/>
    <s v="S"/>
    <d v="2012-01-19T00:00:00"/>
    <m/>
    <s v="X"/>
    <x v="52"/>
    <n v="1.72"/>
    <n v="1"/>
    <d v="2012-02-13T00:00:00"/>
    <d v="2012-01-09T00:00:00"/>
    <n v="1200"/>
    <d v="2012-01-09T00:00:00"/>
    <n v="1200"/>
    <m/>
    <d v="2012-01-16T00:00:00"/>
    <n v="1200"/>
    <d v="2012-02-20T00:00:00"/>
    <d v="2012-01-16T00:00:00"/>
    <n v="1200"/>
    <n v="1000"/>
    <x v="8"/>
    <d v="2012-02-20T00:00:00"/>
    <m/>
    <n v="9321658796"/>
    <n v="10"/>
    <s v="PONU0656859"/>
    <s v="MAERSK TUKANG 1202"/>
    <m/>
    <s v="YANTIAN"/>
    <s v="CONS-SHIPT/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8302/000010"/>
    <n v="1370149323"/>
    <n v="10"/>
    <x v="58"/>
    <x v="58"/>
    <s v="A3"/>
    <n v="2100066698"/>
    <n v="231"/>
    <s v="J0877064       "/>
    <s v="J0877064 BAKING TRAY 445X30 STEEL COMM            "/>
    <s v="S"/>
    <d v="2012-01-19T00:00:00"/>
    <m/>
    <s v="X"/>
    <x v="52"/>
    <n v="1.9"/>
    <n v="3"/>
    <d v="2012-02-06T00:00:00"/>
    <d v="2012-01-02T00:00:00"/>
    <n v="3000"/>
    <d v="2012-01-16T00:00:00"/>
    <n v="3000"/>
    <m/>
    <d v="2012-01-02T00:00:00"/>
    <n v="3000"/>
    <d v="2012-02-20T00:00:00"/>
    <d v="2012-01-16T00:00:00"/>
    <n v="3000"/>
    <n v="3000"/>
    <x v="19"/>
    <d v="2012-02-21T00:00:00"/>
    <m/>
    <n v="9321658797"/>
    <n v="10"/>
    <s v="HLXU6426145"/>
    <s v="NYK NEBULA 25E02/"/>
    <m/>
    <s v="YANTIAN"/>
    <s v="C-ETD-TEMP/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6"/>
    <s v="C-ETD-TEMP"/>
    <n v="-3"/>
    <n v="-3"/>
    <x v="7"/>
    <n v="1"/>
    <x v="0"/>
    <x v="0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437/000010"/>
    <n v="1370148041"/>
    <n v="10"/>
    <x v="17"/>
    <x v="17"/>
    <s v="L4"/>
    <n v="1830003080"/>
    <n v="131"/>
    <s v="SF3012F4       "/>
    <s v="SF3012F4 ECO ELITE STRAIGHTENER                   "/>
    <s v="S"/>
    <d v="2012-01-16T00:00:00"/>
    <m/>
    <s v="X"/>
    <x v="52"/>
    <n v="7.42"/>
    <n v="1801"/>
    <d v="2012-01-30T00:00:00"/>
    <d v="2011-12-26T00:00:00"/>
    <n v="3000"/>
    <d v="2012-01-13T00:00:00"/>
    <n v="3000"/>
    <m/>
    <d v="2011-12-26T00:00:00"/>
    <n v="3000"/>
    <d v="2012-02-18T00:00:00"/>
    <d v="2012-01-14T00:00:00"/>
    <n v="3000"/>
    <n v="3000"/>
    <x v="9"/>
    <d v="2012-02-18T00:00:00"/>
    <m/>
    <n v="9321658799"/>
    <n v="10"/>
    <s v="POCU7004925"/>
    <s v="CMA CGM BALZAC/1202"/>
    <m/>
    <s v="YANTIAN"/>
    <s v="CONS-SHIPT/"/>
    <m/>
    <s v="KENUS WONG"/>
    <s v="FO9"/>
    <s v="PERSONAL CARE                 "/>
    <s v="CONFIRMED"/>
    <n v="1"/>
    <n v="2"/>
    <d v="2012-01-14T00:00:00"/>
    <s v="LINEN PERS HOME CARE          "/>
    <s v="PERSONAL CARE                 "/>
    <x v="3"/>
    <x v="2"/>
    <x v="10"/>
    <s v="CONS-SHIPT"/>
    <n v="-3"/>
    <n v="-3"/>
    <x v="8"/>
    <n v="1"/>
    <x v="0"/>
    <x v="0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4256/000010"/>
    <n v="1370148432"/>
    <n v="10"/>
    <x v="17"/>
    <x v="17"/>
    <s v="L4"/>
    <n v="1830003390"/>
    <n v="131"/>
    <s v="YD3027F0       "/>
    <s v="YD3027F0 ARTIST PROMO HAIR SET                    "/>
    <s v="S"/>
    <d v="2012-01-06T00:00:00"/>
    <m/>
    <s v="X"/>
    <x v="52"/>
    <n v="15.16"/>
    <n v="546"/>
    <d v="2012-02-10T00:00:00"/>
    <d v="2011-12-23T00:00:00"/>
    <n v="2892"/>
    <d v="2012-01-10T00:00:00"/>
    <n v="2892"/>
    <m/>
    <d v="2011-12-23T00:00:00"/>
    <n v="2892"/>
    <d v="2012-02-21T00:00:00"/>
    <d v="2012-01-03T00:00:00"/>
    <n v="2892"/>
    <n v="2892"/>
    <x v="16"/>
    <d v="2012-02-21T00:00:00"/>
    <m/>
    <n v="9321658800"/>
    <n v="10"/>
    <s v="DFSU6446400"/>
    <s v="NYK VESTA/28W51"/>
    <m/>
    <s v="YANTIAN"/>
    <s v="CONS-SHIPT/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0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974/000010"/>
    <n v="1370147730"/>
    <n v="10"/>
    <x v="17"/>
    <x v="17"/>
    <s v="L4"/>
    <n v="1830003004"/>
    <n v="5"/>
    <s v="CV4555F0       "/>
    <s v="CV4555F0 HAIR DRYER COLLECTION 2000W              "/>
    <s v="S"/>
    <d v="2012-01-07T00:00:00"/>
    <m/>
    <s v="X"/>
    <x v="52"/>
    <n v="8.23"/>
    <n v="293"/>
    <d v="2012-02-24T00:00:00"/>
    <d v="2012-01-06T00:00:00"/>
    <n v="3000"/>
    <d v="2012-01-06T00:00:00"/>
    <n v="3000"/>
    <m/>
    <d v="2012-01-06T00:00:00"/>
    <n v="3000"/>
    <d v="2012-02-23T00:00:00"/>
    <d v="2012-01-05T00:00:00"/>
    <n v="3000"/>
    <n v="2568"/>
    <x v="6"/>
    <d v="2012-02-23T00:00:00"/>
    <m/>
    <n v="9321658801"/>
    <n v="10"/>
    <s v="TCLU8651590"/>
    <s v="MOL MAXIM/010W"/>
    <m/>
    <s v="YANTIAN"/>
    <m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1974/000010"/>
    <n v="1370147730"/>
    <n v="10"/>
    <x v="17"/>
    <x v="17"/>
    <s v="L4"/>
    <n v="1830003004"/>
    <n v="5"/>
    <s v="CV4555F0       "/>
    <s v="CV4555F0 HAIR DRYER COLLECTION 2000W              "/>
    <s v="S"/>
    <d v="2012-01-07T00:00:00"/>
    <m/>
    <s v="X"/>
    <x v="52"/>
    <n v="8.23"/>
    <n v="293"/>
    <d v="2012-02-24T00:00:00"/>
    <d v="2012-01-06T00:00:00"/>
    <n v="3000"/>
    <d v="2012-01-06T00:00:00"/>
    <n v="3000"/>
    <m/>
    <d v="2012-01-06T00:00:00"/>
    <n v="3000"/>
    <d v="2012-02-23T00:00:00"/>
    <d v="2012-01-05T00:00:00"/>
    <n v="3000"/>
    <n v="432"/>
    <x v="6"/>
    <d v="2012-02-23T00:00:00"/>
    <m/>
    <n v="9321658801"/>
    <n v="10"/>
    <s v="TRLU6660478"/>
    <s v="MOL MAXIM/010W"/>
    <m/>
    <s v="YANTIAN"/>
    <m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6652/000010"/>
    <n v="1370148943"/>
    <n v="10"/>
    <x v="17"/>
    <x v="17"/>
    <s v="L4"/>
    <n v="1830003099"/>
    <n v="5"/>
    <s v="CV4952F0       "/>
    <s v="CV4952F0 POWERLINE HAIR DRYER                     "/>
    <s v="S"/>
    <d v="2012-01-06T00:00:00"/>
    <m/>
    <s v="X"/>
    <x v="52"/>
    <n v="7.07"/>
    <n v="6144"/>
    <d v="2012-01-30T00:00:00"/>
    <d v="2012-01-02T00:00:00"/>
    <n v="3000"/>
    <d v="2012-01-02T00:00:00"/>
    <n v="3000"/>
    <m/>
    <d v="2012-01-02T00:00:00"/>
    <n v="3000"/>
    <d v="2012-01-30T00:00:00"/>
    <d v="2012-01-02T00:00:00"/>
    <n v="3000"/>
    <n v="3000"/>
    <x v="16"/>
    <d v="2012-01-31T00:00:00"/>
    <m/>
    <n v="9321658804"/>
    <n v="10"/>
    <s v="GSTU4775706"/>
    <s v="HANJIN AMSTERDAM/007"/>
    <m/>
    <s v="YANTIAN"/>
    <m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272/000010"/>
    <n v="1370147776"/>
    <n v="10"/>
    <x v="17"/>
    <x v="17"/>
    <s v="L4"/>
    <n v="1830003898"/>
    <n v="5"/>
    <s v="CV8655D0       "/>
    <s v="CV8655D0 HAIR DRYER AC MOTOR INIFINIPRO           "/>
    <s v="S"/>
    <d v="2012-01-07T00:00:00"/>
    <m/>
    <s v="X"/>
    <x v="52"/>
    <n v="13.22"/>
    <n v="492"/>
    <d v="2012-02-24T00:00:00"/>
    <d v="2012-01-06T00:00:00"/>
    <n v="3000"/>
    <d v="2012-01-06T00:00:00"/>
    <n v="3000"/>
    <m/>
    <d v="2012-01-06T00:00:00"/>
    <n v="3000"/>
    <d v="2012-02-23T00:00:00"/>
    <d v="2012-01-05T00:00:00"/>
    <n v="3000"/>
    <n v="3000"/>
    <x v="6"/>
    <d v="2012-02-23T00:00:00"/>
    <m/>
    <n v="9321658806"/>
    <n v="10"/>
    <s v="TCLU8651590"/>
    <s v="MOL MAXIM/010W"/>
    <m/>
    <s v="HONG KONG"/>
    <m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3/000070"/>
    <n v="1370149103"/>
    <n v="70"/>
    <x v="17"/>
    <x v="17"/>
    <s v="L4"/>
    <n v="1830003834"/>
    <n v="175"/>
    <s v="CF8212F0       "/>
    <s v="CF8212F0 HAIR BRUSH 1200W                         "/>
    <s v="S"/>
    <d v="2012-01-05T00:00:00"/>
    <m/>
    <s v="X"/>
    <x v="52"/>
    <n v="8.36"/>
    <n v="17"/>
    <d v="2012-02-06T00:00:00"/>
    <d v="2012-01-09T00:00:00"/>
    <n v="3006"/>
    <d v="2012-01-09T00:00:00"/>
    <n v="3006"/>
    <m/>
    <d v="2012-01-09T00:00:00"/>
    <n v="3006"/>
    <d v="2012-01-30T00:00:00"/>
    <d v="2012-01-02T00:00:00"/>
    <n v="3006"/>
    <n v="3006"/>
    <x v="16"/>
    <d v="2012-01-31T00:00:00"/>
    <m/>
    <n v="9321658807"/>
    <n v="10"/>
    <s v="UACU3435597"/>
    <s v="HANJIN AMSTERDAM/007"/>
    <m/>
    <s v="HONG KONG"/>
    <s v="CONS-SHIPT/waiting TP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6785/000010"/>
    <n v="1370149134"/>
    <n v="10"/>
    <x v="17"/>
    <x v="17"/>
    <s v="L4"/>
    <n v="1830003080"/>
    <n v="131"/>
    <s v="SF3012F4       "/>
    <s v="SF3012F4 ECO ELITE STRAIGHTENER                   "/>
    <s v="S"/>
    <d v="2012-01-06T00:00:00"/>
    <m/>
    <s v="X"/>
    <x v="52"/>
    <n v="7.42"/>
    <n v="260"/>
    <d v="2012-02-17T00:00:00"/>
    <d v="2011-12-30T00:00:00"/>
    <n v="3000"/>
    <d v="2011-12-30T00:00:00"/>
    <n v="3000"/>
    <m/>
    <d v="2011-12-30T00:00:00"/>
    <n v="3000"/>
    <d v="2012-02-21T00:00:00"/>
    <d v="2012-01-03T00:00:00"/>
    <n v="3000"/>
    <n v="3000"/>
    <x v="16"/>
    <d v="2012-02-21T00:00:00"/>
    <m/>
    <n v="9321658808"/>
    <n v="10"/>
    <s v="OOLU8174650"/>
    <s v="NYK VESTA/28W51"/>
    <m/>
    <s v="YANTIAN"/>
    <s v="CONS-SHIPT/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178/000010"/>
    <n v="1370149144"/>
    <n v="10"/>
    <x v="17"/>
    <x v="17"/>
    <s v="L4"/>
    <n v="1830003903"/>
    <n v="131"/>
    <s v="SF1035F0       "/>
    <s v="SF1035F0 INTERNATIONAL PROMO STRAIGHTENE          "/>
    <s v="S"/>
    <d v="2012-01-19T00:00:00"/>
    <m/>
    <s v="X"/>
    <x v="52"/>
    <n v="5.87"/>
    <n v="213"/>
    <d v="2012-02-24T00:00:00"/>
    <d v="2012-01-06T00:00:00"/>
    <n v="3000"/>
    <d v="2012-01-18T00:00:00"/>
    <n v="3000"/>
    <m/>
    <d v="2012-01-06T00:00:00"/>
    <n v="3000"/>
    <d v="2012-03-07T00:00:00"/>
    <d v="2012-01-18T00:00:00"/>
    <n v="3000"/>
    <n v="3000"/>
    <x v="21"/>
    <d v="2012-03-07T00:00:00"/>
    <m/>
    <n v="9321658809"/>
    <n v="10"/>
    <s v="OOLU8590317"/>
    <s v="OOCL CALIFORNIA/29W0"/>
    <m/>
    <s v="HONG KONG"/>
    <s v="CONS-SHIPT/"/>
    <m/>
    <s v="KENUS WONG"/>
    <s v="FO9"/>
    <s v="PERSONAL CARE                 "/>
    <s v="CONFIRMED"/>
    <n v="1"/>
    <n v="3"/>
    <d v="2012-01-18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6854/000010"/>
    <n v="1370149150"/>
    <n v="10"/>
    <x v="17"/>
    <x v="17"/>
    <s v="L4"/>
    <n v="1830003390"/>
    <n v="131"/>
    <s v="YD3027F0       "/>
    <s v="YD3027F0 ARTIST PROMO HAIR SET                    "/>
    <s v="S"/>
    <d v="2012-01-07T00:00:00"/>
    <m/>
    <s v="X"/>
    <x v="52"/>
    <n v="15.16"/>
    <n v="546"/>
    <d v="2012-02-17T00:00:00"/>
    <d v="2011-12-30T00:00:00"/>
    <n v="2892"/>
    <d v="2012-01-10T00:00:00"/>
    <n v="2892"/>
    <m/>
    <d v="2011-12-30T00:00:00"/>
    <n v="2892"/>
    <d v="2012-02-23T00:00:00"/>
    <d v="2012-01-05T00:00:00"/>
    <n v="2892"/>
    <n v="2892"/>
    <x v="6"/>
    <d v="2012-02-23T00:00:00"/>
    <m/>
    <n v="9321658810"/>
    <n v="10"/>
    <s v="TRLU6660478"/>
    <s v="MOL MAXIM/010W"/>
    <m/>
    <s v="YANTIAN"/>
    <s v="CONS-SHIPT/C-POST-CONF/"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0"/>
    <s v="CONS-SHIPT"/>
    <n v="-3"/>
    <n v="-3"/>
    <x v="8"/>
    <n v="2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167/000010"/>
    <n v="1370149183"/>
    <n v="10"/>
    <x v="17"/>
    <x v="17"/>
    <s v="L4"/>
    <n v="1830003834"/>
    <n v="175"/>
    <s v="CF8212F0       "/>
    <s v="CF8212F0 HAIR BRUSH 1200W                         "/>
    <s v="S"/>
    <d v="2012-01-07T00:00:00"/>
    <m/>
    <s v="X"/>
    <x v="52"/>
    <n v="8.36"/>
    <n v="300"/>
    <d v="2012-02-24T00:00:00"/>
    <d v="2012-01-06T00:00:00"/>
    <n v="3000"/>
    <d v="2012-01-06T00:00:00"/>
    <n v="3000"/>
    <m/>
    <d v="2012-01-06T00:00:00"/>
    <n v="3000"/>
    <d v="2012-02-23T00:00:00"/>
    <d v="2012-01-05T00:00:00"/>
    <n v="3000"/>
    <n v="3000"/>
    <x v="6"/>
    <d v="2012-02-23T00:00:00"/>
    <m/>
    <n v="9321658811"/>
    <n v="10"/>
    <s v="TRLU6660478"/>
    <s v="MOL MAXIM/010W"/>
    <m/>
    <s v="HONG KONG"/>
    <s v="CONS-SHIPT/"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6825/000010"/>
    <n v="1370149195"/>
    <n v="10"/>
    <x v="17"/>
    <x v="17"/>
    <s v="L4"/>
    <n v="1830003217"/>
    <n v="131"/>
    <s v="SF4412D4       "/>
    <s v="SF4412D4 LISS &amp; CURL STRAIGHTENER                 "/>
    <s v="S"/>
    <d v="2012-01-07T00:00:00"/>
    <m/>
    <s v="X"/>
    <x v="52"/>
    <n v="10.85"/>
    <n v="394"/>
    <d v="2012-02-24T00:00:00"/>
    <d v="2012-01-06T00:00:00"/>
    <n v="3300"/>
    <d v="2012-01-06T00:00:00"/>
    <n v="3300"/>
    <m/>
    <d v="2012-01-06T00:00:00"/>
    <n v="3300"/>
    <d v="2012-02-23T00:00:00"/>
    <d v="2012-01-05T00:00:00"/>
    <n v="3300"/>
    <n v="3300"/>
    <x v="6"/>
    <d v="2012-02-23T00:00:00"/>
    <m/>
    <n v="9321658812"/>
    <n v="10"/>
    <s v="TCLU8651590"/>
    <s v="MOL MAXIM/010W"/>
    <m/>
    <s v="YANTIAN"/>
    <m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0951/000010"/>
    <n v="1370147457"/>
    <n v="10"/>
    <x v="14"/>
    <x v="14"/>
    <s v="J2"/>
    <n v="1110030410"/>
    <n v="1"/>
    <s v="               "/>
    <s v="DX1400D1 STEAM IRON                               "/>
    <s v="S"/>
    <d v="2012-01-06T00:00:00"/>
    <m/>
    <s v="X"/>
    <x v="52"/>
    <n v="9.57"/>
    <n v="8"/>
    <d v="2012-01-23T00:00:00"/>
    <d v="2011-12-26T00:00:00"/>
    <n v="3450"/>
    <d v="2012-01-04T00:00:00"/>
    <n v="3450"/>
    <m/>
    <d v="2011-12-22T00:00:00"/>
    <n v="3450"/>
    <d v="2012-02-01T00:00:00"/>
    <d v="2012-01-04T00:00:00"/>
    <n v="3450"/>
    <n v="3450"/>
    <x v="2"/>
    <d v="2012-02-01T00:00:00"/>
    <m/>
    <n v="9321658813"/>
    <n v="10"/>
    <s v="PONU1651403"/>
    <s v="MAERSK SANTANA/1202"/>
    <m/>
    <s v="NINGBO"/>
    <s v="C-POST-CONF/"/>
    <m/>
    <s v="JASON FAN"/>
    <s v="FO9"/>
    <s v="LINEN CARE                    "/>
    <s v="CONFIRMED"/>
    <n v="1"/>
    <n v="1"/>
    <d v="2012-01-04T00:00:00"/>
    <s v="LINEN PERS HOME CARE          "/>
    <s v="LINEN CARE                    "/>
    <x v="6"/>
    <x v="2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1728/000010"/>
    <n v="1370147432"/>
    <n v="10"/>
    <x v="14"/>
    <x v="14"/>
    <s v="J4"/>
    <n v="1830003702"/>
    <n v="1"/>
    <s v="FV3770G0       "/>
    <s v="FV3770G0 STEAM IRON MAESTRO 70                    "/>
    <s v="S"/>
    <d v="2012-01-11T00:00:00"/>
    <m/>
    <s v="X"/>
    <x v="52"/>
    <n v="9.33"/>
    <n v="6"/>
    <d v="2012-02-13T00:00:00"/>
    <d v="2012-01-09T00:00:00"/>
    <n v="2592"/>
    <d v="2012-01-09T00:00:00"/>
    <n v="2592"/>
    <m/>
    <d v="2012-01-07T00:00:00"/>
    <n v="2592"/>
    <d v="2012-02-11T00:00:00"/>
    <d v="2012-01-07T00:00:00"/>
    <n v="2592"/>
    <n v="2592"/>
    <x v="23"/>
    <d v="2012-02-12T00:00:00"/>
    <m/>
    <n v="9321658814"/>
    <n v="10"/>
    <s v="GESU1397371"/>
    <s v="XIN SHANGHAI 0063W/"/>
    <m/>
    <s v="NINGBO"/>
    <m/>
    <m/>
    <s v="KENUS WONG"/>
    <s v="FO9"/>
    <s v="LINEN CARE                    "/>
    <s v="CONFIRMED"/>
    <n v="1"/>
    <n v="1"/>
    <d v="2012-01-08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0952/000010"/>
    <n v="1370147454"/>
    <n v="10"/>
    <x v="14"/>
    <x v="14"/>
    <s v="J2"/>
    <n v="1110030410"/>
    <n v="1"/>
    <s v="               "/>
    <s v="DX1400D1 STEAM IRON                               "/>
    <s v="S"/>
    <d v="2012-01-06T00:00:00"/>
    <m/>
    <s v="X"/>
    <x v="52"/>
    <n v="9.57"/>
    <n v="8"/>
    <d v="2012-01-30T00:00:00"/>
    <d v="2012-01-02T00:00:00"/>
    <n v="3450"/>
    <d v="2012-01-04T00:00:00"/>
    <n v="3450"/>
    <m/>
    <d v="2011-12-29T00:00:00"/>
    <n v="3450"/>
    <d v="2012-02-01T00:00:00"/>
    <d v="2012-01-04T00:00:00"/>
    <n v="3450"/>
    <n v="3450"/>
    <x v="2"/>
    <d v="2012-02-01T00:00:00"/>
    <m/>
    <n v="9321658815"/>
    <n v="10"/>
    <s v="PONU1651403"/>
    <s v="MAERSK SANTANA/1202"/>
    <m/>
    <s v="NINGBO"/>
    <s v="C-POST-CONF/"/>
    <m/>
    <s v="JASON FAN"/>
    <s v="FO9"/>
    <s v="LINEN CARE                    "/>
    <s v="CONFIRMED"/>
    <n v="1"/>
    <n v="1"/>
    <d v="2012-01-04T00:00:00"/>
    <s v="LINEN PERS HOME CARE          "/>
    <s v="LINEN CARE                    "/>
    <x v="6"/>
    <x v="2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1720/000010"/>
    <n v="1370147447"/>
    <n v="10"/>
    <x v="14"/>
    <x v="14"/>
    <s v="J4"/>
    <n v="1830003705"/>
    <n v="1"/>
    <s v="FV3760G0       "/>
    <s v="FV3760G0 STEAM IRON MAESTRO 60                    "/>
    <s v="S"/>
    <d v="2012-01-17T00:00:00"/>
    <m/>
    <s v="X"/>
    <x v="52"/>
    <n v="9.1199999999999992"/>
    <n v="6"/>
    <d v="2012-02-20T00:00:00"/>
    <d v="2012-01-16T00:00:00"/>
    <n v="2592"/>
    <d v="2012-01-16T00:00:00"/>
    <n v="2592"/>
    <m/>
    <d v="2012-01-14T00:00:00"/>
    <n v="2592"/>
    <d v="2012-02-18T00:00:00"/>
    <d v="2012-01-14T00:00:00"/>
    <n v="2592"/>
    <n v="2592"/>
    <x v="11"/>
    <d v="2012-02-19T00:00:00"/>
    <m/>
    <n v="9321658816"/>
    <n v="10"/>
    <s v="ECMU1118952"/>
    <s v="TIANJIN 0652W/"/>
    <m/>
    <s v="NINGBO"/>
    <m/>
    <m/>
    <s v="KENUS WONG"/>
    <s v="FO9"/>
    <s v="LINEN CARE                    "/>
    <s v="CONFIRMED"/>
    <n v="1"/>
    <n v="2"/>
    <d v="2012-01-15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1277/000010"/>
    <n v="1370147474"/>
    <n v="10"/>
    <x v="14"/>
    <x v="14"/>
    <s v="J4"/>
    <n v="1830003444"/>
    <n v="1"/>
    <s v="IM3170E0       "/>
    <s v="IM3170E0 STEAM  MAESTRO 70                        "/>
    <s v="S"/>
    <d v="2012-01-11T00:00:00"/>
    <m/>
    <s v="X"/>
    <x v="52"/>
    <n v="8.82"/>
    <n v="30"/>
    <d v="2012-02-13T00:00:00"/>
    <d v="2012-01-02T00:00:00"/>
    <n v="1680"/>
    <d v="2012-01-02T00:00:00"/>
    <n v="1680"/>
    <m/>
    <d v="2012-01-02T00:00:00"/>
    <n v="1680"/>
    <d v="2012-02-17T00:00:00"/>
    <d v="2012-01-06T00:00:00"/>
    <n v="1680"/>
    <n v="1680"/>
    <x v="23"/>
    <d v="2012-02-19T00:00:00"/>
    <m/>
    <n v="9321658817"/>
    <n v="10"/>
    <s v="APMU2849150"/>
    <s v="ELEONORA MAERSK 1202"/>
    <m/>
    <s v="NINGBO"/>
    <m/>
    <m/>
    <s v="KENUS WONG"/>
    <s v="FO9"/>
    <s v="LINEN CARE                    "/>
    <s v="CONFIRMED"/>
    <n v="1"/>
    <n v="1"/>
    <d v="2012-01-08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35/000001"/>
    <n v="1370148068"/>
    <n v="10"/>
    <x v="14"/>
    <x v="14"/>
    <s v="J2"/>
    <n v="1110020299"/>
    <n v="64"/>
    <s v="               "/>
    <s v="IS1430X1 STEAMER                                  "/>
    <s v="S"/>
    <d v="2012-01-05T00:00:00"/>
    <m/>
    <s v="X"/>
    <x v="52"/>
    <n v="15.57"/>
    <n v="223572"/>
    <d v="2012-02-10T00:00:00"/>
    <d v="2012-01-06T00:00:00"/>
    <n v="1120"/>
    <d v="2012-01-06T00:00:00"/>
    <n v="1120"/>
    <m/>
    <d v="2012-01-05T00:00:00"/>
    <n v="1120"/>
    <d v="2012-02-06T00:00:00"/>
    <d v="2012-01-02T00:00:00"/>
    <n v="1120"/>
    <n v="1120"/>
    <x v="16"/>
    <d v="2012-02-07T00:00:00"/>
    <m/>
    <n v="9321658818"/>
    <n v="10"/>
    <s v="SUDU7423317"/>
    <s v="MONTE ALEGRE 152E/"/>
    <m/>
    <s v="NINGBO"/>
    <m/>
    <m/>
    <s v="TWEETY LEUNG"/>
    <s v="FO9"/>
    <s v="LINEN CARE                    "/>
    <s v="CONFIRMED"/>
    <n v="1"/>
    <n v="1"/>
    <d v="2012-01-03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65/000010"/>
    <n v="1370148263"/>
    <n v="10"/>
    <x v="14"/>
    <x v="14"/>
    <s v="J4"/>
    <n v="1830003771"/>
    <n v="1"/>
    <s v="FV3756U0       "/>
    <s v="FV3756U0 STEAM IRON PRIMA 56                      "/>
    <s v="S"/>
    <d v="2012-01-10T00:00:00"/>
    <m/>
    <s v="X"/>
    <x v="52"/>
    <n v="10.53"/>
    <n v="11"/>
    <d v="2012-02-05T00:00:00"/>
    <d v="2012-01-01T00:00:00"/>
    <n v="3000"/>
    <d v="2012-01-01T00:00:00"/>
    <n v="3000"/>
    <m/>
    <d v="2012-01-06T00:00:00"/>
    <n v="3000"/>
    <d v="2012-02-10T00:00:00"/>
    <d v="2012-01-06T00:00:00"/>
    <n v="3000"/>
    <n v="3000"/>
    <x v="12"/>
    <d v="2012-02-11T00:00:00"/>
    <m/>
    <n v="9321658820"/>
    <n v="10"/>
    <s v="AMFU8681007"/>
    <s v="ARTHUR MAERSK/553S"/>
    <m/>
    <s v="NINGBO"/>
    <m/>
    <m/>
    <s v="TWEETY LEUNG"/>
    <s v="FO9"/>
    <s v="LINEN CARE                    "/>
    <s v="CONFIRMED"/>
    <n v="1"/>
    <n v="1"/>
    <d v="2012-01-07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66/000010"/>
    <n v="1370148269"/>
    <n v="10"/>
    <x v="14"/>
    <x v="14"/>
    <s v="J4"/>
    <n v="1830003771"/>
    <n v="1"/>
    <s v="FV3756U0       "/>
    <s v="FV3756U0 STEAM IRON PRIMA 56                      "/>
    <s v="S"/>
    <d v="2012-01-17T00:00:00"/>
    <m/>
    <s v="X"/>
    <x v="52"/>
    <n v="10.53"/>
    <n v="11"/>
    <d v="2012-02-21T00:00:00"/>
    <d v="2012-01-17T00:00:00"/>
    <n v="2895"/>
    <d v="2012-01-17T00:00:00"/>
    <n v="2895"/>
    <m/>
    <d v="2012-01-13T00:00:00"/>
    <n v="2895"/>
    <d v="2012-02-17T00:00:00"/>
    <d v="2012-01-13T00:00:00"/>
    <n v="2895"/>
    <n v="2895"/>
    <x v="9"/>
    <d v="2012-02-18T00:00:00"/>
    <m/>
    <n v="9321658821"/>
    <n v="10"/>
    <s v="GESU5142300"/>
    <s v="CMA CGM TANCREDI/US5"/>
    <m/>
    <s v="NINGBO"/>
    <m/>
    <m/>
    <s v="TWEETY LEUNG"/>
    <s v="FO9"/>
    <s v="LINEN CARE                    "/>
    <s v="CONFIRMED"/>
    <n v="1"/>
    <n v="2"/>
    <d v="2012-01-14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843/000010"/>
    <n v="1370147671"/>
    <n v="10"/>
    <x v="14"/>
    <x v="14"/>
    <s v="J4"/>
    <n v="1830003445"/>
    <n v="1"/>
    <s v="IM3140E0       "/>
    <s v="IM3140E0 STEAM IRON MAESTRO 40                    "/>
    <s v="S"/>
    <d v="2012-01-10T00:00:00"/>
    <m/>
    <s v="X"/>
    <x v="52"/>
    <n v="8.64"/>
    <n v="291"/>
    <d v="2012-02-24T00:00:00"/>
    <d v="2012-01-06T00:00:00"/>
    <n v="3360"/>
    <d v="2012-01-06T00:00:00"/>
    <n v="3360"/>
    <m/>
    <d v="2012-01-07T00:00:00"/>
    <n v="3360"/>
    <d v="2012-02-24T00:00:00"/>
    <d v="2012-01-06T00:00:00"/>
    <n v="3360"/>
    <n v="3360"/>
    <x v="7"/>
    <d v="2012-02-24T00:00:00"/>
    <m/>
    <n v="9321658822"/>
    <n v="10"/>
    <s v="MRKU7508580"/>
    <s v="ELEONORA MAERSK/1202"/>
    <m/>
    <s v="NINGBO"/>
    <m/>
    <m/>
    <s v="KENUS WONG"/>
    <s v="FO9"/>
    <s v="LINEN CARE                    "/>
    <s v="CONFIRMED"/>
    <n v="1"/>
    <n v="1"/>
    <d v="2012-01-06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8/000001"/>
    <n v="1370147892"/>
    <n v="10"/>
    <x v="14"/>
    <x v="14"/>
    <s v="J4"/>
    <n v="1830003814"/>
    <n v="2"/>
    <s v="FS1540K0*      "/>
    <s v="FS1540K0 DRY IRON PLASTIC DURILIUM                "/>
    <s v="S"/>
    <d v="2012-01-06T00:00:00"/>
    <m/>
    <s v="X"/>
    <x v="52"/>
    <n v="7.17"/>
    <n v="6"/>
    <d v="2012-01-17T00:00:00"/>
    <d v="2012-01-03T00:00:00"/>
    <n v="3024"/>
    <d v="2012-01-03T00:00:00"/>
    <n v="3024"/>
    <m/>
    <d v="2012-01-03T00:00:00"/>
    <n v="3024"/>
    <d v="2012-01-18T00:00:00"/>
    <d v="2012-01-04T00:00:00"/>
    <n v="3024"/>
    <n v="3024"/>
    <x v="6"/>
    <d v="2012-01-19T00:00:00"/>
    <m/>
    <n v="9321658823"/>
    <n v="10"/>
    <s v="CMBU2339633"/>
    <s v="STAR MARINER/190E"/>
    <m/>
    <s v="NINGBO"/>
    <m/>
    <m/>
    <s v="AGNES NUNES"/>
    <s v="FO9"/>
    <s v="LINEN CARE                    "/>
    <s v="CONFIRMED"/>
    <n v="1"/>
    <n v="1"/>
    <d v="2012-01-05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65/039735"/>
    <n v="1370149092"/>
    <n v="10"/>
    <x v="14"/>
    <x v="14"/>
    <s v="J4"/>
    <n v="1830003707"/>
    <n v="1"/>
    <s v="IM1150I0       "/>
    <s v="IM1150I0 STEAM IRON CALORE 2                      "/>
    <s v="S"/>
    <d v="2012-01-19T00:00:00"/>
    <m/>
    <s v="X"/>
    <x v="52"/>
    <n v="4.6900000000000004"/>
    <n v="5"/>
    <d v="2012-02-17T00:00:00"/>
    <d v="2012-01-13T00:00:00"/>
    <n v="5394"/>
    <d v="2012-01-19T00:00:00"/>
    <n v="5394"/>
    <m/>
    <d v="2012-01-12T00:00:00"/>
    <n v="5394"/>
    <d v="2012-02-21T00:00:00"/>
    <d v="2012-01-17T00:00:00"/>
    <n v="5394"/>
    <n v="5394"/>
    <x v="21"/>
    <d v="2012-02-22T00:00:00"/>
    <m/>
    <n v="9321658830"/>
    <n v="10"/>
    <s v="SUDU6571916"/>
    <s v="MONTE SARMIENTO 202E"/>
    <m/>
    <s v="NINGBO"/>
    <s v="C-PULLIN-CONF/SP-OVERCAP/"/>
    <m/>
    <s v="THOMAS HO"/>
    <s v="FO9"/>
    <s v="LINEN CARE                    "/>
    <s v="CONFIRMED"/>
    <n v="1"/>
    <n v="3"/>
    <d v="2012-01-18T00:00:00"/>
    <s v="LINEN PERS HOME CARE          "/>
    <s v="LINEN CARE                    "/>
    <x v="6"/>
    <x v="2"/>
    <x v="11"/>
    <s v="SP-OVERCAP"/>
    <n v="-3"/>
    <n v="-3"/>
    <x v="9"/>
    <n v="2"/>
    <x v="0"/>
    <x v="1"/>
    <x v="0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65/039736"/>
    <n v="1370149092"/>
    <n v="20"/>
    <x v="14"/>
    <x v="14"/>
    <s v="J4"/>
    <n v="1830003706"/>
    <n v="1"/>
    <s v="IM1140I0       "/>
    <s v="IM1140I0 STEAM IRON CALORE 1                      "/>
    <s v="S"/>
    <d v="2012-01-19T00:00:00"/>
    <m/>
    <s v="X"/>
    <x v="52"/>
    <n v="4.6900000000000004"/>
    <n v="5"/>
    <d v="2012-02-17T00:00:00"/>
    <d v="2012-01-13T00:00:00"/>
    <n v="5394"/>
    <d v="2012-01-19T00:00:00"/>
    <n v="5394"/>
    <m/>
    <d v="2012-01-12T00:00:00"/>
    <n v="5394"/>
    <d v="2012-02-21T00:00:00"/>
    <d v="2012-01-17T00:00:00"/>
    <n v="5394"/>
    <n v="5394"/>
    <x v="21"/>
    <d v="2012-02-22T00:00:00"/>
    <m/>
    <n v="9321658830"/>
    <n v="20"/>
    <s v="SUDU6571916"/>
    <s v="MONTE SARMIENTO 202E"/>
    <m/>
    <s v="NINGBO"/>
    <s v="C-PULLIN-CONF/SP-OVERCAP/"/>
    <m/>
    <s v="THOMAS HO"/>
    <s v="FO9"/>
    <s v="LINEN CARE                    "/>
    <s v="CONFIRMED"/>
    <n v="1"/>
    <n v="3"/>
    <d v="2012-01-18T00:00:00"/>
    <s v="LINEN PERS HOME CARE          "/>
    <s v="LINEN CARE                    "/>
    <x v="6"/>
    <x v="2"/>
    <x v="11"/>
    <s v="SP-OVERCAP"/>
    <n v="-3"/>
    <n v="-3"/>
    <x v="9"/>
    <n v="2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93/000010"/>
    <n v="1370148225"/>
    <n v="10"/>
    <x v="74"/>
    <x v="74"/>
    <s v="A3"/>
    <n v="2100056043"/>
    <n v="211"/>
    <s v="E9429764       "/>
    <s v="E9429764 T-FAL 18X10 RECT REV CAST IRON           "/>
    <s v="S"/>
    <d v="2012-01-07T00:00:00"/>
    <m/>
    <s v="X"/>
    <x v="52"/>
    <n v="13"/>
    <n v="16"/>
    <d v="2012-02-15T00:00:00"/>
    <d v="2012-01-11T00:00:00"/>
    <n v="1000"/>
    <d v="2012-01-11T00:00:00"/>
    <n v="1000"/>
    <m/>
    <d v="2012-01-07T00:00:00"/>
    <n v="1000"/>
    <d v="2012-02-11T00:00:00"/>
    <d v="2012-01-07T00:00:00"/>
    <n v="1000"/>
    <n v="1000"/>
    <x v="12"/>
    <d v="2012-02-11T00:00:00"/>
    <m/>
    <n v="9321658831"/>
    <n v="10"/>
    <s v="TRLU6814260"/>
    <s v="HANJIN KAOHSIUNG/017"/>
    <m/>
    <s v="XINGANG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554/000010"/>
    <n v="1370148449"/>
    <n v="10"/>
    <x v="6"/>
    <x v="6"/>
    <s v="K9"/>
    <n v="8000033779"/>
    <n v="29"/>
    <s v="ES320030       "/>
    <s v="ES320030 ESP OPIO GRE/SS RU                       "/>
    <s v="S"/>
    <d v="2012-01-16T00:00:00"/>
    <m/>
    <s v="X"/>
    <x v="52"/>
    <n v="39.28"/>
    <n v="9929"/>
    <d v="2012-01-30T00:00:00"/>
    <d v="2011-12-26T00:00:00"/>
    <n v="1020"/>
    <d v="2012-01-10T00:00:00"/>
    <n v="1020"/>
    <m/>
    <d v="2011-12-31T00:00:00"/>
    <n v="1020"/>
    <d v="2012-02-14T00:00:00"/>
    <d v="2012-01-10T00:00:00"/>
    <n v="1020"/>
    <n v="1020"/>
    <x v="17"/>
    <d v="2012-02-15T00:00:00"/>
    <m/>
    <n v="9321658832"/>
    <n v="10"/>
    <s v="MRKU8169264"/>
    <s v="WANGFOONG 3/2023"/>
    <m/>
    <s v="ZHUHAI"/>
    <s v="C-POST-CONF/"/>
    <m/>
    <s v="KENUS WONG"/>
    <s v="FO9"/>
    <s v="BEVERAGE                      "/>
    <s v="CONFIRMED"/>
    <n v="1"/>
    <n v="2"/>
    <d v="2012-01-11T00:00:00"/>
    <s v="KITCHEN ELECTRICS             "/>
    <s v="BREAKFAST &amp; BREVAGE PREP      "/>
    <x v="2"/>
    <x v="1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6829/000010"/>
    <n v="1370148936"/>
    <n v="10"/>
    <x v="6"/>
    <x v="6"/>
    <s v="N3"/>
    <n v="1500577908"/>
    <n v="53"/>
    <n v="577908"/>
    <s v="OF265830 OVEN DELICE CV 24L BLK ES/IT             "/>
    <s v="S"/>
    <d v="2012-01-18T00:00:00"/>
    <m/>
    <s v="X"/>
    <x v="52"/>
    <n v="47.88"/>
    <n v="42"/>
    <d v="2012-01-23T00:00:00"/>
    <d v="2011-12-26T00:00:00"/>
    <n v="516"/>
    <d v="2012-01-03T00:00:00"/>
    <n v="516"/>
    <m/>
    <d v="2011-12-31T00:00:00"/>
    <n v="516"/>
    <d v="2012-01-31T00:00:00"/>
    <d v="2012-01-03T00:00:00"/>
    <n v="516"/>
    <n v="516"/>
    <x v="2"/>
    <d v="2012-02-01T00:00:00"/>
    <m/>
    <n v="9321658833"/>
    <n v="10"/>
    <s v="MAEU6339560"/>
    <s v="WANGFOONG 18 / 2013"/>
    <m/>
    <s v="ZHUHAI"/>
    <s v="C-POST-CONF/FORWARDER LATE DOC"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2"/>
    <x v="1"/>
    <x v="3"/>
    <s v="C-POST-CONF"/>
    <n v="-3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2/000040"/>
    <n v="1370149104"/>
    <n v="40"/>
    <x v="6"/>
    <x v="6"/>
    <s v="N3"/>
    <n v="1500577908"/>
    <n v="53"/>
    <n v="577908"/>
    <s v="OF265830 OVEN DELICE CV 24L BLK ES/IT             "/>
    <s v="S"/>
    <d v="2012-01-10T00:00:00"/>
    <m/>
    <s v="X"/>
    <x v="52"/>
    <n v="47.88"/>
    <n v="7"/>
    <d v="2012-02-06T00:00:00"/>
    <d v="2012-01-09T00:00:00"/>
    <n v="516"/>
    <d v="2012-01-09T00:00:00"/>
    <n v="516"/>
    <m/>
    <d v="2012-01-04T00:00:00"/>
    <n v="516"/>
    <d v="2012-02-01T00:00:00"/>
    <d v="2012-01-04T00:00:00"/>
    <n v="516"/>
    <n v="516"/>
    <x v="12"/>
    <d v="2012-02-04T00:00:00"/>
    <m/>
    <n v="9321658834"/>
    <n v="10"/>
    <s v="UACU8126348"/>
    <s v="JIN LONG 389/120107S"/>
    <m/>
    <s v="ZHUHAI"/>
    <m/>
    <m/>
    <s v="JASON FAN"/>
    <s v="FO9"/>
    <s v="ELECTRICAL COOKING            "/>
    <s v="CONFIRMED"/>
    <n v="1"/>
    <n v="1"/>
    <d v="2012-01-07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649/000010"/>
    <n v="1370149289"/>
    <n v="10"/>
    <x v="6"/>
    <x v="6"/>
    <s v="N3"/>
    <n v="1500577904"/>
    <n v="53"/>
    <n v="577904"/>
    <s v="OF265800 OVEN DELICE COMP.CONV 24L BLK F          "/>
    <s v="S"/>
    <d v="2012-01-10T00:00:00"/>
    <m/>
    <s v="X"/>
    <x v="52"/>
    <n v="47.67"/>
    <n v="42"/>
    <d v="2012-02-03T00:00:00"/>
    <d v="2011-12-30T00:00:00"/>
    <n v="550"/>
    <d v="2012-01-04T00:00:00"/>
    <n v="550"/>
    <m/>
    <d v="2011-12-31T00:00:00"/>
    <n v="550"/>
    <d v="2012-02-08T00:00:00"/>
    <d v="2012-01-04T00:00:00"/>
    <n v="550"/>
    <n v="550"/>
    <x v="7"/>
    <d v="2012-02-10T00:00:00"/>
    <m/>
    <n v="9321658836"/>
    <n v="10"/>
    <s v="CAIU8672195"/>
    <s v="APL PORTUGAL/002W"/>
    <m/>
    <s v="ZHUHAI"/>
    <s v="C-POST-CONF/LATE DOC FROM FORWARDER"/>
    <m/>
    <s v="JASON FAN"/>
    <s v="FO9"/>
    <s v="ELECTRICAL COOKING            "/>
    <s v="CONFIRMED"/>
    <n v="1"/>
    <n v="1"/>
    <d v="2012-01-06T00:00:00"/>
    <s v="KITCHEN ELECTRICS             "/>
    <s v="ELECTRICAL COOKING            "/>
    <x v="2"/>
    <x v="1"/>
    <x v="3"/>
    <s v="C-POST-CONF"/>
    <n v="-3"/>
    <n v="-3"/>
    <x v="0"/>
    <n v="2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650/000010"/>
    <n v="1370149299"/>
    <n v="10"/>
    <x v="6"/>
    <x v="6"/>
    <s v="N3"/>
    <n v="1500577904"/>
    <n v="53"/>
    <n v="577904"/>
    <s v="OF265800 OVEN DELICE COMP.CONV 24L BLK F          "/>
    <s v="S"/>
    <d v="2012-01-11T00:00:00"/>
    <m/>
    <s v="X"/>
    <x v="52"/>
    <n v="47.67"/>
    <n v="42"/>
    <d v="2012-02-03T00:00:00"/>
    <d v="2011-12-30T00:00:00"/>
    <n v="550"/>
    <d v="2011-12-30T00:00:00"/>
    <n v="550"/>
    <m/>
    <d v="2011-12-31T00:00:00"/>
    <n v="550"/>
    <d v="2012-02-03T00:00:00"/>
    <d v="2011-12-30T00:00:00"/>
    <n v="550"/>
    <n v="550"/>
    <x v="16"/>
    <d v="2012-02-07T00:00:00"/>
    <m/>
    <n v="9321658837"/>
    <n v="10"/>
    <s v="TGHU6160678"/>
    <s v="JIA HANG 968/002/011"/>
    <m/>
    <s v="ZHUHAI"/>
    <s v="LATE DOC FROM FORWARDER"/>
    <m/>
    <s v="JASON FAN"/>
    <s v="FO9"/>
    <s v="ELECTRICAL COOKING            "/>
    <s v="CONFIRMED"/>
    <n v="1"/>
    <n v="1"/>
    <d v="2012-01-03T00:00:00"/>
    <s v="KITCHEN ELECTRICS             "/>
    <s v="ELECTRICAL COOKING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634/000010"/>
    <n v="1370149315"/>
    <n v="10"/>
    <x v="6"/>
    <x v="6"/>
    <s v="N3"/>
    <n v="1500577902"/>
    <n v="53"/>
    <n v="577902"/>
    <s v="OF245800 OVEN DELICE COMP.CONV +LIGHT 18          "/>
    <s v="S"/>
    <d v="2012-01-10T00:00:00"/>
    <m/>
    <s v="X"/>
    <x v="52"/>
    <n v="39.75"/>
    <n v="35"/>
    <d v="2012-02-03T00:00:00"/>
    <d v="2011-12-30T00:00:00"/>
    <n v="600"/>
    <d v="2012-01-04T00:00:00"/>
    <n v="600"/>
    <m/>
    <d v="2011-12-31T00:00:00"/>
    <n v="600"/>
    <d v="2012-02-08T00:00:00"/>
    <d v="2012-01-04T00:00:00"/>
    <n v="600"/>
    <n v="600"/>
    <x v="12"/>
    <d v="2012-02-11T00:00:00"/>
    <m/>
    <n v="9321658838"/>
    <n v="10"/>
    <s v="OOLU7252721"/>
    <s v="ZHONG HANG 930/***"/>
    <m/>
    <s v="ZHUHAI"/>
    <s v="C-POST-NEG"/>
    <m/>
    <s v="JASON FAN"/>
    <s v="FO9"/>
    <s v="ELECTRICAL COOKING            "/>
    <s v="CONFIRMED"/>
    <n v="1"/>
    <n v="1"/>
    <d v="2012-01-07T00:00:00"/>
    <s v="KITCHEN ELECTRICS             "/>
    <s v="ELECTRICAL COOKING            "/>
    <x v="2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651/000010"/>
    <n v="1370149316"/>
    <n v="10"/>
    <x v="6"/>
    <x v="6"/>
    <s v="N3"/>
    <n v="1500577904"/>
    <n v="53"/>
    <n v="577904"/>
    <s v="OF265800 OVEN DELICE COMP.CONV 24L BLK F          "/>
    <s v="S"/>
    <d v="2012-01-11T00:00:00"/>
    <m/>
    <s v="X"/>
    <x v="52"/>
    <n v="47.67"/>
    <n v="42"/>
    <d v="2012-02-03T00:00:00"/>
    <d v="2011-12-30T00:00:00"/>
    <n v="550"/>
    <d v="2011-12-30T00:00:00"/>
    <n v="550"/>
    <m/>
    <d v="2011-12-31T00:00:00"/>
    <n v="550"/>
    <d v="2012-02-03T00:00:00"/>
    <d v="2011-12-30T00:00:00"/>
    <n v="550"/>
    <n v="550"/>
    <x v="16"/>
    <d v="2012-02-07T00:00:00"/>
    <m/>
    <n v="9321658839"/>
    <n v="10"/>
    <s v="CRXU9292766"/>
    <s v="JIA HANG 968/002/011"/>
    <m/>
    <s v="ZHUHAI"/>
    <s v="LATE DOC FROM FORWARDER"/>
    <m/>
    <s v="JASON FAN"/>
    <s v="FO9"/>
    <s v="ELECTRICAL COOKING            "/>
    <s v="CONFIRMED"/>
    <n v="1"/>
    <n v="1"/>
    <d v="2012-01-03T00:00:00"/>
    <s v="KITCHEN ELECTRICS             "/>
    <s v="ELECTRICAL COOKING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436/000010"/>
    <n v="1370148064"/>
    <n v="10"/>
    <x v="43"/>
    <x v="43"/>
    <s v="N3"/>
    <n v="1500576660"/>
    <n v="116"/>
    <n v="576660"/>
    <s v="OW110131 BMK HOME BREAD PROMO 900G WHT P          "/>
    <s v="S"/>
    <d v="2012-01-30T00:00:00"/>
    <m/>
    <s v="X"/>
    <x v="52"/>
    <n v="33.01"/>
    <n v="8131"/>
    <d v="2012-01-30T00:00:00"/>
    <d v="2011-12-26T00:00:00"/>
    <n v="1217"/>
    <d v="2012-02-23T00:00:00"/>
    <n v="1217"/>
    <m/>
    <d v="2012-02-24T00:00:00"/>
    <n v="1217"/>
    <d v="2012-02-23T00:00:00"/>
    <d v="2012-01-19T00:00:00"/>
    <n v="1217"/>
    <n v="1217"/>
    <x v="15"/>
    <d v="2012-03-01T00:00:00"/>
    <m/>
    <n v="9321658840"/>
    <n v="10"/>
    <s v="MSKU6115980"/>
    <s v="SAFMARINE NIMBA/1203"/>
    <m/>
    <s v="YANTIAN"/>
    <s v="SP-NO-FORECAST/SP-OVERCAP/"/>
    <m/>
    <s v="KENUS WONG"/>
    <s v="FO9"/>
    <s v="ELECTRICAL COOKING            "/>
    <s v="CONFIRMED"/>
    <n v="1"/>
    <n v="4"/>
    <d v="2012-01-26T00:00:00"/>
    <s v="KITCHEN ELECTRICS             "/>
    <s v="ELECTRICAL COOKING            "/>
    <x v="1"/>
    <x v="1"/>
    <x v="14"/>
    <s v="SP-NO-FORECAST"/>
    <n v="-3"/>
    <n v="-3"/>
    <x v="15"/>
    <n v="2"/>
    <x v="0"/>
    <x v="0"/>
    <x v="1"/>
    <n v="1"/>
    <n v="0"/>
    <n v="0"/>
    <n v="0"/>
    <n v="0"/>
    <n v="0"/>
    <x v="0"/>
    <x v="1"/>
    <x v="1"/>
    <x v="0"/>
  </r>
  <r>
    <s v="Shipment"/>
    <n v="99103498"/>
    <s v="GSE/DSV BLP WAREHOUSE YANTIAN                     "/>
    <n v="99005151"/>
    <x v="18"/>
    <s v="9321654485/000010"/>
    <n v="1370148547"/>
    <n v="10"/>
    <x v="43"/>
    <x v="43"/>
    <s v="R9"/>
    <n v="1500576632"/>
    <n v="23"/>
    <n v="576632"/>
    <s v="TT550070 TOAS T''N EGG                            "/>
    <s v="S"/>
    <d v="2012-01-11T00:00:00"/>
    <m/>
    <s v="X"/>
    <x v="52"/>
    <n v="16.45"/>
    <n v="18"/>
    <d v="2012-01-09T00:00:00"/>
    <d v="2012-01-08T00:00:00"/>
    <n v="1350"/>
    <d v="2012-01-08T00:00:00"/>
    <n v="1350"/>
    <m/>
    <d v="2012-01-15T00:00:00"/>
    <n v="1350"/>
    <d v="2012-01-16T00:00:00"/>
    <d v="2012-01-15T00:00:00"/>
    <n v="1350"/>
    <n v="1350"/>
    <x v="10"/>
    <d v="2012-01-13T00:00:00"/>
    <m/>
    <n v="9321658841"/>
    <n v="10"/>
    <s v="BY TRUCK"/>
    <s v="BY TRUCK"/>
    <m/>
    <s v="YANTIAN"/>
    <s v="UNLOAD JAN12 2012"/>
    <m/>
    <s v="ZANDRA LAM"/>
    <s v="FO9"/>
    <s v="BEVERAGE                      "/>
    <s v="CONFIRMED"/>
    <n v="1"/>
    <n v="2"/>
    <d v="2012-01-12T00:00:00"/>
    <s v="KITCHEN ELECTRICS             "/>
    <s v="BREAKFAST &amp; BREVAGE PREP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32/000001"/>
    <n v="1370148075"/>
    <n v="10"/>
    <x v="51"/>
    <x v="51"/>
    <s v="J2"/>
    <n v="1110030070"/>
    <n v="64"/>
    <s v="               "/>
    <s v="IS9050Q1 STEAMER                                  "/>
    <s v="S"/>
    <d v="2012-01-17T00:00:00"/>
    <m/>
    <s v="X"/>
    <x v="52"/>
    <n v="32.299999999999997"/>
    <n v="496"/>
    <d v="2012-02-10T00:00:00"/>
    <d v="2012-01-06T00:00:00"/>
    <n v="350"/>
    <d v="2012-01-06T00:00:00"/>
    <n v="344"/>
    <m/>
    <d v="2012-01-13T00:00:00"/>
    <n v="350"/>
    <d v="2012-02-17T00:00:00"/>
    <d v="2012-01-13T00:00:00"/>
    <n v="344"/>
    <n v="344"/>
    <x v="24"/>
    <d v="2012-02-17T00:00:00"/>
    <m/>
    <n v="9321658843"/>
    <n v="10"/>
    <s v="SUDU6654100"/>
    <s v="MONTE SARMIENTO 202E"/>
    <m/>
    <s v="YANTIAN"/>
    <m/>
    <m/>
    <s v="TWEETY LEUNG"/>
    <s v="FO9"/>
    <s v="LINEN CARE                    "/>
    <s v="CONFIRMED"/>
    <n v="1"/>
    <n v="2"/>
    <d v="2012-01-13T00:00:00"/>
    <s v="LINEN PERS HOME CARE          "/>
    <s v="LINEN CARE  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33/000001"/>
    <n v="1370148084"/>
    <n v="10"/>
    <x v="51"/>
    <x v="51"/>
    <s v="J2"/>
    <n v="1110030054"/>
    <n v="64"/>
    <s v="$IS9100Q1      "/>
    <s v="IS9100Q1 STEAMER                                  "/>
    <s v="S"/>
    <d v="2012-01-17T00:00:00"/>
    <m/>
    <s v="X"/>
    <x v="52"/>
    <n v="35.71"/>
    <n v="546"/>
    <d v="2012-02-10T00:00:00"/>
    <d v="2012-01-06T00:00:00"/>
    <n v="350"/>
    <d v="2012-01-06T00:00:00"/>
    <n v="350"/>
    <m/>
    <d v="2012-01-13T00:00:00"/>
    <n v="350"/>
    <d v="2012-02-17T00:00:00"/>
    <d v="2012-01-13T00:00:00"/>
    <n v="350"/>
    <n v="350"/>
    <x v="24"/>
    <d v="2012-02-17T00:00:00"/>
    <m/>
    <n v="9321658844"/>
    <n v="10"/>
    <s v="SUDU6654100"/>
    <s v="MONTE SARMIENTO 202E"/>
    <m/>
    <s v="YANTIAN"/>
    <m/>
    <m/>
    <s v="TWEETY LEUNG"/>
    <s v="FO9"/>
    <s v="LINEN CARE                    "/>
    <s v="CONFIRMED"/>
    <n v="1"/>
    <n v="2"/>
    <d v="2012-01-13T00:00:00"/>
    <s v="LINEN PERS HOME CARE          "/>
    <s v="LINEN CARE  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995/000010"/>
    <n v="1370148445"/>
    <n v="10"/>
    <x v="75"/>
    <x v="75"/>
    <s v="A9"/>
    <n v="8900482104"/>
    <n v="233"/>
    <n v="14425650324"/>
    <s v="014425650324 SERVIZIO PZ.24/6  TERMOF.LU          "/>
    <s v="S"/>
    <d v="2012-02-01T00:00:00"/>
    <m/>
    <s v="X"/>
    <x v="52"/>
    <n v="20.100000000000001"/>
    <n v="18"/>
    <d v="2012-02-29T00:00:00"/>
    <d v="2012-02-01T00:00:00"/>
    <n v="1000"/>
    <d v="2012-01-23T00:00:00"/>
    <n v="1000"/>
    <m/>
    <d v="2012-02-01T00:00:00"/>
    <n v="1000"/>
    <d v="2012-02-20T00:00:00"/>
    <d v="2012-01-23T00:00:00"/>
    <n v="1000"/>
    <n v="1000"/>
    <x v="28"/>
    <d v="2012-02-27T00:00:00"/>
    <m/>
    <n v="9321658849"/>
    <n v="10"/>
    <s v="GATU4348605"/>
    <s v="HANJIN BERLIN/0116W"/>
    <m/>
    <s v="YANTIAN"/>
    <m/>
    <m/>
    <s v="AGNES NUNES"/>
    <s v="FO9"/>
    <s v="COOKWARE                      "/>
    <s v="CONFIRMED"/>
    <n v="1"/>
    <n v="5"/>
    <d v="2012-01-30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2/000030"/>
    <n v="1370149104"/>
    <n v="30"/>
    <x v="44"/>
    <x v="44"/>
    <s v="P1"/>
    <n v="1500817090"/>
    <n v="25"/>
    <n v="817090"/>
    <s v="DJAA42 KNF SECALIO WHT FR                         "/>
    <s v="S"/>
    <d v="2012-01-10T00:00:00"/>
    <m/>
    <s v="X"/>
    <x v="52"/>
    <n v="7.17"/>
    <n v="7"/>
    <d v="2012-02-06T00:00:00"/>
    <d v="2012-01-09T00:00:00"/>
    <n v="1152"/>
    <d v="2012-01-09T00:00:00"/>
    <n v="1152"/>
    <m/>
    <d v="2012-01-09T00:00:00"/>
    <n v="1152"/>
    <d v="2012-02-06T00:00:00"/>
    <d v="2012-01-09T00:00:00"/>
    <n v="1152"/>
    <n v="1152"/>
    <x v="0"/>
    <d v="2012-02-06T00:00:00"/>
    <m/>
    <n v="9321658855"/>
    <n v="10"/>
    <s v="TTNU5049629"/>
    <s v="HANJIN BRUSSELS/0070"/>
    <m/>
    <s v="SHENZHEN"/>
    <m/>
    <m/>
    <s v="JASON FAN"/>
    <s v="FO9"/>
    <s v="FOOD PREPARATION              "/>
    <s v="CONFIRMED"/>
    <n v="1"/>
    <n v="2"/>
    <d v="2012-01-09T00:00:00"/>
    <s v="KITCHEN ELECTRICS             "/>
    <s v="FOOD PREPARATION  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2/000050"/>
    <n v="1370149104"/>
    <n v="50"/>
    <x v="44"/>
    <x v="44"/>
    <s v="P1"/>
    <n v="1500814332"/>
    <n v="106"/>
    <n v="814332"/>
    <s v="HM412131 HMX/STAND PREP'LINE 450W WHT IT          "/>
    <s v="S"/>
    <d v="2012-01-16T00:00:00"/>
    <m/>
    <s v="X"/>
    <x v="52"/>
    <n v="15.01"/>
    <n v="7"/>
    <d v="2012-02-06T00:00:00"/>
    <d v="2012-01-09T00:00:00"/>
    <n v="1400"/>
    <d v="2012-01-09T00:00:00"/>
    <n v="1400"/>
    <m/>
    <d v="2012-01-09T00:00:00"/>
    <n v="1400"/>
    <d v="2012-02-09T00:00:00"/>
    <d v="2012-01-12T00:00:00"/>
    <n v="1400"/>
    <n v="1400"/>
    <x v="24"/>
    <d v="2012-02-10T00:00:00"/>
    <m/>
    <n v="9321658855"/>
    <n v="20"/>
    <s v="OOLU8154967"/>
    <s v="BUSAN EXPRESS"/>
    <m/>
    <s v="YANTIAN"/>
    <s v="SAILING-SCHED-UPDATE/"/>
    <m/>
    <s v="JASON FAN"/>
    <s v="FO9"/>
    <s v="FOOD PREPARATION              "/>
    <s v="CONFIRMED"/>
    <n v="1"/>
    <n v="2"/>
    <d v="2012-01-13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2/000060"/>
    <n v="1370149104"/>
    <n v="60"/>
    <x v="44"/>
    <x v="44"/>
    <s v="P1"/>
    <n v="1500814132"/>
    <n v="106"/>
    <n v="814132"/>
    <s v="HM410131 HMX PREP'LINE 450W WHT/GRE IT            "/>
    <s v="S"/>
    <d v="2012-01-10T00:00:00"/>
    <m/>
    <s v="X"/>
    <x v="52"/>
    <n v="10.78"/>
    <n v="7"/>
    <d v="2012-02-06T00:00:00"/>
    <d v="2012-01-09T00:00:00"/>
    <n v="2004"/>
    <d v="2012-01-09T00:00:00"/>
    <n v="2004"/>
    <m/>
    <d v="2012-01-09T00:00:00"/>
    <n v="2004"/>
    <d v="2012-02-06T00:00:00"/>
    <d v="2012-01-09T00:00:00"/>
    <n v="2004"/>
    <n v="2004"/>
    <x v="0"/>
    <d v="2012-02-06T00:00:00"/>
    <m/>
    <n v="9321658855"/>
    <n v="30"/>
    <s v="TTNU5049629"/>
    <s v="HANJIN BRUSSELS/0070"/>
    <m/>
    <s v="YANTIAN"/>
    <m/>
    <m/>
    <s v="JASON FAN"/>
    <s v="FO9"/>
    <s v="FOOD PREPARATION              "/>
    <s v="CONFIRMED"/>
    <n v="1"/>
    <n v="2"/>
    <d v="2012-01-09T00:00:00"/>
    <s v="KITCHEN ELECTRICS             "/>
    <s v="FOOD PREPARATION  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2/000120"/>
    <n v="1370149104"/>
    <n v="120"/>
    <x v="44"/>
    <x v="44"/>
    <s v="P1"/>
    <n v="1500833645"/>
    <n v="105"/>
    <n v="833645"/>
    <s v="JU200045 JUI VITAE WHT/YEL ES                     "/>
    <s v="S"/>
    <d v="2012-01-16T00:00:00"/>
    <m/>
    <s v="X"/>
    <x v="52"/>
    <n v="12.7"/>
    <n v="7"/>
    <d v="2012-02-06T00:00:00"/>
    <d v="2012-01-09T00:00:00"/>
    <n v="2320"/>
    <d v="2012-01-09T00:00:00"/>
    <n v="2320"/>
    <m/>
    <d v="2012-01-09T00:00:00"/>
    <n v="2320"/>
    <d v="2012-02-09T00:00:00"/>
    <d v="2012-01-12T00:00:00"/>
    <n v="2320"/>
    <n v="2320"/>
    <x v="24"/>
    <d v="2012-02-10T00:00:00"/>
    <m/>
    <n v="9321658855"/>
    <n v="40"/>
    <s v="OOLU8154967"/>
    <s v="BUSAN EXPRESS"/>
    <m/>
    <s v="SHENZHEN"/>
    <s v="SAILING-SCHED-UPDATE/"/>
    <m/>
    <s v="JASON FAN"/>
    <s v="FO9"/>
    <s v="FOOD PREPARATION              "/>
    <s v="CONFIRMED"/>
    <n v="1"/>
    <n v="2"/>
    <d v="2012-01-13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5923/000010"/>
    <n v="1370149117"/>
    <n v="10"/>
    <x v="44"/>
    <x v="44"/>
    <s v="P1"/>
    <n v="1500814383"/>
    <n v="106"/>
    <n v="814383"/>
    <s v="HT41213E HMX PREPLINE STAND 450W WHT EE           "/>
    <s v="S"/>
    <d v="2012-01-09T00:00:00"/>
    <m/>
    <s v="X"/>
    <x v="52"/>
    <n v="15.01"/>
    <n v="550"/>
    <d v="2012-02-24T00:00:00"/>
    <d v="2012-01-06T00:00:00"/>
    <n v="1400"/>
    <d v="2012-01-06T00:00:00"/>
    <n v="1400"/>
    <m/>
    <d v="2012-01-06T00:00:00"/>
    <n v="1400"/>
    <d v="2012-02-23T00:00:00"/>
    <d v="2012-01-05T00:00:00"/>
    <n v="1400"/>
    <n v="1400"/>
    <x v="6"/>
    <d v="2012-02-23T00:00:00"/>
    <m/>
    <n v="9321658856"/>
    <n v="10"/>
    <s v="TCLU8651331"/>
    <s v="MOL MAXIM/010W"/>
    <m/>
    <s v="YANTIAN"/>
    <s v="SAILING-SCHED-UPDATE/"/>
    <m/>
    <s v="KENUS WONG"/>
    <s v="FO9"/>
    <s v="FOOD PREPARATION              "/>
    <s v="CONFIRMED"/>
    <n v="1"/>
    <n v="1"/>
    <d v="2012-01-05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8260/000010"/>
    <n v="1370149124"/>
    <n v="10"/>
    <x v="44"/>
    <x v="44"/>
    <s v="P1"/>
    <n v="1500813988"/>
    <n v="106"/>
    <n v="813988"/>
    <s v="HT300188 HMX MALIN WHT/YEL RU                     "/>
    <s v="S"/>
    <d v="2012-01-09T00:00:00"/>
    <m/>
    <s v="X"/>
    <x v="52"/>
    <n v="9.65"/>
    <n v="365"/>
    <d v="2012-02-20T00:00:00"/>
    <d v="2012-01-02T00:00:00"/>
    <n v="1400"/>
    <d v="2012-01-02T00:00:00"/>
    <n v="1400"/>
    <m/>
    <d v="2012-01-02T00:00:00"/>
    <n v="1400"/>
    <d v="2012-02-21T00:00:00"/>
    <d v="2012-01-03T00:00:00"/>
    <n v="1400"/>
    <n v="1400"/>
    <x v="16"/>
    <d v="2012-02-21T00:00:00"/>
    <m/>
    <n v="9321658857"/>
    <n v="10"/>
    <s v="OOLU8143263"/>
    <s v="NYK VESTA/28W51"/>
    <m/>
    <s v="SHENZHEN"/>
    <s v="SAILING-SCHED-UPDATE/TP ISSUE"/>
    <m/>
    <s v="KENUS WONG"/>
    <s v="FO9"/>
    <s v="FOOD PREPARATION              "/>
    <s v="CONFIRMED"/>
    <n v="1"/>
    <n v="1"/>
    <d v="2012-01-03T00:00:00"/>
    <s v="KITCHEN ELECTRICS             "/>
    <s v="FOOD PREPARATION              "/>
    <x v="2"/>
    <x v="1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5658/000010"/>
    <n v="1370149132"/>
    <n v="10"/>
    <x v="44"/>
    <x v="44"/>
    <s v="P1"/>
    <n v="1500831487"/>
    <n v="105"/>
    <n v="831487"/>
    <s v="ZN355C3E JUI ELEA DUO MET RU                      "/>
    <s v="S"/>
    <d v="2012-01-09T00:00:00"/>
    <m/>
    <s v="X"/>
    <x v="52"/>
    <n v="24.45"/>
    <n v="872"/>
    <d v="2012-02-24T00:00:00"/>
    <d v="2012-01-06T00:00:00"/>
    <n v="600"/>
    <d v="2012-01-06T00:00:00"/>
    <n v="600"/>
    <m/>
    <d v="2012-01-06T00:00:00"/>
    <n v="600"/>
    <d v="2012-02-23T00:00:00"/>
    <d v="2012-01-05T00:00:00"/>
    <n v="600"/>
    <n v="320"/>
    <x v="6"/>
    <d v="2012-02-23T00:00:00"/>
    <m/>
    <n v="9321658859"/>
    <n v="10"/>
    <s v="TCLU8651331"/>
    <s v="MOL MAXIM/010W"/>
    <m/>
    <s v="YANTIAN"/>
    <s v="SAILING-SCHED-UPDATE/"/>
    <m/>
    <s v="KENUS WONG"/>
    <s v="FO9"/>
    <s v="FOOD PREPARATION              "/>
    <s v="CONFIRMED"/>
    <n v="1"/>
    <n v="1"/>
    <d v="2012-01-05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5658/000010"/>
    <n v="1370149132"/>
    <n v="10"/>
    <x v="44"/>
    <x v="44"/>
    <s v="P1"/>
    <n v="1500831487"/>
    <n v="105"/>
    <n v="831487"/>
    <s v="ZN355C3E JUI ELEA DUO MET RU                      "/>
    <s v="S"/>
    <d v="2012-01-09T00:00:00"/>
    <m/>
    <s v="X"/>
    <x v="52"/>
    <n v="24.45"/>
    <n v="872"/>
    <d v="2012-02-24T00:00:00"/>
    <d v="2012-01-06T00:00:00"/>
    <n v="600"/>
    <d v="2012-01-06T00:00:00"/>
    <n v="600"/>
    <m/>
    <d v="2012-01-06T00:00:00"/>
    <n v="600"/>
    <d v="2012-02-23T00:00:00"/>
    <d v="2012-01-05T00:00:00"/>
    <n v="600"/>
    <n v="280"/>
    <x v="6"/>
    <d v="2012-02-23T00:00:00"/>
    <m/>
    <n v="9321658859"/>
    <n v="10"/>
    <s v="APZU3830335"/>
    <s v="MOL MAXIM/010W"/>
    <m/>
    <s v="YANTIAN"/>
    <s v="SAILING-SCHED-UPDATE/"/>
    <m/>
    <s v="KENUS WONG"/>
    <s v="FO9"/>
    <s v="FOOD PREPARATION              "/>
    <s v="CONFIRMED"/>
    <n v="1"/>
    <n v="1"/>
    <d v="2012-01-05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8298/000010"/>
    <n v="1370149179"/>
    <n v="10"/>
    <x v="44"/>
    <x v="44"/>
    <s v="P1"/>
    <n v="1500831387"/>
    <n v="105"/>
    <n v="831387"/>
    <s v="ZN35013E JUI ELEA WHT/CAS RU                      "/>
    <s v="S"/>
    <d v="2012-01-05T00:00:00"/>
    <m/>
    <s v="X"/>
    <x v="52"/>
    <n v="17.829999999999998"/>
    <n v="636"/>
    <d v="2012-02-17T00:00:00"/>
    <d v="2011-12-30T00:00:00"/>
    <n v="1056"/>
    <d v="2011-12-30T00:00:00"/>
    <n v="1056"/>
    <m/>
    <d v="2011-12-30T00:00:00"/>
    <n v="1056"/>
    <d v="2012-02-21T00:00:00"/>
    <d v="2012-01-03T00:00:00"/>
    <n v="1056"/>
    <n v="1056"/>
    <x v="16"/>
    <d v="2012-02-21T00:00:00"/>
    <m/>
    <n v="9321658862"/>
    <n v="10"/>
    <s v="OOLU1880818"/>
    <s v="NYK VESTA/28W51"/>
    <m/>
    <s v="YANTIAN"/>
    <s v="SAILING-SCHED-UPDATE/TP ISSUE"/>
    <m/>
    <s v="KENUS WONG"/>
    <s v="FO9"/>
    <s v="FOOD PREPARATION              "/>
    <s v="CONFIRMED"/>
    <n v="1"/>
    <n v="1"/>
    <d v="2012-01-03T00:00:00"/>
    <s v="KITCHEN ELECTRICS             "/>
    <s v="FOOD PREPARATION              "/>
    <x v="2"/>
    <x v="1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6830/000010"/>
    <n v="1370148934"/>
    <n v="10"/>
    <x v="68"/>
    <x v="68"/>
    <s v="N3"/>
    <n v="1500634219"/>
    <n v="177"/>
    <n v="634219"/>
    <s v="AM101631 EASY PRO S/STEEL 3L                      "/>
    <s v="S"/>
    <d v="2012-01-10T00:00:00"/>
    <m/>
    <s v="X"/>
    <x v="52"/>
    <n v="20.9"/>
    <n v="18"/>
    <d v="2012-01-23T00:00:00"/>
    <d v="2011-12-26T00:00:00"/>
    <n v="746"/>
    <d v="2012-01-07T00:00:00"/>
    <n v="746"/>
    <m/>
    <d v="2011-12-26T00:00:00"/>
    <n v="746"/>
    <d v="2012-02-04T00:00:00"/>
    <d v="2012-01-07T00:00:00"/>
    <n v="746"/>
    <n v="746"/>
    <x v="23"/>
    <d v="2012-02-05T00:00:00"/>
    <m/>
    <n v="9321658864"/>
    <n v="10"/>
    <s v="MRKU8214960"/>
    <s v="MAERSK SANTANA/1202"/>
    <m/>
    <s v="YANTIAN"/>
    <s v="C-POST-CONF/"/>
    <m/>
    <s v="JASON FAN"/>
    <s v="FO9"/>
    <s v="ELECTRICAL COOKING            "/>
    <s v="CONFIRMED"/>
    <n v="1"/>
    <n v="1"/>
    <d v="2012-01-08T00:00:00"/>
    <s v="KITCHEN ELECTRICS             "/>
    <s v="ELECTRICAL COOKING            "/>
    <x v="1"/>
    <x v="1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35685/000010"/>
    <n v="1370147317"/>
    <n v="10"/>
    <x v="60"/>
    <x v="60"/>
    <s v="L4"/>
    <n v="1830003492"/>
    <n v="5"/>
    <s v="CV3512B0       "/>
    <s v="CV3512B0 FASHION TRIP FOLDABLE HAIR DRYE          "/>
    <s v="S"/>
    <d v="2012-02-02T00:00:00"/>
    <m/>
    <s v="X"/>
    <x v="52"/>
    <n v="5.21"/>
    <n v="6"/>
    <d v="2012-01-09T00:00:00"/>
    <d v="2011-11-28T00:00:00"/>
    <n v="3000"/>
    <d v="2012-01-15T00:00:00"/>
    <n v="3000"/>
    <m/>
    <d v="2011-12-29T00:00:00"/>
    <n v="3000"/>
    <d v="2012-02-26T00:00:00"/>
    <d v="2012-01-15T00:00:00"/>
    <n v="3000"/>
    <n v="3000"/>
    <x v="1"/>
    <d v="2012-03-05T00:00:00"/>
    <m/>
    <n v="9321658867"/>
    <n v="10"/>
    <s v="SEAU8247290"/>
    <s v="MAERSK LA PAZ 203W/"/>
    <m/>
    <s v="NINGBO"/>
    <s v="SAILING-SCHED-UPDATE/FORWARDER-PROB"/>
    <m/>
    <s v="THOMAS HO"/>
    <s v="FO9"/>
    <s v="PERSONAL CARE                 "/>
    <s v="CONFIRMED"/>
    <n v="1"/>
    <n v="4"/>
    <d v="2012-01-23T00:00:00"/>
    <s v="LINEN PERS HOME CARE          "/>
    <s v="PERSONAL CARE                 "/>
    <x v="6"/>
    <x v="2"/>
    <x v="0"/>
    <s v="FORWARDER-PROB"/>
    <n v="1"/>
    <n v="1"/>
    <x v="11"/>
    <n v="2"/>
    <x v="0"/>
    <x v="0"/>
    <x v="1"/>
    <n v="1"/>
    <n v="0"/>
    <n v="0"/>
    <n v="0"/>
    <n v="0"/>
    <n v="0"/>
    <x v="0"/>
    <x v="1"/>
    <x v="1"/>
    <x v="0"/>
  </r>
  <r>
    <s v="Shipment"/>
    <n v="99002901"/>
    <s v="GROUPE SEB CENTRAL EUROPE KFT.                    "/>
    <n v="99002901"/>
    <x v="29"/>
    <s v="4500261452/000010"/>
    <n v="1370148066"/>
    <n v="10"/>
    <x v="60"/>
    <x v="60"/>
    <s v="L4"/>
    <n v="1830003867"/>
    <n v="175"/>
    <s v="CF3345F0       "/>
    <s v="CF3345F0 CONIC CURLING TONG                       "/>
    <s v="S"/>
    <d v="2012-01-06T00:00:00"/>
    <m/>
    <s v="X"/>
    <x v="52"/>
    <n v="10.47"/>
    <n v="2743"/>
    <d v="2012-01-30T00:00:00"/>
    <d v="2011-12-26T00:00:00"/>
    <n v="3000"/>
    <d v="2012-01-02T00:00:00"/>
    <n v="3000"/>
    <m/>
    <d v="2011-12-27T00:00:00"/>
    <n v="3000"/>
    <d v="2012-02-06T00:00:00"/>
    <d v="2012-01-02T00:00:00"/>
    <n v="3000"/>
    <n v="3000"/>
    <x v="16"/>
    <d v="2012-02-07T00:00:00"/>
    <m/>
    <n v="9321658868"/>
    <n v="10"/>
    <s v="CBHU6335596"/>
    <s v="HANJIN CHINA/005W"/>
    <m/>
    <s v="NINGBO"/>
    <s v="C-POST-CONF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6"/>
    <x v="2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1/000130"/>
    <n v="1370149100"/>
    <n v="130"/>
    <x v="60"/>
    <x v="60"/>
    <s v="L4"/>
    <n v="1830003761"/>
    <n v="5"/>
    <s v="CV3502F0       "/>
    <s v="CV3502F0 NOMAD HAIR DRYER                         "/>
    <s v="S"/>
    <d v="2012-01-17T00:00:00"/>
    <m/>
    <s v="X"/>
    <x v="52"/>
    <n v="4.8099999999999996"/>
    <n v="5"/>
    <d v="2012-02-06T00:00:00"/>
    <d v="2012-01-09T00:00:00"/>
    <n v="3000"/>
    <d v="2012-01-09T00:00:00"/>
    <n v="3000"/>
    <m/>
    <d v="2012-01-12T00:00:00"/>
    <n v="3000"/>
    <d v="2012-02-11T00:00:00"/>
    <d v="2012-01-14T00:00:00"/>
    <n v="3000"/>
    <n v="3000"/>
    <x v="11"/>
    <d v="2012-02-12T00:00:00"/>
    <m/>
    <n v="9321658869"/>
    <n v="10"/>
    <s v="HJCU8441999"/>
    <s v="HANJIN PUNTA ARENAS/"/>
    <m/>
    <s v="NINGBO"/>
    <m/>
    <m/>
    <s v="JASON FAN"/>
    <s v="FO9"/>
    <s v="PERSONAL CARE                 "/>
    <s v="CONFIRMED"/>
    <n v="1"/>
    <n v="2"/>
    <d v="2012-01-15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157/000010"/>
    <n v="1370149143"/>
    <n v="10"/>
    <x v="60"/>
    <x v="60"/>
    <s v="L4"/>
    <n v="1830003761"/>
    <n v="5"/>
    <s v="CV3502F0       "/>
    <s v="CV3502F0 NOMAD HAIR DRYER                         "/>
    <s v="S"/>
    <d v="2012-01-11T00:00:00"/>
    <m/>
    <s v="X"/>
    <x v="52"/>
    <n v="4.8099999999999996"/>
    <n v="177"/>
    <d v="2012-02-24T00:00:00"/>
    <d v="2012-01-06T00:00:00"/>
    <n v="3000"/>
    <d v="2012-01-06T00:00:00"/>
    <n v="3000"/>
    <m/>
    <d v="2012-01-07T00:00:00"/>
    <n v="3000"/>
    <d v="2012-02-25T00:00:00"/>
    <d v="2012-01-07T00:00:00"/>
    <n v="3000"/>
    <n v="3000"/>
    <x v="0"/>
    <d v="2012-02-27T00:00:00"/>
    <m/>
    <n v="9321658870"/>
    <n v="10"/>
    <s v="APZU4264274"/>
    <s v="MOL COMPETENCE/021W"/>
    <m/>
    <s v="NINGBO"/>
    <m/>
    <m/>
    <s v="KENUS WONG"/>
    <s v="FO9"/>
    <s v="PERSONAL CARE                 "/>
    <s v="CONFIRMED"/>
    <n v="1"/>
    <n v="2"/>
    <d v="2012-01-09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6160/000010"/>
    <n v="1370149308"/>
    <n v="10"/>
    <x v="60"/>
    <x v="60"/>
    <s v="L4"/>
    <n v="1830003863"/>
    <n v="175"/>
    <s v="CF3312C0       "/>
    <s v="CF3312C0 CURLING TONG                             "/>
    <s v="S"/>
    <d v="2012-02-02T00:00:00"/>
    <m/>
    <s v="X"/>
    <x v="52"/>
    <n v="5.65"/>
    <n v="5"/>
    <d v="2012-02-03T00:00:00"/>
    <d v="2011-12-30T00:00:00"/>
    <n v="3000"/>
    <d v="2012-01-18T00:00:00"/>
    <n v="3000"/>
    <m/>
    <d v="2012-01-04T00:00:00"/>
    <n v="3000"/>
    <d v="2012-02-22T00:00:00"/>
    <d v="2012-01-18T00:00:00"/>
    <n v="3000"/>
    <n v="3000"/>
    <x v="21"/>
    <d v="2012-02-22T00:00:00"/>
    <m/>
    <n v="9321658871"/>
    <n v="10"/>
    <s v="ECMU4070235"/>
    <s v="CMA CGM FIDELIO FM42"/>
    <m/>
    <s v="NINGBO"/>
    <s v="CONSOL-SHIPT"/>
    <m/>
    <s v="JASON FAN"/>
    <s v="FO9"/>
    <s v="PERSONAL CARE                 "/>
    <s v="CONFIRMED"/>
    <n v="1"/>
    <n v="3"/>
    <d v="2012-01-18T00:00:00"/>
    <s v="LINEN PERS HOME CARE          "/>
    <s v="PERSONAL CARE                 "/>
    <x v="6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1/000040"/>
    <n v="1370147543"/>
    <n v="40"/>
    <x v="23"/>
    <x v="23"/>
    <s v="J1"/>
    <n v="2820401001"/>
    <n v="1"/>
    <s v="DW4010D1       "/>
    <s v="DW4010D1 STEAM IRON                               "/>
    <s v="S"/>
    <d v="2012-01-12T00:00:00"/>
    <m/>
    <s v="X"/>
    <x v="52"/>
    <n v="16.141300000000001"/>
    <n v="14879"/>
    <d v="2012-01-30T00:00:00"/>
    <d v="2012-01-02T00:00:00"/>
    <n v="3270"/>
    <d v="2012-01-15T00:00:00"/>
    <n v="3270"/>
    <m/>
    <d v="2011-12-31T00:00:00"/>
    <n v="3270"/>
    <d v="2012-02-12T00:00:00"/>
    <d v="2012-01-15T00:00:00"/>
    <n v="3270"/>
    <n v="3270"/>
    <x v="5"/>
    <d v="2012-02-07T00:00:00"/>
    <m/>
    <n v="9321658872"/>
    <n v="10"/>
    <s v="TCLU4281310"/>
    <s v="BUSAN EXPRESS/04W01"/>
    <m/>
    <s v="SHANGHAI"/>
    <s v="C-POST-CONF"/>
    <m/>
    <s v="JASON FAN"/>
    <s v="FO9"/>
    <s v="LINEN CARE                    "/>
    <s v="CONFIRMED"/>
    <n v="1"/>
    <n v="2"/>
    <d v="2012-01-10T00:00:00"/>
    <s v="LINEN PERS HOME CARE          "/>
    <s v="LINEN CARE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23/000002"/>
    <n v="1370148071"/>
    <n v="20"/>
    <x v="23"/>
    <x v="23"/>
    <s v="J3"/>
    <n v="2820344020"/>
    <n v="1"/>
    <s v="FV3440X0       "/>
    <s v="FV3440X0 STEAM IRON ULTRAGLIDE 3 FTK              "/>
    <s v="S"/>
    <d v="2012-01-17T00:00:00"/>
    <m/>
    <s v="X"/>
    <x v="52"/>
    <n v="14.2014"/>
    <n v="189"/>
    <d v="2012-02-11T00:00:00"/>
    <d v="2012-01-07T00:00:00"/>
    <n v="2808"/>
    <d v="2012-01-07T00:00:00"/>
    <n v="2808"/>
    <m/>
    <d v="2012-01-02T00:00:00"/>
    <n v="2808"/>
    <d v="2012-02-17T00:00:00"/>
    <d v="2012-01-13T00:00:00"/>
    <n v="2808"/>
    <n v="2808"/>
    <x v="10"/>
    <d v="2012-02-16T00:00:00"/>
    <m/>
    <n v="9321658876"/>
    <n v="20"/>
    <s v="SUDU6929147"/>
    <s v="MONTE ROSA VOY 201E"/>
    <m/>
    <s v="SHANGHAI"/>
    <s v="WRONG EDI"/>
    <m/>
    <s v="TWEETY LEUNG"/>
    <s v="FO9"/>
    <s v="LINEN CARE                    "/>
    <s v="CONFIRMED"/>
    <n v="1"/>
    <n v="2"/>
    <d v="2012-01-12T00:00:00"/>
    <s v="LINEN PERS HOME CARE          "/>
    <s v="LINEN CARE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23/000003"/>
    <n v="1370148071"/>
    <n v="30"/>
    <x v="23"/>
    <x v="23"/>
    <s v="J3"/>
    <n v="2820344020"/>
    <n v="1"/>
    <s v="FV3440X0       "/>
    <s v="FV3440X0 STEAM IRON ULTRAGLIDE 3 FTK              "/>
    <s v="S"/>
    <d v="2012-01-20T00:00:00"/>
    <m/>
    <s v="X"/>
    <x v="52"/>
    <n v="14.2014"/>
    <n v="189"/>
    <d v="2012-02-18T00:00:00"/>
    <d v="2012-01-14T00:00:00"/>
    <n v="2808"/>
    <d v="2012-01-14T00:00:00"/>
    <n v="2808"/>
    <m/>
    <d v="2012-01-14T00:00:00"/>
    <n v="2808"/>
    <d v="2012-02-23T00:00:00"/>
    <d v="2012-01-19T00:00:00"/>
    <n v="2808"/>
    <n v="2808"/>
    <x v="21"/>
    <d v="2012-02-22T00:00:00"/>
    <m/>
    <n v="9321658876"/>
    <n v="30"/>
    <s v="SUDU8552659"/>
    <s v="MONTE SARMIENTO 202E"/>
    <m/>
    <s v="SHANGHAI"/>
    <m/>
    <m/>
    <s v="TWEETY LEUNG"/>
    <s v="FO9"/>
    <s v="LINEN CARE                    "/>
    <s v="CONFIRMED"/>
    <n v="1"/>
    <n v="3"/>
    <d v="2012-01-18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20/000001"/>
    <n v="1370148078"/>
    <n v="10"/>
    <x v="23"/>
    <x v="23"/>
    <s v="J3"/>
    <n v="2820223720"/>
    <n v="1"/>
    <s v="FV2237Q0       "/>
    <s v="FV2237Q0 STEAM IRON PRIMAGLIDE FTE                "/>
    <s v="S"/>
    <d v="2012-01-09T00:00:00"/>
    <m/>
    <s v="X"/>
    <x v="52"/>
    <n v="15.315899999999999"/>
    <n v="223"/>
    <d v="2012-02-10T00:00:00"/>
    <d v="2012-01-06T00:00:00"/>
    <n v="3192"/>
    <d v="2012-01-06T00:00:00"/>
    <n v="3192"/>
    <m/>
    <d v="2012-01-02T00:00:00"/>
    <n v="3192"/>
    <d v="2012-02-06T00:00:00"/>
    <d v="2012-01-02T00:00:00"/>
    <n v="3192"/>
    <n v="3192"/>
    <x v="2"/>
    <d v="2012-02-08T00:00:00"/>
    <m/>
    <n v="9321658878"/>
    <n v="10"/>
    <s v="SUDU5963635"/>
    <s v="MONTE ALEGRE VOY152E"/>
    <m/>
    <s v="SHANGHAI"/>
    <m/>
    <m/>
    <s v="TWEETY LEUNG"/>
    <s v="FO9"/>
    <s v="LINEN CARE                    "/>
    <s v="CONFIRMED"/>
    <n v="1"/>
    <n v="1"/>
    <d v="2012-01-04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19/000002"/>
    <n v="1370148083"/>
    <n v="20"/>
    <x v="23"/>
    <x v="23"/>
    <s v="J3"/>
    <n v="2820345020"/>
    <n v="1"/>
    <s v="FV3450X0       "/>
    <s v="FV3450X0 STEAM IRON ULTRAGLIDE 3 FTK              "/>
    <s v="S"/>
    <d v="2012-01-09T00:00:00"/>
    <m/>
    <s v="X"/>
    <x v="52"/>
    <n v="14.296799999999999"/>
    <n v="188"/>
    <d v="2012-02-11T00:00:00"/>
    <d v="2012-01-07T00:00:00"/>
    <n v="2808"/>
    <d v="2012-01-07T00:00:00"/>
    <n v="2808"/>
    <m/>
    <d v="2012-01-02T00:00:00"/>
    <n v="2808"/>
    <d v="2012-02-06T00:00:00"/>
    <d v="2012-01-02T00:00:00"/>
    <n v="2808"/>
    <n v="2808"/>
    <x v="2"/>
    <d v="2012-02-08T00:00:00"/>
    <m/>
    <n v="9321658880"/>
    <n v="20"/>
    <s v="SUDU5963635"/>
    <s v="MONTE ALEGRE VOY152E"/>
    <m/>
    <s v="SHANGHAI"/>
    <s v="Wrong EDI P/L"/>
    <m/>
    <s v="TWEETY LEUNG"/>
    <s v="FO9"/>
    <s v="LINEN CARE                    "/>
    <s v="CONFIRMED"/>
    <n v="1"/>
    <n v="1"/>
    <d v="2012-01-04T00:00:00"/>
    <s v="LINEN PERS HOME CARE          "/>
    <s v="LINEN CARE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19/000003"/>
    <n v="1370148083"/>
    <n v="30"/>
    <x v="23"/>
    <x v="23"/>
    <s v="J3"/>
    <n v="2820345020"/>
    <n v="1"/>
    <s v="FV3450X0       "/>
    <s v="FV3450X0 STEAM IRON ULTRAGLIDE 3 FTK              "/>
    <s v="S"/>
    <d v="2012-01-20T00:00:00"/>
    <m/>
    <s v="X"/>
    <x v="52"/>
    <n v="14.296799999999999"/>
    <n v="188"/>
    <d v="2012-02-18T00:00:00"/>
    <d v="2012-01-14T00:00:00"/>
    <n v="2808"/>
    <d v="2012-01-14T00:00:00"/>
    <n v="2808"/>
    <m/>
    <d v="2012-01-14T00:00:00"/>
    <n v="2808"/>
    <d v="2012-02-23T00:00:00"/>
    <d v="2012-01-19T00:00:00"/>
    <n v="2808"/>
    <n v="2808"/>
    <x v="21"/>
    <d v="2012-02-22T00:00:00"/>
    <m/>
    <n v="9321658880"/>
    <n v="30"/>
    <s v="SUDU8552659"/>
    <s v="MONTE SARMIENTO 202E"/>
    <m/>
    <s v="SHANGHAI"/>
    <m/>
    <m/>
    <s v="TWEETY LEUNG"/>
    <s v="FO9"/>
    <s v="LINEN CARE                    "/>
    <s v="CONFIRMED"/>
    <n v="1"/>
    <n v="3"/>
    <d v="2012-01-18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22/000001"/>
    <n v="1370148086"/>
    <n v="10"/>
    <x v="23"/>
    <x v="23"/>
    <s v="J3"/>
    <n v="2820444020"/>
    <n v="1"/>
    <s v="FV4440X0       "/>
    <s v="FV4440X0 ST.IRON ULTRAGLIDE EASYCORD 2 F          "/>
    <s v="S"/>
    <d v="2012-01-17T00:00:00"/>
    <m/>
    <s v="X"/>
    <x v="52"/>
    <n v="15.1372"/>
    <n v="221"/>
    <d v="2012-02-10T00:00:00"/>
    <d v="2012-01-06T00:00:00"/>
    <n v="2592"/>
    <d v="2012-01-06T00:00:00"/>
    <n v="2592"/>
    <m/>
    <d v="2012-01-09T00:00:00"/>
    <n v="2592"/>
    <d v="2012-02-13T00:00:00"/>
    <d v="2012-01-09T00:00:00"/>
    <n v="2592"/>
    <n v="2592"/>
    <x v="10"/>
    <d v="2012-02-16T00:00:00"/>
    <m/>
    <n v="9321658881"/>
    <n v="10"/>
    <s v="SUDU6929147"/>
    <s v="MONTE ROSA VOY 201E"/>
    <m/>
    <s v="SHANGHAI"/>
    <s v="WRONG EDI"/>
    <m/>
    <s v="TWEETY LEUNG"/>
    <s v="FO9"/>
    <s v="LINEN CARE                    "/>
    <s v="CONFIRMED"/>
    <n v="1"/>
    <n v="2"/>
    <d v="2012-01-12T00:00:00"/>
    <s v="LINEN PERS HOME CARE          "/>
    <s v="LINEN CARE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22/000002"/>
    <n v="1370148086"/>
    <n v="20"/>
    <x v="23"/>
    <x v="23"/>
    <s v="J3"/>
    <n v="2820444020"/>
    <n v="1"/>
    <s v="FV4440X0       "/>
    <s v="FV4440X0 ST.IRON ULTRAGLIDE EASYCORD 2 F          "/>
    <s v="S"/>
    <d v="2012-01-28T00:00:00"/>
    <m/>
    <s v="X"/>
    <x v="52"/>
    <n v="15.1372"/>
    <n v="221"/>
    <d v="2012-02-18T00:00:00"/>
    <d v="2012-01-14T00:00:00"/>
    <n v="2592"/>
    <d v="2012-01-14T00:00:00"/>
    <n v="2592"/>
    <m/>
    <d v="2012-01-16T00:00:00"/>
    <n v="2592"/>
    <d v="2012-02-25T00:00:00"/>
    <d v="2012-01-21T00:00:00"/>
    <n v="2592"/>
    <n v="2592"/>
    <x v="14"/>
    <d v="2012-02-24T00:00:00"/>
    <m/>
    <n v="9321658881"/>
    <n v="20"/>
    <s v="GATU4437106"/>
    <s v="PETROHUE 1202E/"/>
    <m/>
    <s v="SHANGHAI"/>
    <m/>
    <m/>
    <s v="TWEETY LEUNG"/>
    <s v="FO9"/>
    <s v="LINEN CARE                    "/>
    <s v="CONFIRMED"/>
    <n v="1"/>
    <n v="3"/>
    <d v="2012-01-20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69/000010"/>
    <n v="1370148264"/>
    <n v="10"/>
    <x v="23"/>
    <x v="23"/>
    <s v="J3"/>
    <n v="2820444620"/>
    <n v="1"/>
    <s v="FV4446U0       "/>
    <s v="FV4446U0 ST.IRON ULTRAGLIDE EASYCORD 2 F          "/>
    <s v="S"/>
    <d v="2012-01-17T00:00:00"/>
    <m/>
    <s v="X"/>
    <x v="52"/>
    <n v="17.7441"/>
    <n v="20"/>
    <d v="2012-02-21T00:00:00"/>
    <d v="2012-01-17T00:00:00"/>
    <n v="2001"/>
    <d v="2012-01-17T00:00:00"/>
    <n v="2592"/>
    <m/>
    <d v="2012-01-21T00:00:00"/>
    <n v="2592"/>
    <d v="2012-02-25T00:00:00"/>
    <d v="2012-01-21T00:00:00"/>
    <n v="2592"/>
    <n v="2592"/>
    <x v="9"/>
    <d v="2012-02-18T00:00:00"/>
    <m/>
    <n v="9321658882"/>
    <n v="10"/>
    <s v="HLXU3151532"/>
    <s v="NYK CONSTELLATION/26"/>
    <m/>
    <s v="SHANGHAI"/>
    <s v="SP-MTL"/>
    <m/>
    <s v="TWEETY LEUNG"/>
    <s v="FO9"/>
    <s v="LINEN CARE                    "/>
    <s v="CONFIRMED"/>
    <n v="1"/>
    <n v="2"/>
    <d v="2012-01-14T00:00:00"/>
    <s v="LINEN PERS HOME CARE          "/>
    <s v="LINEN CARE                    "/>
    <x v="0"/>
    <x v="0"/>
    <x v="9"/>
    <s v="SP-MTL"/>
    <n v="1"/>
    <n v="1"/>
    <x v="10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68/000010"/>
    <n v="1370148265"/>
    <n v="10"/>
    <x v="23"/>
    <x v="23"/>
    <s v="J3"/>
    <n v="2820444620"/>
    <n v="1"/>
    <s v="FV4446U0       "/>
    <s v="FV4446U0 ST.IRON ULTRAGLIDE EASYCORD 2 F          "/>
    <s v="S"/>
    <d v="2012-01-13T00:00:00"/>
    <m/>
    <s v="X"/>
    <x v="52"/>
    <n v="17.7441"/>
    <n v="20"/>
    <d v="2012-02-12T00:00:00"/>
    <d v="2012-01-08T00:00:00"/>
    <n v="6042"/>
    <d v="2012-01-08T00:00:00"/>
    <n v="5688"/>
    <m/>
    <d v="2012-01-30T00:00:00"/>
    <n v="5925"/>
    <d v="2012-03-05T00:00:00"/>
    <d v="2012-01-30T00:00:00"/>
    <n v="5688"/>
    <n v="5451"/>
    <x v="12"/>
    <d v="2012-02-11T00:00:00"/>
    <m/>
    <n v="9321658883"/>
    <n v="10"/>
    <s v="HLXU6199036"/>
    <s v="NYK METEOR"/>
    <m/>
    <s v="SHANGHAI"/>
    <s v="SP-MTL/FORWARDER-PROB"/>
    <m/>
    <s v="TWEETY LEUNG"/>
    <s v="FO9"/>
    <s v="LINEN CARE                    "/>
    <s v="CONFIRMED"/>
    <n v="1"/>
    <n v="1"/>
    <d v="2012-01-07T00:00:00"/>
    <s v="LINEN PERS HOME CARE          "/>
    <s v="LINEN CARE                    "/>
    <x v="0"/>
    <x v="0"/>
    <x v="9"/>
    <s v="SP-MTL"/>
    <n v="1"/>
    <n v="1"/>
    <x v="10"/>
    <n v="2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068/000010"/>
    <n v="1370148265"/>
    <n v="10"/>
    <x v="23"/>
    <x v="23"/>
    <s v="J3"/>
    <n v="2820444620"/>
    <n v="1"/>
    <s v="FV4446U0       "/>
    <s v="FV4446U0 ST.IRON ULTRAGLIDE EASYCORD 2 F          "/>
    <s v="S"/>
    <d v="2012-01-19T00:00:00"/>
    <m/>
    <s v="X"/>
    <x v="52"/>
    <n v="17.7441"/>
    <n v="20"/>
    <d v="2012-02-12T00:00:00"/>
    <d v="2012-01-08T00:00:00"/>
    <n v="6042"/>
    <d v="2012-01-08T00:00:00"/>
    <n v="5688"/>
    <m/>
    <d v="2012-01-30T00:00:00"/>
    <n v="5925"/>
    <d v="2012-03-05T00:00:00"/>
    <d v="2012-01-30T00:00:00"/>
    <n v="5688"/>
    <n v="237"/>
    <x v="26"/>
    <d v="2012-02-25T00:00:00"/>
    <m/>
    <n v="9321658883"/>
    <n v="10"/>
    <s v="FCIU2655943"/>
    <s v="NYK RUMINA/10E03"/>
    <m/>
    <s v="SHANGHAI"/>
    <s v="SP-MTL/FORWARDER-PROB"/>
    <m/>
    <s v="TWEETY LEUNG"/>
    <s v="FO9"/>
    <s v="LINEN CARE                    "/>
    <s v="CONFIRMED"/>
    <n v="1"/>
    <n v="3"/>
    <d v="2012-01-21T00:00:00"/>
    <s v="LINEN PERS HOME CARE          "/>
    <s v="LINEN CARE                    "/>
    <x v="0"/>
    <x v="0"/>
    <x v="9"/>
    <s v="SP-MTL"/>
    <n v="1"/>
    <n v="1"/>
    <x v="10"/>
    <n v="2"/>
    <x v="0"/>
    <x v="0"/>
    <x v="0"/>
    <n v="1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53070/000010"/>
    <n v="1370148376"/>
    <n v="10"/>
    <x v="23"/>
    <x v="23"/>
    <s v="J3"/>
    <n v="2820447750"/>
    <n v="1"/>
    <s v="FV4477U0       "/>
    <s v="FV4477U0 STEAM IRON ULTRAGLIDE EASYCORD           "/>
    <s v="S"/>
    <d v="2012-01-19T00:00:00"/>
    <m/>
    <s v="X"/>
    <x v="52"/>
    <n v="18.849900000000002"/>
    <n v="21"/>
    <d v="2012-02-20T00:00:00"/>
    <d v="2012-01-16T00:00:00"/>
    <n v="999"/>
    <d v="2012-01-16T00:00:00"/>
    <n v="999"/>
    <m/>
    <d v="2012-01-21T00:00:00"/>
    <n v="999"/>
    <d v="2012-03-05T00:00:00"/>
    <d v="2012-01-30T00:00:00"/>
    <n v="999"/>
    <n v="999"/>
    <x v="26"/>
    <d v="2012-02-25T00:00:00"/>
    <m/>
    <n v="9321658887"/>
    <n v="10"/>
    <s v="FCIU2655943"/>
    <s v="NYK RUMINA/10E03"/>
    <m/>
    <s v="SHANGHAI"/>
    <s v="FORWARDER-PROB"/>
    <m/>
    <s v="TWEETY LEUNG"/>
    <s v="FO9"/>
    <s v="LINEN CARE                    "/>
    <s v="CONFIRMED"/>
    <n v="1"/>
    <n v="3"/>
    <d v="2012-01-21T00:00:00"/>
    <s v="LINEN PERS HOME CARE          "/>
    <s v="LINEN CARE                    "/>
    <x v="0"/>
    <x v="0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5220"/>
    <s v="GROUPE SEB ARGENTINA SA                           "/>
    <n v="99005200"/>
    <x v="33"/>
    <s v="968/000001"/>
    <n v="1370148556"/>
    <n v="10"/>
    <x v="23"/>
    <x v="23"/>
    <s v="N4"/>
    <n v="2820130150"/>
    <n v="32"/>
    <n v="634278"/>
    <s v="MV130150 STMC MINI COMPACT 3B WHT AR              "/>
    <s v="S"/>
    <d v="2012-01-05T00:00:00"/>
    <m/>
    <s v="X"/>
    <x v="52"/>
    <n v="12.956099999999999"/>
    <n v="15349"/>
    <d v="2012-02-10T00:00:00"/>
    <d v="2011-12-30T00:00:00"/>
    <n v="1344"/>
    <d v="2011-12-30T00:00:00"/>
    <n v="1344"/>
    <m/>
    <d v="2011-12-30T00:00:00"/>
    <n v="1344"/>
    <d v="2012-02-10T00:00:00"/>
    <d v="2011-12-30T00:00:00"/>
    <n v="1344"/>
    <n v="1344"/>
    <x v="13"/>
    <d v="2012-02-12T00:00:00"/>
    <m/>
    <n v="9321658891"/>
    <n v="10"/>
    <s v="MRKU8083290"/>
    <s v="MAERSK LIMA 152W/"/>
    <m/>
    <s v="SHANGHAI"/>
    <m/>
    <m/>
    <s v="THOMAS HO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7290/000010"/>
    <n v="1370148903"/>
    <n v="10"/>
    <x v="23"/>
    <x v="23"/>
    <s v="J3"/>
    <n v="2820231010"/>
    <n v="1"/>
    <s v="FV2310M0       "/>
    <s v="FV2310M0 STEAM IRON PRIMA 2310 PTFE  FTK          "/>
    <s v="S"/>
    <d v="2012-01-19T00:00:00"/>
    <m/>
    <s v="X"/>
    <x v="52"/>
    <n v="13.1799"/>
    <n v="15"/>
    <d v="2012-01-20T00:00:00"/>
    <d v="2012-01-06T00:00:00"/>
    <n v="1002"/>
    <d v="2012-01-06T00:00:00"/>
    <n v="1002"/>
    <m/>
    <d v="2012-01-02T00:00:00"/>
    <n v="1002"/>
    <d v="2012-01-26T00:00:00"/>
    <d v="2012-01-12T00:00:00"/>
    <n v="1002"/>
    <n v="1002"/>
    <x v="7"/>
    <d v="2012-01-20T00:00:00"/>
    <m/>
    <n v="9321658896"/>
    <n v="10"/>
    <s v="CCLU3827890"/>
    <s v="XIN BEI LUN / 0305S"/>
    <m/>
    <s v="SHANGHAI"/>
    <s v="SHIP + ETD JAN06 2012"/>
    <m/>
    <s v="ZANDRA LAM"/>
    <s v="FO9"/>
    <s v="LINEN CARE                    "/>
    <s v="CONFIRMED"/>
    <n v="1"/>
    <n v="1"/>
    <d v="2012-01-06T00:00:00"/>
    <s v="LINEN PERS HOME CARE          "/>
    <s v="LINEN CARE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0861/000010"/>
    <n v="1370146854"/>
    <n v="10"/>
    <x v="23"/>
    <x v="23"/>
    <s v="J1"/>
    <n v="2820401001"/>
    <n v="1"/>
    <s v="DW4010D1       "/>
    <s v="DW4010D1 STEAM IRON                               "/>
    <s v="S"/>
    <d v="2012-01-04T00:00:00"/>
    <m/>
    <s v="X"/>
    <x v="52"/>
    <n v="16.141300000000001"/>
    <n v="32538"/>
    <d v="2012-01-27T00:00:00"/>
    <d v="2011-12-23T00:00:00"/>
    <n v="3270"/>
    <d v="2012-01-03T00:00:00"/>
    <n v="3270"/>
    <m/>
    <d v="2011-12-26T00:00:00"/>
    <n v="3270"/>
    <d v="2012-02-07T00:00:00"/>
    <d v="2012-01-03T00:00:00"/>
    <n v="3270"/>
    <n v="3270"/>
    <x v="16"/>
    <d v="2012-02-07T00:00:00"/>
    <m/>
    <n v="9321658898"/>
    <n v="10"/>
    <s v="MRKU7805124"/>
    <s v="NEDLLOYD DRAKE/1202"/>
    <m/>
    <s v="SHANGHAI"/>
    <m/>
    <m/>
    <s v="KENUS WONG"/>
    <s v="FO9"/>
    <s v="LINEN CARE                    "/>
    <s v="CONFIRMED"/>
    <n v="1"/>
    <n v="1"/>
    <d v="2012-01-03T00:00:00"/>
    <s v="LINEN PERS HOME CARE          "/>
    <s v="LINEN CARE                    "/>
    <x v="0"/>
    <x v="0"/>
    <x v="1"/>
    <m/>
    <n v="0"/>
    <n v="0"/>
    <x v="1"/>
    <n v="0"/>
    <x v="0"/>
    <x v="0"/>
    <x v="1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1/000030"/>
    <n v="1370149100"/>
    <n v="30"/>
    <x v="23"/>
    <x v="23"/>
    <s v="J1"/>
    <n v="2820203001"/>
    <n v="1"/>
    <s v="DW2030D1       "/>
    <s v="DW2030D1 STEAM IRON EFFECTIVE COMFORT             "/>
    <s v="S"/>
    <d v="2012-01-16T00:00:00"/>
    <m/>
    <s v="X"/>
    <x v="52"/>
    <n v="15.551"/>
    <n v="5"/>
    <d v="2012-02-06T00:00:00"/>
    <d v="2012-01-09T00:00:00"/>
    <n v="3270"/>
    <d v="2012-01-11T00:00:00"/>
    <n v="3270"/>
    <m/>
    <d v="2012-01-23T00:00:00"/>
    <n v="3270"/>
    <d v="2012-02-20T00:00:00"/>
    <d v="2012-01-23T00:00:00"/>
    <n v="3270"/>
    <n v="3270"/>
    <x v="9"/>
    <d v="2012-02-11T00:00:00"/>
    <m/>
    <n v="9321658900"/>
    <n v="10"/>
    <s v="OOLU7647125"/>
    <s v="APL HAMBURG/015W"/>
    <m/>
    <s v="SHANGHAI"/>
    <s v="SP-NO-FORECAST"/>
    <m/>
    <s v="JASON FAN"/>
    <s v="FO9"/>
    <s v="LINEN CARE                    "/>
    <s v="CONFIRMED"/>
    <n v="1"/>
    <n v="2"/>
    <d v="2012-01-14T00:00:00"/>
    <s v="LINEN PERS HOME CARE          "/>
    <s v="LINEN CARE                    "/>
    <x v="0"/>
    <x v="0"/>
    <x v="14"/>
    <s v="SP-NO-FORECAST"/>
    <n v="-3"/>
    <n v="-3"/>
    <x v="15"/>
    <n v="1"/>
    <x v="0"/>
    <x v="1"/>
    <x v="0"/>
    <n v="1"/>
    <n v="0"/>
    <n v="1"/>
    <n v="0"/>
    <n v="0"/>
    <n v="1"/>
    <x v="0"/>
    <x v="0"/>
    <x v="1"/>
    <x v="1"/>
  </r>
  <r>
    <s v="Shipment"/>
    <n v="99002102"/>
    <s v="GROUPE SEB ITALIA S.p.a                           "/>
    <n v="99002102"/>
    <x v="14"/>
    <s v="4600079071/000040"/>
    <n v="1370149100"/>
    <n v="40"/>
    <x v="23"/>
    <x v="23"/>
    <s v="J1"/>
    <n v="2820203001"/>
    <n v="1"/>
    <s v="DW2030D1       "/>
    <s v="DW2030D1 STEAM IRON EFFECTIVE COMFORT             "/>
    <s v="S"/>
    <d v="2012-01-19T00:00:00"/>
    <m/>
    <s v="X"/>
    <x v="52"/>
    <n v="15.551"/>
    <n v="5"/>
    <d v="2012-02-06T00:00:00"/>
    <d v="2012-01-09T00:00:00"/>
    <n v="3270"/>
    <d v="2012-01-11T00:00:00"/>
    <n v="3270"/>
    <m/>
    <d v="2012-01-23T00:00:00"/>
    <n v="3270"/>
    <d v="2012-02-20T00:00:00"/>
    <d v="2012-01-23T00:00:00"/>
    <n v="3270"/>
    <n v="3270"/>
    <x v="26"/>
    <d v="2012-02-18T00:00:00"/>
    <m/>
    <n v="9321658900"/>
    <n v="20"/>
    <s v="HJCU4410665"/>
    <s v="HONG KONG BRIDGE/014"/>
    <m/>
    <s v="SHANGHAI"/>
    <s v="SP-NO-FORECAST"/>
    <m/>
    <s v="JASON FAN"/>
    <s v="FO9"/>
    <s v="LINEN CARE                    "/>
    <s v="CONFIRMED"/>
    <n v="1"/>
    <n v="3"/>
    <d v="2012-01-21T00:00:00"/>
    <s v="LINEN PERS HOME CARE          "/>
    <s v="LINEN CARE                    "/>
    <x v="0"/>
    <x v="0"/>
    <x v="14"/>
    <s v="SP-NO-FORECAST"/>
    <n v="-3"/>
    <n v="-3"/>
    <x v="15"/>
    <n v="1"/>
    <x v="0"/>
    <x v="0"/>
    <x v="0"/>
    <n v="1"/>
    <n v="0"/>
    <n v="0"/>
    <n v="0"/>
    <n v="0"/>
    <n v="0"/>
    <x v="0"/>
    <x v="1"/>
    <x v="1"/>
    <x v="0"/>
  </r>
  <r>
    <s v="Shipment"/>
    <n v="99003300"/>
    <s v="GROUPE SEB JAPAN CO LTD                           "/>
    <n v="99003300"/>
    <x v="25"/>
    <s v="3797/000003"/>
    <n v="1370149111"/>
    <n v="30"/>
    <x v="23"/>
    <x v="23"/>
    <s v="J3"/>
    <n v="2820253060"/>
    <n v="1"/>
    <s v="FV2530J0       "/>
    <s v="FV2530J0 STEAM IRON PRIMAGLIDE 3 FTK              "/>
    <s v="S"/>
    <d v="2012-01-16T00:00:00"/>
    <m/>
    <s v="X"/>
    <x v="52"/>
    <n v="13.699"/>
    <n v="7"/>
    <d v="2012-01-23T00:00:00"/>
    <d v="2012-01-09T00:00:00"/>
    <n v="2574"/>
    <d v="2012-01-09T00:00:00"/>
    <n v="2574"/>
    <m/>
    <d v="2012-01-09T00:00:00"/>
    <n v="2574"/>
    <d v="2012-01-27T00:00:00"/>
    <d v="2012-01-13T00:00:00"/>
    <n v="2574"/>
    <n v="2574"/>
    <x v="24"/>
    <d v="2012-01-27T00:00:00"/>
    <m/>
    <n v="9321658903"/>
    <n v="10"/>
    <s v="HAHU4019748"/>
    <s v="VEGA AQUILA/1202E"/>
    <m/>
    <s v="SHANGHAI"/>
    <m/>
    <m/>
    <s v="DOROTHEA LING"/>
    <s v="FO9"/>
    <s v="LINEN CARE                    "/>
    <s v="CONFIRMED"/>
    <n v="1"/>
    <n v="2"/>
    <d v="2012-01-13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97/000004"/>
    <n v="1370149111"/>
    <n v="40"/>
    <x v="23"/>
    <x v="23"/>
    <s v="J3"/>
    <n v="2820702020"/>
    <n v="1"/>
    <s v="FV7020J0       "/>
    <s v="FV7020J0 STEAM IRON ULTRAGLISS CORDLESS           "/>
    <s v="S"/>
    <d v="2012-01-16T00:00:00"/>
    <m/>
    <s v="X"/>
    <x v="52"/>
    <n v="30.7927"/>
    <n v="7"/>
    <d v="2012-01-23T00:00:00"/>
    <d v="2012-01-09T00:00:00"/>
    <n v="1080"/>
    <d v="2012-01-09T00:00:00"/>
    <n v="1080"/>
    <m/>
    <d v="2012-01-09T00:00:00"/>
    <n v="1080"/>
    <d v="2012-01-23T00:00:00"/>
    <d v="2012-01-09T00:00:00"/>
    <n v="1080"/>
    <n v="1080"/>
    <x v="24"/>
    <d v="2012-01-27T00:00:00"/>
    <m/>
    <n v="9321658903"/>
    <n v="20"/>
    <s v="HAHU4019748"/>
    <s v="VEGA AQUILA/1202E"/>
    <m/>
    <s v="SHANGHAI"/>
    <m/>
    <m/>
    <s v="DOROTHEA LING"/>
    <s v="FO9"/>
    <s v="LINEN CARE                    "/>
    <s v="CONFIRMED"/>
    <n v="1"/>
    <n v="2"/>
    <d v="2012-01-13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8139/000010"/>
    <n v="1370149114"/>
    <n v="10"/>
    <x v="23"/>
    <x v="23"/>
    <s v="N4"/>
    <n v="2820300830"/>
    <n v="32"/>
    <n v="635165"/>
    <s v="VC300830 STMC STEAM N'LIGHT 3B+CAKE BLK           "/>
    <s v="S"/>
    <d v="2012-01-04T00:00:00"/>
    <m/>
    <s v="X"/>
    <x v="52"/>
    <n v="31.008700000000001"/>
    <n v="1120"/>
    <d v="2012-02-03T00:00:00"/>
    <d v="2011-12-16T00:00:00"/>
    <n v="1980"/>
    <d v="2011-12-16T00:00:00"/>
    <n v="1860"/>
    <m/>
    <d v="2011-12-16T00:00:00"/>
    <n v="1860"/>
    <d v="2012-02-08T00:00:00"/>
    <d v="2011-12-21T00:00:00"/>
    <n v="1860"/>
    <n v="120"/>
    <x v="3"/>
    <d v="2012-02-20T00:00:00"/>
    <m/>
    <n v="9321658904"/>
    <n v="10"/>
    <s v="MAXU6223392"/>
    <s v="BUDAPEST EXPRESS/11W"/>
    <m/>
    <s v="SHANGHAI"/>
    <s v="TP ISSUE"/>
    <m/>
    <s v="KENUS WONG"/>
    <s v="FO9"/>
    <s v="ELECTRICAL COOKING            "/>
    <s v="CONFIRMED"/>
    <n v="1"/>
    <n v="1"/>
    <d v="2012-01-02T00:00:00"/>
    <s v="KITCHEN ELECTRICS             "/>
    <s v="ELECTRICAL COOKING            "/>
    <x v="0"/>
    <x v="0"/>
    <x v="1"/>
    <m/>
    <n v="0"/>
    <n v="0"/>
    <x v="1"/>
    <n v="1"/>
    <x v="0"/>
    <x v="0"/>
    <x v="1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8142/000010"/>
    <n v="1370149127"/>
    <n v="10"/>
    <x v="23"/>
    <x v="23"/>
    <s v="N4"/>
    <n v="2820300830"/>
    <n v="32"/>
    <n v="635165"/>
    <s v="VC300830 STMC STEAM N'LIGHT 3B+CAKE BLK           "/>
    <s v="S"/>
    <d v="2012-01-04T00:00:00"/>
    <m/>
    <s v="X"/>
    <x v="52"/>
    <n v="31.008700000000001"/>
    <n v="1134"/>
    <d v="2012-02-15T00:00:00"/>
    <d v="2011-12-28T00:00:00"/>
    <n v="1980"/>
    <d v="2011-12-28T00:00:00"/>
    <n v="1860"/>
    <m/>
    <d v="2011-12-28T00:00:00"/>
    <n v="1860"/>
    <d v="2012-02-15T00:00:00"/>
    <d v="2011-12-28T00:00:00"/>
    <n v="1860"/>
    <n v="1860"/>
    <x v="3"/>
    <d v="2012-02-20T00:00:00"/>
    <m/>
    <n v="9321658906"/>
    <n v="10"/>
    <s v="MAXU6223392"/>
    <s v="BUDAPEST EXPRESS/11W"/>
    <m/>
    <s v="SHANGHAI"/>
    <s v="TP ISSUE"/>
    <m/>
    <s v="KENUS WONG"/>
    <s v="FO9"/>
    <s v="ELECTRICAL COOKING            "/>
    <s v="CONFIRMED"/>
    <n v="1"/>
    <n v="1"/>
    <d v="2012-01-02T00:00:00"/>
    <s v="KITCHEN ELECTRICS             "/>
    <s v="ELECTRICAL COOKING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8122/000010"/>
    <n v="1370149130"/>
    <n v="10"/>
    <x v="23"/>
    <x v="23"/>
    <s v="N4"/>
    <n v="2820400331"/>
    <n v="32"/>
    <n v="632724"/>
    <s v="VS400331 STMC COMPACT 3B RU                       "/>
    <s v="S"/>
    <d v="2012-01-16T00:00:00"/>
    <m/>
    <s v="X"/>
    <x v="52"/>
    <n v="40.334400000000002"/>
    <n v="1418"/>
    <d v="2012-01-21T00:00:00"/>
    <d v="2011-12-03T00:00:00"/>
    <n v="1776"/>
    <d v="2011-12-03T00:00:00"/>
    <n v="1776"/>
    <m/>
    <d v="2011-12-03T00:00:00"/>
    <n v="1776"/>
    <d v="2012-02-27T00:00:00"/>
    <d v="2012-01-09T00:00:00"/>
    <n v="1776"/>
    <n v="1776"/>
    <x v="17"/>
    <d v="2012-02-29T00:00:00"/>
    <m/>
    <n v="9321658907"/>
    <n v="10"/>
    <s v="TCLU5168459"/>
    <s v="HYUNDAI BRAVE/023W"/>
    <m/>
    <s v="SHANGHAI"/>
    <s v="SP-QLY"/>
    <m/>
    <s v="KENUS WONG"/>
    <s v="FO9"/>
    <s v="ELECTRICAL COOKING            "/>
    <s v="CONFIRMED"/>
    <n v="1"/>
    <n v="2"/>
    <d v="2012-01-11T00:00:00"/>
    <s v="KITCHEN ELECTRICS             "/>
    <s v="ELECTRICAL COOKING            "/>
    <x v="0"/>
    <x v="0"/>
    <x v="13"/>
    <s v="SP-QLY"/>
    <n v="1"/>
    <n v="1"/>
    <x v="13"/>
    <n v="1"/>
    <x v="0"/>
    <x v="0"/>
    <x v="1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57202/000010"/>
    <n v="1370149141"/>
    <n v="10"/>
    <x v="23"/>
    <x v="23"/>
    <s v="J1"/>
    <n v="2820203002"/>
    <n v="1"/>
    <s v="DW2030D2       "/>
    <s v="DW2030D2 STEAM IRON EFFECTIVE COMFORT             "/>
    <s v="S"/>
    <d v="2012-01-12T00:00:00"/>
    <m/>
    <s v="X"/>
    <x v="52"/>
    <n v="15.337999999999999"/>
    <n v="533"/>
    <d v="2012-01-27T00:00:00"/>
    <d v="2011-12-09T00:00:00"/>
    <n v="3270"/>
    <d v="2012-01-14T00:00:00"/>
    <n v="3270"/>
    <m/>
    <d v="2012-02-14T00:00:00"/>
    <n v="3270"/>
    <d v="2012-03-03T00:00:00"/>
    <d v="2012-01-14T00:00:00"/>
    <n v="3270"/>
    <n v="3270"/>
    <x v="17"/>
    <d v="2012-02-29T00:00:00"/>
    <m/>
    <n v="9321658908"/>
    <n v="10"/>
    <s v="TRLU6391738"/>
    <s v="HYUNDAI BRAVE/023W"/>
    <m/>
    <s v="SHANGHAI"/>
    <s v="SP-NO-FORECAST"/>
    <m/>
    <s v="KENUS WONG"/>
    <s v="FO9"/>
    <s v="LINEN CARE                    "/>
    <s v="CONFIRMED"/>
    <n v="1"/>
    <n v="2"/>
    <d v="2012-01-11T00:00:00"/>
    <s v="LINEN PERS HOME CARE          "/>
    <s v="LINEN CARE                    "/>
    <x v="0"/>
    <x v="0"/>
    <x v="14"/>
    <s v="SP-NO-FORECAST"/>
    <n v="-3"/>
    <n v="-3"/>
    <x v="15"/>
    <n v="1"/>
    <x v="0"/>
    <x v="0"/>
    <x v="1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7257/000010"/>
    <n v="1370149149"/>
    <n v="10"/>
    <x v="23"/>
    <x v="23"/>
    <s v="J1"/>
    <n v="2820401002"/>
    <n v="1"/>
    <s v="DW4010D2       "/>
    <s v="DW4010D2 STEAM IRON                               "/>
    <s v="S"/>
    <d v="2012-01-12T00:00:00"/>
    <m/>
    <s v="X"/>
    <x v="52"/>
    <n v="15.838900000000001"/>
    <n v="558"/>
    <d v="2012-02-24T00:00:00"/>
    <d v="2012-01-06T00:00:00"/>
    <n v="3270"/>
    <d v="2012-01-06T00:00:00"/>
    <n v="3270"/>
    <m/>
    <d v="2012-01-09T00:00:00"/>
    <n v="3270"/>
    <d v="2012-02-27T00:00:00"/>
    <d v="2012-01-09T00:00:00"/>
    <n v="3270"/>
    <n v="3270"/>
    <x v="17"/>
    <d v="2012-02-29T00:00:00"/>
    <m/>
    <n v="9321658911"/>
    <n v="10"/>
    <s v="TRLU6180226"/>
    <s v="HYUNDAI BRAVE/023W"/>
    <m/>
    <s v="SHANGHAI"/>
    <m/>
    <m/>
    <s v="KENUS WONG"/>
    <s v="FO9"/>
    <s v="LINEN CARE                    "/>
    <s v="CONFIRMED"/>
    <n v="1"/>
    <n v="2"/>
    <d v="2012-01-11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269/000010"/>
    <n v="1370149182"/>
    <n v="10"/>
    <x v="23"/>
    <x v="23"/>
    <s v="J1"/>
    <n v="2820102002"/>
    <n v="1"/>
    <s v="DW1020D2       "/>
    <s v="DW1020D2 STEAM IRON EFFECTIVE                     "/>
    <s v="S"/>
    <d v="2012-01-12T00:00:00"/>
    <m/>
    <s v="X"/>
    <x v="52"/>
    <n v="14.7997"/>
    <n v="521"/>
    <d v="2012-02-03T00:00:00"/>
    <d v="2011-12-16T00:00:00"/>
    <n v="3270"/>
    <d v="2012-01-14T00:00:00"/>
    <n v="3270"/>
    <m/>
    <d v="2012-02-14T00:00:00"/>
    <n v="3270"/>
    <d v="2012-03-03T00:00:00"/>
    <d v="2012-01-14T00:00:00"/>
    <n v="3270"/>
    <n v="3270"/>
    <x v="17"/>
    <d v="2012-02-29T00:00:00"/>
    <m/>
    <n v="9321658920"/>
    <n v="10"/>
    <s v="TRLU6391738"/>
    <s v="HYUNDAI BRAVE/023W"/>
    <m/>
    <s v="SHANGHAI"/>
    <s v="SP-NO-FORECAST"/>
    <m/>
    <s v="KENUS WONG"/>
    <s v="FO9"/>
    <s v="LINEN CARE                    "/>
    <s v="CONFIRMED"/>
    <n v="1"/>
    <n v="2"/>
    <d v="2012-01-11T00:00:00"/>
    <s v="LINEN PERS HOME CARE          "/>
    <s v="LINEN CARE                    "/>
    <x v="0"/>
    <x v="0"/>
    <x v="14"/>
    <s v="SP-NO-FORECAST"/>
    <n v="-3"/>
    <n v="-3"/>
    <x v="15"/>
    <n v="1"/>
    <x v="0"/>
    <x v="0"/>
    <x v="1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8124/000010"/>
    <n v="1370149185"/>
    <n v="10"/>
    <x v="23"/>
    <x v="23"/>
    <s v="N4"/>
    <n v="2820400331"/>
    <n v="32"/>
    <n v="632724"/>
    <s v="VS400331 STMC COMPACT 3B RU                       "/>
    <s v="S"/>
    <d v="2012-01-30T00:00:00"/>
    <m/>
    <s v="X"/>
    <x v="52"/>
    <n v="40.334400000000002"/>
    <n v="1418"/>
    <d v="2012-01-27T00:00:00"/>
    <d v="2011-12-09T00:00:00"/>
    <n v="1776"/>
    <d v="2011-12-09T00:00:00"/>
    <n v="1776"/>
    <m/>
    <d v="2012-02-15T00:00:00"/>
    <n v="2904"/>
    <d v="2012-04-04T00:00:00"/>
    <d v="2012-02-15T00:00:00"/>
    <n v="1776"/>
    <n v="648"/>
    <x v="27"/>
    <d v="2012-03-14T00:00:00"/>
    <m/>
    <n v="9321658921"/>
    <n v="10"/>
    <s v="TRLU8614260"/>
    <s v="HYUNDAI MERCURY/017W"/>
    <m/>
    <s v="SHANGHAI"/>
    <s v="SP-QLY/PARTIAL- SHIP"/>
    <m/>
    <s v="KENUS WONG"/>
    <s v="FO9"/>
    <s v="ELECTRICAL COOKING            "/>
    <s v="CONFIRMED"/>
    <n v="1"/>
    <n v="4"/>
    <d v="2012-01-25T00:00:00"/>
    <s v="KITCHEN ELECTRICS             "/>
    <s v="ELECTRICAL COOKING            "/>
    <x v="0"/>
    <x v="0"/>
    <x v="13"/>
    <s v="SP-QLY"/>
    <n v="1"/>
    <n v="1"/>
    <x v="13"/>
    <n v="2"/>
    <x v="0"/>
    <x v="0"/>
    <x v="1"/>
    <n v="1"/>
    <n v="0"/>
    <n v="0"/>
    <n v="0"/>
    <n v="0"/>
    <n v="0"/>
    <x v="0"/>
    <x v="1"/>
    <x v="1"/>
    <x v="0"/>
  </r>
  <r>
    <s v="Shipment"/>
    <n v="99003500"/>
    <s v="G.S.E.B. MEXICANA  S.A. DE C.V.                   "/>
    <n v="99003500"/>
    <x v="19"/>
    <s v="37350930/000001"/>
    <n v="1370148069"/>
    <n v="10"/>
    <x v="0"/>
    <x v="0"/>
    <s v="A2"/>
    <n v="7114000242"/>
    <n v="254"/>
    <n v="114000242"/>
    <s v="P2500735 SLIDE SECURE 5 6QT MX                    "/>
    <s v="S"/>
    <d v="2012-01-19T00:00:00"/>
    <m/>
    <s v="X"/>
    <x v="52"/>
    <n v="28.885300000000001"/>
    <n v="375"/>
    <d v="2012-02-10T00:00:00"/>
    <d v="2012-01-06T00:00:00"/>
    <n v="1000"/>
    <d v="2012-01-19T00:00:00"/>
    <n v="1000"/>
    <m/>
    <d v="2012-01-05T00:00:00"/>
    <n v="1000"/>
    <d v="2012-02-23T00:00:00"/>
    <d v="2012-01-19T00:00:00"/>
    <n v="1000"/>
    <n v="1000"/>
    <x v="21"/>
    <d v="2012-02-22T00:00:00"/>
    <m/>
    <n v="9321658925"/>
    <n v="10"/>
    <s v="SUDU6996850"/>
    <s v="MONTE SARMIENTO 202E"/>
    <m/>
    <s v="NINGBO"/>
    <s v="CONS-SHIPT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14/000010"/>
    <n v="1370148089"/>
    <n v="10"/>
    <x v="0"/>
    <x v="0"/>
    <s v="A1"/>
    <n v="2100064660"/>
    <n v="205"/>
    <n v="115003143"/>
    <s v="C8112464 ELEGANCE II SS 3QT SAUCE PAN             "/>
    <s v="S"/>
    <d v="2012-01-20T00:00:00"/>
    <m/>
    <s v="X"/>
    <x v="52"/>
    <n v="10.607699999999999"/>
    <n v="11"/>
    <d v="2012-02-20T00:00:00"/>
    <d v="2012-01-16T00:00:00"/>
    <n v="3800"/>
    <d v="2012-01-16T00:00:00"/>
    <n v="3800"/>
    <m/>
    <d v="2012-01-13T00:00:00"/>
    <n v="3800"/>
    <d v="2012-02-24T00:00:00"/>
    <d v="2012-01-20T00:00:00"/>
    <n v="3800"/>
    <n v="2800"/>
    <x v="14"/>
    <d v="2012-02-24T00:00:00"/>
    <m/>
    <n v="9321658926"/>
    <n v="10"/>
    <s v="INKU2561511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14/000010"/>
    <n v="1370148089"/>
    <n v="10"/>
    <x v="0"/>
    <x v="0"/>
    <s v="A1"/>
    <n v="2100064660"/>
    <n v="205"/>
    <n v="115003143"/>
    <s v="C8112464 ELEGANCE II SS 3QT SAUCE PAN             "/>
    <s v="S"/>
    <d v="2012-01-20T00:00:00"/>
    <m/>
    <s v="X"/>
    <x v="52"/>
    <n v="10.607699999999999"/>
    <n v="11"/>
    <d v="2012-02-20T00:00:00"/>
    <d v="2012-01-16T00:00:00"/>
    <n v="3800"/>
    <d v="2012-01-16T00:00:00"/>
    <n v="3800"/>
    <m/>
    <d v="2012-01-13T00:00:00"/>
    <n v="3800"/>
    <d v="2012-02-24T00:00:00"/>
    <d v="2012-01-20T00:00:00"/>
    <n v="3800"/>
    <n v="1000"/>
    <x v="14"/>
    <d v="2012-02-24T00:00:00"/>
    <m/>
    <n v="9321658926"/>
    <n v="10"/>
    <s v="GESU6572224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17/000010"/>
    <n v="1370148090"/>
    <n v="10"/>
    <x v="0"/>
    <x v="0"/>
    <s v="A1"/>
    <n v="2100065275"/>
    <n v="201"/>
    <n v="115003088"/>
    <s v="A8261484 EASY CARE FS MINI-CHEESE GRIDDL          "/>
    <s v="S"/>
    <d v="2012-01-09T00:00:00"/>
    <m/>
    <s v="X"/>
    <x v="52"/>
    <n v="2.9653"/>
    <n v="3"/>
    <d v="2012-02-14T00:00:00"/>
    <d v="2012-01-10T00:00:00"/>
    <n v="3000"/>
    <d v="2012-01-10T00:00:00"/>
    <n v="3000"/>
    <m/>
    <d v="2012-01-06T00:00:00"/>
    <n v="3000"/>
    <d v="2012-02-10T00:00:00"/>
    <d v="2012-01-06T00:00:00"/>
    <n v="3000"/>
    <n v="3000"/>
    <x v="12"/>
    <d v="2012-02-11T00:00:00"/>
    <m/>
    <n v="9321658927"/>
    <n v="10"/>
    <s v="UNIU5048889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16/000010"/>
    <n v="1370148091"/>
    <n v="10"/>
    <x v="0"/>
    <x v="0"/>
    <s v="A1"/>
    <n v="2100065275"/>
    <n v="201"/>
    <n v="115003088"/>
    <s v="A8261484 EASY CARE FS MINI-CHEESE GRIDDL          "/>
    <s v="S"/>
    <d v="2012-01-20T00:00:00"/>
    <m/>
    <s v="X"/>
    <x v="52"/>
    <n v="2.9653"/>
    <n v="3"/>
    <d v="2012-02-22T00:00:00"/>
    <d v="2012-01-18T00:00:00"/>
    <n v="1998"/>
    <d v="2012-01-18T00:00:00"/>
    <n v="1998"/>
    <m/>
    <d v="2012-01-13T00:00:00"/>
    <n v="1998"/>
    <d v="2012-02-24T00:00:00"/>
    <d v="2012-01-20T00:00:00"/>
    <n v="1998"/>
    <n v="1998"/>
    <x v="14"/>
    <d v="2012-02-24T00:00:00"/>
    <m/>
    <n v="9321658928"/>
    <n v="10"/>
    <s v="GESU6572224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25/000010"/>
    <n v="1370148094"/>
    <n v="10"/>
    <x v="0"/>
    <x v="0"/>
    <s v="A1"/>
    <n v="2100065303"/>
    <n v="201"/>
    <n v="115003155"/>
    <s v="A9098984 &quot;EASY CARE FS GREY 14&quot;&quot; JUMBO W          "/>
    <s v="S"/>
    <d v="2012-01-09T00:00:00"/>
    <m/>
    <s v="X"/>
    <x v="52"/>
    <n v="8.0203000000000007"/>
    <n v="9"/>
    <d v="2012-01-01T00:00:00"/>
    <d v="2012-01-01T00:00:00"/>
    <n v="5001"/>
    <d v="2012-01-01T00:00:00"/>
    <n v="5001"/>
    <m/>
    <d v="2012-01-06T00:00:00"/>
    <n v="5001"/>
    <d v="2012-01-06T00:00:00"/>
    <d v="2012-01-06T00:00:00"/>
    <n v="5001"/>
    <n v="2061"/>
    <x v="7"/>
    <d v="2012-01-06T00:00:00"/>
    <m/>
    <n v="9321658929"/>
    <n v="10"/>
    <s v="HDMU6865169"/>
    <s v="HYUNDAI VOYAGER/026E"/>
    <m/>
    <m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25/000010"/>
    <n v="1370148094"/>
    <n v="10"/>
    <x v="0"/>
    <x v="0"/>
    <s v="A1"/>
    <n v="2100065303"/>
    <n v="201"/>
    <n v="115003155"/>
    <s v="A9098984 &quot;EASY CARE FS GREY 14&quot;&quot; JUMBO W          "/>
    <s v="S"/>
    <d v="2012-01-09T00:00:00"/>
    <m/>
    <s v="X"/>
    <x v="52"/>
    <n v="8.0203000000000007"/>
    <n v="9"/>
    <d v="2012-01-01T00:00:00"/>
    <d v="2012-01-01T00:00:00"/>
    <n v="5001"/>
    <d v="2012-01-01T00:00:00"/>
    <n v="5001"/>
    <m/>
    <d v="2012-01-06T00:00:00"/>
    <n v="5001"/>
    <d v="2012-01-06T00:00:00"/>
    <d v="2012-01-06T00:00:00"/>
    <n v="5001"/>
    <n v="2940"/>
    <x v="7"/>
    <d v="2012-01-06T00:00:00"/>
    <m/>
    <n v="9321658929"/>
    <n v="10"/>
    <s v="BSIU9208944"/>
    <s v="HYUNDAI VOYAGER/026E"/>
    <m/>
    <m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29/000010"/>
    <n v="1370148095"/>
    <n v="10"/>
    <x v="0"/>
    <x v="0"/>
    <s v="A1"/>
    <n v="2100066472"/>
    <n v="201"/>
    <n v="115003219"/>
    <s v="A9097984 EASY CARE TNS GREY 8QT STOCK PO          "/>
    <s v="S"/>
    <d v="2012-01-19T00:00:00"/>
    <m/>
    <s v="X"/>
    <x v="52"/>
    <n v="10.7674"/>
    <n v="11"/>
    <d v="2012-01-25T00:00:00"/>
    <d v="2011-12-21T00:00:00"/>
    <n v="3144"/>
    <d v="2012-01-13T00:00:00"/>
    <n v="3144"/>
    <m/>
    <d v="2011-12-23T00:00:00"/>
    <n v="3144"/>
    <d v="2012-02-24T00:00:00"/>
    <d v="2012-01-20T00:00:00"/>
    <n v="3144"/>
    <n v="2330"/>
    <x v="14"/>
    <d v="2012-02-24T00:00:00"/>
    <m/>
    <n v="9321658930"/>
    <n v="10"/>
    <s v="GATU8547056"/>
    <s v="NYK RUMINA/10E03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29/000010"/>
    <n v="1370148095"/>
    <n v="10"/>
    <x v="0"/>
    <x v="0"/>
    <s v="A1"/>
    <n v="2100066472"/>
    <n v="201"/>
    <n v="115003219"/>
    <s v="A9097984 EASY CARE TNS GREY 8QT STOCK PO          "/>
    <s v="S"/>
    <d v="2012-01-19T00:00:00"/>
    <m/>
    <s v="X"/>
    <x v="52"/>
    <n v="10.7674"/>
    <n v="11"/>
    <d v="2012-01-25T00:00:00"/>
    <d v="2011-12-21T00:00:00"/>
    <n v="3144"/>
    <d v="2012-01-13T00:00:00"/>
    <n v="3144"/>
    <m/>
    <d v="2011-12-23T00:00:00"/>
    <n v="3144"/>
    <d v="2012-02-24T00:00:00"/>
    <d v="2012-01-20T00:00:00"/>
    <n v="3144"/>
    <n v="814"/>
    <x v="14"/>
    <d v="2012-02-24T00:00:00"/>
    <m/>
    <n v="9321658930"/>
    <n v="10"/>
    <s v="HLXU4132100"/>
    <s v="NYK RUMINA/10E03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30/000010"/>
    <n v="1370148096"/>
    <n v="10"/>
    <x v="0"/>
    <x v="0"/>
    <s v="A1"/>
    <n v="2100066472"/>
    <n v="201"/>
    <n v="115003219"/>
    <s v="A9097984 EASY CARE TNS GREY 8QT STOCK PO          "/>
    <s v="S"/>
    <d v="2012-01-13T00:00:00"/>
    <m/>
    <s v="X"/>
    <x v="52"/>
    <n v="10.7674"/>
    <n v="11"/>
    <d v="2012-01-27T00:00:00"/>
    <d v="2011-12-23T00:00:00"/>
    <n v="6300"/>
    <d v="2012-01-13T00:00:00"/>
    <n v="6300"/>
    <m/>
    <d v="2012-01-13T00:00:00"/>
    <n v="11300"/>
    <d v="2012-02-24T00:00:00"/>
    <d v="2012-01-20T00:00:00"/>
    <n v="6300"/>
    <n v="2330"/>
    <x v="24"/>
    <d v="2012-02-17T00:00:00"/>
    <m/>
    <n v="9321658931"/>
    <n v="10"/>
    <s v="HLXU6562199"/>
    <s v="NYK CONSTELLATION/26"/>
    <m/>
    <s v="NINGBO"/>
    <s v="C-POST-CONF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0130/000010"/>
    <n v="1370148096"/>
    <n v="10"/>
    <x v="0"/>
    <x v="0"/>
    <s v="A1"/>
    <n v="2100066472"/>
    <n v="201"/>
    <n v="115003219"/>
    <s v="A9097984 EASY CARE TNS GREY 8QT STOCK PO          "/>
    <s v="S"/>
    <d v="2012-01-13T00:00:00"/>
    <m/>
    <s v="X"/>
    <x v="52"/>
    <n v="10.7674"/>
    <n v="11"/>
    <d v="2012-01-27T00:00:00"/>
    <d v="2011-12-23T00:00:00"/>
    <n v="6300"/>
    <d v="2012-01-13T00:00:00"/>
    <n v="6300"/>
    <m/>
    <d v="2012-01-13T00:00:00"/>
    <n v="11300"/>
    <d v="2012-02-24T00:00:00"/>
    <d v="2012-01-20T00:00:00"/>
    <n v="6300"/>
    <n v="340"/>
    <x v="24"/>
    <d v="2012-02-17T00:00:00"/>
    <m/>
    <n v="9321658931"/>
    <n v="10"/>
    <s v="TGHU7744315"/>
    <s v="NYK CONSTELLATION/26"/>
    <m/>
    <s v="NINGBO"/>
    <s v="C-POST-CONF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0130/000010"/>
    <n v="1370148096"/>
    <n v="10"/>
    <x v="0"/>
    <x v="0"/>
    <s v="A1"/>
    <n v="2100066472"/>
    <n v="201"/>
    <n v="115003219"/>
    <s v="A9097984 EASY CARE TNS GREY 8QT STOCK PO          "/>
    <s v="S"/>
    <d v="2012-01-13T00:00:00"/>
    <m/>
    <s v="X"/>
    <x v="52"/>
    <n v="10.7674"/>
    <n v="11"/>
    <d v="2012-01-27T00:00:00"/>
    <d v="2011-12-23T00:00:00"/>
    <n v="6300"/>
    <d v="2012-01-13T00:00:00"/>
    <n v="6300"/>
    <m/>
    <d v="2012-01-13T00:00:00"/>
    <n v="11300"/>
    <d v="2012-02-24T00:00:00"/>
    <d v="2012-01-20T00:00:00"/>
    <n v="6300"/>
    <n v="2330"/>
    <x v="24"/>
    <d v="2012-02-17T00:00:00"/>
    <m/>
    <n v="9321658931"/>
    <n v="10"/>
    <s v="GATU8115807"/>
    <s v="NYK CONSTELLATION/26"/>
    <m/>
    <s v="NINGBO"/>
    <s v="C-POST-CONF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0130/000010"/>
    <n v="1370148096"/>
    <n v="10"/>
    <x v="0"/>
    <x v="0"/>
    <s v="A1"/>
    <n v="2100066472"/>
    <n v="201"/>
    <n v="115003219"/>
    <s v="A9097984 EASY CARE TNS GREY 8QT STOCK PO          "/>
    <s v="S"/>
    <d v="2012-01-19T00:00:00"/>
    <m/>
    <s v="X"/>
    <x v="52"/>
    <n v="10.7674"/>
    <n v="11"/>
    <d v="2012-01-27T00:00:00"/>
    <d v="2011-12-23T00:00:00"/>
    <n v="6300"/>
    <d v="2012-01-13T00:00:00"/>
    <n v="6300"/>
    <m/>
    <d v="2012-01-13T00:00:00"/>
    <n v="11300"/>
    <d v="2012-02-24T00:00:00"/>
    <d v="2012-01-20T00:00:00"/>
    <n v="6300"/>
    <n v="1300"/>
    <x v="14"/>
    <d v="2012-02-24T00:00:00"/>
    <m/>
    <n v="9321658931"/>
    <n v="10"/>
    <s v="HLXU5083020"/>
    <s v="NYK RUMINA/10E03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0151/000010"/>
    <n v="1370148097"/>
    <n v="10"/>
    <x v="0"/>
    <x v="0"/>
    <s v="A1"/>
    <n v="2100064673"/>
    <n v="201"/>
    <n v="116000978"/>
    <s v="A909SI74 T-FAL EASY CARE GREY TNS 18P SE          "/>
    <s v="S"/>
    <d v="2012-01-10T00:00:00"/>
    <m/>
    <s v="X"/>
    <x v="52"/>
    <n v="49.091099999999997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534"/>
    <x v="7"/>
    <d v="2012-02-10T00:00:00"/>
    <m/>
    <n v="9321658932"/>
    <n v="10"/>
    <s v="HDMU6183723"/>
    <s v="HYUNDAI VOYAGER/026E"/>
    <m/>
    <s v="NINGBO"/>
    <s v="FORWARDER-PROB/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0"/>
    <s v="C-POST-CONF"/>
    <n v="1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51/000010"/>
    <n v="1370148097"/>
    <n v="10"/>
    <x v="0"/>
    <x v="0"/>
    <s v="A1"/>
    <n v="2100064673"/>
    <n v="201"/>
    <n v="116000978"/>
    <s v="A909SI74 T-FAL EASY CARE GREY TNS 18P SE          "/>
    <s v="S"/>
    <d v="2012-01-10T00:00:00"/>
    <m/>
    <s v="X"/>
    <x v="52"/>
    <n v="49.091099999999997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BSIU9212013"/>
    <s v="HYUNDAI VOYAGER/026E"/>
    <m/>
    <s v="NINGBO"/>
    <s v="FORWARDER-PROB/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0"/>
    <s v="C-POST-CONF"/>
    <n v="1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51/000010"/>
    <n v="1370148097"/>
    <n v="10"/>
    <x v="0"/>
    <x v="0"/>
    <s v="A1"/>
    <n v="2100064673"/>
    <n v="201"/>
    <n v="116000978"/>
    <s v="A909SI74 T-FAL EASY CARE GREY TNS 18P SE          "/>
    <s v="S"/>
    <d v="2012-01-10T00:00:00"/>
    <m/>
    <s v="X"/>
    <x v="52"/>
    <n v="49.091099999999997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CAXU9904337"/>
    <s v="HYUNDAI VOYAGER/026E"/>
    <m/>
    <s v="NINGBO"/>
    <s v="FORWARDER-PROB/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0"/>
    <s v="C-POST-CONF"/>
    <n v="1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51/000010"/>
    <n v="1370148097"/>
    <n v="10"/>
    <x v="0"/>
    <x v="0"/>
    <s v="A1"/>
    <n v="2100064673"/>
    <n v="201"/>
    <n v="116000978"/>
    <s v="A909SI74 T-FAL EASY CARE GREY TNS 18P SE          "/>
    <s v="S"/>
    <d v="2012-01-10T00:00:00"/>
    <m/>
    <s v="X"/>
    <x v="52"/>
    <n v="49.091099999999997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HDMU6686707"/>
    <s v="HYUNDAI VOYAGER/026E"/>
    <m/>
    <s v="NINGBO"/>
    <s v="FORWARDER-PROB/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0"/>
    <s v="C-POST-CONF"/>
    <n v="1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51/000010"/>
    <n v="1370148097"/>
    <n v="10"/>
    <x v="0"/>
    <x v="0"/>
    <s v="A1"/>
    <n v="2100064673"/>
    <n v="201"/>
    <n v="116000978"/>
    <s v="A909SI74 T-FAL EASY CARE GREY TNS 18P SE          "/>
    <s v="S"/>
    <d v="2012-01-10T00:00:00"/>
    <m/>
    <s v="X"/>
    <x v="52"/>
    <n v="49.091099999999997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HDMU6378480"/>
    <s v="HYUNDAI VOYAGER/026E"/>
    <m/>
    <s v="NINGBO"/>
    <s v="FORWARDER-PROB/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0"/>
    <s v="C-POST-CONF"/>
    <n v="1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51/000010"/>
    <n v="1370148097"/>
    <n v="10"/>
    <x v="0"/>
    <x v="0"/>
    <s v="A1"/>
    <n v="2100064673"/>
    <n v="201"/>
    <n v="116000978"/>
    <s v="A909SI74 T-FAL EASY CARE GREY TNS 18P SE          "/>
    <s v="S"/>
    <d v="2012-01-10T00:00:00"/>
    <m/>
    <s v="X"/>
    <x v="52"/>
    <n v="49.091099999999997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FCIU8944157"/>
    <s v="HYUNDAI VOYAGER/026E"/>
    <m/>
    <s v="NINGBO"/>
    <s v="FORWARDER-PROB/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0"/>
    <s v="C-POST-CONF"/>
    <n v="1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51/000010"/>
    <n v="1370148097"/>
    <n v="10"/>
    <x v="0"/>
    <x v="0"/>
    <s v="A1"/>
    <n v="2100064673"/>
    <n v="201"/>
    <n v="116000978"/>
    <s v="A909SI74 T-FAL EASY CARE GREY TNS 18P SE          "/>
    <s v="S"/>
    <d v="2012-01-10T00:00:00"/>
    <m/>
    <s v="X"/>
    <x v="52"/>
    <n v="49.091099999999997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HDMU6875090"/>
    <s v="HYUNDAI VOYAGER/026E"/>
    <m/>
    <s v="NINGBO"/>
    <s v="FORWARDER-PROB/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0"/>
    <s v="C-POST-CONF"/>
    <n v="1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51/000010"/>
    <n v="1370148097"/>
    <n v="10"/>
    <x v="0"/>
    <x v="0"/>
    <s v="A1"/>
    <n v="2100064673"/>
    <n v="201"/>
    <n v="116000978"/>
    <s v="A909SI74 T-FAL EASY CARE GREY TNS 18P SE          "/>
    <s v="S"/>
    <d v="2012-01-10T00:00:00"/>
    <m/>
    <s v="X"/>
    <x v="52"/>
    <n v="49.091099999999997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CAIU8396610"/>
    <s v="HYUNDAI VOYAGER/026E"/>
    <m/>
    <s v="NINGBO"/>
    <s v="FORWARDER-PROB/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0"/>
    <s v="C-POST-CONF"/>
    <n v="1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51/000010"/>
    <n v="1370148097"/>
    <n v="10"/>
    <x v="0"/>
    <x v="0"/>
    <s v="A1"/>
    <n v="2100064673"/>
    <n v="201"/>
    <n v="116000978"/>
    <s v="A909SI74 T-FAL EASY CARE GREY TNS 18P SE          "/>
    <s v="S"/>
    <d v="2012-01-10T00:00:00"/>
    <m/>
    <s v="X"/>
    <x v="52"/>
    <n v="49.091099999999997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HDMU6332112"/>
    <s v="HYUNDAI VOYAGER/026E"/>
    <m/>
    <s v="NINGBO"/>
    <s v="FORWARDER-PROB/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0"/>
    <s v="C-POST-CONF"/>
    <n v="1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51/000010"/>
    <n v="1370148097"/>
    <n v="10"/>
    <x v="0"/>
    <x v="0"/>
    <s v="A1"/>
    <n v="2100064673"/>
    <n v="201"/>
    <n v="116000978"/>
    <s v="A909SI74 T-FAL EASY CARE GREY TNS 18P SE          "/>
    <s v="S"/>
    <d v="2012-01-10T00:00:00"/>
    <m/>
    <s v="X"/>
    <x v="52"/>
    <n v="49.091099999999997"/>
    <n v="51"/>
    <d v="2012-01-13T00:00:00"/>
    <d v="2011-12-09T00:00:00"/>
    <n v="8400"/>
    <d v="2012-01-06T00:00:00"/>
    <n v="8400"/>
    <m/>
    <d v="2011-12-16T00:00:00"/>
    <n v="8400"/>
    <d v="2012-02-17T00:00:00"/>
    <d v="2012-01-13T00:00:00"/>
    <n v="8400"/>
    <n v="874"/>
    <x v="7"/>
    <d v="2012-02-10T00:00:00"/>
    <m/>
    <n v="9321658932"/>
    <n v="10"/>
    <s v="CAXU9989571"/>
    <s v="HYUNDAI VOYAGER/026E"/>
    <m/>
    <s v="NINGBO"/>
    <s v="FORWARDER-PROB/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0"/>
    <s v="C-POST-CONF"/>
    <n v="1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70/000010"/>
    <n v="1370148099"/>
    <n v="10"/>
    <x v="0"/>
    <x v="0"/>
    <s v="A1"/>
    <n v="2100055934"/>
    <n v="200"/>
    <n v="115002208"/>
    <s v="C1180864 SIGNATURE TNS RED FP 12&quot; SOFT H          "/>
    <s v="S"/>
    <d v="2012-01-09T00:00:00"/>
    <m/>
    <s v="X"/>
    <x v="52"/>
    <n v="7.6921999999999997"/>
    <n v="8"/>
    <d v="2012-02-10T00:00:00"/>
    <d v="2012-01-06T00:00:00"/>
    <n v="2001"/>
    <d v="2012-01-06T00:00:00"/>
    <n v="2001"/>
    <m/>
    <d v="2012-01-06T00:00:00"/>
    <n v="2001"/>
    <d v="2012-02-10T00:00:00"/>
    <d v="2012-01-06T00:00:00"/>
    <n v="2001"/>
    <n v="2001"/>
    <x v="7"/>
    <d v="2012-02-10T00:00:00"/>
    <m/>
    <n v="9321658933"/>
    <n v="10"/>
    <s v="FSCU9067766"/>
    <s v="HYUNDAI VOYAGER/026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76/000010"/>
    <n v="1370148100"/>
    <n v="10"/>
    <x v="0"/>
    <x v="0"/>
    <s v="A1"/>
    <n v="2100055935"/>
    <n v="200"/>
    <n v="116000673"/>
    <s v="C118SC64 SIGNATURE TNS RED 12P SET TS SO          "/>
    <s v="S"/>
    <d v="2012-01-19T00:00:00"/>
    <m/>
    <s v="X"/>
    <x v="52"/>
    <n v="39.852600000000002"/>
    <n v="42"/>
    <d v="2012-02-20T00:00:00"/>
    <d v="2012-01-16T00:00:00"/>
    <n v="1000"/>
    <d v="2012-01-16T00:00:00"/>
    <n v="1000"/>
    <m/>
    <d v="2012-01-13T00:00:00"/>
    <n v="1000"/>
    <d v="2012-02-24T00:00:00"/>
    <d v="2012-01-20T00:00:00"/>
    <n v="1000"/>
    <n v="1000"/>
    <x v="14"/>
    <d v="2012-02-24T00:00:00"/>
    <m/>
    <n v="9321658934"/>
    <n v="10"/>
    <s v="GATU4166658"/>
    <s v="NYK RUMINA/10E03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39/000010"/>
    <n v="1370148103"/>
    <n v="10"/>
    <x v="0"/>
    <x v="0"/>
    <s v="A1"/>
    <n v="2100066473"/>
    <n v="201"/>
    <n v="115003220"/>
    <s v="A9098084 EASY CARE TNS GREY 12QT STOCK P          "/>
    <s v="S"/>
    <d v="2012-01-09T00:00:00"/>
    <m/>
    <s v="X"/>
    <x v="52"/>
    <n v="13.0009"/>
    <n v="14"/>
    <d v="2012-02-05T00:00:00"/>
    <d v="2012-01-01T00:00:00"/>
    <n v="2000"/>
    <d v="2012-01-01T00:00:00"/>
    <n v="2000"/>
    <m/>
    <d v="2012-01-06T00:00:00"/>
    <n v="2000"/>
    <d v="2012-02-10T00:00:00"/>
    <d v="2012-01-06T00:00:00"/>
    <n v="2000"/>
    <n v="1764"/>
    <x v="7"/>
    <d v="2012-02-10T00:00:00"/>
    <m/>
    <n v="9321658935"/>
    <n v="10"/>
    <s v="GESU6547155"/>
    <s v="HYUNDAI VOYAGER/026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39/000010"/>
    <n v="1370148103"/>
    <n v="10"/>
    <x v="0"/>
    <x v="0"/>
    <s v="A1"/>
    <n v="2100066473"/>
    <n v="201"/>
    <n v="115003220"/>
    <s v="A9098084 EASY CARE TNS GREY 12QT STOCK P          "/>
    <s v="S"/>
    <d v="2012-01-09T00:00:00"/>
    <m/>
    <s v="X"/>
    <x v="52"/>
    <n v="13.0009"/>
    <n v="14"/>
    <d v="2012-02-05T00:00:00"/>
    <d v="2012-01-01T00:00:00"/>
    <n v="2000"/>
    <d v="2012-01-01T00:00:00"/>
    <n v="2000"/>
    <m/>
    <d v="2012-01-06T00:00:00"/>
    <n v="2000"/>
    <d v="2012-02-10T00:00:00"/>
    <d v="2012-01-06T00:00:00"/>
    <n v="2000"/>
    <n v="236"/>
    <x v="7"/>
    <d v="2012-02-10T00:00:00"/>
    <m/>
    <n v="9321658935"/>
    <n v="10"/>
    <s v="HDMU6537154"/>
    <s v="HYUNDAI VOYAGER/026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26/000010"/>
    <n v="1370148104"/>
    <n v="10"/>
    <x v="0"/>
    <x v="0"/>
    <s v="A1"/>
    <n v="2100065303"/>
    <n v="201"/>
    <n v="115003155"/>
    <s v="A9098984 &quot;EASY CARE FS GREY 14&quot;&quot; JUMBO W          "/>
    <s v="S"/>
    <d v="2012-01-09T00:00:00"/>
    <m/>
    <s v="X"/>
    <x v="52"/>
    <n v="8.0203000000000007"/>
    <n v="9"/>
    <d v="2012-01-11T00:00:00"/>
    <d v="2012-01-11T00:00:00"/>
    <n v="5001"/>
    <d v="2012-01-11T00:00:00"/>
    <n v="5001"/>
    <m/>
    <d v="2012-01-06T00:00:00"/>
    <n v="5001"/>
    <d v="2012-01-06T00:00:00"/>
    <d v="2012-01-06T00:00:00"/>
    <n v="5001"/>
    <n v="3075"/>
    <x v="7"/>
    <d v="2012-01-06T00:00:00"/>
    <m/>
    <n v="9321658936"/>
    <n v="10"/>
    <s v="ZCSU8289749"/>
    <s v="ZIM SAVANNAH/29E"/>
    <m/>
    <m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26/000010"/>
    <n v="1370148104"/>
    <n v="10"/>
    <x v="0"/>
    <x v="0"/>
    <s v="A1"/>
    <n v="2100065303"/>
    <n v="201"/>
    <n v="115003155"/>
    <s v="A9098984 &quot;EASY CARE FS GREY 14&quot;&quot; JUMBO W          "/>
    <s v="S"/>
    <d v="2012-01-09T00:00:00"/>
    <m/>
    <s v="X"/>
    <x v="52"/>
    <n v="8.0203000000000007"/>
    <n v="9"/>
    <d v="2012-01-11T00:00:00"/>
    <d v="2012-01-11T00:00:00"/>
    <n v="5001"/>
    <d v="2012-01-11T00:00:00"/>
    <n v="5001"/>
    <m/>
    <d v="2012-01-06T00:00:00"/>
    <n v="5001"/>
    <d v="2012-01-06T00:00:00"/>
    <d v="2012-01-06T00:00:00"/>
    <n v="5001"/>
    <n v="1725"/>
    <x v="7"/>
    <d v="2012-01-06T00:00:00"/>
    <m/>
    <n v="9321658936"/>
    <n v="10"/>
    <s v="ZCSU8745129"/>
    <s v="ZIM SAVANNAH/29E"/>
    <m/>
    <m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26/000010"/>
    <n v="1370148104"/>
    <n v="10"/>
    <x v="0"/>
    <x v="0"/>
    <s v="A1"/>
    <n v="2100065303"/>
    <n v="201"/>
    <n v="115003155"/>
    <s v="A9098984 &quot;EASY CARE FS GREY 14&quot;&quot; JUMBO W          "/>
    <s v="S"/>
    <d v="2012-01-09T00:00:00"/>
    <m/>
    <s v="X"/>
    <x v="52"/>
    <n v="8.0203000000000007"/>
    <n v="9"/>
    <d v="2012-01-11T00:00:00"/>
    <d v="2012-01-11T00:00:00"/>
    <n v="5001"/>
    <d v="2012-01-11T00:00:00"/>
    <n v="5001"/>
    <m/>
    <d v="2012-01-06T00:00:00"/>
    <n v="5001"/>
    <d v="2012-01-06T00:00:00"/>
    <d v="2012-01-06T00:00:00"/>
    <n v="5001"/>
    <n v="201"/>
    <x v="7"/>
    <d v="2012-01-06T00:00:00"/>
    <m/>
    <n v="9321658936"/>
    <n v="10"/>
    <s v="ZCSU8670478"/>
    <s v="ZIM SAVANNAH/29E"/>
    <m/>
    <m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21/000010"/>
    <n v="1370148105"/>
    <n v="10"/>
    <x v="0"/>
    <x v="0"/>
    <s v="A1"/>
    <n v="2100064662"/>
    <n v="205"/>
    <s v="               "/>
    <s v="C811SA64 T-FAL ELEGANCE II SS 10P SET VO          "/>
    <s v="S"/>
    <d v="2012-01-11T00:00:00"/>
    <m/>
    <s v="X"/>
    <x v="52"/>
    <n v="49.3429"/>
    <n v="49"/>
    <d v="2012-02-15T00:00:00"/>
    <d v="2012-01-11T00:00:00"/>
    <n v="2000"/>
    <d v="2012-01-11T00:00:00"/>
    <n v="2000"/>
    <m/>
    <d v="2012-01-06T00:00:00"/>
    <n v="2000"/>
    <d v="2012-02-10T00:00:00"/>
    <d v="2012-01-06T00:00:00"/>
    <n v="2000"/>
    <n v="1176"/>
    <x v="12"/>
    <d v="2012-02-11T00:00:00"/>
    <m/>
    <n v="9321658937"/>
    <n v="10"/>
    <s v="GESU4168810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21/000010"/>
    <n v="1370148105"/>
    <n v="10"/>
    <x v="0"/>
    <x v="0"/>
    <s v="A1"/>
    <n v="2100064662"/>
    <n v="205"/>
    <s v="               "/>
    <s v="C811SA64 T-FAL ELEGANCE II SS 10P SET VO          "/>
    <s v="S"/>
    <d v="2012-01-11T00:00:00"/>
    <m/>
    <s v="X"/>
    <x v="52"/>
    <n v="49.3429"/>
    <n v="49"/>
    <d v="2012-02-15T00:00:00"/>
    <d v="2012-01-11T00:00:00"/>
    <n v="2000"/>
    <d v="2012-01-11T00:00:00"/>
    <n v="2000"/>
    <m/>
    <d v="2012-01-06T00:00:00"/>
    <n v="2000"/>
    <d v="2012-02-10T00:00:00"/>
    <d v="2012-01-06T00:00:00"/>
    <n v="2000"/>
    <n v="824"/>
    <x v="12"/>
    <d v="2012-02-11T00:00:00"/>
    <m/>
    <n v="9321658937"/>
    <n v="10"/>
    <s v="MSKU1909648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47/000010"/>
    <n v="1370148112"/>
    <n v="10"/>
    <x v="0"/>
    <x v="0"/>
    <s v="A1"/>
    <n v="2100055444"/>
    <n v="206"/>
    <n v="116000511"/>
    <s v="E938SA74 PROFESSIONAL TNS BLK SET 10PC            "/>
    <s v="S"/>
    <d v="2012-01-20T00:00:00"/>
    <m/>
    <s v="X"/>
    <x v="52"/>
    <n v="50.077599999999997"/>
    <n v="52"/>
    <d v="2012-02-05T00:00:00"/>
    <d v="2012-01-01T00:00:00"/>
    <n v="3200"/>
    <d v="2012-01-20T00:00:00"/>
    <n v="3200"/>
    <m/>
    <d v="2012-01-20T00:00:00"/>
    <n v="3200"/>
    <d v="2012-02-24T00:00:00"/>
    <d v="2012-01-20T00:00:00"/>
    <n v="3200"/>
    <n v="880"/>
    <x v="14"/>
    <d v="2012-02-24T00:00:00"/>
    <m/>
    <n v="9321658938"/>
    <n v="10"/>
    <s v="INKU6093189"/>
    <s v="CLEMENTINE MAERSK/56"/>
    <m/>
    <s v="NINGBO"/>
    <s v="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947/000010"/>
    <n v="1370148112"/>
    <n v="10"/>
    <x v="0"/>
    <x v="0"/>
    <s v="A1"/>
    <n v="2100055444"/>
    <n v="206"/>
    <n v="116000511"/>
    <s v="E938SA74 PROFESSIONAL TNS BLK SET 10PC            "/>
    <s v="S"/>
    <d v="2012-01-20T00:00:00"/>
    <m/>
    <s v="X"/>
    <x v="52"/>
    <n v="50.077599999999997"/>
    <n v="52"/>
    <d v="2012-02-05T00:00:00"/>
    <d v="2012-01-01T00:00:00"/>
    <n v="3200"/>
    <d v="2012-01-20T00:00:00"/>
    <n v="3200"/>
    <m/>
    <d v="2012-01-20T00:00:00"/>
    <n v="3200"/>
    <d v="2012-02-24T00:00:00"/>
    <d v="2012-01-20T00:00:00"/>
    <n v="3200"/>
    <n v="1160"/>
    <x v="14"/>
    <d v="2012-02-24T00:00:00"/>
    <m/>
    <n v="9321658938"/>
    <n v="10"/>
    <s v="GVCU5169602"/>
    <s v="CLEMENTINE MAERSK/56"/>
    <m/>
    <s v="NINGBO"/>
    <s v="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947/000010"/>
    <n v="1370148112"/>
    <n v="10"/>
    <x v="0"/>
    <x v="0"/>
    <s v="A1"/>
    <n v="2100055444"/>
    <n v="206"/>
    <n v="116000511"/>
    <s v="E938SA74 PROFESSIONAL TNS BLK SET 10PC            "/>
    <s v="S"/>
    <d v="2012-01-20T00:00:00"/>
    <m/>
    <s v="X"/>
    <x v="52"/>
    <n v="50.077599999999997"/>
    <n v="52"/>
    <d v="2012-02-05T00:00:00"/>
    <d v="2012-01-01T00:00:00"/>
    <n v="3200"/>
    <d v="2012-01-20T00:00:00"/>
    <n v="3200"/>
    <m/>
    <d v="2012-01-20T00:00:00"/>
    <n v="3200"/>
    <d v="2012-02-24T00:00:00"/>
    <d v="2012-01-20T00:00:00"/>
    <n v="3200"/>
    <n v="1160"/>
    <x v="14"/>
    <d v="2012-02-24T00:00:00"/>
    <m/>
    <n v="9321658938"/>
    <n v="10"/>
    <s v="CMAU4249465"/>
    <s v="CLEMENTINE MAERSK/56"/>
    <m/>
    <s v="NINGBO"/>
    <s v="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201/000010"/>
    <n v="1370148118"/>
    <n v="10"/>
    <x v="0"/>
    <x v="0"/>
    <s v="A1"/>
    <n v="2100051008"/>
    <n v="205"/>
    <n v="115001462"/>
    <s v="A8342464 COOK N STRAIN SS 3QT SP                  "/>
    <s v="S"/>
    <d v="2012-01-17T00:00:00"/>
    <m/>
    <s v="X"/>
    <x v="52"/>
    <n v="9.8489000000000004"/>
    <n v="10"/>
    <d v="2012-02-15T00:00:00"/>
    <d v="2012-01-11T00:00:00"/>
    <n v="3500"/>
    <d v="2012-01-11T00:00:00"/>
    <n v="3500"/>
    <m/>
    <d v="2012-01-13T00:00:00"/>
    <n v="3500"/>
    <d v="2012-02-17T00:00:00"/>
    <d v="2012-01-13T00:00:00"/>
    <n v="3500"/>
    <n v="3500"/>
    <x v="9"/>
    <d v="2012-02-18T00:00:00"/>
    <m/>
    <n v="9321658940"/>
    <n v="10"/>
    <s v="MSKU8708985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718/000010"/>
    <n v="1370148122"/>
    <n v="10"/>
    <x v="0"/>
    <x v="0"/>
    <s v="A1"/>
    <n v="2100065266"/>
    <n v="200"/>
    <n v="115003089"/>
    <s v="A8310074 EASY CARE FS RED ONE EGG WONDER          "/>
    <s v="S"/>
    <d v="2012-01-09T00:00:00"/>
    <m/>
    <s v="X"/>
    <x v="52"/>
    <n v="2.1297999999999999"/>
    <n v="2"/>
    <d v="2012-02-15T00:00:00"/>
    <d v="2012-01-11T00:00:00"/>
    <n v="11076"/>
    <d v="2012-01-11T00:00:00"/>
    <n v="11076"/>
    <m/>
    <d v="2012-01-06T00:00:00"/>
    <n v="11076"/>
    <d v="2012-02-10T00:00:00"/>
    <d v="2012-01-06T00:00:00"/>
    <n v="11076"/>
    <n v="11076"/>
    <x v="12"/>
    <d v="2012-02-11T00:00:00"/>
    <m/>
    <n v="9321658942"/>
    <n v="10"/>
    <s v="UNIU5049150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18/000010"/>
    <n v="1370148125"/>
    <n v="10"/>
    <x v="0"/>
    <x v="0"/>
    <s v="A1"/>
    <n v="2100064662"/>
    <n v="205"/>
    <s v="               "/>
    <s v="C811SA64 T-FAL ELEGANCE II SS 10P SET VO          "/>
    <s v="S"/>
    <d v="2012-01-13T00:00:00"/>
    <m/>
    <s v="X"/>
    <x v="52"/>
    <n v="49.3429"/>
    <n v="49"/>
    <d v="2012-01-20T00:00:00"/>
    <d v="2011-12-16T00:00:00"/>
    <n v="1000"/>
    <d v="2012-01-13T00:00:00"/>
    <n v="1000"/>
    <m/>
    <d v="2011-12-30T00:00:00"/>
    <n v="1000"/>
    <d v="2012-02-17T00:00:00"/>
    <d v="2012-01-13T00:00:00"/>
    <n v="1000"/>
    <n v="1000"/>
    <x v="24"/>
    <d v="2012-02-17T00:00:00"/>
    <m/>
    <n v="9321658944"/>
    <n v="10"/>
    <s v="TGHU7744315"/>
    <s v="NYK CONSTELLATION/26"/>
    <m/>
    <s v="NINGBO"/>
    <s v="C-POST-CONF/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670/000010"/>
    <n v="1370148127"/>
    <n v="10"/>
    <x v="0"/>
    <x v="0"/>
    <s v="A7"/>
    <n v="8700800118"/>
    <n v="239"/>
    <n v="115001045"/>
    <s v="5014 - DISC 14&quot; SS PTE ROTIPAN                    "/>
    <s v="S"/>
    <d v="2012-01-11T00:00:00"/>
    <m/>
    <s v="X"/>
    <x v="52"/>
    <n v="25.653099999999998"/>
    <n v="27"/>
    <d v="2012-02-15T00:00:00"/>
    <d v="2012-01-11T00:00:00"/>
    <n v="1000"/>
    <d v="2012-01-11T00:00:00"/>
    <n v="1000"/>
    <m/>
    <d v="2012-01-06T00:00:00"/>
    <n v="1000"/>
    <d v="2012-02-10T00:00:00"/>
    <d v="2012-01-06T00:00:00"/>
    <n v="1000"/>
    <n v="700"/>
    <x v="12"/>
    <d v="2012-02-11T00:00:00"/>
    <m/>
    <n v="9321658945"/>
    <n v="10"/>
    <s v="FSCU6732760"/>
    <s v="NYK METEOR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670/000010"/>
    <n v="1370148127"/>
    <n v="10"/>
    <x v="0"/>
    <x v="0"/>
    <s v="A7"/>
    <n v="8700800118"/>
    <n v="239"/>
    <n v="115001045"/>
    <s v="5014 - DISC 14&quot; SS PTE ROTIPAN                    "/>
    <s v="S"/>
    <d v="2012-01-11T00:00:00"/>
    <m/>
    <s v="X"/>
    <x v="52"/>
    <n v="25.653099999999998"/>
    <n v="27"/>
    <d v="2012-02-15T00:00:00"/>
    <d v="2012-01-11T00:00:00"/>
    <n v="1000"/>
    <d v="2012-01-11T00:00:00"/>
    <n v="1000"/>
    <m/>
    <d v="2012-01-06T00:00:00"/>
    <n v="1000"/>
    <d v="2012-02-10T00:00:00"/>
    <d v="2012-01-06T00:00:00"/>
    <n v="1000"/>
    <n v="300"/>
    <x v="12"/>
    <d v="2012-02-11T00:00:00"/>
    <m/>
    <n v="9321658945"/>
    <n v="10"/>
    <s v="CMUU4612185"/>
    <s v="NYK METEOR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85/000010"/>
    <n v="1370148132"/>
    <n v="10"/>
    <x v="0"/>
    <x v="0"/>
    <s v="A1"/>
    <n v="2100064494"/>
    <n v="205"/>
    <n v="115003121"/>
    <s v="A8340764 FP30 COOK N STRAIN2 UNCOAT SS W          "/>
    <s v="S"/>
    <d v="2012-01-19T00:00:00"/>
    <m/>
    <s v="X"/>
    <x v="52"/>
    <n v="9.0352999999999994"/>
    <n v="9"/>
    <d v="2012-02-15T00:00:00"/>
    <d v="2012-01-11T00:00:00"/>
    <n v="4000"/>
    <d v="2012-01-20T00:00:00"/>
    <n v="4000"/>
    <m/>
    <d v="2012-01-13T00:00:00"/>
    <n v="4000"/>
    <d v="2012-02-24T00:00:00"/>
    <d v="2012-01-20T00:00:00"/>
    <n v="4000"/>
    <n v="4000"/>
    <x v="14"/>
    <d v="2012-02-24T00:00:00"/>
    <m/>
    <n v="9321658946"/>
    <n v="10"/>
    <s v="CAXU9894120"/>
    <s v="CLEMENTINE MAERSK/56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84/000010"/>
    <n v="1370148136"/>
    <n v="10"/>
    <x v="0"/>
    <x v="0"/>
    <s v="A1"/>
    <n v="2100064494"/>
    <n v="205"/>
    <n v="115003121"/>
    <s v="A8340764 FP30 COOK N STRAIN2 UNCOAT SS W          "/>
    <s v="S"/>
    <d v="2012-01-19T00:00:00"/>
    <m/>
    <s v="X"/>
    <x v="52"/>
    <n v="9.0352999999999994"/>
    <n v="9"/>
    <d v="2012-02-05T00:00:00"/>
    <d v="2012-01-01T00:00:00"/>
    <n v="4500"/>
    <d v="2012-01-20T00:00:00"/>
    <n v="4488"/>
    <m/>
    <d v="2012-01-20T00:00:00"/>
    <n v="4512"/>
    <d v="2012-02-24T00:00:00"/>
    <d v="2012-01-20T00:00:00"/>
    <n v="4488"/>
    <n v="2088"/>
    <x v="14"/>
    <d v="2012-02-24T00:00:00"/>
    <m/>
    <n v="9321658947"/>
    <n v="10"/>
    <s v="CAXU9151207"/>
    <s v="CLEMENTINE MAERSK/56"/>
    <m/>
    <s v="NINGBO"/>
    <s v="SP-OVERCAP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084/000010"/>
    <n v="1370148136"/>
    <n v="10"/>
    <x v="0"/>
    <x v="0"/>
    <s v="A1"/>
    <n v="2100064494"/>
    <n v="205"/>
    <n v="115003121"/>
    <s v="A8340764 FP30 COOK N STRAIN2 UNCOAT SS W          "/>
    <s v="S"/>
    <d v="2012-01-19T00:00:00"/>
    <m/>
    <s v="X"/>
    <x v="52"/>
    <n v="9.0352999999999994"/>
    <n v="9"/>
    <d v="2012-02-05T00:00:00"/>
    <d v="2012-01-01T00:00:00"/>
    <n v="4500"/>
    <d v="2012-01-20T00:00:00"/>
    <n v="4488"/>
    <m/>
    <d v="2012-01-20T00:00:00"/>
    <n v="4512"/>
    <d v="2012-02-24T00:00:00"/>
    <d v="2012-01-20T00:00:00"/>
    <n v="4488"/>
    <n v="2400"/>
    <x v="14"/>
    <d v="2012-02-24T00:00:00"/>
    <m/>
    <n v="9321658947"/>
    <n v="10"/>
    <s v="CAXU9894120"/>
    <s v="CLEMENTINE MAERSK/56"/>
    <m/>
    <s v="NINGBO"/>
    <s v="SP-OVERCAP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080/000010"/>
    <n v="1370148139"/>
    <n v="10"/>
    <x v="0"/>
    <x v="0"/>
    <s v="A1"/>
    <n v="2100065036"/>
    <n v="205"/>
    <n v="116000970"/>
    <s v="C948SA64 COOK N STRAIN 2 SS/PA 10P SET W          "/>
    <s v="S"/>
    <d v="2012-01-16T00:00:00"/>
    <m/>
    <s v="X"/>
    <x v="52"/>
    <n v="36.953699999999998"/>
    <n v="39"/>
    <d v="2012-02-15T00:00:00"/>
    <d v="2012-01-11T00:00:00"/>
    <n v="3000"/>
    <d v="2012-01-11T00:00:00"/>
    <n v="3000"/>
    <m/>
    <d v="2012-01-13T00:00:00"/>
    <n v="3000"/>
    <d v="2012-02-17T00:00:00"/>
    <d v="2012-01-13T00:00:00"/>
    <n v="3000"/>
    <n v="40"/>
    <x v="9"/>
    <d v="2012-02-18T00:00:00"/>
    <m/>
    <n v="9321658948"/>
    <n v="10"/>
    <s v="SEAU8524522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80/000010"/>
    <n v="1370148139"/>
    <n v="10"/>
    <x v="0"/>
    <x v="0"/>
    <s v="A1"/>
    <n v="2100065036"/>
    <n v="205"/>
    <n v="116000970"/>
    <s v="C948SA64 COOK N STRAIN 2 SS/PA 10P SET W          "/>
    <s v="S"/>
    <d v="2012-01-16T00:00:00"/>
    <m/>
    <s v="X"/>
    <x v="52"/>
    <n v="36.953699999999998"/>
    <n v="39"/>
    <d v="2012-02-15T00:00:00"/>
    <d v="2012-01-11T00:00:00"/>
    <n v="3000"/>
    <d v="2012-01-11T00:00:00"/>
    <n v="3000"/>
    <m/>
    <d v="2012-01-13T00:00:00"/>
    <n v="3000"/>
    <d v="2012-02-17T00:00:00"/>
    <d v="2012-01-13T00:00:00"/>
    <n v="3000"/>
    <n v="1280"/>
    <x v="9"/>
    <d v="2012-02-18T00:00:00"/>
    <m/>
    <n v="9321658948"/>
    <n v="10"/>
    <s v="MSKU0238925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80/000010"/>
    <n v="1370148139"/>
    <n v="10"/>
    <x v="0"/>
    <x v="0"/>
    <s v="A1"/>
    <n v="2100065036"/>
    <n v="205"/>
    <n v="116000970"/>
    <s v="C948SA64 COOK N STRAIN 2 SS/PA 10P SET W          "/>
    <s v="S"/>
    <d v="2012-01-17T00:00:00"/>
    <m/>
    <s v="X"/>
    <x v="52"/>
    <n v="36.953699999999998"/>
    <n v="39"/>
    <d v="2012-02-15T00:00:00"/>
    <d v="2012-01-11T00:00:00"/>
    <n v="3000"/>
    <d v="2012-01-11T00:00:00"/>
    <n v="3000"/>
    <m/>
    <d v="2012-01-13T00:00:00"/>
    <n v="3000"/>
    <d v="2012-02-17T00:00:00"/>
    <d v="2012-01-13T00:00:00"/>
    <n v="3000"/>
    <n v="1280"/>
    <x v="9"/>
    <d v="2012-02-18T00:00:00"/>
    <m/>
    <n v="9321658948"/>
    <n v="10"/>
    <s v="MSKU0076125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80/000010"/>
    <n v="1370148139"/>
    <n v="10"/>
    <x v="0"/>
    <x v="0"/>
    <s v="A1"/>
    <n v="2100065036"/>
    <n v="205"/>
    <n v="116000970"/>
    <s v="C948SA64 COOK N STRAIN 2 SS/PA 10P SET W          "/>
    <s v="S"/>
    <d v="2012-01-17T00:00:00"/>
    <m/>
    <s v="X"/>
    <x v="52"/>
    <n v="36.953699999999998"/>
    <n v="39"/>
    <d v="2012-02-15T00:00:00"/>
    <d v="2012-01-11T00:00:00"/>
    <n v="3000"/>
    <d v="2012-01-11T00:00:00"/>
    <n v="3000"/>
    <m/>
    <d v="2012-01-13T00:00:00"/>
    <n v="3000"/>
    <d v="2012-02-17T00:00:00"/>
    <d v="2012-01-13T00:00:00"/>
    <n v="3000"/>
    <n v="400"/>
    <x v="9"/>
    <d v="2012-02-18T00:00:00"/>
    <m/>
    <n v="9321658948"/>
    <n v="10"/>
    <s v="MSKU8708985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79/000010"/>
    <n v="1370148140"/>
    <n v="10"/>
    <x v="0"/>
    <x v="0"/>
    <s v="A1"/>
    <n v="2100065036"/>
    <n v="205"/>
    <n v="116000970"/>
    <s v="C948SA64 COOK N STRAIN 2 SS/PA 10P SET W          "/>
    <s v="S"/>
    <d v="2012-01-09T00:00:00"/>
    <m/>
    <s v="X"/>
    <x v="52"/>
    <n v="36.953699999999998"/>
    <n v="39"/>
    <d v="2012-02-05T00:00:00"/>
    <d v="2012-01-01T00:00:00"/>
    <n v="4400"/>
    <d v="2012-01-01T00:00:00"/>
    <n v="4400"/>
    <m/>
    <d v="2012-01-06T00:00:00"/>
    <n v="4400"/>
    <d v="2012-02-10T00:00:00"/>
    <d v="2012-01-06T00:00:00"/>
    <n v="4400"/>
    <n v="1340"/>
    <x v="12"/>
    <d v="2012-02-11T00:00:00"/>
    <m/>
    <n v="9321658949"/>
    <n v="10"/>
    <s v="TCLU8367578"/>
    <s v="NYK METEOR/24E01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79/000010"/>
    <n v="1370148140"/>
    <n v="10"/>
    <x v="0"/>
    <x v="0"/>
    <s v="A1"/>
    <n v="2100065036"/>
    <n v="205"/>
    <n v="116000970"/>
    <s v="C948SA64 COOK N STRAIN 2 SS/PA 10P SET W          "/>
    <s v="S"/>
    <d v="2012-01-09T00:00:00"/>
    <m/>
    <s v="X"/>
    <x v="52"/>
    <n v="36.953699999999998"/>
    <n v="39"/>
    <d v="2012-02-05T00:00:00"/>
    <d v="2012-01-01T00:00:00"/>
    <n v="4400"/>
    <d v="2012-01-01T00:00:00"/>
    <n v="4400"/>
    <m/>
    <d v="2012-01-06T00:00:00"/>
    <n v="4400"/>
    <d v="2012-02-10T00:00:00"/>
    <d v="2012-01-06T00:00:00"/>
    <n v="4400"/>
    <n v="1340"/>
    <x v="12"/>
    <d v="2012-02-11T00:00:00"/>
    <m/>
    <n v="9321658949"/>
    <n v="10"/>
    <s v="HLXU8034950"/>
    <s v="NYK METEOR/24E01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79/000010"/>
    <n v="1370148140"/>
    <n v="10"/>
    <x v="0"/>
    <x v="0"/>
    <s v="A1"/>
    <n v="2100065036"/>
    <n v="205"/>
    <n v="116000970"/>
    <s v="C948SA64 COOK N STRAIN 2 SS/PA 10P SET W          "/>
    <s v="S"/>
    <d v="2012-01-09T00:00:00"/>
    <m/>
    <s v="X"/>
    <x v="52"/>
    <n v="36.953699999999998"/>
    <n v="39"/>
    <d v="2012-02-05T00:00:00"/>
    <d v="2012-01-01T00:00:00"/>
    <n v="4400"/>
    <d v="2012-01-01T00:00:00"/>
    <n v="4400"/>
    <m/>
    <d v="2012-01-06T00:00:00"/>
    <n v="4400"/>
    <d v="2012-02-10T00:00:00"/>
    <d v="2012-01-06T00:00:00"/>
    <n v="4400"/>
    <n v="1340"/>
    <x v="12"/>
    <d v="2012-02-11T00:00:00"/>
    <m/>
    <n v="9321658949"/>
    <n v="10"/>
    <s v="HLXU6551975"/>
    <s v="NYK METEOR/24E01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79/000010"/>
    <n v="1370148140"/>
    <n v="10"/>
    <x v="0"/>
    <x v="0"/>
    <s v="A1"/>
    <n v="2100065036"/>
    <n v="205"/>
    <n v="116000970"/>
    <s v="C948SA64 COOK N STRAIN 2 SS/PA 10P SET W          "/>
    <s v="S"/>
    <d v="2012-01-09T00:00:00"/>
    <m/>
    <s v="X"/>
    <x v="52"/>
    <n v="36.953699999999998"/>
    <n v="39"/>
    <d v="2012-02-05T00:00:00"/>
    <d v="2012-01-01T00:00:00"/>
    <n v="4400"/>
    <d v="2012-01-01T00:00:00"/>
    <n v="4400"/>
    <m/>
    <d v="2012-01-06T00:00:00"/>
    <n v="4400"/>
    <d v="2012-02-10T00:00:00"/>
    <d v="2012-01-06T00:00:00"/>
    <n v="4400"/>
    <n v="380"/>
    <x v="12"/>
    <d v="2012-02-11T00:00:00"/>
    <m/>
    <n v="9321658949"/>
    <n v="10"/>
    <s v="TCLU8339046"/>
    <s v="NYK METEOR/24E01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19/000010"/>
    <n v="1370148144"/>
    <n v="10"/>
    <x v="0"/>
    <x v="0"/>
    <s v="A1"/>
    <n v="2100064662"/>
    <n v="205"/>
    <s v="               "/>
    <s v="C811SA64 T-FAL ELEGANCE II SS 10P SET VO          "/>
    <s v="S"/>
    <d v="2012-01-11T00:00:00"/>
    <m/>
    <s v="X"/>
    <x v="52"/>
    <n v="49.3429"/>
    <n v="49"/>
    <d v="2012-02-03T00:00:00"/>
    <d v="2011-12-30T00:00:00"/>
    <n v="2500"/>
    <d v="2011-12-30T00:00:00"/>
    <n v="2500"/>
    <m/>
    <d v="2012-01-06T00:00:00"/>
    <n v="2500"/>
    <d v="2012-02-10T00:00:00"/>
    <d v="2012-01-06T00:00:00"/>
    <n v="2500"/>
    <n v="11"/>
    <x v="12"/>
    <d v="2012-02-11T00:00:00"/>
    <m/>
    <n v="9321658950"/>
    <n v="10"/>
    <s v="MSKU1909648"/>
    <s v="ARTHUR MAERSK/553S"/>
    <m/>
    <s v="NINGBO"/>
    <s v="SAILING-SCHED-UPDATE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0119/000010"/>
    <n v="1370148144"/>
    <n v="10"/>
    <x v="0"/>
    <x v="0"/>
    <s v="A1"/>
    <n v="2100064662"/>
    <n v="205"/>
    <s v="               "/>
    <s v="C811SA64 T-FAL ELEGANCE II SS 10P SET VO          "/>
    <s v="S"/>
    <d v="2012-01-11T00:00:00"/>
    <m/>
    <s v="X"/>
    <x v="52"/>
    <n v="49.3429"/>
    <n v="49"/>
    <d v="2012-02-03T00:00:00"/>
    <d v="2011-12-30T00:00:00"/>
    <n v="2500"/>
    <d v="2011-12-30T00:00:00"/>
    <n v="2500"/>
    <m/>
    <d v="2012-01-06T00:00:00"/>
    <n v="2500"/>
    <d v="2012-02-10T00:00:00"/>
    <d v="2012-01-06T00:00:00"/>
    <n v="2500"/>
    <n v="1176"/>
    <x v="12"/>
    <d v="2012-02-11T00:00:00"/>
    <m/>
    <n v="9321658950"/>
    <n v="10"/>
    <s v="BMOU4178440"/>
    <s v="ARTHUR MAERSK/553S"/>
    <m/>
    <s v="NINGBO"/>
    <s v="SAILING-SCHED-UPDATE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0119/000010"/>
    <n v="1370148144"/>
    <n v="10"/>
    <x v="0"/>
    <x v="0"/>
    <s v="A1"/>
    <n v="2100064662"/>
    <n v="205"/>
    <s v="               "/>
    <s v="C811SA64 T-FAL ELEGANCE II SS 10P SET VO          "/>
    <s v="S"/>
    <d v="2012-01-11T00:00:00"/>
    <m/>
    <s v="X"/>
    <x v="52"/>
    <n v="49.3429"/>
    <n v="49"/>
    <d v="2012-02-03T00:00:00"/>
    <d v="2011-12-30T00:00:00"/>
    <n v="2500"/>
    <d v="2011-12-30T00:00:00"/>
    <n v="2500"/>
    <m/>
    <d v="2012-01-06T00:00:00"/>
    <n v="2500"/>
    <d v="2012-02-10T00:00:00"/>
    <d v="2012-01-06T00:00:00"/>
    <n v="2500"/>
    <n v="1176"/>
    <x v="7"/>
    <d v="2012-02-10T00:00:00"/>
    <m/>
    <n v="9321658950"/>
    <n v="10"/>
    <s v="MRKU2457746"/>
    <s v="ARTHUR MAERSK/553S"/>
    <m/>
    <s v="NINGBO"/>
    <s v="SAILING-SCHED-UPDATE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19/000010"/>
    <n v="1370148144"/>
    <n v="10"/>
    <x v="0"/>
    <x v="0"/>
    <s v="A1"/>
    <n v="2100064662"/>
    <n v="205"/>
    <s v="               "/>
    <s v="C811SA64 T-FAL ELEGANCE II SS 10P SET VO          "/>
    <s v="S"/>
    <d v="2012-01-11T00:00:00"/>
    <m/>
    <s v="X"/>
    <x v="52"/>
    <n v="49.3429"/>
    <n v="49"/>
    <d v="2012-02-03T00:00:00"/>
    <d v="2011-12-30T00:00:00"/>
    <n v="2500"/>
    <d v="2011-12-30T00:00:00"/>
    <n v="2500"/>
    <m/>
    <d v="2012-01-06T00:00:00"/>
    <n v="2500"/>
    <d v="2012-02-10T00:00:00"/>
    <d v="2012-01-06T00:00:00"/>
    <n v="2500"/>
    <n v="137"/>
    <x v="12"/>
    <d v="2012-02-11T00:00:00"/>
    <m/>
    <n v="9321658950"/>
    <n v="10"/>
    <s v="PONU7568750"/>
    <s v="ARTHUR MAERSK/553S"/>
    <m/>
    <s v="NINGBO"/>
    <s v="SAILING-SCHED-UPDATE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48838/000010"/>
    <n v="1370148148"/>
    <n v="10"/>
    <x v="0"/>
    <x v="0"/>
    <s v="A1"/>
    <n v="2100051009"/>
    <n v="205"/>
    <n v="115001476"/>
    <s v="A8349764 COOK N STRAIN SS 10&quot; COV SKILLE          "/>
    <s v="S"/>
    <d v="2012-01-17T00:00:00"/>
    <m/>
    <s v="X"/>
    <x v="52"/>
    <n v="13.271599999999999"/>
    <n v="13"/>
    <d v="2012-01-22T00:00:00"/>
    <d v="2011-12-18T00:00:00"/>
    <n v="3500"/>
    <d v="2012-01-13T00:00:00"/>
    <n v="3500"/>
    <m/>
    <d v="2011-12-16T00:00:00"/>
    <n v="3500"/>
    <d v="2012-02-17T00:00:00"/>
    <d v="2012-01-13T00:00:00"/>
    <n v="3500"/>
    <n v="3100"/>
    <x v="9"/>
    <d v="2012-02-18T00:00:00"/>
    <m/>
    <n v="9321658952"/>
    <n v="10"/>
    <s v="SEAU8519125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838/000010"/>
    <n v="1370148148"/>
    <n v="10"/>
    <x v="0"/>
    <x v="0"/>
    <s v="A1"/>
    <n v="2100051009"/>
    <n v="205"/>
    <n v="115001476"/>
    <s v="A8349764 COOK N STRAIN SS 10&quot; COV SKILLE          "/>
    <s v="S"/>
    <d v="2012-01-17T00:00:00"/>
    <m/>
    <s v="X"/>
    <x v="52"/>
    <n v="13.271599999999999"/>
    <n v="13"/>
    <d v="2012-01-22T00:00:00"/>
    <d v="2011-12-18T00:00:00"/>
    <n v="3500"/>
    <d v="2012-01-13T00:00:00"/>
    <n v="3500"/>
    <m/>
    <d v="2011-12-16T00:00:00"/>
    <n v="3500"/>
    <d v="2012-02-17T00:00:00"/>
    <d v="2012-01-13T00:00:00"/>
    <n v="3500"/>
    <n v="400"/>
    <x v="9"/>
    <d v="2012-02-18T00:00:00"/>
    <m/>
    <n v="9321658952"/>
    <n v="10"/>
    <s v="MSKU9380993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793/000010"/>
    <n v="1370148153"/>
    <n v="10"/>
    <x v="0"/>
    <x v="0"/>
    <s v="A1"/>
    <n v="2100066186"/>
    <n v="204"/>
    <n v="115003198"/>
    <s v="A9211424 BOUBLE BURNER 45X31 ENAMEL GREY          "/>
    <s v="S"/>
    <d v="2012-01-19T00:00:00"/>
    <m/>
    <s v="X"/>
    <x v="52"/>
    <n v="12.2898"/>
    <n v="13"/>
    <d v="2012-02-21T00:00:00"/>
    <d v="2012-01-17T00:00:00"/>
    <n v="1000"/>
    <d v="2012-01-17T00:00:00"/>
    <n v="1000"/>
    <m/>
    <d v="2012-01-13T00:00:00"/>
    <n v="1000"/>
    <d v="2012-02-24T00:00:00"/>
    <d v="2012-01-20T00:00:00"/>
    <n v="1000"/>
    <n v="1000"/>
    <x v="14"/>
    <d v="2012-02-24T00:00:00"/>
    <m/>
    <n v="9321658954"/>
    <n v="10"/>
    <s v="HLXU4132100"/>
    <s v="NYK RUMINA/10E03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790/000010"/>
    <n v="1370148157"/>
    <n v="10"/>
    <x v="0"/>
    <x v="0"/>
    <s v="A1"/>
    <n v="2100056338"/>
    <n v="204"/>
    <n v="115002030"/>
    <s v="A9211404 FAMILY GRIDDLE HE 18X10.75&quot;              "/>
    <s v="S"/>
    <d v="2012-01-20T00:00:00"/>
    <m/>
    <s v="X"/>
    <x v="52"/>
    <n v="12.936400000000001"/>
    <n v="14"/>
    <d v="2012-02-20T00:00:00"/>
    <d v="2012-01-16T00:00:00"/>
    <n v="1000"/>
    <d v="2012-01-16T00:00:00"/>
    <n v="1000"/>
    <m/>
    <d v="2012-01-13T00:00:00"/>
    <n v="1000"/>
    <d v="2012-02-24T00:00:00"/>
    <d v="2012-01-20T00:00:00"/>
    <n v="1000"/>
    <n v="1000"/>
    <x v="14"/>
    <d v="2012-02-24T00:00:00"/>
    <m/>
    <n v="9321658956"/>
    <n v="10"/>
    <s v="INKU2586206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40/000010"/>
    <n v="1370148167"/>
    <n v="10"/>
    <x v="0"/>
    <x v="0"/>
    <s v="A1"/>
    <n v="2100066473"/>
    <n v="201"/>
    <n v="115003220"/>
    <s v="A9098084 EASY CARE TNS GREY 12QT STOCK P          "/>
    <s v="S"/>
    <d v="2012-01-13T00:00:00"/>
    <m/>
    <s v="X"/>
    <x v="52"/>
    <n v="13.0009"/>
    <n v="14"/>
    <d v="2012-02-15T00:00:00"/>
    <d v="2012-01-11T00:00:00"/>
    <n v="5800"/>
    <d v="2012-01-11T00:00:00"/>
    <n v="5800"/>
    <m/>
    <d v="2012-01-06T00:00:00"/>
    <n v="5800"/>
    <d v="2012-02-17T00:00:00"/>
    <d v="2012-01-13T00:00:00"/>
    <n v="5800"/>
    <n v="1840"/>
    <x v="24"/>
    <d v="2012-02-17T00:00:00"/>
    <m/>
    <n v="9321658959"/>
    <n v="10"/>
    <s v="GATU8194853"/>
    <s v="NYK CONSTELLATION/26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40/000010"/>
    <n v="1370148167"/>
    <n v="10"/>
    <x v="0"/>
    <x v="0"/>
    <s v="A1"/>
    <n v="2100066473"/>
    <n v="201"/>
    <n v="115003220"/>
    <s v="A9098084 EASY CARE TNS GREY 12QT STOCK P          "/>
    <s v="S"/>
    <d v="2012-01-13T00:00:00"/>
    <m/>
    <s v="X"/>
    <x v="52"/>
    <n v="13.0009"/>
    <n v="14"/>
    <d v="2012-02-15T00:00:00"/>
    <d v="2012-01-11T00:00:00"/>
    <n v="5800"/>
    <d v="2012-01-11T00:00:00"/>
    <n v="5800"/>
    <m/>
    <d v="2012-01-06T00:00:00"/>
    <n v="5800"/>
    <d v="2012-02-17T00:00:00"/>
    <d v="2012-01-13T00:00:00"/>
    <n v="5800"/>
    <n v="1840"/>
    <x v="24"/>
    <d v="2012-02-17T00:00:00"/>
    <m/>
    <n v="9321658959"/>
    <n v="10"/>
    <s v="TGHU7333119"/>
    <s v="NYK CONSTELLATION/26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40/000010"/>
    <n v="1370148167"/>
    <n v="10"/>
    <x v="0"/>
    <x v="0"/>
    <s v="A1"/>
    <n v="2100066473"/>
    <n v="201"/>
    <n v="115003220"/>
    <s v="A9098084 EASY CARE TNS GREY 12QT STOCK P          "/>
    <s v="S"/>
    <d v="2012-01-13T00:00:00"/>
    <m/>
    <s v="X"/>
    <x v="52"/>
    <n v="13.0009"/>
    <n v="14"/>
    <d v="2012-02-15T00:00:00"/>
    <d v="2012-01-11T00:00:00"/>
    <n v="5800"/>
    <d v="2012-01-11T00:00:00"/>
    <n v="5800"/>
    <m/>
    <d v="2012-01-06T00:00:00"/>
    <n v="5800"/>
    <d v="2012-02-17T00:00:00"/>
    <d v="2012-01-13T00:00:00"/>
    <n v="5800"/>
    <n v="1840"/>
    <x v="24"/>
    <d v="2012-02-17T00:00:00"/>
    <m/>
    <n v="9321658959"/>
    <n v="10"/>
    <s v="GATU8136311"/>
    <s v="NYK CONSTELLATION/26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40/000010"/>
    <n v="1370148167"/>
    <n v="10"/>
    <x v="0"/>
    <x v="0"/>
    <s v="A1"/>
    <n v="2100066473"/>
    <n v="201"/>
    <n v="115003220"/>
    <s v="A9098084 EASY CARE TNS GREY 12QT STOCK P          "/>
    <s v="S"/>
    <d v="2012-01-13T00:00:00"/>
    <m/>
    <s v="X"/>
    <x v="52"/>
    <n v="13.0009"/>
    <n v="14"/>
    <d v="2012-02-15T00:00:00"/>
    <d v="2012-01-11T00:00:00"/>
    <n v="5800"/>
    <d v="2012-01-11T00:00:00"/>
    <n v="5800"/>
    <m/>
    <d v="2012-01-06T00:00:00"/>
    <n v="5800"/>
    <d v="2012-02-17T00:00:00"/>
    <d v="2012-01-13T00:00:00"/>
    <n v="5800"/>
    <n v="280"/>
    <x v="24"/>
    <d v="2012-02-17T00:00:00"/>
    <m/>
    <n v="9321658959"/>
    <n v="10"/>
    <s v="CLHU8979324"/>
    <s v="NYK CONSTELLATION/26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31/000010"/>
    <n v="1370148168"/>
    <n v="10"/>
    <x v="0"/>
    <x v="0"/>
    <s v="A1"/>
    <n v="2100066472"/>
    <n v="201"/>
    <n v="115003219"/>
    <s v="A9097984 EASY CARE TNS GREY 8QT STOCK PO          "/>
    <s v="S"/>
    <d v="2012-01-09T00:00:00"/>
    <m/>
    <s v="X"/>
    <x v="52"/>
    <n v="10.7674"/>
    <n v="11"/>
    <d v="2012-02-15T00:00:00"/>
    <d v="2012-01-11T00:00:00"/>
    <n v="7200"/>
    <d v="2012-01-11T00:00:00"/>
    <n v="7200"/>
    <m/>
    <d v="2012-01-06T00:00:00"/>
    <n v="7200"/>
    <d v="2012-02-10T00:00:00"/>
    <d v="2012-01-06T00:00:00"/>
    <n v="7200"/>
    <n v="2386"/>
    <x v="7"/>
    <d v="2012-02-10T00:00:00"/>
    <m/>
    <n v="9321658960"/>
    <n v="10"/>
    <s v="CCLU6984044"/>
    <s v="ZIM SAVANNAH/29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31/000010"/>
    <n v="1370148168"/>
    <n v="10"/>
    <x v="0"/>
    <x v="0"/>
    <s v="A1"/>
    <n v="2100066472"/>
    <n v="201"/>
    <n v="115003219"/>
    <s v="A9097984 EASY CARE TNS GREY 8QT STOCK PO          "/>
    <s v="S"/>
    <d v="2012-01-09T00:00:00"/>
    <m/>
    <s v="X"/>
    <x v="52"/>
    <n v="10.7674"/>
    <n v="11"/>
    <d v="2012-02-15T00:00:00"/>
    <d v="2012-01-11T00:00:00"/>
    <n v="7200"/>
    <d v="2012-01-11T00:00:00"/>
    <n v="7200"/>
    <m/>
    <d v="2012-01-06T00:00:00"/>
    <n v="7200"/>
    <d v="2012-02-10T00:00:00"/>
    <d v="2012-01-06T00:00:00"/>
    <n v="7200"/>
    <n v="2386"/>
    <x v="7"/>
    <d v="2012-02-10T00:00:00"/>
    <m/>
    <n v="9321658960"/>
    <n v="10"/>
    <s v="CCLU7232416"/>
    <s v="ZIM SAVANNAH/29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31/000010"/>
    <n v="1370148168"/>
    <n v="10"/>
    <x v="0"/>
    <x v="0"/>
    <s v="A1"/>
    <n v="2100066472"/>
    <n v="201"/>
    <n v="115003219"/>
    <s v="A9097984 EASY CARE TNS GREY 8QT STOCK PO          "/>
    <s v="S"/>
    <d v="2012-01-09T00:00:00"/>
    <m/>
    <s v="X"/>
    <x v="52"/>
    <n v="10.7674"/>
    <n v="11"/>
    <d v="2012-02-15T00:00:00"/>
    <d v="2012-01-11T00:00:00"/>
    <n v="7200"/>
    <d v="2012-01-11T00:00:00"/>
    <n v="7200"/>
    <m/>
    <d v="2012-01-06T00:00:00"/>
    <n v="7200"/>
    <d v="2012-02-10T00:00:00"/>
    <d v="2012-01-06T00:00:00"/>
    <n v="7200"/>
    <n v="2386"/>
    <x v="7"/>
    <d v="2012-02-10T00:00:00"/>
    <m/>
    <n v="9321658960"/>
    <n v="10"/>
    <s v="CCLU7002943"/>
    <s v="ZIM SAVANNAH/29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31/000010"/>
    <n v="1370148168"/>
    <n v="10"/>
    <x v="0"/>
    <x v="0"/>
    <s v="A1"/>
    <n v="2100066472"/>
    <n v="201"/>
    <n v="115003219"/>
    <s v="A9097984 EASY CARE TNS GREY 8QT STOCK PO          "/>
    <s v="S"/>
    <d v="2012-01-09T00:00:00"/>
    <m/>
    <s v="X"/>
    <x v="52"/>
    <n v="10.7674"/>
    <n v="11"/>
    <d v="2012-02-15T00:00:00"/>
    <d v="2012-01-11T00:00:00"/>
    <n v="7200"/>
    <d v="2012-01-11T00:00:00"/>
    <n v="7200"/>
    <m/>
    <d v="2012-01-06T00:00:00"/>
    <n v="7200"/>
    <d v="2012-02-10T00:00:00"/>
    <d v="2012-01-06T00:00:00"/>
    <n v="7200"/>
    <n v="42"/>
    <x v="7"/>
    <d v="2012-02-10T00:00:00"/>
    <m/>
    <n v="9321658960"/>
    <n v="10"/>
    <s v="CCLU7008031"/>
    <s v="ZIM SAVANNAH/29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33/000010"/>
    <n v="1370148177"/>
    <n v="10"/>
    <x v="0"/>
    <x v="0"/>
    <s v="A1"/>
    <n v="2100059743"/>
    <n v="208"/>
    <n v="115002460"/>
    <s v="E9209864 EMERIL HA DOUBLE BURNER GRIDDLE          "/>
    <s v="S"/>
    <d v="2012-02-01T00:00:00"/>
    <m/>
    <s v="X"/>
    <x v="52"/>
    <n v="12.959099999999999"/>
    <n v="14"/>
    <d v="2012-02-10T00:00:00"/>
    <d v="2012-01-06T00:00:00"/>
    <n v="2000"/>
    <d v="2012-01-20T00:00:00"/>
    <n v="2000"/>
    <m/>
    <d v="2012-01-20T00:00:00"/>
    <n v="2000"/>
    <d v="2012-02-24T00:00:00"/>
    <d v="2012-01-20T00:00:00"/>
    <n v="2000"/>
    <n v="2000"/>
    <x v="14"/>
    <d v="2012-02-24T00:00:00"/>
    <m/>
    <n v="9321658962"/>
    <n v="10"/>
    <s v="CAXU9969868"/>
    <s v="CLEMENTINE MAERSK"/>
    <m/>
    <s v="NINGBO"/>
    <s v="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115/000010"/>
    <n v="1370148182"/>
    <n v="10"/>
    <x v="0"/>
    <x v="0"/>
    <s v="A1"/>
    <n v="2100055659"/>
    <n v="208"/>
    <n v="116000564"/>
    <s v="E920SA64 EMERIL HA SET 10PC                       "/>
    <s v="S"/>
    <d v="2012-01-10T00:00:00"/>
    <m/>
    <s v="X"/>
    <x v="52"/>
    <n v="66.290899999999993"/>
    <n v="72"/>
    <d v="2012-01-30T00:00:00"/>
    <d v="2011-12-26T00:00:00"/>
    <n v="3200"/>
    <d v="2012-01-06T00:00:00"/>
    <n v="3200"/>
    <m/>
    <d v="2012-01-06T00:00:00"/>
    <n v="3200"/>
    <d v="2012-02-10T00:00:00"/>
    <d v="2012-01-06T00:00:00"/>
    <n v="3200"/>
    <n v="1029"/>
    <x v="12"/>
    <d v="2012-02-11T00:00:00"/>
    <m/>
    <n v="9321658963"/>
    <n v="10"/>
    <s v="MSKU8357983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115/000010"/>
    <n v="1370148182"/>
    <n v="10"/>
    <x v="0"/>
    <x v="0"/>
    <s v="A1"/>
    <n v="2100055659"/>
    <n v="208"/>
    <n v="116000564"/>
    <s v="E920SA64 EMERIL HA SET 10PC                       "/>
    <s v="S"/>
    <d v="2012-01-09T00:00:00"/>
    <m/>
    <s v="X"/>
    <x v="52"/>
    <n v="66.290899999999993"/>
    <n v="72"/>
    <d v="2012-01-30T00:00:00"/>
    <d v="2011-12-26T00:00:00"/>
    <n v="3200"/>
    <d v="2012-01-06T00:00:00"/>
    <n v="3200"/>
    <m/>
    <d v="2012-01-06T00:00:00"/>
    <n v="3200"/>
    <d v="2012-02-10T00:00:00"/>
    <d v="2012-01-06T00:00:00"/>
    <n v="3200"/>
    <n v="1057"/>
    <x v="12"/>
    <d v="2012-02-11T00:00:00"/>
    <m/>
    <n v="9321658963"/>
    <n v="10"/>
    <s v="TCLU5653500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115/000010"/>
    <n v="1370148182"/>
    <n v="10"/>
    <x v="0"/>
    <x v="0"/>
    <s v="A1"/>
    <n v="2100055659"/>
    <n v="208"/>
    <n v="116000564"/>
    <s v="E920SA64 EMERIL HA SET 10PC                       "/>
    <s v="S"/>
    <d v="2012-01-09T00:00:00"/>
    <m/>
    <s v="X"/>
    <x v="52"/>
    <n v="66.290899999999993"/>
    <n v="72"/>
    <d v="2012-01-30T00:00:00"/>
    <d v="2011-12-26T00:00:00"/>
    <n v="3200"/>
    <d v="2012-01-06T00:00:00"/>
    <n v="3200"/>
    <m/>
    <d v="2012-01-06T00:00:00"/>
    <n v="3200"/>
    <d v="2012-02-10T00:00:00"/>
    <d v="2012-01-06T00:00:00"/>
    <n v="3200"/>
    <n v="85"/>
    <x v="12"/>
    <d v="2012-02-11T00:00:00"/>
    <m/>
    <n v="9321658963"/>
    <n v="10"/>
    <s v="MSKU9062288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115/000010"/>
    <n v="1370148182"/>
    <n v="10"/>
    <x v="0"/>
    <x v="0"/>
    <s v="A1"/>
    <n v="2100055659"/>
    <n v="208"/>
    <n v="116000564"/>
    <s v="E920SA64 EMERIL HA SET 10PC                       "/>
    <s v="S"/>
    <d v="2012-01-09T00:00:00"/>
    <m/>
    <s v="X"/>
    <x v="52"/>
    <n v="66.290899999999993"/>
    <n v="72"/>
    <d v="2012-01-30T00:00:00"/>
    <d v="2011-12-26T00:00:00"/>
    <n v="3200"/>
    <d v="2012-01-06T00:00:00"/>
    <n v="3200"/>
    <m/>
    <d v="2012-01-06T00:00:00"/>
    <n v="3200"/>
    <d v="2012-02-10T00:00:00"/>
    <d v="2012-01-06T00:00:00"/>
    <n v="3200"/>
    <n v="1029"/>
    <x v="12"/>
    <d v="2012-02-11T00:00:00"/>
    <m/>
    <n v="9321658963"/>
    <n v="10"/>
    <s v="MSKU1931507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103/000010"/>
    <n v="1370148187"/>
    <n v="10"/>
    <x v="0"/>
    <x v="0"/>
    <s v="A1"/>
    <n v="2100055651"/>
    <n v="208"/>
    <n v="116000563"/>
    <s v="E919S264 EMERIL HA 8&quot;N12&quot; FRY BUNDLE SLE          "/>
    <s v="S"/>
    <d v="2012-01-09T00:00:00"/>
    <m/>
    <s v="X"/>
    <x v="52"/>
    <n v="15.2197"/>
    <n v="16"/>
    <d v="2012-02-05T00:00:00"/>
    <d v="2012-01-01T00:00:00"/>
    <n v="3000"/>
    <d v="2012-01-01T00:00:00"/>
    <n v="3000"/>
    <m/>
    <d v="2012-01-06T00:00:00"/>
    <n v="3000"/>
    <d v="2012-02-10T00:00:00"/>
    <d v="2012-01-06T00:00:00"/>
    <n v="3000"/>
    <n v="600"/>
    <x v="12"/>
    <d v="2012-02-11T00:00:00"/>
    <m/>
    <n v="9321658966"/>
    <n v="10"/>
    <s v="CLHU8011770"/>
    <s v="NYK METEOR/24E01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03/000010"/>
    <n v="1370148187"/>
    <n v="10"/>
    <x v="0"/>
    <x v="0"/>
    <s v="A1"/>
    <n v="2100055651"/>
    <n v="208"/>
    <n v="116000563"/>
    <s v="E919S264 EMERIL HA 8&quot;N12&quot; FRY BUNDLE SLE          "/>
    <s v="S"/>
    <d v="2012-01-09T00:00:00"/>
    <m/>
    <s v="X"/>
    <x v="52"/>
    <n v="15.2197"/>
    <n v="16"/>
    <d v="2012-02-05T00:00:00"/>
    <d v="2012-01-01T00:00:00"/>
    <n v="3000"/>
    <d v="2012-01-01T00:00:00"/>
    <n v="3000"/>
    <m/>
    <d v="2012-01-06T00:00:00"/>
    <n v="3000"/>
    <d v="2012-02-10T00:00:00"/>
    <d v="2012-01-06T00:00:00"/>
    <n v="3000"/>
    <n v="2400"/>
    <x v="12"/>
    <d v="2012-02-11T00:00:00"/>
    <m/>
    <n v="9321658966"/>
    <n v="10"/>
    <s v="HLXU8089547"/>
    <s v="NYK METEOR/24E01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4/000010"/>
    <n v="1370148189"/>
    <n v="10"/>
    <x v="0"/>
    <x v="0"/>
    <s v="A1"/>
    <n v="2100065036"/>
    <n v="205"/>
    <n v="116000970"/>
    <s v="C948SA64 COOK N STRAIN 2 SS/PA 10P SET W          "/>
    <s v="S"/>
    <d v="2012-01-17T00:00:00"/>
    <m/>
    <s v="X"/>
    <x v="52"/>
    <n v="36.953699999999998"/>
    <n v="39"/>
    <d v="2012-01-30T00:00:00"/>
    <d v="2011-12-26T00:00:00"/>
    <n v="7000"/>
    <d v="2012-01-13T00:00:00"/>
    <n v="7000"/>
    <m/>
    <d v="2011-12-23T00:00:00"/>
    <n v="7000"/>
    <d v="2012-02-17T00:00:00"/>
    <d v="2012-01-13T00:00:00"/>
    <n v="7000"/>
    <n v="1280"/>
    <x v="9"/>
    <d v="2012-02-18T00:00:00"/>
    <m/>
    <n v="9321658967"/>
    <n v="10"/>
    <s v="PONU8144308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4/000010"/>
    <n v="1370148189"/>
    <n v="10"/>
    <x v="0"/>
    <x v="0"/>
    <s v="A1"/>
    <n v="2100065036"/>
    <n v="205"/>
    <n v="116000970"/>
    <s v="C948SA64 COOK N STRAIN 2 SS/PA 10P SET W          "/>
    <s v="S"/>
    <d v="2012-01-17T00:00:00"/>
    <m/>
    <s v="X"/>
    <x v="52"/>
    <n v="36.953699999999998"/>
    <n v="39"/>
    <d v="2012-01-30T00:00:00"/>
    <d v="2011-12-26T00:00:00"/>
    <n v="7000"/>
    <d v="2012-01-13T00:00:00"/>
    <n v="7000"/>
    <m/>
    <d v="2011-12-23T00:00:00"/>
    <n v="7000"/>
    <d v="2012-02-17T00:00:00"/>
    <d v="2012-01-13T00:00:00"/>
    <n v="7000"/>
    <n v="600"/>
    <x v="9"/>
    <d v="2012-02-18T00:00:00"/>
    <m/>
    <n v="9321658967"/>
    <n v="10"/>
    <s v="MSKU9380993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4/000010"/>
    <n v="1370148189"/>
    <n v="10"/>
    <x v="0"/>
    <x v="0"/>
    <s v="A1"/>
    <n v="2100065036"/>
    <n v="205"/>
    <n v="116000970"/>
    <s v="C948SA64 COOK N STRAIN 2 SS/PA 10P SET W          "/>
    <s v="S"/>
    <d v="2012-01-17T00:00:00"/>
    <m/>
    <s v="X"/>
    <x v="52"/>
    <n v="36.953699999999998"/>
    <n v="39"/>
    <d v="2012-01-30T00:00:00"/>
    <d v="2011-12-26T00:00:00"/>
    <n v="7000"/>
    <d v="2012-01-13T00:00:00"/>
    <n v="7000"/>
    <m/>
    <d v="2011-12-23T00:00:00"/>
    <n v="7000"/>
    <d v="2012-02-17T00:00:00"/>
    <d v="2012-01-13T00:00:00"/>
    <n v="7000"/>
    <n v="1280"/>
    <x v="9"/>
    <d v="2012-02-18T00:00:00"/>
    <m/>
    <n v="9321658967"/>
    <n v="10"/>
    <s v="MSKU0881588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4/000010"/>
    <n v="1370148189"/>
    <n v="10"/>
    <x v="0"/>
    <x v="0"/>
    <s v="A1"/>
    <n v="2100065036"/>
    <n v="205"/>
    <n v="116000970"/>
    <s v="C948SA64 COOK N STRAIN 2 SS/PA 10P SET W          "/>
    <s v="S"/>
    <d v="2012-01-17T00:00:00"/>
    <m/>
    <s v="X"/>
    <x v="52"/>
    <n v="36.953699999999998"/>
    <n v="39"/>
    <d v="2012-01-30T00:00:00"/>
    <d v="2011-12-26T00:00:00"/>
    <n v="7000"/>
    <d v="2012-01-13T00:00:00"/>
    <n v="7000"/>
    <m/>
    <d v="2011-12-23T00:00:00"/>
    <n v="7000"/>
    <d v="2012-02-17T00:00:00"/>
    <d v="2012-01-13T00:00:00"/>
    <n v="7000"/>
    <n v="1280"/>
    <x v="9"/>
    <d v="2012-02-18T00:00:00"/>
    <m/>
    <n v="9321658967"/>
    <n v="10"/>
    <s v="MRKU2028382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4/000010"/>
    <n v="1370148189"/>
    <n v="10"/>
    <x v="0"/>
    <x v="0"/>
    <s v="A1"/>
    <n v="2100065036"/>
    <n v="205"/>
    <n v="116000970"/>
    <s v="C948SA64 COOK N STRAIN 2 SS/PA 10P SET W          "/>
    <s v="S"/>
    <d v="2012-01-17T00:00:00"/>
    <m/>
    <s v="X"/>
    <x v="52"/>
    <n v="36.953699999999998"/>
    <n v="39"/>
    <d v="2012-01-30T00:00:00"/>
    <d v="2011-12-26T00:00:00"/>
    <n v="7000"/>
    <d v="2012-01-13T00:00:00"/>
    <n v="7000"/>
    <m/>
    <d v="2011-12-23T00:00:00"/>
    <n v="7000"/>
    <d v="2012-02-17T00:00:00"/>
    <d v="2012-01-13T00:00:00"/>
    <n v="7000"/>
    <n v="1280"/>
    <x v="9"/>
    <d v="2012-02-18T00:00:00"/>
    <m/>
    <n v="9321658967"/>
    <n v="10"/>
    <s v="MSKU1702413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4/000010"/>
    <n v="1370148189"/>
    <n v="10"/>
    <x v="0"/>
    <x v="0"/>
    <s v="A1"/>
    <n v="2100065036"/>
    <n v="205"/>
    <n v="116000970"/>
    <s v="C948SA64 COOK N STRAIN 2 SS/PA 10P SET W          "/>
    <s v="S"/>
    <d v="2012-01-17T00:00:00"/>
    <m/>
    <s v="X"/>
    <x v="52"/>
    <n v="36.953699999999998"/>
    <n v="39"/>
    <d v="2012-01-30T00:00:00"/>
    <d v="2011-12-26T00:00:00"/>
    <n v="7000"/>
    <d v="2012-01-13T00:00:00"/>
    <n v="7000"/>
    <m/>
    <d v="2011-12-23T00:00:00"/>
    <n v="7000"/>
    <d v="2012-02-17T00:00:00"/>
    <d v="2012-01-13T00:00:00"/>
    <n v="7000"/>
    <n v="1280"/>
    <x v="9"/>
    <d v="2012-02-18T00:00:00"/>
    <m/>
    <n v="9321658967"/>
    <n v="10"/>
    <s v="TCKU9827238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2/000010"/>
    <n v="1370148190"/>
    <n v="10"/>
    <x v="0"/>
    <x v="0"/>
    <s v="A1"/>
    <n v="2100062371"/>
    <n v="200"/>
    <n v="115002857"/>
    <s v="A8099664 GRIP RIGHT TNS GREY 3QT DOUBLE           "/>
    <s v="S"/>
    <d v="2012-01-16T00:00:00"/>
    <m/>
    <s v="X"/>
    <x v="52"/>
    <n v="11.411099999999999"/>
    <n v="12"/>
    <d v="2012-02-15T00:00:00"/>
    <d v="2012-01-11T00:00:00"/>
    <n v="2500"/>
    <d v="2012-01-11T00:00:00"/>
    <n v="2500"/>
    <m/>
    <d v="2012-01-13T00:00:00"/>
    <n v="2500"/>
    <d v="2012-02-17T00:00:00"/>
    <d v="2012-01-13T00:00:00"/>
    <n v="2500"/>
    <n v="2500"/>
    <x v="9"/>
    <d v="2012-02-18T00:00:00"/>
    <m/>
    <n v="9321658968"/>
    <n v="10"/>
    <s v="SEAU8524522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1/000010"/>
    <n v="1370148191"/>
    <n v="10"/>
    <x v="0"/>
    <x v="0"/>
    <s v="A1"/>
    <n v="2100062371"/>
    <n v="200"/>
    <n v="115002857"/>
    <s v="A8099664 GRIP RIGHT TNS GREY 3QT DOUBLE           "/>
    <s v="S"/>
    <d v="2012-01-09T00:00:00"/>
    <m/>
    <s v="X"/>
    <x v="52"/>
    <n v="11.411099999999999"/>
    <n v="12"/>
    <d v="2012-01-30T00:00:00"/>
    <d v="2011-12-26T00:00:00"/>
    <n v="2032"/>
    <d v="2012-01-06T00:00:00"/>
    <n v="2032"/>
    <m/>
    <d v="2011-12-23T00:00:00"/>
    <n v="2032"/>
    <d v="2012-02-10T00:00:00"/>
    <d v="2012-01-06T00:00:00"/>
    <n v="2032"/>
    <n v="1032"/>
    <x v="12"/>
    <d v="2012-02-11T00:00:00"/>
    <m/>
    <n v="9321658969"/>
    <n v="10"/>
    <s v="TCLU8339046"/>
    <s v="NYK METEOR/24E01"/>
    <m/>
    <s v="NINGBO"/>
    <s v="C-POST-CONF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1/000010"/>
    <n v="1370148191"/>
    <n v="10"/>
    <x v="0"/>
    <x v="0"/>
    <s v="A1"/>
    <n v="2100062371"/>
    <n v="200"/>
    <n v="115002857"/>
    <s v="A8099664 GRIP RIGHT TNS GREY 3QT DOUBLE           "/>
    <s v="S"/>
    <d v="2012-01-09T00:00:00"/>
    <m/>
    <s v="X"/>
    <x v="52"/>
    <n v="11.411099999999999"/>
    <n v="12"/>
    <d v="2012-01-30T00:00:00"/>
    <d v="2011-12-26T00:00:00"/>
    <n v="2032"/>
    <d v="2012-01-06T00:00:00"/>
    <n v="2032"/>
    <m/>
    <d v="2011-12-23T00:00:00"/>
    <n v="2032"/>
    <d v="2012-02-10T00:00:00"/>
    <d v="2012-01-06T00:00:00"/>
    <n v="2032"/>
    <n v="1000"/>
    <x v="12"/>
    <d v="2012-02-11T00:00:00"/>
    <m/>
    <n v="9321658969"/>
    <n v="10"/>
    <s v="TCLU8343236"/>
    <s v="NYK METEOR/24E01"/>
    <m/>
    <s v="NINGBO"/>
    <s v="C-POST-CONF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57/000010"/>
    <n v="1370148198"/>
    <n v="10"/>
    <x v="0"/>
    <x v="0"/>
    <s v="A1"/>
    <n v="2100055899"/>
    <n v="208"/>
    <n v="115002213"/>
    <s v="D9153264 EXPERT COOK HA GREY 3.6QT DEEP           "/>
    <s v="S"/>
    <d v="2012-01-09T00:00:00"/>
    <m/>
    <s v="X"/>
    <x v="52"/>
    <n v="10.4595"/>
    <n v="11"/>
    <d v="2012-01-30T00:00:00"/>
    <d v="2011-12-26T00:00:00"/>
    <n v="1000"/>
    <d v="2012-01-06T00:00:00"/>
    <n v="1000"/>
    <m/>
    <d v="2011-12-23T00:00:00"/>
    <n v="1000"/>
    <d v="2012-02-10T00:00:00"/>
    <d v="2012-01-06T00:00:00"/>
    <n v="1000"/>
    <n v="1000"/>
    <x v="7"/>
    <d v="2012-02-10T00:00:00"/>
    <m/>
    <n v="9321658970"/>
    <n v="10"/>
    <s v="CAXU9804214"/>
    <s v="HYUNDAI VOYAGER/026E"/>
    <m/>
    <s v="NINGBO"/>
    <s v="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84/000010"/>
    <n v="1370148202"/>
    <n v="10"/>
    <x v="0"/>
    <x v="0"/>
    <s v="A1"/>
    <n v="2100056046"/>
    <n v="208"/>
    <n v="115002043"/>
    <s v="D9130764 T-FAL SIGNATURE HA 12&quot; FP                "/>
    <s v="S"/>
    <d v="2012-01-12T00:00:00"/>
    <m/>
    <s v="X"/>
    <x v="52"/>
    <n v="7.8284000000000002"/>
    <n v="8"/>
    <d v="2012-02-21T00:00:00"/>
    <d v="2012-01-17T00:00:00"/>
    <n v="999"/>
    <d v="2012-01-17T00:00:00"/>
    <n v="1002"/>
    <m/>
    <d v="2012-01-13T00:00:00"/>
    <n v="1002"/>
    <d v="2012-02-17T00:00:00"/>
    <d v="2012-01-13T00:00:00"/>
    <n v="1002"/>
    <n v="1002"/>
    <x v="10"/>
    <d v="2012-02-16T00:00:00"/>
    <m/>
    <n v="9321658971"/>
    <n v="10"/>
    <s v="TGHU6567426"/>
    <s v="ZIM HAIFA/29E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77/000010"/>
    <n v="1370148205"/>
    <n v="10"/>
    <x v="0"/>
    <x v="0"/>
    <s v="A1"/>
    <n v="2100066475"/>
    <n v="200"/>
    <n v="116001044"/>
    <s v="C112SC74 SIGNATURE RED TNS 12PC SET TS            "/>
    <s v="S"/>
    <d v="2012-01-09T00:00:00"/>
    <m/>
    <s v="X"/>
    <x v="52"/>
    <n v="40.714199999999998"/>
    <n v="43"/>
    <d v="2012-02-10T00:00:00"/>
    <d v="2012-01-06T00:00:00"/>
    <n v="1200"/>
    <d v="2012-01-06T00:00:00"/>
    <n v="1200"/>
    <m/>
    <d v="2012-01-06T00:00:00"/>
    <n v="1200"/>
    <d v="2012-02-10T00:00:00"/>
    <d v="2012-01-06T00:00:00"/>
    <n v="1200"/>
    <n v="1140"/>
    <x v="7"/>
    <d v="2012-02-10T00:00:00"/>
    <m/>
    <n v="9321658972"/>
    <n v="10"/>
    <s v="HDMU6765920"/>
    <s v="HYUNDAI VOYAGER/026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77/000010"/>
    <n v="1370148205"/>
    <n v="10"/>
    <x v="0"/>
    <x v="0"/>
    <s v="A1"/>
    <n v="2100066475"/>
    <n v="200"/>
    <n v="116001044"/>
    <s v="C112SC74 SIGNATURE RED TNS 12PC SET TS            "/>
    <s v="S"/>
    <d v="2012-01-09T00:00:00"/>
    <m/>
    <s v="X"/>
    <x v="52"/>
    <n v="40.714199999999998"/>
    <n v="43"/>
    <d v="2012-02-10T00:00:00"/>
    <d v="2012-01-06T00:00:00"/>
    <n v="1200"/>
    <d v="2012-01-06T00:00:00"/>
    <n v="1200"/>
    <m/>
    <d v="2012-01-06T00:00:00"/>
    <n v="1200"/>
    <d v="2012-02-10T00:00:00"/>
    <d v="2012-01-06T00:00:00"/>
    <n v="1200"/>
    <n v="60"/>
    <x v="7"/>
    <d v="2012-02-10T00:00:00"/>
    <m/>
    <n v="9321658972"/>
    <n v="10"/>
    <s v="HDMU6537154"/>
    <s v="HYUNDAI VOYAGER/026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877/000010"/>
    <n v="1370148206"/>
    <n v="10"/>
    <x v="0"/>
    <x v="0"/>
    <s v="A1"/>
    <n v="2100053659"/>
    <n v="201"/>
    <n v="115002011"/>
    <s v="A8261464 MINI-CHEESE GRIDDLE 6.5&quot;                 "/>
    <s v="S"/>
    <d v="2012-01-12T00:00:00"/>
    <m/>
    <s v="X"/>
    <x v="52"/>
    <n v="3.0091999999999999"/>
    <n v="3"/>
    <d v="2012-02-20T00:00:00"/>
    <d v="2012-01-16T00:00:00"/>
    <n v="7002"/>
    <d v="2012-01-16T00:00:00"/>
    <n v="7002"/>
    <m/>
    <d v="2012-01-13T00:00:00"/>
    <n v="7002"/>
    <d v="2012-02-17T00:00:00"/>
    <d v="2012-01-13T00:00:00"/>
    <n v="7002"/>
    <n v="7002"/>
    <x v="10"/>
    <d v="2012-02-16T00:00:00"/>
    <m/>
    <n v="9321658973"/>
    <n v="10"/>
    <s v="TGHU6567426"/>
    <s v="ZIM HAIFA/29E"/>
    <m/>
    <s v="NINGBO"/>
    <m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18/000010"/>
    <n v="1370148218"/>
    <n v="10"/>
    <x v="0"/>
    <x v="0"/>
    <s v="A1"/>
    <n v="2100055659"/>
    <n v="208"/>
    <n v="116000564"/>
    <s v="E920SA64 EMERIL HA SET 10PC                       "/>
    <s v="S"/>
    <d v="2012-02-01T00:00:00"/>
    <m/>
    <s v="X"/>
    <x v="52"/>
    <n v="66.290899999999993"/>
    <n v="72"/>
    <d v="2012-02-20T00:00:00"/>
    <d v="2012-01-16T00:00:00"/>
    <n v="2000"/>
    <d v="2012-01-20T00:00:00"/>
    <n v="2000"/>
    <m/>
    <d v="2012-01-20T00:00:00"/>
    <n v="2000"/>
    <d v="2012-02-24T00:00:00"/>
    <d v="2012-01-20T00:00:00"/>
    <n v="2000"/>
    <n v="950"/>
    <x v="14"/>
    <d v="2012-02-24T00:00:00"/>
    <m/>
    <n v="9321658974"/>
    <n v="10"/>
    <s v="CZZU9796082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18/000010"/>
    <n v="1370148218"/>
    <n v="10"/>
    <x v="0"/>
    <x v="0"/>
    <s v="A1"/>
    <n v="2100055659"/>
    <n v="208"/>
    <n v="116000564"/>
    <s v="E920SA64 EMERIL HA SET 10PC                       "/>
    <s v="S"/>
    <d v="2012-02-01T00:00:00"/>
    <m/>
    <s v="X"/>
    <x v="52"/>
    <n v="66.290899999999993"/>
    <n v="72"/>
    <d v="2012-02-20T00:00:00"/>
    <d v="2012-01-16T00:00:00"/>
    <n v="2000"/>
    <d v="2012-01-20T00:00:00"/>
    <n v="2000"/>
    <m/>
    <d v="2012-01-20T00:00:00"/>
    <n v="2000"/>
    <d v="2012-02-24T00:00:00"/>
    <d v="2012-01-20T00:00:00"/>
    <n v="2000"/>
    <n v="1050"/>
    <x v="14"/>
    <d v="2012-02-24T00:00:00"/>
    <m/>
    <n v="9321658974"/>
    <n v="10"/>
    <s v="INKU2585278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03/000010"/>
    <n v="1370148219"/>
    <n v="10"/>
    <x v="0"/>
    <x v="0"/>
    <s v="A1"/>
    <n v="2100059438"/>
    <n v="208"/>
    <n v="115002586"/>
    <s v="E9189764 ULTIMATE HA GREY 10 DEEP COVRD           "/>
    <s v="S"/>
    <d v="2012-01-12T00:00:00"/>
    <m/>
    <s v="X"/>
    <x v="52"/>
    <n v="11.059699999999999"/>
    <n v="12"/>
    <d v="2012-02-03T00:00:00"/>
    <d v="2011-12-30T00:00:00"/>
    <n v="2000"/>
    <d v="2011-12-30T00:00:00"/>
    <n v="2000"/>
    <m/>
    <d v="2012-01-06T00:00:00"/>
    <n v="2000"/>
    <d v="2012-02-17T00:00:00"/>
    <d v="2012-01-13T00:00:00"/>
    <n v="2000"/>
    <n v="2000"/>
    <x v="10"/>
    <d v="2012-02-16T00:00:00"/>
    <m/>
    <n v="9321658975"/>
    <n v="10"/>
    <s v="CRSU9040171"/>
    <s v="ZIM HAIFA/29E"/>
    <m/>
    <s v="NINGBO"/>
    <s v="FORWARDER-PROB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3002/000010"/>
    <n v="1370148220"/>
    <n v="10"/>
    <x v="0"/>
    <x v="0"/>
    <s v="A1"/>
    <n v="2100059437"/>
    <n v="208"/>
    <n v="115002585"/>
    <s v="E9180764 ULTIMATE HA GREY 12&quot; FP                  "/>
    <s v="S"/>
    <d v="2012-01-20T00:00:00"/>
    <m/>
    <s v="X"/>
    <x v="52"/>
    <n v="9.5138999999999996"/>
    <n v="10"/>
    <d v="2012-02-21T00:00:00"/>
    <d v="2012-01-17T00:00:00"/>
    <n v="1176"/>
    <d v="2012-01-17T00:00:00"/>
    <n v="1176"/>
    <m/>
    <d v="2012-01-13T00:00:00"/>
    <n v="1176"/>
    <d v="2012-02-24T00:00:00"/>
    <d v="2012-01-20T00:00:00"/>
    <n v="1176"/>
    <n v="1176"/>
    <x v="14"/>
    <d v="2012-02-24T00:00:00"/>
    <m/>
    <n v="9321658976"/>
    <n v="10"/>
    <s v="INKU2586206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01/000010"/>
    <n v="1370148221"/>
    <n v="10"/>
    <x v="0"/>
    <x v="0"/>
    <s v="A1"/>
    <n v="2100059437"/>
    <n v="208"/>
    <n v="115002585"/>
    <s v="E9180764 ULTIMATE HA GREY 12&quot; FP                  "/>
    <s v="S"/>
    <d v="2012-01-12T00:00:00"/>
    <m/>
    <s v="X"/>
    <x v="52"/>
    <n v="9.5138999999999996"/>
    <n v="10"/>
    <d v="2012-02-03T00:00:00"/>
    <d v="2011-12-30T00:00:00"/>
    <n v="1500"/>
    <d v="2011-12-30T00:00:00"/>
    <n v="1500"/>
    <m/>
    <d v="2012-01-06T00:00:00"/>
    <n v="1500"/>
    <d v="2012-02-17T00:00:00"/>
    <d v="2012-01-13T00:00:00"/>
    <n v="1500"/>
    <n v="1500"/>
    <x v="10"/>
    <d v="2012-02-16T00:00:00"/>
    <m/>
    <n v="9321658977"/>
    <n v="10"/>
    <s v="CRSU9040171"/>
    <s v="ZIM HAIFA/29E"/>
    <m/>
    <s v="NINGBO"/>
    <s v="FORWARDER-PROB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2998/000010"/>
    <n v="1370148222"/>
    <n v="10"/>
    <x v="0"/>
    <x v="0"/>
    <s v="A1"/>
    <n v="2100056341"/>
    <n v="204"/>
    <n v="115001251"/>
    <s v="C1075464 T-FAL 5.5QT HE RED CALDERO               "/>
    <s v="S"/>
    <d v="2012-01-20T00:00:00"/>
    <m/>
    <s v="X"/>
    <x v="52"/>
    <n v="13.456300000000001"/>
    <n v="15"/>
    <d v="2012-02-21T00:00:00"/>
    <d v="2012-01-17T00:00:00"/>
    <n v="2000"/>
    <d v="2012-01-17T00:00:00"/>
    <n v="2000"/>
    <m/>
    <d v="2012-01-13T00:00:00"/>
    <n v="2000"/>
    <d v="2012-02-24T00:00:00"/>
    <d v="2012-01-20T00:00:00"/>
    <n v="2000"/>
    <n v="2000"/>
    <x v="14"/>
    <d v="2012-02-24T00:00:00"/>
    <m/>
    <n v="9321658978"/>
    <n v="10"/>
    <s v="INKU2586206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97/000010"/>
    <n v="1370148223"/>
    <n v="10"/>
    <x v="0"/>
    <x v="0"/>
    <s v="A1"/>
    <n v="2100056341"/>
    <n v="204"/>
    <n v="115001251"/>
    <s v="C1075464 T-FAL 5.5QT HE RED CALDERO               "/>
    <s v="S"/>
    <d v="2012-01-19T00:00:00"/>
    <m/>
    <s v="X"/>
    <x v="52"/>
    <n v="13.456300000000001"/>
    <n v="15"/>
    <d v="2012-02-03T00:00:00"/>
    <d v="2011-12-30T00:00:00"/>
    <n v="1000"/>
    <d v="2012-01-13T00:00:00"/>
    <n v="1000"/>
    <m/>
    <d v="2011-12-30T00:00:00"/>
    <n v="1000"/>
    <d v="2012-02-24T00:00:00"/>
    <d v="2012-01-20T00:00:00"/>
    <n v="1000"/>
    <n v="1000"/>
    <x v="14"/>
    <d v="2012-02-24T00:00:00"/>
    <m/>
    <n v="9321658979"/>
    <n v="10"/>
    <s v="HLXU5083020"/>
    <s v="NYK RUMINA/10E03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91/000010"/>
    <n v="1370148226"/>
    <n v="10"/>
    <x v="0"/>
    <x v="0"/>
    <s v="A1"/>
    <n v="2100055698"/>
    <n v="206"/>
    <n v="115002012"/>
    <s v="E9389764 T-FAL PROFESSIONAL TNS BLK 10&quot;           "/>
    <s v="S"/>
    <d v="2012-01-19T00:00:00"/>
    <m/>
    <s v="X"/>
    <x v="52"/>
    <n v="10.8856"/>
    <n v="11"/>
    <d v="2012-01-30T00:00:00"/>
    <d v="2011-12-26T00:00:00"/>
    <n v="1000"/>
    <d v="2012-01-13T00:00:00"/>
    <n v="1000"/>
    <m/>
    <d v="2012-01-13T00:00:00"/>
    <n v="1000"/>
    <d v="2012-02-24T00:00:00"/>
    <d v="2012-01-20T00:00:00"/>
    <n v="1000"/>
    <n v="1000"/>
    <x v="14"/>
    <d v="2012-02-24T00:00:00"/>
    <m/>
    <n v="9321658980"/>
    <n v="10"/>
    <s v="CLHU8697911"/>
    <s v="NYK RUMINA/10E03"/>
    <m/>
    <s v="NINGBO"/>
    <s v="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010/000010"/>
    <n v="1370148228"/>
    <n v="10"/>
    <x v="0"/>
    <x v="0"/>
    <s v="A1"/>
    <n v="2100060748"/>
    <n v="208"/>
    <n v="116000722"/>
    <s v="E918S264 ULTIMATE HA 8/10&quot; COMBO FP               "/>
    <s v="S"/>
    <d v="2012-01-13T00:00:00"/>
    <m/>
    <s v="X"/>
    <x v="52"/>
    <n v="14.120799999999999"/>
    <n v="15"/>
    <d v="2012-02-03T00:00:00"/>
    <d v="2011-12-30T00:00:00"/>
    <n v="1000"/>
    <d v="2011-12-30T00:00:00"/>
    <n v="1000"/>
    <m/>
    <d v="2012-01-06T00:00:00"/>
    <n v="1000"/>
    <d v="2012-02-17T00:00:00"/>
    <d v="2012-01-13T00:00:00"/>
    <n v="1000"/>
    <n v="1000"/>
    <x v="24"/>
    <d v="2012-02-17T00:00:00"/>
    <m/>
    <n v="9321658981"/>
    <n v="10"/>
    <s v="CLHU8979324"/>
    <s v="NYK CONSTELLATION/26"/>
    <m/>
    <s v="NINGBO"/>
    <s v="FORWARDER-PROB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3004/000010"/>
    <n v="1370148230"/>
    <n v="10"/>
    <x v="0"/>
    <x v="0"/>
    <s v="A1"/>
    <n v="2100059438"/>
    <n v="208"/>
    <n v="115002586"/>
    <s v="E9189764 ULTIMATE HA GREY 10 DEEP COVRD           "/>
    <s v="S"/>
    <d v="2012-01-13T00:00:00"/>
    <m/>
    <s v="X"/>
    <x v="52"/>
    <n v="11.059699999999999"/>
    <n v="12"/>
    <d v="2012-01-30T00:00:00"/>
    <d v="2011-12-26T00:00:00"/>
    <n v="1000"/>
    <d v="2012-01-06T00:00:00"/>
    <n v="1000"/>
    <m/>
    <d v="2012-01-06T00:00:00"/>
    <n v="1000"/>
    <d v="2012-02-17T00:00:00"/>
    <d v="2012-01-13T00:00:00"/>
    <n v="1000"/>
    <n v="1000"/>
    <x v="24"/>
    <d v="2012-02-17T00:00:00"/>
    <m/>
    <n v="9321658982"/>
    <n v="10"/>
    <s v="CLHU8979324"/>
    <s v="NYK CONSTELLATION/26"/>
    <m/>
    <s v="NINGBO"/>
    <s v="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000/000010"/>
    <n v="1370148231"/>
    <n v="10"/>
    <x v="0"/>
    <x v="0"/>
    <s v="A1"/>
    <n v="2100059436"/>
    <n v="208"/>
    <n v="115002512"/>
    <s v="E9180564 ULTIMATE HA GREY 10.5&quot; FP                "/>
    <s v="S"/>
    <d v="2012-01-20T00:00:00"/>
    <m/>
    <s v="X"/>
    <x v="52"/>
    <n v="8.1388999999999996"/>
    <n v="9"/>
    <d v="2012-02-03T00:00:00"/>
    <d v="2011-12-30T00:00:00"/>
    <n v="1599"/>
    <d v="2011-12-30T00:00:00"/>
    <n v="1599"/>
    <m/>
    <d v="2012-01-06T00:00:00"/>
    <n v="1599"/>
    <d v="2012-02-24T00:00:00"/>
    <d v="2012-01-20T00:00:00"/>
    <n v="1599"/>
    <n v="1599"/>
    <x v="14"/>
    <d v="2012-02-24T00:00:00"/>
    <m/>
    <n v="9321658983"/>
    <n v="10"/>
    <s v="INKU6093189"/>
    <s v="CLEMENTINE MAERSK/56"/>
    <m/>
    <s v="NINGBO"/>
    <s v="FORWARDER-PROB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2995/000010"/>
    <n v="1370148234"/>
    <n v="10"/>
    <x v="0"/>
    <x v="0"/>
    <s v="A1"/>
    <n v="2100056342"/>
    <n v="204"/>
    <n v="115001551"/>
    <s v="C1078064 T-FAL 8QT HE RED TALL STOCK POT          "/>
    <s v="S"/>
    <d v="2012-01-09T00:00:00"/>
    <m/>
    <s v="X"/>
    <x v="52"/>
    <n v="13.8262"/>
    <n v="14"/>
    <d v="2012-02-15T00:00:00"/>
    <d v="2012-01-11T00:00:00"/>
    <n v="1000"/>
    <d v="2012-01-11T00:00:00"/>
    <n v="1000"/>
    <m/>
    <d v="2012-01-06T00:00:00"/>
    <n v="1000"/>
    <d v="2012-02-10T00:00:00"/>
    <d v="2012-01-06T00:00:00"/>
    <n v="1000"/>
    <n v="1000"/>
    <x v="7"/>
    <d v="2012-02-10T00:00:00"/>
    <m/>
    <n v="9321658986"/>
    <n v="10"/>
    <s v="ZCSU8745129"/>
    <s v="ZIM SAVANNAH/29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92/000010"/>
    <n v="1370148235"/>
    <n v="10"/>
    <x v="0"/>
    <x v="0"/>
    <s v="A1"/>
    <n v="2100055698"/>
    <n v="206"/>
    <n v="115002012"/>
    <s v="E9389764 T-FAL PROFESSIONAL TNS BLK 10&quot;           "/>
    <s v="S"/>
    <d v="2012-01-20T00:00:00"/>
    <m/>
    <s v="X"/>
    <x v="52"/>
    <n v="10.8856"/>
    <n v="11"/>
    <d v="2012-02-21T00:00:00"/>
    <d v="2012-01-17T00:00:00"/>
    <n v="1000"/>
    <d v="2012-01-17T00:00:00"/>
    <n v="1000"/>
    <m/>
    <d v="2012-01-20T00:00:00"/>
    <n v="1000"/>
    <d v="2012-02-24T00:00:00"/>
    <d v="2012-01-20T00:00:00"/>
    <n v="1000"/>
    <n v="1000"/>
    <x v="14"/>
    <d v="2012-02-24T00:00:00"/>
    <m/>
    <n v="9321658987"/>
    <n v="10"/>
    <s v="ECMU9374077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74/000010"/>
    <n v="1370148236"/>
    <n v="10"/>
    <x v="0"/>
    <x v="0"/>
    <s v="A1"/>
    <n v="2100055935"/>
    <n v="200"/>
    <n v="116000673"/>
    <s v="C118SC64 SIGNATURE TNS RED 12P SET TS SO          "/>
    <s v="S"/>
    <d v="2012-01-09T00:00:00"/>
    <m/>
    <s v="X"/>
    <x v="52"/>
    <n v="39.852600000000002"/>
    <n v="42"/>
    <d v="2012-01-30T00:00:00"/>
    <d v="2011-12-26T00:00:00"/>
    <n v="1000"/>
    <d v="2012-01-06T00:00:00"/>
    <n v="1000"/>
    <m/>
    <d v="2012-01-06T00:00:00"/>
    <n v="1000"/>
    <d v="2012-02-10T00:00:00"/>
    <d v="2012-01-06T00:00:00"/>
    <n v="1000"/>
    <n v="1000"/>
    <x v="7"/>
    <d v="2012-02-10T00:00:00"/>
    <m/>
    <n v="9321658988"/>
    <n v="10"/>
    <s v="CCLU7008031"/>
    <s v="ZIM SAVANNAH/29E"/>
    <m/>
    <s v="NINGBO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968/000010"/>
    <n v="1370148238"/>
    <n v="10"/>
    <x v="0"/>
    <x v="0"/>
    <s v="A1"/>
    <n v="2100055933"/>
    <n v="200"/>
    <n v="115002207"/>
    <s v="C1180564 SIGNATURE TNS RED FP 10&quot; SOFT H          "/>
    <s v="S"/>
    <d v="2012-01-09T00:00:00"/>
    <m/>
    <s v="X"/>
    <x v="52"/>
    <n v="6.0098000000000003"/>
    <n v="6"/>
    <d v="2012-02-10T00:00:00"/>
    <d v="2012-01-06T00:00:00"/>
    <n v="999"/>
    <d v="2012-01-06T00:00:00"/>
    <n v="1002"/>
    <m/>
    <d v="2012-01-06T00:00:00"/>
    <n v="1002"/>
    <d v="2012-02-10T00:00:00"/>
    <d v="2012-01-06T00:00:00"/>
    <n v="1002"/>
    <n v="1002"/>
    <x v="7"/>
    <d v="2012-02-10T00:00:00"/>
    <m/>
    <n v="9321658989"/>
    <n v="10"/>
    <s v="CCLU7008031"/>
    <s v="ZIM SAVANNAH/29E"/>
    <m/>
    <s v="NINGBO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39/000010"/>
    <n v="1370148242"/>
    <n v="10"/>
    <x v="0"/>
    <x v="0"/>
    <s v="A1"/>
    <n v="2100057060"/>
    <n v="206"/>
    <n v="115001822"/>
    <s v="E9380564 PROFESSIONAL TNS BLACK FP 10&quot;            "/>
    <s v="S"/>
    <d v="2012-01-20T00:00:00"/>
    <m/>
    <s v="X"/>
    <x v="52"/>
    <n v="8.0405999999999995"/>
    <n v="8"/>
    <d v="2012-02-21T00:00:00"/>
    <d v="2012-01-17T00:00:00"/>
    <n v="3999"/>
    <d v="2012-01-17T00:00:00"/>
    <n v="3999"/>
    <m/>
    <d v="2012-01-20T00:00:00"/>
    <n v="3999"/>
    <d v="2012-02-24T00:00:00"/>
    <d v="2012-01-20T00:00:00"/>
    <n v="3999"/>
    <n v="3999"/>
    <x v="14"/>
    <d v="2012-02-24T00:00:00"/>
    <m/>
    <n v="9321658990"/>
    <n v="10"/>
    <s v="GESU4331892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31/000010"/>
    <n v="1370148244"/>
    <n v="10"/>
    <x v="0"/>
    <x v="0"/>
    <s v="A1"/>
    <n v="2100038469"/>
    <n v="201"/>
    <n v="115001861"/>
    <s v="A9227964 T-FAL TNS 8QT STOCK POT                  "/>
    <s v="S"/>
    <d v="2012-01-20T00:00:00"/>
    <m/>
    <s v="X"/>
    <x v="52"/>
    <n v="10.391299999999999"/>
    <n v="11"/>
    <d v="2012-02-21T00:00:00"/>
    <d v="2012-01-17T00:00:00"/>
    <n v="1500"/>
    <d v="2012-01-17T00:00:00"/>
    <n v="1500"/>
    <m/>
    <d v="2012-01-13T00:00:00"/>
    <n v="1500"/>
    <d v="2012-02-24T00:00:00"/>
    <d v="2012-01-20T00:00:00"/>
    <n v="1500"/>
    <n v="1500"/>
    <x v="14"/>
    <d v="2012-02-24T00:00:00"/>
    <m/>
    <n v="9321658992"/>
    <n v="10"/>
    <s v="CZZU9829205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29/000010"/>
    <n v="1370148245"/>
    <n v="10"/>
    <x v="0"/>
    <x v="0"/>
    <s v="A1"/>
    <n v="2100051012"/>
    <n v="201"/>
    <n v="115001416"/>
    <s v="A9108274 5QT JUMBO COOKER TNS INVERTED L          "/>
    <s v="S"/>
    <d v="2012-01-12T00:00:00"/>
    <m/>
    <s v="X"/>
    <x v="52"/>
    <n v="10.07"/>
    <n v="11"/>
    <d v="2012-01-21T00:00:00"/>
    <d v="2011-12-17T00:00:00"/>
    <n v="1000"/>
    <d v="2012-01-06T00:00:00"/>
    <n v="1000"/>
    <m/>
    <d v="2011-12-23T00:00:00"/>
    <n v="1000"/>
    <d v="2012-02-10T00:00:00"/>
    <d v="2012-01-06T00:00:00"/>
    <n v="1000"/>
    <n v="1000"/>
    <x v="17"/>
    <d v="2012-02-15T00:00:00"/>
    <m/>
    <n v="9321658993"/>
    <n v="10"/>
    <s v="GLDU7705890"/>
    <s v="EVER REWARD/0518E"/>
    <m/>
    <s v="NINGBO"/>
    <s v="C-POST-CONF/"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891/000010"/>
    <n v="1370148247"/>
    <n v="10"/>
    <x v="0"/>
    <x v="0"/>
    <s v="A1"/>
    <n v="2100065878"/>
    <n v="201"/>
    <n v="115003189"/>
    <s v="A8002464 SCP20LID BANQUET 4 EASY CAR PE           "/>
    <s v="S"/>
    <d v="2012-01-19T00:00:00"/>
    <m/>
    <s v="X"/>
    <x v="52"/>
    <n v="7.8536999999999999"/>
    <n v="8"/>
    <d v="2012-03-01T00:00:00"/>
    <d v="2012-01-26T00:00:00"/>
    <n v="3000"/>
    <d v="2012-01-26T00:00:00"/>
    <n v="3000"/>
    <m/>
    <d v="2012-01-20T00:00:00"/>
    <n v="3000"/>
    <d v="2012-02-24T00:00:00"/>
    <d v="2012-01-20T00:00:00"/>
    <n v="3000"/>
    <n v="3000"/>
    <x v="14"/>
    <d v="2012-02-24T00:00:00"/>
    <m/>
    <n v="9321658994"/>
    <n v="10"/>
    <s v="CPSU4709487"/>
    <s v="NYK RUMINA/10E03"/>
    <m/>
    <s v="NINGBO"/>
    <s v="FORWARDER-PROB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83/000010"/>
    <n v="1370148254"/>
    <n v="10"/>
    <x v="0"/>
    <x v="0"/>
    <s v="A1"/>
    <n v="2100056045"/>
    <n v="208"/>
    <n v="115002041"/>
    <s v="D9130564 T-FAL SIGNATURE HA 10&quot; FP                "/>
    <s v="S"/>
    <d v="2012-01-20T00:00:00"/>
    <m/>
    <s v="X"/>
    <x v="52"/>
    <n v="6.6509999999999998"/>
    <n v="7"/>
    <d v="2012-02-21T00:00:00"/>
    <d v="2012-01-17T00:00:00"/>
    <n v="999"/>
    <d v="2012-01-17T00:00:00"/>
    <n v="1002"/>
    <m/>
    <d v="2012-01-13T00:00:00"/>
    <n v="1002"/>
    <d v="2012-02-24T00:00:00"/>
    <d v="2012-01-20T00:00:00"/>
    <n v="1002"/>
    <n v="1002"/>
    <x v="14"/>
    <d v="2012-02-24T00:00:00"/>
    <m/>
    <n v="9321658995"/>
    <n v="10"/>
    <s v="CZZU9829205"/>
    <s v="CLEMENTINE MAERSK/56"/>
    <m/>
    <s v="NINGBO"/>
    <s v="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18/000010"/>
    <n v="1370148260"/>
    <n v="10"/>
    <x v="0"/>
    <x v="0"/>
    <s v="A1"/>
    <n v="2100063856"/>
    <n v="201"/>
    <n v="116000903"/>
    <s v="C306S264 TOTAL EDGE TNS 8/10&quot; FP COMBO            "/>
    <s v="S"/>
    <d v="2012-01-20T00:00:00"/>
    <m/>
    <s v="X"/>
    <x v="52"/>
    <n v="11.3909"/>
    <n v="12"/>
    <d v="2012-02-21T00:00:00"/>
    <d v="2012-01-17T00:00:00"/>
    <n v="1000"/>
    <d v="2012-01-17T00:00:00"/>
    <n v="1000"/>
    <m/>
    <d v="2012-01-13T00:00:00"/>
    <n v="1000"/>
    <d v="2012-02-24T00:00:00"/>
    <d v="2012-01-20T00:00:00"/>
    <n v="1000"/>
    <n v="1000"/>
    <x v="14"/>
    <d v="2012-02-24T00:00:00"/>
    <m/>
    <n v="9321658997"/>
    <n v="10"/>
    <s v="ECMU9374077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15/000010"/>
    <n v="1370148271"/>
    <n v="10"/>
    <x v="0"/>
    <x v="0"/>
    <s v="A1"/>
    <n v="2100063203"/>
    <n v="201"/>
    <n v="115002924"/>
    <s v="A8428464 T-FAL TNS BLACK 12&quot; COV EVERYDA          "/>
    <s v="S"/>
    <d v="2012-01-20T00:00:00"/>
    <m/>
    <s v="X"/>
    <x v="52"/>
    <n v="9.7190999999999992"/>
    <n v="10"/>
    <d v="2012-02-20T00:00:00"/>
    <d v="2012-01-16T00:00:00"/>
    <n v="1000"/>
    <d v="2012-01-16T00:00:00"/>
    <n v="1000"/>
    <m/>
    <d v="2012-01-13T00:00:00"/>
    <n v="1000"/>
    <d v="2012-02-24T00:00:00"/>
    <d v="2012-01-20T00:00:00"/>
    <n v="1000"/>
    <n v="1000"/>
    <x v="14"/>
    <d v="2012-02-24T00:00:00"/>
    <m/>
    <n v="9321659001"/>
    <n v="10"/>
    <s v="GESU4331892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08/000010"/>
    <n v="1370148272"/>
    <n v="10"/>
    <x v="0"/>
    <x v="0"/>
    <s v="A1"/>
    <n v="2100059439"/>
    <n v="208"/>
    <n v="116000708"/>
    <s v="E918SC64 ULTIMATE HA GREY 12PC SET                "/>
    <s v="S"/>
    <d v="2012-01-19T00:00:00"/>
    <m/>
    <s v="X"/>
    <x v="52"/>
    <n v="49.742100000000001"/>
    <n v="52"/>
    <d v="2012-02-03T00:00:00"/>
    <d v="2011-12-30T00:00:00"/>
    <n v="1180"/>
    <d v="2011-12-30T00:00:00"/>
    <n v="1180"/>
    <m/>
    <d v="2012-01-06T00:00:00"/>
    <n v="1180"/>
    <d v="2012-02-24T00:00:00"/>
    <d v="2012-01-20T00:00:00"/>
    <n v="1180"/>
    <n v="969"/>
    <x v="14"/>
    <d v="2012-02-24T00:00:00"/>
    <m/>
    <n v="9321659002"/>
    <n v="10"/>
    <s v="GATU8391493"/>
    <s v="NYK RUMINA/10E03"/>
    <m/>
    <s v="NINGBO"/>
    <s v="FORWARDER-PROB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3008/000010"/>
    <n v="1370148272"/>
    <n v="10"/>
    <x v="0"/>
    <x v="0"/>
    <s v="A1"/>
    <n v="2100059439"/>
    <n v="208"/>
    <n v="116000708"/>
    <s v="E918SC64 ULTIMATE HA GREY 12PC SET                "/>
    <s v="S"/>
    <d v="2012-01-19T00:00:00"/>
    <m/>
    <s v="X"/>
    <x v="52"/>
    <n v="49.742100000000001"/>
    <n v="52"/>
    <d v="2012-02-03T00:00:00"/>
    <d v="2011-12-30T00:00:00"/>
    <n v="1180"/>
    <d v="2011-12-30T00:00:00"/>
    <n v="1180"/>
    <m/>
    <d v="2012-01-06T00:00:00"/>
    <n v="1180"/>
    <d v="2012-02-24T00:00:00"/>
    <d v="2012-01-20T00:00:00"/>
    <n v="1180"/>
    <n v="211"/>
    <x v="14"/>
    <d v="2012-02-24T00:00:00"/>
    <m/>
    <n v="9321659002"/>
    <n v="10"/>
    <s v="CLHU8697911"/>
    <s v="NYK RUMINA/10E03"/>
    <m/>
    <s v="NINGBO"/>
    <s v="FORWARDER-PROB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1256/000010"/>
    <n v="1370148281"/>
    <n v="10"/>
    <x v="0"/>
    <x v="0"/>
    <s v="A1"/>
    <n v="2100063589"/>
    <n v="200"/>
    <s v="A8097774       "/>
    <s v="A8097774 GRIP RIGHT TNS GRAY DOUBLE BURN          "/>
    <s v="S"/>
    <d v="2012-01-17T00:00:00"/>
    <m/>
    <s v="X"/>
    <x v="52"/>
    <n v="9.8196999999999992"/>
    <n v="10"/>
    <d v="2012-01-30T00:00:00"/>
    <d v="2011-12-26T00:00:00"/>
    <n v="5000"/>
    <d v="2012-01-06T00:00:00"/>
    <n v="5000"/>
    <m/>
    <d v="2012-01-13T00:00:00"/>
    <n v="5500"/>
    <d v="2012-02-17T00:00:00"/>
    <d v="2012-01-13T00:00:00"/>
    <n v="5000"/>
    <n v="500"/>
    <x v="9"/>
    <d v="2012-02-18T00:00:00"/>
    <m/>
    <n v="9321659003"/>
    <n v="10"/>
    <s v="FCIU9378521"/>
    <s v="CMA CGM TANCREDI/US5"/>
    <m/>
    <s v="NINGBO"/>
    <s v="C-POST-CONF/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1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51256/000010"/>
    <n v="1370148281"/>
    <n v="10"/>
    <x v="0"/>
    <x v="0"/>
    <s v="A1"/>
    <n v="2100063589"/>
    <n v="200"/>
    <s v="A8097774       "/>
    <s v="A8097774 GRIP RIGHT TNS GRAY DOUBLE BURN          "/>
    <s v="S"/>
    <d v="2012-01-09T00:00:00"/>
    <m/>
    <s v="X"/>
    <x v="52"/>
    <n v="9.8196999999999992"/>
    <n v="10"/>
    <d v="2012-01-30T00:00:00"/>
    <d v="2011-12-26T00:00:00"/>
    <n v="5000"/>
    <d v="2012-01-06T00:00:00"/>
    <n v="5000"/>
    <m/>
    <d v="2012-01-13T00:00:00"/>
    <n v="5500"/>
    <d v="2012-02-17T00:00:00"/>
    <d v="2012-01-13T00:00:00"/>
    <n v="5000"/>
    <n v="4500"/>
    <x v="12"/>
    <d v="2012-02-11T00:00:00"/>
    <m/>
    <n v="9321659003"/>
    <n v="10"/>
    <s v="HLXU8135806"/>
    <s v="NYK METEOR/24E01"/>
    <m/>
    <s v="NINGBO"/>
    <s v="C-POST-CONF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253/000010"/>
    <n v="1370148282"/>
    <n v="10"/>
    <x v="0"/>
    <x v="0"/>
    <s v="A1"/>
    <n v="2100062372"/>
    <n v="200"/>
    <n v="115002858"/>
    <s v="C1164074 REAL EASY NS BLACK 10&quot; GRILL PA          "/>
    <s v="S"/>
    <d v="2012-01-09T00:00:00"/>
    <m/>
    <s v="X"/>
    <x v="52"/>
    <n v="8.4021000000000008"/>
    <n v="9"/>
    <d v="2012-01-27T00:00:00"/>
    <d v="2011-12-23T00:00:00"/>
    <n v="3800"/>
    <d v="2012-01-06T00:00:00"/>
    <n v="3800"/>
    <m/>
    <d v="2011-12-23T00:00:00"/>
    <n v="3800"/>
    <d v="2012-02-10T00:00:00"/>
    <d v="2012-01-06T00:00:00"/>
    <n v="3800"/>
    <n v="3800"/>
    <x v="12"/>
    <d v="2012-02-11T00:00:00"/>
    <m/>
    <n v="9321659004"/>
    <n v="10"/>
    <s v="TCLU8343236"/>
    <s v="NYK METEOR/24E01"/>
    <m/>
    <s v="NINGBO"/>
    <s v="C-POST-CONF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54/000010"/>
    <n v="1370148283"/>
    <n v="10"/>
    <x v="0"/>
    <x v="0"/>
    <s v="A1"/>
    <n v="2100062372"/>
    <n v="200"/>
    <n v="115002858"/>
    <s v="C1164074 REAL EASY NS BLACK 10&quot; GRILL PA          "/>
    <s v="S"/>
    <d v="2012-01-17T00:00:00"/>
    <m/>
    <s v="X"/>
    <x v="52"/>
    <n v="8.4021000000000008"/>
    <n v="9"/>
    <d v="2012-02-15T00:00:00"/>
    <d v="2012-01-11T00:00:00"/>
    <n v="2500"/>
    <d v="2012-01-11T00:00:00"/>
    <n v="2500"/>
    <m/>
    <d v="2012-01-13T00:00:00"/>
    <n v="2500"/>
    <d v="2012-02-17T00:00:00"/>
    <d v="2012-01-13T00:00:00"/>
    <n v="2500"/>
    <n v="2500"/>
    <x v="9"/>
    <d v="2012-02-18T00:00:00"/>
    <m/>
    <n v="9321659005"/>
    <n v="10"/>
    <s v="MSKU9380993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11/000010"/>
    <n v="1370148284"/>
    <n v="10"/>
    <x v="0"/>
    <x v="0"/>
    <s v="A1"/>
    <n v="2100055653"/>
    <n v="208"/>
    <n v="115002072"/>
    <s v="E9200264 EMERIL HA 8&quot; FRY SLEEVE                  "/>
    <s v="S"/>
    <d v="2012-01-17T00:00:00"/>
    <m/>
    <s v="X"/>
    <x v="52"/>
    <n v="7.4524999999999997"/>
    <n v="8"/>
    <d v="2012-02-10T00:00:00"/>
    <d v="2012-01-06T00:00:00"/>
    <n v="3120"/>
    <d v="2012-01-06T00:00:00"/>
    <n v="3120"/>
    <m/>
    <d v="2012-01-13T00:00:00"/>
    <n v="3120"/>
    <d v="2012-02-17T00:00:00"/>
    <d v="2012-01-13T00:00:00"/>
    <n v="3120"/>
    <n v="3120"/>
    <x v="9"/>
    <d v="2012-02-18T00:00:00"/>
    <m/>
    <n v="9321659006"/>
    <n v="10"/>
    <s v="TGHU9898599"/>
    <s v="CMA CGM TANCREDI/US5"/>
    <m/>
    <s v="NINGBO"/>
    <s v="FORWARDER-PROB"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3097/000010"/>
    <n v="1370148285"/>
    <n v="10"/>
    <x v="0"/>
    <x v="0"/>
    <s v="A1"/>
    <n v="2100055670"/>
    <n v="204"/>
    <n v="115002850"/>
    <s v="E9220764 EMERIL HE BLUE 12&quot; FRY                   "/>
    <s v="S"/>
    <d v="2012-01-09T00:00:00"/>
    <m/>
    <s v="X"/>
    <x v="52"/>
    <n v="12.2843"/>
    <n v="13"/>
    <d v="2012-02-05T00:00:00"/>
    <d v="2012-01-01T00:00:00"/>
    <n v="1456"/>
    <d v="2012-01-01T00:00:00"/>
    <n v="1456"/>
    <m/>
    <d v="2012-01-06T00:00:00"/>
    <n v="1456"/>
    <d v="2012-02-10T00:00:00"/>
    <d v="2012-01-06T00:00:00"/>
    <n v="1456"/>
    <n v="1456"/>
    <x v="12"/>
    <d v="2012-02-11T00:00:00"/>
    <m/>
    <n v="9321659007"/>
    <n v="10"/>
    <s v="CLHU8011770"/>
    <s v="NYK METEOR/24E01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31/000010"/>
    <n v="1370148297"/>
    <n v="10"/>
    <x v="0"/>
    <x v="0"/>
    <s v="A1"/>
    <n v="2100059254"/>
    <n v="208"/>
    <n v="115002426"/>
    <s v="E9209964 EMERIL HA 12&quot; FRY W/LID                  "/>
    <s v="S"/>
    <d v="2012-02-01T00:00:00"/>
    <m/>
    <s v="X"/>
    <x v="52"/>
    <n v="15.8201"/>
    <n v="17"/>
    <d v="2012-02-21T00:00:00"/>
    <d v="2012-01-17T00:00:00"/>
    <n v="2000"/>
    <d v="2012-01-17T00:00:00"/>
    <n v="2000"/>
    <m/>
    <d v="2012-01-20T00:00:00"/>
    <n v="2000"/>
    <d v="2012-02-24T00:00:00"/>
    <d v="2012-01-20T00:00:00"/>
    <n v="2000"/>
    <n v="2000"/>
    <x v="14"/>
    <d v="2012-02-24T00:00:00"/>
    <m/>
    <n v="9321659011"/>
    <n v="10"/>
    <s v="INKU2578941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1-19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MSKU1092671"/>
    <s v="CLEMENTINE MAERSK/56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1-19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22"/>
    <d v="2012-02-23T00:00:00"/>
    <m/>
    <n v="9321659015"/>
    <n v="10"/>
    <s v="FSCU9570960"/>
    <s v="APL INDONESIA/016E"/>
    <m/>
    <s v="NINGBO"/>
    <s v="C-POST-CONF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1-19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TCLU8119925"/>
    <s v="NYK RUMINA/10E03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1-19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22"/>
    <d v="2012-02-23T00:00:00"/>
    <m/>
    <n v="9321659015"/>
    <n v="10"/>
    <s v="TCNU7320568"/>
    <s v="APL INDONESIA/016E"/>
    <m/>
    <s v="NINGBO"/>
    <s v="C-POST-CONF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1-19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MSKU1591599"/>
    <s v="CLEMENTINE MAERSK/56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1-19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22"/>
    <d v="2012-02-23T00:00:00"/>
    <m/>
    <n v="9321659015"/>
    <n v="10"/>
    <s v="DFSU6889898"/>
    <s v="APL INDONESIA/016E"/>
    <m/>
    <s v="NINGBO"/>
    <s v="C-POST-CONF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1-19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TCLU5526505"/>
    <s v="CLEMENTINE MAERSK/56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2-01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MRKU2765693"/>
    <s v="CLEMENTINE MAERSK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1-19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MSKU8654620"/>
    <s v="CLEMENTINE MAERSK/56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2-01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MSKU0567598"/>
    <s v="CLEMENTINE MAERSK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2-01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150"/>
    <x v="14"/>
    <d v="2012-02-24T00:00:00"/>
    <m/>
    <n v="9321659015"/>
    <n v="10"/>
    <s v="GATU4043041"/>
    <s v="CLEMENTINE MAERSK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2-01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MSKU0814851"/>
    <s v="CLEMENTINE MAERSK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1-19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GESU4577844"/>
    <s v="NYK RUMINA/10E03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1-19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CLHU8670145"/>
    <s v="NYK RUMINA/10E03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1-19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22"/>
    <d v="2012-02-23T00:00:00"/>
    <m/>
    <n v="9321659015"/>
    <n v="10"/>
    <s v="HDMU6315542"/>
    <s v="APL INDONESIA/016E"/>
    <m/>
    <s v="NINGBO"/>
    <s v="C-POST-CONF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1-19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TCLU8069017"/>
    <s v="NYK RUMINA/10E03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2-01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715"/>
    <x v="14"/>
    <d v="2012-02-24T00:00:00"/>
    <m/>
    <n v="9321659015"/>
    <n v="10"/>
    <s v="TCLU5676824"/>
    <s v="CLEMENTINE MAERSK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2-01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150"/>
    <x v="14"/>
    <d v="2012-02-24T00:00:00"/>
    <m/>
    <n v="9321659015"/>
    <n v="10"/>
    <s v="POCU1214652"/>
    <s v="CLEMENTINE MAERSK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2-01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150"/>
    <x v="14"/>
    <d v="2012-02-24T00:00:00"/>
    <m/>
    <n v="9321659015"/>
    <n v="10"/>
    <s v="MSKU6106166"/>
    <s v="CLEMENTINE MAERSK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1-19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GATU8137426"/>
    <s v="NYK RUMINA/10E03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1-19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22"/>
    <d v="2012-02-23T00:00:00"/>
    <m/>
    <n v="9321659015"/>
    <n v="10"/>
    <s v="CAIU8261830"/>
    <s v="APL INDONESIA/016E"/>
    <m/>
    <s v="NINGBO"/>
    <s v="C-POST-CONF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48681/000010"/>
    <n v="1370148313"/>
    <n v="10"/>
    <x v="0"/>
    <x v="0"/>
    <s v="A1"/>
    <n v="2100064651"/>
    <n v="200"/>
    <n v="116000953"/>
    <s v="A809S574 GRIP RIGHT TNS GREY 5P ENTREE S          "/>
    <s v="S"/>
    <d v="2012-01-19T00:00:00"/>
    <m/>
    <s v="X"/>
    <x v="52"/>
    <n v="21.839600000000001"/>
    <n v="23"/>
    <d v="2012-01-23T00:00:00"/>
    <d v="2011-12-19T00:00:00"/>
    <n v="28375"/>
    <d v="2012-01-20T00:00:00"/>
    <n v="28375"/>
    <m/>
    <d v="2011-12-16T00:00:00"/>
    <n v="28375"/>
    <d v="2012-02-24T00:00:00"/>
    <d v="2012-01-20T00:00:00"/>
    <n v="28375"/>
    <n v="1345"/>
    <x v="14"/>
    <d v="2012-02-24T00:00:00"/>
    <m/>
    <n v="9321659015"/>
    <n v="10"/>
    <s v="MSKU8155339"/>
    <s v="CLEMENTINE MAERSK/56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72/000010"/>
    <n v="1370148317"/>
    <n v="10"/>
    <x v="0"/>
    <x v="0"/>
    <s v="A1"/>
    <n v="2100055934"/>
    <n v="200"/>
    <n v="115002208"/>
    <s v="C1180864 SIGNATURE TNS RED FP 12&quot; SOFT H          "/>
    <s v="S"/>
    <d v="2012-01-09T00:00:00"/>
    <m/>
    <s v="X"/>
    <x v="52"/>
    <n v="7.6921999999999997"/>
    <n v="8"/>
    <d v="2012-02-21T00:00:00"/>
    <d v="2012-01-17T00:00:00"/>
    <n v="2001"/>
    <d v="2012-01-17T00:00:00"/>
    <n v="2001"/>
    <m/>
    <d v="2012-01-13T00:00:00"/>
    <n v="2001"/>
    <d v="2012-02-17T00:00:00"/>
    <d v="2012-01-13T00:00:00"/>
    <n v="2001"/>
    <n v="2001"/>
    <x v="7"/>
    <d v="2012-02-10T00:00:00"/>
    <m/>
    <n v="9321659018"/>
    <n v="10"/>
    <s v="HDMU6865169"/>
    <s v="HYUNDAI VOYAGER/026E"/>
    <m/>
    <s v="NINGBO"/>
    <s v="FORWARDER-PROB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53112/000010"/>
    <n v="1370148321"/>
    <n v="10"/>
    <x v="0"/>
    <x v="0"/>
    <s v="A1"/>
    <n v="2100055658"/>
    <n v="208"/>
    <n v="115002071"/>
    <s v="E9208264 EMERIL HA 5QT SAUTE + LID                "/>
    <s v="S"/>
    <d v="2012-01-09T00:00:00"/>
    <m/>
    <s v="X"/>
    <x v="52"/>
    <n v="16.851299999999998"/>
    <n v="18"/>
    <d v="2012-02-05T00:00:00"/>
    <d v="2012-01-01T00:00:00"/>
    <n v="3000"/>
    <d v="2012-01-01T00:00:00"/>
    <n v="3000"/>
    <m/>
    <d v="2012-01-06T00:00:00"/>
    <n v="3000"/>
    <d v="2012-02-10T00:00:00"/>
    <d v="2012-01-06T00:00:00"/>
    <n v="3000"/>
    <n v="2300"/>
    <x v="12"/>
    <d v="2012-02-11T00:00:00"/>
    <m/>
    <n v="9321659021"/>
    <n v="10"/>
    <s v="HLXU8101935"/>
    <s v="NYK METEOR/24E01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12/000010"/>
    <n v="1370148321"/>
    <n v="10"/>
    <x v="0"/>
    <x v="0"/>
    <s v="A1"/>
    <n v="2100055658"/>
    <n v="208"/>
    <n v="115002071"/>
    <s v="E9208264 EMERIL HA 5QT SAUTE + LID                "/>
    <s v="S"/>
    <d v="2012-01-09T00:00:00"/>
    <m/>
    <s v="X"/>
    <x v="52"/>
    <n v="16.851299999999998"/>
    <n v="18"/>
    <d v="2012-02-05T00:00:00"/>
    <d v="2012-01-01T00:00:00"/>
    <n v="3000"/>
    <d v="2012-01-01T00:00:00"/>
    <n v="3000"/>
    <m/>
    <d v="2012-01-06T00:00:00"/>
    <n v="3000"/>
    <d v="2012-02-10T00:00:00"/>
    <d v="2012-01-06T00:00:00"/>
    <n v="3000"/>
    <n v="700"/>
    <x v="12"/>
    <d v="2012-02-11T00:00:00"/>
    <m/>
    <n v="9321659021"/>
    <n v="10"/>
    <s v="TCLU8339046"/>
    <s v="NYK METEOR/24E01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083/000010"/>
    <n v="1370148329"/>
    <n v="10"/>
    <x v="0"/>
    <x v="0"/>
    <s v="A1"/>
    <n v="2100064659"/>
    <n v="205"/>
    <n v="115003144"/>
    <s v="C8110764 FP30 ESSENC ELEGANCE II SS UNCO          "/>
    <s v="S"/>
    <d v="2012-01-20T00:00:00"/>
    <m/>
    <s v="X"/>
    <x v="52"/>
    <n v="9.9566999999999997"/>
    <n v="10"/>
    <d v="2012-02-20T00:00:00"/>
    <d v="2012-01-16T00:00:00"/>
    <n v="999"/>
    <d v="2012-01-16T00:00:00"/>
    <n v="1002"/>
    <m/>
    <d v="2012-01-13T00:00:00"/>
    <n v="1002"/>
    <d v="2012-02-24T00:00:00"/>
    <d v="2012-01-20T00:00:00"/>
    <n v="1002"/>
    <n v="1002"/>
    <x v="14"/>
    <d v="2012-02-24T00:00:00"/>
    <m/>
    <n v="9321659026"/>
    <n v="10"/>
    <s v="INKU2561511"/>
    <s v="CLEMENTINE MAERSK/56"/>
    <m/>
    <s v="NINGBO"/>
    <s v="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44/000010"/>
    <n v="1370148335"/>
    <n v="10"/>
    <x v="0"/>
    <x v="0"/>
    <s v="A1"/>
    <n v="2100057061"/>
    <n v="206"/>
    <n v="115002291"/>
    <s v="E9380864 PROFESSIONAL TNS BLACK FP 12&quot;            "/>
    <s v="S"/>
    <d v="2012-01-20T00:00:00"/>
    <m/>
    <s v="X"/>
    <x v="52"/>
    <n v="9.9085000000000001"/>
    <n v="10"/>
    <d v="2012-02-21T00:00:00"/>
    <d v="2012-01-17T00:00:00"/>
    <n v="2001"/>
    <d v="2012-01-17T00:00:00"/>
    <n v="2001"/>
    <m/>
    <d v="2012-01-20T00:00:00"/>
    <n v="2001"/>
    <d v="2012-02-24T00:00:00"/>
    <d v="2012-01-20T00:00:00"/>
    <n v="2001"/>
    <n v="2001"/>
    <x v="14"/>
    <d v="2012-02-24T00:00:00"/>
    <m/>
    <n v="9321659027"/>
    <n v="10"/>
    <s v="GESU4331892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35/000010"/>
    <n v="1370148336"/>
    <n v="10"/>
    <x v="0"/>
    <x v="0"/>
    <s v="A1"/>
    <n v="2100057136"/>
    <n v="206"/>
    <n v="115001821"/>
    <s v="E9380264 PROFESSIONAL TNS BLACK FP 8&quot;             "/>
    <s v="S"/>
    <d v="2012-01-20T00:00:00"/>
    <m/>
    <s v="X"/>
    <x v="52"/>
    <n v="6.1891999999999996"/>
    <n v="6"/>
    <d v="2012-02-05T00:00:00"/>
    <d v="2012-01-01T00:00:00"/>
    <n v="2430"/>
    <d v="2012-01-20T00:00:00"/>
    <n v="2430"/>
    <m/>
    <d v="2012-01-20T00:00:00"/>
    <n v="2430"/>
    <d v="2012-02-24T00:00:00"/>
    <d v="2012-01-20T00:00:00"/>
    <n v="2430"/>
    <n v="2430"/>
    <x v="14"/>
    <d v="2012-02-24T00:00:00"/>
    <m/>
    <n v="9321659028"/>
    <n v="10"/>
    <s v="ECMU9374077"/>
    <s v="CLEMENTINE MAERSK/56"/>
    <m/>
    <s v="NINGBO"/>
    <s v="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937/000010"/>
    <n v="1370148337"/>
    <n v="10"/>
    <x v="0"/>
    <x v="0"/>
    <s v="A1"/>
    <n v="2100057136"/>
    <n v="206"/>
    <n v="115001821"/>
    <s v="E9380264 PROFESSIONAL TNS BLACK FP 8&quot;             "/>
    <s v="S"/>
    <d v="2012-01-20T00:00:00"/>
    <m/>
    <s v="X"/>
    <x v="52"/>
    <n v="6.1891999999999996"/>
    <n v="6"/>
    <d v="2012-02-20T00:00:00"/>
    <d v="2012-01-16T00:00:00"/>
    <n v="3699"/>
    <d v="2012-01-16T00:00:00"/>
    <n v="3699"/>
    <m/>
    <d v="2012-02-10T00:00:00"/>
    <n v="4398"/>
    <d v="2012-03-16T00:00:00"/>
    <d v="2012-02-10T00:00:00"/>
    <n v="3699"/>
    <n v="3000"/>
    <x v="14"/>
    <d v="2012-02-24T00:00:00"/>
    <m/>
    <n v="9321659029"/>
    <n v="10"/>
    <s v="ECMU9374077"/>
    <s v="CLEMENTINE MAERSK/56"/>
    <m/>
    <s v="NINGBO"/>
    <s v="SP-BOTTLENECK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6"/>
    <s v="SP-BOTTLENECK"/>
    <n v="1"/>
    <n v="1"/>
    <x v="16"/>
    <n v="1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202/000010"/>
    <n v="1370148341"/>
    <n v="10"/>
    <x v="0"/>
    <x v="0"/>
    <s v="A1"/>
    <n v="2100060065"/>
    <n v="200"/>
    <n v="115002540"/>
    <s v="A8272174 COOKNSTRAIN TNS RED 1.2QT COVD           "/>
    <s v="S"/>
    <d v="2012-01-17T00:00:00"/>
    <m/>
    <s v="X"/>
    <x v="52"/>
    <n v="5.6744000000000003"/>
    <n v="6"/>
    <d v="2012-02-15T00:00:00"/>
    <d v="2012-01-11T00:00:00"/>
    <n v="1000"/>
    <d v="2012-01-11T00:00:00"/>
    <n v="1000"/>
    <m/>
    <d v="2012-01-13T00:00:00"/>
    <n v="1000"/>
    <d v="2012-02-17T00:00:00"/>
    <d v="2012-01-13T00:00:00"/>
    <n v="1000"/>
    <n v="1000"/>
    <x v="9"/>
    <d v="2012-02-18T00:00:00"/>
    <m/>
    <n v="9321659032"/>
    <n v="10"/>
    <s v="FCIU9378521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196/000010"/>
    <n v="1370148342"/>
    <n v="10"/>
    <x v="0"/>
    <x v="0"/>
    <s v="A1"/>
    <n v="2100051008"/>
    <n v="205"/>
    <n v="115001462"/>
    <s v="A8342464 COOK N STRAIN SS 3QT SP                  "/>
    <s v="S"/>
    <d v="2012-01-09T00:00:00"/>
    <m/>
    <s v="X"/>
    <x v="52"/>
    <n v="9.8489000000000004"/>
    <n v="10"/>
    <d v="2012-01-27T00:00:00"/>
    <d v="2011-12-23T00:00:00"/>
    <n v="6000"/>
    <d v="2012-01-13T00:00:00"/>
    <n v="6000"/>
    <m/>
    <d v="2011-12-23T00:00:00"/>
    <n v="6000"/>
    <d v="2012-02-10T00:00:00"/>
    <d v="2012-01-06T00:00:00"/>
    <n v="6000"/>
    <n v="5162"/>
    <x v="12"/>
    <d v="2012-02-11T00:00:00"/>
    <m/>
    <n v="9321659033"/>
    <n v="10"/>
    <s v="TCNU8801676"/>
    <s v="NYK METEOR/24E01"/>
    <m/>
    <s v="NINGBO"/>
    <s v="C-POST-CONF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196/000010"/>
    <n v="1370148342"/>
    <n v="10"/>
    <x v="0"/>
    <x v="0"/>
    <s v="A1"/>
    <n v="2100051008"/>
    <n v="205"/>
    <n v="115001462"/>
    <s v="A8342464 COOK N STRAIN SS 3QT SP                  "/>
    <s v="S"/>
    <d v="2012-01-09T00:00:00"/>
    <m/>
    <s v="X"/>
    <x v="52"/>
    <n v="9.8489000000000004"/>
    <n v="10"/>
    <d v="2012-01-27T00:00:00"/>
    <d v="2011-12-23T00:00:00"/>
    <n v="6000"/>
    <d v="2012-01-13T00:00:00"/>
    <n v="6000"/>
    <m/>
    <d v="2011-12-23T00:00:00"/>
    <n v="6000"/>
    <d v="2012-02-10T00:00:00"/>
    <d v="2012-01-06T00:00:00"/>
    <n v="6000"/>
    <n v="838"/>
    <x v="12"/>
    <d v="2012-02-11T00:00:00"/>
    <m/>
    <n v="9321659033"/>
    <n v="10"/>
    <s v="HLXU8135806"/>
    <s v="NYK METEOR/24E01"/>
    <m/>
    <s v="NINGBO"/>
    <s v="C-POST-CONF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00/000010"/>
    <n v="1370148343"/>
    <n v="10"/>
    <x v="0"/>
    <x v="0"/>
    <s v="A1"/>
    <n v="2100051008"/>
    <n v="205"/>
    <n v="115001462"/>
    <s v="A8342464 COOK N STRAIN SS 3QT SP                  "/>
    <s v="S"/>
    <d v="2012-01-10T00:00:00"/>
    <m/>
    <s v="X"/>
    <x v="52"/>
    <n v="9.8489000000000004"/>
    <n v="10"/>
    <d v="2012-02-05T00:00:00"/>
    <d v="2012-01-01T00:00:00"/>
    <n v="3500"/>
    <d v="2012-01-01T00:00:00"/>
    <n v="3500"/>
    <m/>
    <d v="2012-01-06T00:00:00"/>
    <n v="3500"/>
    <d v="2012-02-10T00:00:00"/>
    <d v="2012-01-06T00:00:00"/>
    <n v="3500"/>
    <n v="3500"/>
    <x v="12"/>
    <d v="2012-02-11T00:00:00"/>
    <m/>
    <n v="9321659034"/>
    <n v="10"/>
    <s v="MSKU0856800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60/000010"/>
    <n v="1370148344"/>
    <n v="10"/>
    <x v="0"/>
    <x v="0"/>
    <s v="A1"/>
    <n v="2100055899"/>
    <n v="208"/>
    <n v="115002213"/>
    <s v="D9153264 EXPERT COOK HA GREY 3.6QT DEEP           "/>
    <s v="S"/>
    <d v="2012-01-12T00:00:00"/>
    <m/>
    <s v="X"/>
    <x v="52"/>
    <n v="10.4595"/>
    <n v="11"/>
    <d v="2012-02-15T00:00:00"/>
    <d v="2012-01-11T00:00:00"/>
    <n v="1784"/>
    <d v="2012-01-11T00:00:00"/>
    <n v="1784"/>
    <m/>
    <d v="2012-01-06T00:00:00"/>
    <n v="1784"/>
    <d v="2012-02-10T00:00:00"/>
    <d v="2012-01-06T00:00:00"/>
    <n v="1784"/>
    <n v="1784"/>
    <x v="17"/>
    <d v="2012-02-15T00:00:00"/>
    <m/>
    <n v="9321659035"/>
    <n v="10"/>
    <s v="GLDU7705890"/>
    <s v="EVER REWARD/0518E"/>
    <m/>
    <s v="NINGBO"/>
    <m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63/000010"/>
    <n v="1370148345"/>
    <n v="10"/>
    <x v="0"/>
    <x v="0"/>
    <s v="A1"/>
    <n v="2100055898"/>
    <n v="208"/>
    <n v="115002212"/>
    <s v="D9150864 EXPERT COOK HA GREY FP 12&quot;               "/>
    <s v="S"/>
    <d v="2012-01-09T00:00:00"/>
    <m/>
    <s v="X"/>
    <x v="52"/>
    <n v="8.4708000000000006"/>
    <n v="9"/>
    <d v="2012-02-15T00:00:00"/>
    <d v="2012-01-11T00:00:00"/>
    <n v="2400"/>
    <d v="2012-01-11T00:00:00"/>
    <n v="2400"/>
    <m/>
    <d v="2012-01-06T00:00:00"/>
    <n v="2400"/>
    <d v="2012-02-10T00:00:00"/>
    <d v="2012-01-06T00:00:00"/>
    <n v="2400"/>
    <n v="2400"/>
    <x v="12"/>
    <d v="2012-02-11T00:00:00"/>
    <m/>
    <n v="9321659036"/>
    <n v="10"/>
    <s v="UNIU5048889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868/000010"/>
    <n v="1370148350"/>
    <n v="10"/>
    <x v="0"/>
    <x v="0"/>
    <s v="A1"/>
    <n v="2100055639"/>
    <n v="201"/>
    <s v="A821S274       "/>
    <s v="A821S274 INITIATIVES TNS CHAR 8/10&quot; FP C          "/>
    <s v="S"/>
    <d v="2012-01-10T00:00:00"/>
    <m/>
    <s v="X"/>
    <x v="52"/>
    <n v="8.6508000000000003"/>
    <n v="8"/>
    <d v="2012-02-15T00:00:00"/>
    <d v="2012-01-11T00:00:00"/>
    <n v="1000"/>
    <d v="2012-01-11T00:00:00"/>
    <n v="1000"/>
    <m/>
    <d v="2012-01-06T00:00:00"/>
    <n v="1000"/>
    <d v="2012-02-10T00:00:00"/>
    <d v="2012-01-06T00:00:00"/>
    <n v="1000"/>
    <n v="1000"/>
    <x v="7"/>
    <d v="2012-02-10T00:00:00"/>
    <m/>
    <n v="9321659039"/>
    <n v="10"/>
    <s v="PONU7636849"/>
    <s v="ARTHUR MAERSK/553S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796/000010"/>
    <n v="1370148354"/>
    <n v="10"/>
    <x v="0"/>
    <x v="0"/>
    <s v="A1"/>
    <n v="2100056337"/>
    <n v="204"/>
    <n v="115002029"/>
    <s v="A9211494 FAMILY GRID HE18X10.75 PROF SE           "/>
    <s v="S"/>
    <d v="2012-01-20T00:00:00"/>
    <m/>
    <s v="X"/>
    <x v="52"/>
    <n v="13.015599999999999"/>
    <n v="14"/>
    <d v="2012-02-21T00:00:00"/>
    <d v="2012-01-17T00:00:00"/>
    <n v="1000"/>
    <d v="2012-01-17T00:00:00"/>
    <n v="1000"/>
    <m/>
    <d v="2012-01-13T00:00:00"/>
    <n v="1000"/>
    <d v="2012-02-24T00:00:00"/>
    <d v="2012-01-20T00:00:00"/>
    <n v="1000"/>
    <n v="1000"/>
    <x v="14"/>
    <d v="2012-02-24T00:00:00"/>
    <m/>
    <n v="9321659041"/>
    <n v="10"/>
    <s v="CZZU9829205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83/000010"/>
    <n v="1370148357"/>
    <n v="10"/>
    <x v="0"/>
    <x v="0"/>
    <s v="A1"/>
    <n v="2100064494"/>
    <n v="205"/>
    <n v="115003121"/>
    <s v="A8340764 FP30 COOK N STRAIN2 UNCOAT SS W          "/>
    <s v="S"/>
    <d v="2012-02-01T00:00:00"/>
    <m/>
    <s v="X"/>
    <x v="52"/>
    <n v="9.0352999999999994"/>
    <n v="9"/>
    <d v="2012-01-30T00:00:00"/>
    <d v="2011-12-26T00:00:00"/>
    <n v="6696"/>
    <d v="2012-01-26T00:00:00"/>
    <n v="6696"/>
    <m/>
    <d v="2011-12-23T00:00:00"/>
    <n v="6696"/>
    <d v="2012-02-24T00:00:00"/>
    <d v="2012-01-20T00:00:00"/>
    <n v="6696"/>
    <n v="1176"/>
    <x v="14"/>
    <d v="2012-02-24T00:00:00"/>
    <m/>
    <n v="9321659043"/>
    <n v="10"/>
    <s v="MRKU0335029"/>
    <s v="CLEMENTINE MAERSK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83/000010"/>
    <n v="1370148357"/>
    <n v="10"/>
    <x v="0"/>
    <x v="0"/>
    <s v="A1"/>
    <n v="2100064494"/>
    <n v="205"/>
    <n v="115003121"/>
    <s v="A8340764 FP30 COOK N STRAIN2 UNCOAT SS W          "/>
    <s v="S"/>
    <d v="2012-02-01T00:00:00"/>
    <m/>
    <s v="X"/>
    <x v="52"/>
    <n v="9.0352999999999994"/>
    <n v="9"/>
    <d v="2012-01-30T00:00:00"/>
    <d v="2011-12-26T00:00:00"/>
    <n v="6696"/>
    <d v="2012-01-26T00:00:00"/>
    <n v="6696"/>
    <m/>
    <d v="2011-12-23T00:00:00"/>
    <n v="6696"/>
    <d v="2012-02-24T00:00:00"/>
    <d v="2012-01-20T00:00:00"/>
    <n v="6696"/>
    <n v="5520"/>
    <x v="14"/>
    <d v="2012-02-24T00:00:00"/>
    <m/>
    <n v="9321659043"/>
    <n v="10"/>
    <s v="PONU1548099"/>
    <s v="CLEMENTINE MAERSK"/>
    <m/>
    <s v="NINGBO"/>
    <s v="C-POST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3/000010"/>
    <n v="1370148363"/>
    <n v="10"/>
    <x v="0"/>
    <x v="0"/>
    <s v="A1"/>
    <n v="2100062371"/>
    <n v="200"/>
    <n v="115002857"/>
    <s v="A8099664 GRIP RIGHT TNS GREY 3QT DOUBLE           "/>
    <s v="S"/>
    <d v="2012-02-01T00:00:00"/>
    <m/>
    <s v="X"/>
    <x v="52"/>
    <n v="11.411099999999999"/>
    <n v="12"/>
    <d v="2012-02-20T00:00:00"/>
    <d v="2012-01-16T00:00:00"/>
    <n v="2500"/>
    <d v="2012-01-16T00:00:00"/>
    <n v="2500"/>
    <m/>
    <d v="2012-01-13T00:00:00"/>
    <n v="2500"/>
    <d v="2012-02-24T00:00:00"/>
    <d v="2012-01-20T00:00:00"/>
    <n v="2500"/>
    <n v="2500"/>
    <x v="14"/>
    <d v="2012-02-24T00:00:00"/>
    <m/>
    <n v="9321659044"/>
    <n v="10"/>
    <s v="PONU7397317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57/000010"/>
    <n v="1370148365"/>
    <n v="10"/>
    <x v="0"/>
    <x v="0"/>
    <s v="A1"/>
    <n v="2100063589"/>
    <n v="200"/>
    <s v="A8097774       "/>
    <s v="A8097774 GRIP RIGHT TNS GRAY DOUBLE BURN          "/>
    <s v="S"/>
    <d v="2012-02-01T00:00:00"/>
    <m/>
    <s v="X"/>
    <x v="52"/>
    <n v="9.8196999999999992"/>
    <n v="10"/>
    <d v="2012-02-15T00:00:00"/>
    <d v="2012-01-11T00:00:00"/>
    <n v="3000"/>
    <d v="2012-01-20T00:00:00"/>
    <n v="3000"/>
    <m/>
    <d v="2012-01-13T00:00:00"/>
    <n v="3000"/>
    <d v="2012-02-24T00:00:00"/>
    <d v="2012-01-20T00:00:00"/>
    <n v="3000"/>
    <n v="3000"/>
    <x v="14"/>
    <d v="2012-02-24T00:00:00"/>
    <m/>
    <n v="9321659045"/>
    <n v="10"/>
    <s v="MRKU0335029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55/000010"/>
    <n v="1370148366"/>
    <n v="10"/>
    <x v="0"/>
    <x v="0"/>
    <s v="A1"/>
    <n v="2100062372"/>
    <n v="200"/>
    <n v="115002858"/>
    <s v="C1164074 REAL EASY NS BLACK 10&quot; GRILL PA          "/>
    <s v="S"/>
    <d v="2012-02-01T00:00:00"/>
    <m/>
    <s v="X"/>
    <x v="52"/>
    <n v="8.4021000000000008"/>
    <n v="9"/>
    <d v="2012-02-20T00:00:00"/>
    <d v="2012-01-16T00:00:00"/>
    <n v="1000"/>
    <d v="2012-01-16T00:00:00"/>
    <n v="1000"/>
    <m/>
    <d v="2012-01-13T00:00:00"/>
    <n v="1000"/>
    <d v="2012-02-24T00:00:00"/>
    <d v="2012-01-20T00:00:00"/>
    <n v="1000"/>
    <n v="200"/>
    <x v="14"/>
    <d v="2012-02-24T00:00:00"/>
    <m/>
    <n v="9321659046"/>
    <n v="10"/>
    <s v="TCLU5676824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55/000010"/>
    <n v="1370148366"/>
    <n v="10"/>
    <x v="0"/>
    <x v="0"/>
    <s v="A1"/>
    <n v="2100062372"/>
    <n v="200"/>
    <n v="115002858"/>
    <s v="C1164074 REAL EASY NS BLACK 10&quot; GRILL PA          "/>
    <s v="S"/>
    <d v="2012-02-01T00:00:00"/>
    <m/>
    <s v="X"/>
    <x v="52"/>
    <n v="8.4021000000000008"/>
    <n v="9"/>
    <d v="2012-02-20T00:00:00"/>
    <d v="2012-01-16T00:00:00"/>
    <n v="1000"/>
    <d v="2012-01-16T00:00:00"/>
    <n v="1000"/>
    <m/>
    <d v="2012-01-13T00:00:00"/>
    <n v="1000"/>
    <d v="2012-02-24T00:00:00"/>
    <d v="2012-01-20T00:00:00"/>
    <n v="1000"/>
    <n v="800"/>
    <x v="14"/>
    <d v="2012-02-24T00:00:00"/>
    <m/>
    <n v="9321659046"/>
    <n v="10"/>
    <s v="MRKU0335029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870/000010"/>
    <n v="1370148367"/>
    <n v="10"/>
    <x v="0"/>
    <x v="0"/>
    <s v="A1"/>
    <n v="2100064841"/>
    <n v="201"/>
    <n v="116000998"/>
    <s v="A821SA84 T-FAL INITIATIVES TNS CHARCOAL           "/>
    <s v="S"/>
    <d v="2012-01-09T00:00:00"/>
    <m/>
    <s v="X"/>
    <x v="52"/>
    <n v="32.401699999999998"/>
    <n v="34"/>
    <d v="2012-02-10T00:00:00"/>
    <d v="2012-01-06T00:00:00"/>
    <n v="1000"/>
    <d v="2012-01-06T00:00:00"/>
    <n v="1000"/>
    <m/>
    <d v="2012-01-06T00:00:00"/>
    <n v="1000"/>
    <d v="2012-02-10T00:00:00"/>
    <d v="2012-01-06T00:00:00"/>
    <n v="1000"/>
    <n v="1000"/>
    <x v="7"/>
    <d v="2012-02-10T00:00:00"/>
    <m/>
    <n v="9321659047"/>
    <n v="10"/>
    <s v="HDMU6537154"/>
    <s v="HYUNDAI VOYAGER/026E"/>
    <m/>
    <s v="NINGBO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38/000010"/>
    <n v="1370148373"/>
    <n v="10"/>
    <x v="0"/>
    <x v="0"/>
    <s v="A1"/>
    <n v="2100057060"/>
    <n v="206"/>
    <n v="115001822"/>
    <s v="E9380564 PROFESSIONAL TNS BLACK FP 10&quot;            "/>
    <s v="S"/>
    <d v="2012-01-20T00:00:00"/>
    <m/>
    <s v="X"/>
    <x v="52"/>
    <n v="8.0405999999999995"/>
    <n v="8"/>
    <d v="2012-01-30T00:00:00"/>
    <d v="2011-12-26T00:00:00"/>
    <n v="999"/>
    <d v="2012-01-21T00:00:00"/>
    <n v="1002"/>
    <m/>
    <d v="2012-01-13T00:00:00"/>
    <n v="1002"/>
    <d v="2012-02-24T00:00:00"/>
    <d v="2012-01-20T00:00:00"/>
    <n v="1002"/>
    <n v="1002"/>
    <x v="14"/>
    <d v="2012-02-24T00:00:00"/>
    <m/>
    <n v="9321659048"/>
    <n v="10"/>
    <s v="CZZU9829205"/>
    <s v="CLEMENTINE MAERSK/56"/>
    <m/>
    <s v="NINGBO"/>
    <s v="C-POST-CONF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946/000010"/>
    <n v="1370148374"/>
    <n v="10"/>
    <x v="0"/>
    <x v="0"/>
    <s v="A1"/>
    <n v="2100055444"/>
    <n v="206"/>
    <n v="116000511"/>
    <s v="E938SA74 PROFESSIONAL TNS BLK SET 10PC            "/>
    <s v="S"/>
    <d v="2012-01-13T00:00:00"/>
    <m/>
    <s v="X"/>
    <x v="52"/>
    <n v="50.077599999999997"/>
    <n v="52"/>
    <d v="2012-01-25T00:00:00"/>
    <d v="2011-12-21T00:00:00"/>
    <n v="3600"/>
    <d v="2012-01-13T00:00:00"/>
    <n v="3600"/>
    <m/>
    <d v="2012-01-13T00:00:00"/>
    <n v="3600"/>
    <d v="2012-02-17T00:00:00"/>
    <d v="2012-01-13T00:00:00"/>
    <n v="3600"/>
    <n v="180"/>
    <x v="24"/>
    <d v="2012-02-17T00:00:00"/>
    <m/>
    <n v="9321659049"/>
    <n v="10"/>
    <s v="CLHU8979324"/>
    <s v="NYK CONSTELLATION/26"/>
    <m/>
    <s v="NINGBO"/>
    <s v="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946/000010"/>
    <n v="1370148374"/>
    <n v="10"/>
    <x v="0"/>
    <x v="0"/>
    <s v="A1"/>
    <n v="2100055444"/>
    <n v="206"/>
    <n v="116000511"/>
    <s v="E938SA74 PROFESSIONAL TNS BLK SET 10PC            "/>
    <s v="S"/>
    <d v="2012-01-13T00:00:00"/>
    <m/>
    <s v="X"/>
    <x v="52"/>
    <n v="50.077599999999997"/>
    <n v="52"/>
    <d v="2012-01-25T00:00:00"/>
    <d v="2011-12-21T00:00:00"/>
    <n v="3600"/>
    <d v="2012-01-13T00:00:00"/>
    <n v="3600"/>
    <m/>
    <d v="2012-01-13T00:00:00"/>
    <n v="3600"/>
    <d v="2012-02-17T00:00:00"/>
    <d v="2012-01-13T00:00:00"/>
    <n v="3600"/>
    <n v="1140"/>
    <x v="24"/>
    <d v="2012-02-17T00:00:00"/>
    <m/>
    <n v="9321659049"/>
    <n v="10"/>
    <s v="TRLU5567123"/>
    <s v="NYK CONSTELLATION/26"/>
    <m/>
    <s v="NINGBO"/>
    <s v="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946/000010"/>
    <n v="1370148374"/>
    <n v="10"/>
    <x v="0"/>
    <x v="0"/>
    <s v="A1"/>
    <n v="2100055444"/>
    <n v="206"/>
    <n v="116000511"/>
    <s v="E938SA74 PROFESSIONAL TNS BLK SET 10PC            "/>
    <s v="S"/>
    <d v="2012-01-13T00:00:00"/>
    <m/>
    <s v="X"/>
    <x v="52"/>
    <n v="50.077599999999997"/>
    <n v="52"/>
    <d v="2012-01-25T00:00:00"/>
    <d v="2011-12-21T00:00:00"/>
    <n v="3600"/>
    <d v="2012-01-13T00:00:00"/>
    <n v="3600"/>
    <m/>
    <d v="2012-01-13T00:00:00"/>
    <n v="3600"/>
    <d v="2012-02-17T00:00:00"/>
    <d v="2012-01-13T00:00:00"/>
    <n v="3600"/>
    <n v="1140"/>
    <x v="24"/>
    <d v="2012-02-17T00:00:00"/>
    <m/>
    <n v="9321659049"/>
    <n v="10"/>
    <s v="TEXU5296105"/>
    <s v="NYK CONSTELLATION/26"/>
    <m/>
    <s v="NINGBO"/>
    <s v="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946/000010"/>
    <n v="1370148374"/>
    <n v="10"/>
    <x v="0"/>
    <x v="0"/>
    <s v="A1"/>
    <n v="2100055444"/>
    <n v="206"/>
    <n v="116000511"/>
    <s v="E938SA74 PROFESSIONAL TNS BLK SET 10PC            "/>
    <s v="S"/>
    <d v="2012-01-13T00:00:00"/>
    <m/>
    <s v="X"/>
    <x v="52"/>
    <n v="50.077599999999997"/>
    <n v="52"/>
    <d v="2012-01-25T00:00:00"/>
    <d v="2011-12-21T00:00:00"/>
    <n v="3600"/>
    <d v="2012-01-13T00:00:00"/>
    <n v="3600"/>
    <m/>
    <d v="2012-01-13T00:00:00"/>
    <n v="3600"/>
    <d v="2012-02-17T00:00:00"/>
    <d v="2012-01-13T00:00:00"/>
    <n v="3600"/>
    <n v="1140"/>
    <x v="24"/>
    <d v="2012-02-17T00:00:00"/>
    <m/>
    <n v="9321659049"/>
    <n v="10"/>
    <s v="HLXU6156899"/>
    <s v="NYK CONSTELLATION/26"/>
    <m/>
    <s v="NINGBO"/>
    <s v="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942/000010"/>
    <n v="1370148378"/>
    <n v="10"/>
    <x v="0"/>
    <x v="0"/>
    <s v="A1"/>
    <n v="2100057061"/>
    <n v="206"/>
    <n v="115002291"/>
    <s v="E9380864 PROFESSIONAL TNS BLACK FP 12&quot;            "/>
    <s v="S"/>
    <d v="2012-01-19T00:00:00"/>
    <m/>
    <s v="X"/>
    <x v="52"/>
    <n v="9.9085000000000001"/>
    <n v="10"/>
    <d v="2012-01-30T00:00:00"/>
    <d v="2011-12-26T00:00:00"/>
    <n v="2001"/>
    <d v="2012-01-13T00:00:00"/>
    <n v="2001"/>
    <m/>
    <d v="2012-01-13T00:00:00"/>
    <n v="2001"/>
    <d v="2012-02-24T00:00:00"/>
    <d v="2012-01-20T00:00:00"/>
    <n v="2001"/>
    <n v="2001"/>
    <x v="14"/>
    <d v="2012-02-24T00:00:00"/>
    <m/>
    <n v="9321659050"/>
    <n v="10"/>
    <s v="HLXU4132100"/>
    <s v="NYK RUMINA/10E03"/>
    <m/>
    <s v="NINGBO"/>
    <s v="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975/000010"/>
    <n v="1370148380"/>
    <n v="10"/>
    <x v="0"/>
    <x v="0"/>
    <s v="A1"/>
    <n v="2100055935"/>
    <n v="200"/>
    <n v="116000673"/>
    <s v="C118SC64 SIGNATURE TNS RED 12P SET TS SO          "/>
    <s v="S"/>
    <d v="2012-01-10T00:00:00"/>
    <m/>
    <s v="X"/>
    <x v="52"/>
    <n v="39.852600000000002"/>
    <n v="42"/>
    <d v="2012-02-03T00:00:00"/>
    <d v="2011-12-30T00:00:00"/>
    <n v="2500"/>
    <d v="2012-01-06T00:00:00"/>
    <n v="2500"/>
    <m/>
    <d v="2012-01-06T00:00:00"/>
    <n v="2500"/>
    <d v="2012-02-10T00:00:00"/>
    <d v="2012-01-06T00:00:00"/>
    <n v="2500"/>
    <n v="1198"/>
    <x v="7"/>
    <d v="2012-02-10T00:00:00"/>
    <m/>
    <n v="9321659051"/>
    <n v="10"/>
    <s v="MSKU0378038"/>
    <s v="ARTHUR MAERSK/553S"/>
    <m/>
    <s v="NINGBO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75/000010"/>
    <n v="1370148380"/>
    <n v="10"/>
    <x v="0"/>
    <x v="0"/>
    <s v="A1"/>
    <n v="2100055935"/>
    <n v="200"/>
    <n v="116000673"/>
    <s v="C118SC64 SIGNATURE TNS RED 12P SET TS SO          "/>
    <s v="S"/>
    <d v="2012-01-11T00:00:00"/>
    <m/>
    <s v="X"/>
    <x v="52"/>
    <n v="39.852600000000002"/>
    <n v="42"/>
    <d v="2012-02-03T00:00:00"/>
    <d v="2011-12-30T00:00:00"/>
    <n v="2500"/>
    <d v="2012-01-06T00:00:00"/>
    <n v="2500"/>
    <m/>
    <d v="2012-01-06T00:00:00"/>
    <n v="2500"/>
    <d v="2012-02-10T00:00:00"/>
    <d v="2012-01-06T00:00:00"/>
    <n v="2500"/>
    <n v="1180"/>
    <x v="12"/>
    <d v="2012-02-11T00:00:00"/>
    <m/>
    <n v="9321659051"/>
    <n v="10"/>
    <s v="GATU8656674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75/000010"/>
    <n v="1370148380"/>
    <n v="10"/>
    <x v="0"/>
    <x v="0"/>
    <s v="A1"/>
    <n v="2100055935"/>
    <n v="200"/>
    <n v="116000673"/>
    <s v="C118SC64 SIGNATURE TNS RED 12P SET TS SO          "/>
    <s v="S"/>
    <d v="2012-01-11T00:00:00"/>
    <m/>
    <s v="X"/>
    <x v="52"/>
    <n v="39.852600000000002"/>
    <n v="42"/>
    <d v="2012-02-03T00:00:00"/>
    <d v="2011-12-30T00:00:00"/>
    <n v="2500"/>
    <d v="2012-01-06T00:00:00"/>
    <n v="2500"/>
    <m/>
    <d v="2012-01-06T00:00:00"/>
    <n v="2500"/>
    <d v="2012-02-10T00:00:00"/>
    <d v="2012-01-06T00:00:00"/>
    <n v="2500"/>
    <n v="122"/>
    <x v="12"/>
    <d v="2012-02-11T00:00:00"/>
    <m/>
    <n v="9321659051"/>
    <n v="10"/>
    <s v="PONU7568750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876/000010"/>
    <n v="1370148383"/>
    <n v="10"/>
    <x v="0"/>
    <x v="0"/>
    <s v="A1"/>
    <n v="2100053659"/>
    <n v="201"/>
    <n v="115002011"/>
    <s v="A8261464 MINI-CHEESE GRIDDLE 6.5&quot;                 "/>
    <s v="S"/>
    <d v="2012-01-20T00:00:00"/>
    <m/>
    <s v="X"/>
    <x v="52"/>
    <n v="3.0091999999999999"/>
    <n v="3"/>
    <d v="2012-02-10T00:00:00"/>
    <d v="2012-01-06T00:00:00"/>
    <n v="10002"/>
    <d v="2012-01-20T00:00:00"/>
    <n v="10002"/>
    <m/>
    <d v="2012-01-06T00:00:00"/>
    <n v="10002"/>
    <d v="2012-02-24T00:00:00"/>
    <d v="2012-01-20T00:00:00"/>
    <n v="10002"/>
    <n v="10002"/>
    <x v="14"/>
    <d v="2012-02-24T00:00:00"/>
    <m/>
    <n v="9321659054"/>
    <n v="10"/>
    <s v="GESU6572224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875/000010"/>
    <n v="1370148384"/>
    <n v="10"/>
    <x v="0"/>
    <x v="0"/>
    <s v="A1"/>
    <n v="2100053659"/>
    <n v="201"/>
    <n v="115002011"/>
    <s v="A8261464 MINI-CHEESE GRIDDLE 6.5&quot;                 "/>
    <s v="S"/>
    <d v="2012-01-09T00:00:00"/>
    <m/>
    <s v="X"/>
    <x v="52"/>
    <n v="3.0091999999999999"/>
    <n v="3"/>
    <d v="2012-01-25T00:00:00"/>
    <d v="2011-12-21T00:00:00"/>
    <n v="12000"/>
    <d v="2012-01-06T00:00:00"/>
    <n v="12000"/>
    <m/>
    <d v="2011-12-16T00:00:00"/>
    <n v="12000"/>
    <d v="2012-02-10T00:00:00"/>
    <d v="2012-01-06T00:00:00"/>
    <n v="12000"/>
    <n v="12000"/>
    <x v="7"/>
    <d v="2012-02-10T00:00:00"/>
    <m/>
    <n v="9321659055"/>
    <n v="10"/>
    <s v="FSCU9067766"/>
    <s v="HYUNDAI VOYAGER/026E"/>
    <m/>
    <s v="NINGBO"/>
    <s v="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873/000010"/>
    <n v="1370148385"/>
    <n v="10"/>
    <x v="0"/>
    <x v="0"/>
    <s v="A1"/>
    <n v="2100054249"/>
    <n v="205"/>
    <n v="115001971"/>
    <s v="C8783274 ULTIMATE SS 3.6QT DEEP SAUTE BO          "/>
    <s v="S"/>
    <d v="2012-01-11T00:00:00"/>
    <m/>
    <s v="X"/>
    <x v="52"/>
    <n v="11.917299999999999"/>
    <n v="12"/>
    <d v="2012-02-10T00:00:00"/>
    <d v="2012-01-06T00:00:00"/>
    <n v="1000"/>
    <d v="2012-01-06T00:00:00"/>
    <n v="1000"/>
    <m/>
    <d v="2012-01-06T00:00:00"/>
    <n v="1000"/>
    <d v="2012-02-10T00:00:00"/>
    <d v="2012-01-06T00:00:00"/>
    <n v="1000"/>
    <n v="1000"/>
    <x v="12"/>
    <d v="2012-02-11T00:00:00"/>
    <m/>
    <n v="9321659056"/>
    <n v="10"/>
    <s v="MSKU1909648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4109/000020"/>
    <n v="1370148443"/>
    <n v="20"/>
    <x v="0"/>
    <x v="0"/>
    <s v="A1"/>
    <n v="2100046387"/>
    <n v="205"/>
    <n v="115001160"/>
    <s v="B8010405 FP24 4U SS COATED FCE                    "/>
    <s v="S"/>
    <d v="2012-01-05T00:00:00"/>
    <m/>
    <s v="X"/>
    <x v="52"/>
    <n v="9.2345000000000006"/>
    <n v="6"/>
    <d v="2012-02-06T00:00:00"/>
    <d v="2012-01-09T00:00:00"/>
    <n v="1002"/>
    <d v="2012-01-09T00:00:00"/>
    <n v="1002"/>
    <m/>
    <m/>
    <m/>
    <d v="2012-02-01T00:00:00"/>
    <d v="2012-01-04T00:00:00"/>
    <n v="1002"/>
    <n v="1002"/>
    <x v="2"/>
    <d v="2012-02-01T00:00:00"/>
    <m/>
    <n v="9321659057"/>
    <n v="20"/>
    <s v="PONU1444303"/>
    <s v="MAERSK SANTANA 1202"/>
    <m/>
    <s v="NINGBO"/>
    <s v="TP ISSUE"/>
    <m/>
    <s v="JASON FAN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0"/>
    <n v="1"/>
    <n v="0"/>
    <n v="0"/>
    <n v="1"/>
    <x v="0"/>
    <x v="0"/>
    <x v="1"/>
    <x v="1"/>
  </r>
  <r>
    <s v="Shipment"/>
    <n v="99008200"/>
    <s v="GROUPE SEB IBERICA                                "/>
    <n v="99008200"/>
    <x v="21"/>
    <s v="9321654111/000010"/>
    <n v="1370148444"/>
    <n v="10"/>
    <x v="0"/>
    <x v="0"/>
    <s v="A1"/>
    <n v="2100059355"/>
    <n v="205"/>
    <n v="115002584"/>
    <s v="C9004414 D.OV20LID SB S COOK SS POLI IND          "/>
    <s v="S"/>
    <d v="2012-01-05T00:00:00"/>
    <m/>
    <s v="X"/>
    <x v="52"/>
    <n v="11.2401"/>
    <n v="8"/>
    <d v="2012-02-06T00:00:00"/>
    <d v="2012-01-09T00:00:00"/>
    <n v="1000"/>
    <d v="2012-01-09T00:00:00"/>
    <n v="1000"/>
    <m/>
    <m/>
    <m/>
    <d v="2012-02-01T00:00:00"/>
    <d v="2012-01-04T00:00:00"/>
    <n v="1000"/>
    <n v="1000"/>
    <x v="2"/>
    <d v="2012-02-01T00:00:00"/>
    <m/>
    <n v="9321659058"/>
    <n v="10"/>
    <s v="PONU1444303"/>
    <s v="MAERSK SANTANA 1202"/>
    <m/>
    <s v="NINGBO"/>
    <s v="TP ISSUE"/>
    <m/>
    <s v="JASON FAN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0"/>
    <n v="1"/>
    <n v="0"/>
    <n v="0"/>
    <n v="1"/>
    <x v="0"/>
    <x v="0"/>
    <x v="1"/>
    <x v="1"/>
  </r>
  <r>
    <s v="Shipment"/>
    <n v="99008200"/>
    <s v="GROUPE SEB IBERICA                                "/>
    <n v="99008200"/>
    <x v="21"/>
    <s v="9321654111/000020"/>
    <n v="1370148444"/>
    <n v="20"/>
    <x v="0"/>
    <x v="0"/>
    <s v="A1"/>
    <n v="2100059356"/>
    <n v="205"/>
    <n v="115001859"/>
    <s v="C9004614 D.OV24LID SB S COOK SS POLI IND          "/>
    <s v="S"/>
    <d v="2012-01-05T00:00:00"/>
    <m/>
    <s v="X"/>
    <x v="52"/>
    <n v="13.3988"/>
    <n v="8"/>
    <d v="2012-02-06T00:00:00"/>
    <d v="2012-01-09T00:00:00"/>
    <n v="1000"/>
    <d v="2012-01-09T00:00:00"/>
    <n v="1000"/>
    <m/>
    <m/>
    <m/>
    <d v="2012-02-01T00:00:00"/>
    <d v="2012-01-04T00:00:00"/>
    <n v="1000"/>
    <n v="1000"/>
    <x v="2"/>
    <d v="2012-02-01T00:00:00"/>
    <m/>
    <n v="9321659058"/>
    <n v="20"/>
    <s v="PONU1444303"/>
    <s v="MAERSK SANTANA 1202"/>
    <m/>
    <s v="NINGBO"/>
    <s v="TP ISSUE"/>
    <m/>
    <s v="JASON FAN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0"/>
    <n v="1"/>
    <n v="0"/>
    <n v="0"/>
    <n v="1"/>
    <x v="0"/>
    <x v="0"/>
    <x v="1"/>
    <x v="1"/>
  </r>
  <r>
    <s v="Shipment"/>
    <n v="99008200"/>
    <s v="GROUPE SEB IBERICA                                "/>
    <n v="99008200"/>
    <x v="21"/>
    <s v="9321654111/000040"/>
    <n v="1370148444"/>
    <n v="40"/>
    <x v="0"/>
    <x v="0"/>
    <s v="A1"/>
    <n v="2100063267"/>
    <n v="205"/>
    <n v="115002925"/>
    <s v="C9002814 SCP16 SB B COOK SS POLI IND UNC          "/>
    <s v="S"/>
    <d v="2012-01-05T00:00:00"/>
    <m/>
    <s v="X"/>
    <x v="52"/>
    <n v="6.8804999999999996"/>
    <n v="8"/>
    <d v="2012-02-06T00:00:00"/>
    <d v="2012-01-09T00:00:00"/>
    <n v="1002"/>
    <d v="2012-01-09T00:00:00"/>
    <n v="1002"/>
    <m/>
    <m/>
    <m/>
    <d v="2012-02-01T00:00:00"/>
    <d v="2012-01-04T00:00:00"/>
    <n v="1002"/>
    <n v="1002"/>
    <x v="2"/>
    <d v="2012-02-01T00:00:00"/>
    <m/>
    <n v="9321659058"/>
    <n v="40"/>
    <s v="PONU1444303"/>
    <s v="MAERSK SANTANA 1202"/>
    <m/>
    <s v="NINGBO"/>
    <s v="TP ISSUE"/>
    <m/>
    <s v="JASON FAN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0"/>
    <n v="1"/>
    <n v="0"/>
    <n v="0"/>
    <n v="1"/>
    <x v="0"/>
    <x v="0"/>
    <x v="1"/>
    <x v="1"/>
  </r>
  <r>
    <s v="Shipment"/>
    <n v="99007300"/>
    <s v="GROUPE SEB DEUTSCHLAND                            "/>
    <n v="99007300"/>
    <x v="17"/>
    <s v="4500261561/000010"/>
    <n v="1370148451"/>
    <n v="10"/>
    <x v="0"/>
    <x v="0"/>
    <s v="A1"/>
    <n v="2100047407"/>
    <n v="205"/>
    <n v="116000344"/>
    <s v="E9779032 SET 4P PRO SERIES GM2 SS UNCOAT          "/>
    <s v="S"/>
    <d v="2012-01-04T00:00:00"/>
    <m/>
    <s v="X"/>
    <x v="52"/>
    <n v="49.344900000000003"/>
    <n v="39779"/>
    <d v="2012-01-31T00:00:00"/>
    <d v="2011-12-27T00:00:00"/>
    <n v="1000"/>
    <d v="2011-12-27T00:00:00"/>
    <n v="1000"/>
    <m/>
    <d v="2011-12-30T00:00:00"/>
    <n v="1000"/>
    <d v="2012-02-03T00:00:00"/>
    <d v="2011-12-30T00:00:00"/>
    <n v="1000"/>
    <n v="1000"/>
    <x v="13"/>
    <d v="2012-02-05T00:00:00"/>
    <m/>
    <n v="9321659059"/>
    <n v="10"/>
    <s v="APZU4823583"/>
    <s v="APL RUSSIA/020W"/>
    <m/>
    <s v="NINGBO"/>
    <m/>
    <m/>
    <s v="AGNES NUNES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4728/000010"/>
    <n v="1370148545"/>
    <n v="10"/>
    <x v="0"/>
    <x v="0"/>
    <s v="A2"/>
    <n v="7114000252"/>
    <n v="254"/>
    <n v="114000252"/>
    <s v="P2500736 SECURE 5 6QT AE                          "/>
    <s v="S"/>
    <d v="2012-01-18T00:00:00"/>
    <m/>
    <s v="X"/>
    <x v="52"/>
    <n v="28.470500000000001"/>
    <n v="28"/>
    <d v="2012-01-18T00:00:00"/>
    <d v="2012-01-04T00:00:00"/>
    <n v="850"/>
    <d v="2012-01-04T00:00:00"/>
    <n v="850"/>
    <m/>
    <d v="2012-01-05T00:00:00"/>
    <n v="850"/>
    <d v="2012-01-19T00:00:00"/>
    <d v="2012-01-05T00:00:00"/>
    <n v="850"/>
    <n v="850"/>
    <x v="12"/>
    <d v="2012-01-21T00:00:00"/>
    <m/>
    <n v="9321659061"/>
    <n v="10"/>
    <s v="CCLU7278628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4735/000010"/>
    <n v="1370148546"/>
    <n v="10"/>
    <x v="0"/>
    <x v="0"/>
    <s v="A1"/>
    <n v="2100052539"/>
    <n v="201"/>
    <n v="115001785"/>
    <s v="A8371462 KADAI 26 BANQUET EASY CARE BLAC          "/>
    <s v="S"/>
    <d v="2012-01-18T00:00:00"/>
    <m/>
    <s v="X"/>
    <x v="52"/>
    <n v="6.4947999999999997"/>
    <n v="7"/>
    <d v="2012-01-18T00:00:00"/>
    <d v="2012-01-04T00:00:00"/>
    <n v="1000"/>
    <d v="2012-01-04T00:00:00"/>
    <n v="1000"/>
    <m/>
    <d v="2012-01-05T00:00:00"/>
    <n v="1000"/>
    <d v="2012-01-19T00:00:00"/>
    <d v="2012-01-05T00:00:00"/>
    <n v="1000"/>
    <n v="1000"/>
    <x v="12"/>
    <d v="2012-01-21T00:00:00"/>
    <m/>
    <n v="9321659062"/>
    <n v="10"/>
    <s v="CCLU6459149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4736/000010"/>
    <n v="1370148548"/>
    <n v="10"/>
    <x v="0"/>
    <x v="0"/>
    <s v="A1"/>
    <n v="2100052533"/>
    <n v="201"/>
    <n v="115001774"/>
    <s v="A8373162 STP22LID BANQUET EASY CARE BLAC          "/>
    <s v="S"/>
    <d v="2012-01-18T00:00:00"/>
    <m/>
    <s v="X"/>
    <x v="52"/>
    <n v="6.6615000000000002"/>
    <n v="7"/>
    <d v="2012-01-18T00:00:00"/>
    <d v="2012-01-04T00:00:00"/>
    <n v="1000"/>
    <d v="2012-01-04T00:00:00"/>
    <n v="1000"/>
    <m/>
    <d v="2012-01-05T00:00:00"/>
    <n v="1000"/>
    <d v="2012-01-19T00:00:00"/>
    <d v="2012-01-05T00:00:00"/>
    <n v="1000"/>
    <n v="1000"/>
    <x v="12"/>
    <d v="2012-01-21T00:00:00"/>
    <m/>
    <n v="9321659063"/>
    <n v="10"/>
    <s v="CCLU7083729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52389/000010"/>
    <n v="1370147915"/>
    <n v="10"/>
    <x v="0"/>
    <x v="0"/>
    <s v="A1"/>
    <n v="2100048755"/>
    <n v="205"/>
    <n v="115001319"/>
    <s v="E9722852 SCP16 STR PRO SERI SS UNCOAT SP          "/>
    <s v="S"/>
    <d v="2012-01-12T00:00:00"/>
    <m/>
    <s v="X"/>
    <x v="52"/>
    <n v="7.4786000000000001"/>
    <n v="6"/>
    <d v="2012-02-17T00:00:00"/>
    <d v="2012-01-13T00:00:00"/>
    <n v="500"/>
    <d v="2012-01-13T00:00:00"/>
    <n v="500"/>
    <m/>
    <d v="2012-01-07T00:00:00"/>
    <n v="500"/>
    <d v="2012-02-11T00:00:00"/>
    <d v="2012-01-07T00:00:00"/>
    <n v="500"/>
    <n v="500"/>
    <x v="23"/>
    <d v="2012-02-12T00:00:00"/>
    <m/>
    <n v="9321659065"/>
    <n v="10"/>
    <s v="TRLU6991305"/>
    <s v="BUSAN EXPRESS/04W01"/>
    <m/>
    <s v="NINGBO"/>
    <s v="LATE DOC FROM FORWARDER"/>
    <m/>
    <s v="JASON FAN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1997/000010"/>
    <n v="1370148968"/>
    <n v="10"/>
    <x v="0"/>
    <x v="0"/>
    <s v="A1"/>
    <n v="2100061397"/>
    <n v="228"/>
    <n v="115002741"/>
    <s v="E9039944 ROASTER28X34+RACK+LID JO3 ALU A          "/>
    <s v="S"/>
    <d v="2012-01-30T00:00:00"/>
    <m/>
    <s v="X"/>
    <x v="52"/>
    <n v="30.140599999999999"/>
    <n v="174"/>
    <d v="2012-02-23T00:00:00"/>
    <d v="2012-01-19T00:00:00"/>
    <n v="2000"/>
    <d v="2012-01-19T00:00:00"/>
    <n v="2000"/>
    <m/>
    <d v="2012-01-16T00:00:00"/>
    <n v="2000"/>
    <d v="2012-02-27T00:00:00"/>
    <d v="2012-01-23T00:00:00"/>
    <n v="2000"/>
    <n v="200"/>
    <x v="25"/>
    <d v="2012-02-28T00:00:00"/>
    <m/>
    <n v="9321659070"/>
    <n v="10"/>
    <s v="FSCU4597742"/>
    <s v="COSCO ASIA/017W"/>
    <m/>
    <s v="NINGBO"/>
    <m/>
    <m/>
    <s v="KENUS WONG"/>
    <s v="FO9"/>
    <s v="COOKWARE                      "/>
    <s v="CONFIRMED"/>
    <n v="1"/>
    <n v="4"/>
    <d v="2012-01-2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1997/000010"/>
    <n v="1370148968"/>
    <n v="10"/>
    <x v="0"/>
    <x v="0"/>
    <s v="A1"/>
    <n v="2100061397"/>
    <n v="228"/>
    <n v="115002741"/>
    <s v="E9039944 ROASTER28X34+RACK+LID JO3 ALU A          "/>
    <s v="S"/>
    <d v="2012-01-30T00:00:00"/>
    <m/>
    <s v="X"/>
    <x v="52"/>
    <n v="30.140599999999999"/>
    <n v="174"/>
    <d v="2012-02-23T00:00:00"/>
    <d v="2012-01-19T00:00:00"/>
    <n v="2000"/>
    <d v="2012-01-19T00:00:00"/>
    <n v="2000"/>
    <m/>
    <d v="2012-01-16T00:00:00"/>
    <n v="2000"/>
    <d v="2012-02-27T00:00:00"/>
    <d v="2012-01-23T00:00:00"/>
    <n v="2000"/>
    <n v="1800"/>
    <x v="25"/>
    <d v="2012-02-28T00:00:00"/>
    <m/>
    <n v="9321659070"/>
    <n v="10"/>
    <s v="CBHU1937522"/>
    <s v="COSCO ASIA/017W"/>
    <m/>
    <s v="NINGBO"/>
    <m/>
    <m/>
    <s v="KENUS WONG"/>
    <s v="FO9"/>
    <s v="COOKWARE                      "/>
    <s v="CONFIRMED"/>
    <n v="1"/>
    <n v="4"/>
    <d v="2012-01-2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64/039734"/>
    <n v="1370149087"/>
    <n v="10"/>
    <x v="0"/>
    <x v="0"/>
    <s v="A1"/>
    <n v="2100059742"/>
    <n v="208"/>
    <n v="115002621"/>
    <s v="D9179472 WOK FP30+LID ANOD PERFECT RIVET          "/>
    <s v="S"/>
    <d v="2012-01-05T00:00:00"/>
    <m/>
    <s v="X"/>
    <x v="52"/>
    <n v="12.6937"/>
    <n v="13307"/>
    <d v="2012-02-10T00:00:00"/>
    <d v="2012-01-06T00:00:00"/>
    <n v="1616"/>
    <d v="2012-01-06T00:00:00"/>
    <n v="1616"/>
    <m/>
    <d v="2012-01-05T00:00:00"/>
    <n v="1616"/>
    <d v="2012-02-09T00:00:00"/>
    <d v="2012-01-05T00:00:00"/>
    <n v="1616"/>
    <n v="1616"/>
    <x v="16"/>
    <d v="2012-02-07T00:00:00"/>
    <m/>
    <n v="9321659071"/>
    <n v="10"/>
    <s v="SUDU4913033"/>
    <s v="MONTE ALEGRE 152E/"/>
    <m/>
    <s v="NINGBO"/>
    <m/>
    <m/>
    <s v="THOMAS HO"/>
    <s v="FO9"/>
    <s v="COOKWARE                      "/>
    <s v="CONFIRMED"/>
    <n v="1"/>
    <n v="1"/>
    <d v="2012-01-0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8188/000010"/>
    <n v="1370149324"/>
    <n v="10"/>
    <x v="0"/>
    <x v="0"/>
    <s v="A1"/>
    <n v="2100055652"/>
    <n v="208"/>
    <n v="116000562"/>
    <s v="E919S274 EMERIL HA 8&quot;N10&quot; FRY BUNDLE SLE          "/>
    <s v="S"/>
    <d v="2012-01-19T00:00:00"/>
    <m/>
    <s v="X"/>
    <x v="52"/>
    <n v="12.8993"/>
    <n v="14"/>
    <d v="2012-03-01T00:00:00"/>
    <d v="2012-01-26T00:00:00"/>
    <n v="2000"/>
    <d v="2012-01-26T00:00:00"/>
    <n v="2000"/>
    <m/>
    <d v="2012-01-20T00:00:00"/>
    <n v="2000"/>
    <d v="2012-02-24T00:00:00"/>
    <d v="2012-01-20T00:00:00"/>
    <n v="2000"/>
    <n v="760"/>
    <x v="14"/>
    <d v="2012-02-24T00:00:00"/>
    <m/>
    <n v="9321659075"/>
    <n v="10"/>
    <s v="CRXU9299349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8188/000010"/>
    <n v="1370149324"/>
    <n v="10"/>
    <x v="0"/>
    <x v="0"/>
    <s v="A1"/>
    <n v="2100055652"/>
    <n v="208"/>
    <n v="116000562"/>
    <s v="E919S274 EMERIL HA 8&quot;N10&quot; FRY BUNDLE SLE          "/>
    <s v="S"/>
    <d v="2012-01-19T00:00:00"/>
    <m/>
    <s v="X"/>
    <x v="52"/>
    <n v="12.8993"/>
    <n v="14"/>
    <d v="2012-03-01T00:00:00"/>
    <d v="2012-01-26T00:00:00"/>
    <n v="2000"/>
    <d v="2012-01-26T00:00:00"/>
    <n v="2000"/>
    <m/>
    <d v="2012-01-20T00:00:00"/>
    <n v="2000"/>
    <d v="2012-02-24T00:00:00"/>
    <d v="2012-01-20T00:00:00"/>
    <n v="2000"/>
    <n v="1240"/>
    <x v="14"/>
    <d v="2012-02-24T00:00:00"/>
    <m/>
    <n v="9321659075"/>
    <n v="10"/>
    <s v="CAXU9151207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7525/000010"/>
    <n v="1370149337"/>
    <n v="10"/>
    <x v="0"/>
    <x v="0"/>
    <s v="A7"/>
    <n v="8700800001"/>
    <n v="208"/>
    <n v="115000215"/>
    <s v="3020 - LTD GD GRIDDLE 33*50                       "/>
    <s v="S"/>
    <d v="2012-01-11T00:00:00"/>
    <m/>
    <s v="X"/>
    <x v="52"/>
    <n v="24.499099999999999"/>
    <n v="27"/>
    <d v="2012-02-06T00:00:00"/>
    <d v="2012-01-02T00:00:00"/>
    <n v="1000"/>
    <d v="2012-01-02T00:00:00"/>
    <n v="1000"/>
    <m/>
    <d v="2012-01-06T00:00:00"/>
    <n v="1000"/>
    <d v="2012-02-10T00:00:00"/>
    <d v="2012-01-06T00:00:00"/>
    <n v="1000"/>
    <n v="1000"/>
    <x v="12"/>
    <d v="2012-02-11T00:00:00"/>
    <m/>
    <n v="9321659077"/>
    <n v="10"/>
    <s v="HLXU6063100"/>
    <s v="NYK METEOR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6373/000010"/>
    <n v="1370149343"/>
    <n v="10"/>
    <x v="0"/>
    <x v="0"/>
    <s v="A1"/>
    <n v="2100064842"/>
    <n v="201"/>
    <n v="116000997"/>
    <s v="A821SI64 INITIATIVES TNS CHARCOAL 18PC S          "/>
    <s v="S"/>
    <d v="2012-01-12T00:00:00"/>
    <m/>
    <s v="X"/>
    <x v="52"/>
    <n v="50.872700000000002"/>
    <n v="53"/>
    <d v="2012-02-21T00:00:00"/>
    <d v="2012-01-17T00:00:00"/>
    <n v="2000"/>
    <d v="2012-01-17T00:00:00"/>
    <n v="2000"/>
    <m/>
    <d v="2012-01-13T00:00:00"/>
    <n v="2000"/>
    <d v="2012-02-17T00:00:00"/>
    <d v="2012-01-13T00:00:00"/>
    <n v="2000"/>
    <n v="1000"/>
    <x v="10"/>
    <d v="2012-02-16T00:00:00"/>
    <m/>
    <n v="9321659079"/>
    <n v="10"/>
    <s v="TGHU6571787"/>
    <s v="ZIM HAIFA/29E"/>
    <m/>
    <s v="NINGBO"/>
    <m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6373/000010"/>
    <n v="1370149343"/>
    <n v="10"/>
    <x v="0"/>
    <x v="0"/>
    <s v="A1"/>
    <n v="2100064842"/>
    <n v="201"/>
    <n v="116000997"/>
    <s v="A821SI64 INITIATIVES TNS CHARCOAL 18PC S          "/>
    <s v="S"/>
    <d v="2012-01-12T00:00:00"/>
    <m/>
    <s v="X"/>
    <x v="52"/>
    <n v="50.872700000000002"/>
    <n v="53"/>
    <d v="2012-02-21T00:00:00"/>
    <d v="2012-01-17T00:00:00"/>
    <n v="2000"/>
    <d v="2012-01-17T00:00:00"/>
    <n v="2000"/>
    <m/>
    <d v="2012-01-13T00:00:00"/>
    <n v="2000"/>
    <d v="2012-02-17T00:00:00"/>
    <d v="2012-01-13T00:00:00"/>
    <n v="2000"/>
    <n v="1000"/>
    <x v="10"/>
    <d v="2012-02-16T00:00:00"/>
    <m/>
    <n v="9321659079"/>
    <n v="10"/>
    <s v="TGHU6567489"/>
    <s v="ZIM HAIFA/29E"/>
    <m/>
    <s v="NINGBO"/>
    <m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58/000050"/>
    <n v="1370147546"/>
    <n v="50"/>
    <x v="22"/>
    <x v="22"/>
    <s v="N4"/>
    <n v="7211000503"/>
    <n v="177"/>
    <n v="211000503"/>
    <s v="AF101932 FRY UNO FIX ALU WHT/RED EUR              "/>
    <s v="S"/>
    <d v="2012-01-05T00:00:00"/>
    <m/>
    <s v="X"/>
    <x v="52"/>
    <n v="18.471599999999999"/>
    <n v="8"/>
    <d v="2012-01-30T00:00:00"/>
    <d v="2012-01-02T00:00:00"/>
    <n v="1000"/>
    <d v="2012-01-02T00:00:00"/>
    <n v="810"/>
    <m/>
    <d v="2011-12-31T00:00:00"/>
    <n v="810"/>
    <d v="2012-01-28T00:00:00"/>
    <d v="2011-12-31T00:00:00"/>
    <n v="810"/>
    <n v="810"/>
    <x v="16"/>
    <d v="2012-01-31T00:00:00"/>
    <m/>
    <n v="9321659081"/>
    <n v="10"/>
    <s v="UACU8160189"/>
    <s v="XIN PU DONG/1201W"/>
    <m/>
    <s v="NINGBO"/>
    <s v="waiting TP"/>
    <m/>
    <s v="JASON FAN"/>
    <s v="FO9"/>
    <s v="ELECTRICAL COOKING            "/>
    <s v="CONFIRMED"/>
    <n v="1"/>
    <n v="1"/>
    <d v="2012-01-03T00:00:00"/>
    <s v="KITCHEN ELECTRICS             "/>
    <s v="ELECTRICAL COOKING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175/000007"/>
    <n v="1370147889"/>
    <n v="220"/>
    <x v="22"/>
    <x v="22"/>
    <s v="R2"/>
    <n v="7211000615"/>
    <n v="55"/>
    <n v="211000615"/>
    <s v="BF262121 KET VIT.ECO 1.7L WHT/GRE KR              "/>
    <s v="S"/>
    <d v="2012-01-06T00:00:00"/>
    <m/>
    <s v="X"/>
    <x v="52"/>
    <n v="11.9191"/>
    <n v="14"/>
    <d v="2012-01-17T00:00:00"/>
    <d v="2012-01-03T00:00:00"/>
    <n v="2220"/>
    <d v="2012-01-03T00:00:00"/>
    <n v="2220"/>
    <m/>
    <d v="2011-12-28T00:00:00"/>
    <n v="2220"/>
    <d v="2012-01-11T00:00:00"/>
    <d v="2011-12-28T00:00:00"/>
    <n v="2220"/>
    <n v="2220"/>
    <x v="6"/>
    <d v="2012-01-19T00:00:00"/>
    <m/>
    <n v="9321659082"/>
    <n v="10"/>
    <s v="MSKU3074701"/>
    <s v="STAR MARINER/190E"/>
    <m/>
    <s v="NINGBO"/>
    <m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30/000010"/>
    <n v="1370148258"/>
    <n v="10"/>
    <x v="22"/>
    <x v="22"/>
    <s v="N4"/>
    <n v="7211000668"/>
    <n v="177"/>
    <n v="211000668"/>
    <s v="FF103850 FRYER UNO BLACK FIXED ALUMINUM           "/>
    <s v="S"/>
    <d v="2012-01-14T00:00:00"/>
    <m/>
    <s v="X"/>
    <x v="52"/>
    <n v="21.183599999999998"/>
    <n v="22"/>
    <d v="2012-02-21T00:00:00"/>
    <d v="2012-01-17T00:00:00"/>
    <n v="1000"/>
    <d v="2012-01-17T00:00:00"/>
    <n v="810"/>
    <m/>
    <d v="2012-01-13T00:00:00"/>
    <n v="810"/>
    <d v="2012-02-17T00:00:00"/>
    <d v="2012-01-13T00:00:00"/>
    <n v="810"/>
    <n v="810"/>
    <x v="24"/>
    <d v="2012-02-17T00:00:00"/>
    <m/>
    <n v="9321659085"/>
    <n v="10"/>
    <s v="CPSU4725528"/>
    <s v="NYK CONSTELLATION/26"/>
    <m/>
    <s v="NINGBO"/>
    <s v="FORWARDER-PROB/"/>
    <m/>
    <s v="TWEETY LEUNG"/>
    <s v="FO9"/>
    <s v="ELECTRICAL COOKING            "/>
    <s v="CONFIRMED"/>
    <n v="1"/>
    <n v="2"/>
    <d v="2012-01-13T00:00:00"/>
    <s v="KITCHEN ELECTRICS             "/>
    <s v="ELECTRICAL COOKING            "/>
    <x v="0"/>
    <x v="0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4122/000010"/>
    <n v="1370148492"/>
    <n v="10"/>
    <x v="22"/>
    <x v="22"/>
    <s v="P3"/>
    <n v="7211000900"/>
    <n v="36"/>
    <n v="211000900"/>
    <s v="BL2201B4 BLD UNO 1.25L WHT GB                     "/>
    <s v="S"/>
    <d v="2012-01-07T00:00:00"/>
    <m/>
    <s v="X"/>
    <x v="52"/>
    <n v="11.3514"/>
    <n v="8"/>
    <d v="2012-02-06T00:00:00"/>
    <d v="2012-01-02T00:00:00"/>
    <n v="1500"/>
    <d v="2012-01-02T00:00:00"/>
    <n v="1290"/>
    <m/>
    <d v="2011-12-31T00:00:00"/>
    <n v="1290"/>
    <d v="2012-02-04T00:00:00"/>
    <d v="2011-12-31T00:00:00"/>
    <n v="1290"/>
    <n v="1290"/>
    <x v="3"/>
    <d v="2012-02-06T00:00:00"/>
    <m/>
    <n v="9321659086"/>
    <n v="10"/>
    <s v="CMAU8400137"/>
    <s v="CSCL AFRICA 0650W/"/>
    <m/>
    <s v="NINGBO"/>
    <m/>
    <m/>
    <s v="KENUS WONG"/>
    <s v="FO9"/>
    <s v="FOOD PREPARATION              "/>
    <s v="CONFIRMED"/>
    <n v="1"/>
    <n v="1"/>
    <d v="2012-01-02T00:00:00"/>
    <s v="KITCHEN ELECTRICS             "/>
    <s v="FOOD PREPARATION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220"/>
    <s v="GROUPE SEB ARGENTINA SA                           "/>
    <n v="99005200"/>
    <x v="33"/>
    <s v="959/000001"/>
    <n v="1370148550"/>
    <n v="10"/>
    <x v="22"/>
    <x v="22"/>
    <s v="R2"/>
    <n v="7211000827"/>
    <n v="55"/>
    <n v="211000827"/>
    <s v="BY296850 KET MATE PLAST 1.7L BLK AR               "/>
    <s v="S"/>
    <d v="2012-01-05T00:00:00"/>
    <m/>
    <s v="X"/>
    <x v="52"/>
    <n v="13.1059"/>
    <n v="14"/>
    <d v="2012-02-10T00:00:00"/>
    <d v="2011-12-30T00:00:00"/>
    <n v="2079"/>
    <d v="2012-01-01T00:00:00"/>
    <n v="2079"/>
    <m/>
    <d v="2011-12-25T00:00:00"/>
    <n v="2079"/>
    <d v="2012-02-12T00:00:00"/>
    <d v="2012-01-01T00:00:00"/>
    <n v="2079"/>
    <n v="2079"/>
    <x v="13"/>
    <d v="2012-02-12T00:00:00"/>
    <m/>
    <n v="9321659087"/>
    <n v="10"/>
    <s v="SUDU6818760"/>
    <s v="MAERSK LIMA 152W/"/>
    <m/>
    <s v="NINGBO"/>
    <s v="C-POST-CONF"/>
    <m/>
    <s v="THOMAS HO"/>
    <s v="FO9"/>
    <s v="BEVERAGE                      "/>
    <s v="CONFIRMED"/>
    <n v="1"/>
    <n v="52"/>
    <d v="2012-01-01T00:00:00"/>
    <s v="KITCHEN ELECTRICS             "/>
    <s v="BREAKFAST &amp; BREVAGE PREP      "/>
    <x v="0"/>
    <x v="0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5220"/>
    <s v="GROUPE SEB ARGENTINA SA                           "/>
    <n v="99005200"/>
    <x v="33"/>
    <s v="960/000001"/>
    <n v="1370148560"/>
    <n v="10"/>
    <x v="22"/>
    <x v="22"/>
    <s v="R2"/>
    <n v="7211000458"/>
    <n v="55"/>
    <n v="211000458"/>
    <s v="BY2975AR KET MATE 1L BLK/SILV AR                  "/>
    <s v="S"/>
    <d v="2012-01-05T00:00:00"/>
    <m/>
    <s v="X"/>
    <x v="52"/>
    <n v="12.6099"/>
    <n v="13"/>
    <d v="2012-02-10T00:00:00"/>
    <d v="2011-12-30T00:00:00"/>
    <n v="8883"/>
    <d v="2012-01-01T00:00:00"/>
    <n v="8883"/>
    <m/>
    <d v="2011-12-25T00:00:00"/>
    <n v="8883"/>
    <d v="2012-02-12T00:00:00"/>
    <d v="2012-01-01T00:00:00"/>
    <n v="8883"/>
    <n v="3447"/>
    <x v="13"/>
    <d v="2012-02-12T00:00:00"/>
    <m/>
    <n v="9321659088"/>
    <n v="10"/>
    <s v="SUDU6818760"/>
    <s v="MAERSK LIMA 152W/"/>
    <m/>
    <s v="NINGBO"/>
    <s v="C-POST-CONF"/>
    <m/>
    <s v="THOMAS HO"/>
    <s v="FO9"/>
    <s v="BEVERAGE                      "/>
    <s v="CONFIRMED"/>
    <n v="1"/>
    <n v="52"/>
    <d v="2012-01-01T00:00:00"/>
    <s v="KITCHEN ELECTRICS             "/>
    <s v="BREAKFAST &amp; BREVAGE PREP      "/>
    <x v="0"/>
    <x v="0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5220"/>
    <s v="GROUPE SEB ARGENTINA SA                           "/>
    <n v="99005200"/>
    <x v="33"/>
    <s v="960/000001"/>
    <n v="1370148560"/>
    <n v="10"/>
    <x v="22"/>
    <x v="22"/>
    <s v="R2"/>
    <n v="7211000458"/>
    <n v="55"/>
    <n v="211000458"/>
    <s v="BY2975AR KET MATE 1L BLK/SILV AR                  "/>
    <s v="S"/>
    <d v="2012-01-05T00:00:00"/>
    <m/>
    <s v="X"/>
    <x v="52"/>
    <n v="12.6099"/>
    <n v="13"/>
    <d v="2012-02-10T00:00:00"/>
    <d v="2011-12-30T00:00:00"/>
    <n v="8883"/>
    <d v="2012-01-01T00:00:00"/>
    <n v="8883"/>
    <m/>
    <d v="2011-12-25T00:00:00"/>
    <n v="8883"/>
    <d v="2012-02-12T00:00:00"/>
    <d v="2012-01-01T00:00:00"/>
    <n v="8883"/>
    <n v="5436"/>
    <x v="13"/>
    <d v="2012-02-12T00:00:00"/>
    <m/>
    <n v="9321659088"/>
    <n v="10"/>
    <s v="CADU4007096"/>
    <s v="MAERSK LIMA 152W/"/>
    <m/>
    <s v="NINGBO"/>
    <s v="C-POST-CONF"/>
    <m/>
    <s v="THOMAS HO"/>
    <s v="FO9"/>
    <s v="BEVERAGE                      "/>
    <s v="CONFIRMED"/>
    <n v="1"/>
    <n v="52"/>
    <d v="2012-01-01T00:00:00"/>
    <s v="KITCHEN ELECTRICS             "/>
    <s v="BREAKFAST &amp; BREVAGE PREP      "/>
    <x v="0"/>
    <x v="0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1724/000010"/>
    <n v="1370148832"/>
    <n v="10"/>
    <x v="22"/>
    <x v="22"/>
    <s v="R2"/>
    <n v="7211000666"/>
    <n v="55"/>
    <n v="211000666"/>
    <s v="KO299830 KET EXPRESS 1.5L BLK RU                  "/>
    <s v="S"/>
    <d v="2012-01-11T00:00:00"/>
    <m/>
    <s v="X"/>
    <x v="52"/>
    <n v="11.8835"/>
    <n v="39"/>
    <d v="2012-02-20T00:00:00"/>
    <d v="2012-01-09T00:00:00"/>
    <n v="2580"/>
    <d v="2012-01-09T00:00:00"/>
    <n v="2580"/>
    <m/>
    <d v="2012-01-06T00:00:00"/>
    <n v="2580"/>
    <d v="2012-02-17T00:00:00"/>
    <d v="2012-01-06T00:00:00"/>
    <n v="2580"/>
    <n v="2580"/>
    <x v="7"/>
    <d v="2012-02-17T00:00:00"/>
    <m/>
    <n v="9321659089"/>
    <n v="10"/>
    <s v="MRKU0043726"/>
    <s v="ELEONORA MAERSK 1202"/>
    <m/>
    <s v="NINGBO"/>
    <m/>
    <m/>
    <s v="KENUS WONG"/>
    <s v="FO9"/>
    <s v="BEVERAGE                      "/>
    <s v="CONFIRMED"/>
    <n v="1"/>
    <n v="1"/>
    <d v="2012-01-06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1820/000010"/>
    <n v="1370148841"/>
    <n v="10"/>
    <x v="22"/>
    <x v="22"/>
    <s v="N4"/>
    <n v="7211000325"/>
    <n v="177"/>
    <n v="211000325"/>
    <s v="FR404630 FRY FILTRA PRO I&amp;D 3L ENA S/S E          "/>
    <s v="S"/>
    <d v="2012-01-10T00:00:00"/>
    <m/>
    <s v="X"/>
    <x v="52"/>
    <n v="33.273000000000003"/>
    <n v="26"/>
    <d v="2012-02-06T00:00:00"/>
    <d v="2012-01-02T00:00:00"/>
    <n v="588"/>
    <d v="2012-01-07T00:00:00"/>
    <n v="588"/>
    <m/>
    <d v="2011-12-31T00:00:00"/>
    <n v="588"/>
    <d v="2012-02-11T00:00:00"/>
    <d v="2012-01-07T00:00:00"/>
    <n v="588"/>
    <n v="588"/>
    <x v="12"/>
    <d v="2012-02-11T00:00:00"/>
    <m/>
    <n v="9321659091"/>
    <n v="10"/>
    <s v="MRKU0178233"/>
    <s v="MAERSK SOFIA/1202"/>
    <m/>
    <s v="NINGBO"/>
    <m/>
    <m/>
    <s v="AGNES NUNES"/>
    <s v="FO9"/>
    <s v="ELECTRICAL COOKING            "/>
    <s v="CONFIRMED"/>
    <n v="1"/>
    <n v="1"/>
    <d v="2012-01-07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1790/000010"/>
    <n v="1370148845"/>
    <n v="10"/>
    <x v="22"/>
    <x v="22"/>
    <s v="N4"/>
    <n v="7211000568"/>
    <n v="177"/>
    <n v="211000568"/>
    <s v="AF102430 FRY UNO FB SS MLX EUR                    "/>
    <s v="S"/>
    <d v="2012-01-10T00:00:00"/>
    <m/>
    <s v="X"/>
    <x v="52"/>
    <n v="20.114100000000001"/>
    <n v="16"/>
    <d v="2012-02-06T00:00:00"/>
    <d v="2012-01-02T00:00:00"/>
    <n v="810"/>
    <d v="2012-01-07T00:00:00"/>
    <n v="810"/>
    <m/>
    <d v="2011-12-31T00:00:00"/>
    <n v="810"/>
    <d v="2012-02-11T00:00:00"/>
    <d v="2012-01-07T00:00:00"/>
    <n v="810"/>
    <n v="810"/>
    <x v="12"/>
    <d v="2012-02-11T00:00:00"/>
    <m/>
    <n v="9321659092"/>
    <n v="10"/>
    <s v="MRKU0178233"/>
    <s v="MAERSK SOFIA/1202"/>
    <m/>
    <s v="NINGBO"/>
    <m/>
    <m/>
    <s v="AGNES NUNES"/>
    <s v="FO9"/>
    <s v="ELECTRICAL COOKING            "/>
    <s v="CONFIRMED"/>
    <n v="1"/>
    <n v="1"/>
    <d v="2012-01-07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6635/000010"/>
    <n v="1370148931"/>
    <n v="10"/>
    <x v="22"/>
    <x v="22"/>
    <s v="N4"/>
    <n v="7211000351"/>
    <n v="116"/>
    <n v="211000351"/>
    <s v="OW310130 BDM UNO 1KG WHT/RED B1                   "/>
    <s v="S"/>
    <d v="2012-02-01T00:00:00"/>
    <m/>
    <s v="X"/>
    <x v="52"/>
    <n v="42.151299999999999"/>
    <n v="44"/>
    <d v="2012-01-16T00:00:00"/>
    <d v="2012-01-02T00:00:00"/>
    <n v="522"/>
    <d v="2012-01-02T00:00:00"/>
    <n v="522"/>
    <m/>
    <d v="2012-01-04T00:00:00"/>
    <n v="522"/>
    <d v="2012-01-18T00:00:00"/>
    <d v="2012-01-04T00:00:00"/>
    <n v="522"/>
    <n v="522"/>
    <x v="12"/>
    <d v="2012-01-21T00:00:00"/>
    <m/>
    <n v="9321659095"/>
    <n v="10"/>
    <s v="CCLU3191999"/>
    <s v="HATSU COURAGE V0078W"/>
    <m/>
    <s v="NINGBO"/>
    <s v="SHIP + ETD JAN05 2012"/>
    <m/>
    <s v="ZANDRA LAM"/>
    <s v="FO9"/>
    <s v="ELECTRICAL COOKING            "/>
    <s v="CONFIRMED"/>
    <n v="1"/>
    <n v="1"/>
    <d v="2012-01-07T00:00:00"/>
    <s v="KITCHEN ELECTRICS             "/>
    <s v="ELECTRICAL COOKING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2/000010"/>
    <n v="1370149104"/>
    <n v="10"/>
    <x v="22"/>
    <x v="22"/>
    <s v="N5"/>
    <n v="7211000596"/>
    <n v="36"/>
    <n v="211000596"/>
    <s v="LM2201B1 BLD UNO 1.25L WHT FR                     "/>
    <s v="S"/>
    <d v="2012-01-05T00:00:00"/>
    <m/>
    <s v="X"/>
    <x v="52"/>
    <n v="12.1746"/>
    <n v="7"/>
    <d v="2012-02-06T00:00:00"/>
    <d v="2012-01-09T00:00:00"/>
    <n v="1350"/>
    <d v="2012-01-09T00:00:00"/>
    <n v="1350"/>
    <m/>
    <d v="2012-01-03T00:00:00"/>
    <n v="1350"/>
    <d v="2012-01-31T00:00:00"/>
    <d v="2012-01-03T00:00:00"/>
    <n v="1350"/>
    <n v="1350"/>
    <x v="16"/>
    <d v="2012-01-31T00:00:00"/>
    <m/>
    <n v="9321659100"/>
    <n v="10"/>
    <s v="UACU8160189"/>
    <s v="XIN PU DONG/1201W"/>
    <m/>
    <s v="NINGBO"/>
    <s v="waiting TP"/>
    <m/>
    <s v="JASON FAN"/>
    <s v="FO9"/>
    <s v="ELECTRICAL COOKING            "/>
    <s v="CONFIRMED"/>
    <n v="1"/>
    <n v="1"/>
    <d v="2012-01-03T00:00:00"/>
    <s v="KITCHEN ELECTRICS             "/>
    <s v="FOOD PREPARATION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797/000005"/>
    <n v="1370149111"/>
    <n v="50"/>
    <x v="22"/>
    <x v="22"/>
    <s v="N4"/>
    <n v="7211000735"/>
    <n v="116"/>
    <n v="211000735"/>
    <s v="PF522170 BREADMAKER UNO 1KG WHITE                 "/>
    <s v="S"/>
    <d v="2012-01-05T00:00:00"/>
    <m/>
    <s v="X"/>
    <x v="52"/>
    <n v="59.807499999999997"/>
    <n v="7"/>
    <d v="2012-01-23T00:00:00"/>
    <d v="2012-01-09T00:00:00"/>
    <n v="805"/>
    <d v="2012-01-09T00:00:00"/>
    <n v="805"/>
    <m/>
    <d v="2012-01-05T00:00:00"/>
    <n v="805"/>
    <d v="2012-01-21T00:00:00"/>
    <d v="2012-01-07T00:00:00"/>
    <n v="805"/>
    <n v="805"/>
    <x v="3"/>
    <d v="2012-01-16T00:00:00"/>
    <m/>
    <n v="9321659101"/>
    <n v="10"/>
    <s v="TTNU4583202"/>
    <s v="VAN HARMONY/1201N"/>
    <m/>
    <s v="NINGBO"/>
    <m/>
    <m/>
    <s v="DOROTHEA LING"/>
    <s v="FO9"/>
    <s v="ELECTRICAL COOKING            "/>
    <s v="CONFIRMED"/>
    <n v="1"/>
    <n v="1"/>
    <d v="2012-01-02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859/000010"/>
    <n v="1370149164"/>
    <n v="10"/>
    <x v="22"/>
    <x v="22"/>
    <s v="N4"/>
    <n v="7211000591"/>
    <n v="116"/>
    <n v="211000591"/>
    <s v="OW310E30 BDM UNO 1KG MET/BLK EUR                  "/>
    <s v="S"/>
    <d v="2012-01-06T00:00:00"/>
    <m/>
    <s v="X"/>
    <x v="52"/>
    <n v="47.027700000000003"/>
    <n v="1536"/>
    <d v="2012-02-24T00:00:00"/>
    <d v="2012-01-06T00:00:00"/>
    <n v="1239"/>
    <d v="2012-01-06T00:00:00"/>
    <n v="1239"/>
    <m/>
    <d v="2012-01-05T00:00:00"/>
    <n v="1239"/>
    <d v="2012-02-23T00:00:00"/>
    <d v="2012-01-05T00:00:00"/>
    <n v="1239"/>
    <n v="1239"/>
    <x v="6"/>
    <d v="2012-02-23T00:00:00"/>
    <m/>
    <n v="9321659104"/>
    <n v="10"/>
    <s v="TTNU9778465"/>
    <s v="GRETE MAERSK/121W"/>
    <m/>
    <s v="NINGBO"/>
    <m/>
    <m/>
    <s v="KENUS WONG"/>
    <s v="FO9"/>
    <s v="ELECTRICAL COOKING            "/>
    <s v="CONFIRMED"/>
    <n v="1"/>
    <n v="1"/>
    <d v="2012-01-05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860/000010"/>
    <n v="1370149167"/>
    <n v="10"/>
    <x v="22"/>
    <x v="22"/>
    <s v="N4"/>
    <n v="7211000591"/>
    <n v="116"/>
    <n v="211000591"/>
    <s v="OW310E30 BDM UNO 1KG MET/BLK EUR                  "/>
    <s v="S"/>
    <d v="2012-01-10T00:00:00"/>
    <m/>
    <s v="X"/>
    <x v="52"/>
    <n v="47.027700000000003"/>
    <n v="1536"/>
    <d v="2012-02-27T00:00:00"/>
    <d v="2012-01-09T00:00:00"/>
    <n v="1239"/>
    <d v="2012-01-09T00:00:00"/>
    <n v="1239"/>
    <m/>
    <d v="2012-01-07T00:00:00"/>
    <n v="1239"/>
    <d v="2012-02-25T00:00:00"/>
    <d v="2012-01-07T00:00:00"/>
    <n v="1239"/>
    <n v="1239"/>
    <x v="0"/>
    <d v="2012-02-27T00:00:00"/>
    <m/>
    <n v="9321659105"/>
    <n v="10"/>
    <s v="APHU6004360"/>
    <s v="MOL COMPETENCE/021W"/>
    <m/>
    <s v="NINGBO"/>
    <m/>
    <m/>
    <s v="KENUS WONG"/>
    <s v="FO9"/>
    <s v="ELECTRICAL COOKING            "/>
    <s v="CONFIRMED"/>
    <n v="1"/>
    <n v="2"/>
    <d v="2012-01-09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796/000010"/>
    <n v="1370149190"/>
    <n v="10"/>
    <x v="22"/>
    <x v="22"/>
    <s v="N4"/>
    <n v="7211000351"/>
    <n v="116"/>
    <n v="211000351"/>
    <s v="OW310130 BDM UNO 1KG WHT/RED B1                   "/>
    <s v="S"/>
    <d v="2012-01-06T00:00:00"/>
    <m/>
    <s v="X"/>
    <x v="52"/>
    <n v="42.151299999999999"/>
    <n v="1378"/>
    <d v="2012-02-27T00:00:00"/>
    <d v="2012-01-09T00:00:00"/>
    <n v="1239"/>
    <d v="2012-01-09T00:00:00"/>
    <n v="1239"/>
    <m/>
    <d v="2012-01-05T00:00:00"/>
    <n v="1239"/>
    <d v="2012-02-23T00:00:00"/>
    <d v="2012-01-05T00:00:00"/>
    <n v="1239"/>
    <n v="1239"/>
    <x v="6"/>
    <d v="2012-02-23T00:00:00"/>
    <m/>
    <n v="9321659106"/>
    <n v="10"/>
    <s v="TTNU9177422"/>
    <s v="GRETE MAERSK/121W"/>
    <m/>
    <s v="NINGBO"/>
    <m/>
    <m/>
    <s v="KENUS WONG"/>
    <s v="FO9"/>
    <s v="ELECTRICAL COOKING            "/>
    <s v="CONFIRMED"/>
    <n v="1"/>
    <n v="1"/>
    <d v="2012-01-05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639/000010"/>
    <n v="1370149192"/>
    <n v="10"/>
    <x v="22"/>
    <x v="22"/>
    <s v="R2"/>
    <n v="7211000364"/>
    <n v="55"/>
    <n v="211000364"/>
    <s v="BF26313E KET VIT.ECO 1.7L DIAM WHT RU             "/>
    <s v="S"/>
    <d v="2012-01-06T00:00:00"/>
    <m/>
    <s v="X"/>
    <x v="52"/>
    <n v="11.823600000000001"/>
    <n v="383"/>
    <d v="2012-02-24T00:00:00"/>
    <d v="2012-01-06T00:00:00"/>
    <n v="2220"/>
    <d v="2012-01-06T00:00:00"/>
    <n v="2220"/>
    <m/>
    <d v="2012-01-05T00:00:00"/>
    <n v="2220"/>
    <d v="2012-02-23T00:00:00"/>
    <d v="2012-01-05T00:00:00"/>
    <n v="2220"/>
    <n v="2220"/>
    <x v="6"/>
    <d v="2012-02-23T00:00:00"/>
    <m/>
    <n v="9321659107"/>
    <n v="10"/>
    <s v="MSKU6259822"/>
    <s v="GRETE MAERSK/121W"/>
    <m/>
    <s v="NINGBO"/>
    <m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283/000010"/>
    <n v="1370149318"/>
    <n v="10"/>
    <x v="22"/>
    <x v="22"/>
    <s v="N5"/>
    <n v="7211000596"/>
    <n v="36"/>
    <n v="211000596"/>
    <s v="LM2201B1 BLD UNO 1.25L WHT FR                     "/>
    <s v="S"/>
    <d v="2012-01-07T00:00:00"/>
    <m/>
    <s v="X"/>
    <x v="52"/>
    <n v="12.1746"/>
    <n v="9"/>
    <d v="2012-02-03T00:00:00"/>
    <d v="2011-12-30T00:00:00"/>
    <n v="1407"/>
    <d v="2012-01-01T00:00:00"/>
    <n v="1407"/>
    <m/>
    <d v="2011-12-30T00:00:00"/>
    <n v="1407"/>
    <d v="2012-02-05T00:00:00"/>
    <d v="2012-01-01T00:00:00"/>
    <n v="1407"/>
    <n v="1407"/>
    <x v="13"/>
    <d v="2012-02-05T00:00:00"/>
    <m/>
    <n v="9321659113"/>
    <n v="10"/>
    <s v="POCU1124517"/>
    <s v="MAERSK ESSEN 1202/"/>
    <m/>
    <s v="NINGBO"/>
    <s v="LATE DOC FROM FORWARDER"/>
    <m/>
    <s v="JASON FAN"/>
    <s v="FO9"/>
    <s v="ELECTRICAL COOKING            "/>
    <s v="CONFIRMED"/>
    <n v="1"/>
    <n v="52"/>
    <d v="2012-01-01T00:00:00"/>
    <s v="KITCHEN ELECTRICS             "/>
    <s v="FOOD PREPARATION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5190/000010"/>
    <n v="1370149331"/>
    <n v="10"/>
    <x v="22"/>
    <x v="22"/>
    <s v="N4"/>
    <n v="7211000514"/>
    <n v="177"/>
    <n v="211000514"/>
    <s v="FR702D50 EMERIL BY TFAL 1.8 LITER FRYER           "/>
    <s v="S"/>
    <d v="2012-01-04T00:00:00"/>
    <m/>
    <s v="X"/>
    <x v="52"/>
    <n v="42.280700000000003"/>
    <n v="45372"/>
    <d v="2012-01-30T00:00:00"/>
    <d v="2011-12-26T00:00:00"/>
    <n v="5000"/>
    <d v="2011-12-30T00:00:00"/>
    <n v="5000"/>
    <m/>
    <d v="2011-12-30T00:00:00"/>
    <n v="5000"/>
    <d v="2012-02-03T00:00:00"/>
    <d v="2011-12-30T00:00:00"/>
    <n v="5000"/>
    <n v="1250"/>
    <x v="3"/>
    <d v="2012-02-06T00:00:00"/>
    <m/>
    <n v="9321659114"/>
    <n v="10"/>
    <s v="MRKU2755890"/>
    <s v="CMA CGM DON PASCUALE"/>
    <m/>
    <s v="NINGBO"/>
    <s v="C-POST-CONF/ CLX - REJECET (NOV 21)"/>
    <m/>
    <s v="TWEETY LEUNG"/>
    <s v="FO9"/>
    <s v="ELECTRICAL COOKING            "/>
    <s v="CONFIRMED"/>
    <n v="1"/>
    <n v="1"/>
    <d v="2012-01-02T00:00:00"/>
    <s v="KITCHEN ELECTRICS             "/>
    <s v="ELECTRICAL COOKING            "/>
    <x v="0"/>
    <x v="0"/>
    <x v="3"/>
    <s v="C-POST-CONF"/>
    <n v="-3"/>
    <n v="-3"/>
    <x v="0"/>
    <n v="2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5190/000010"/>
    <n v="1370149331"/>
    <n v="10"/>
    <x v="22"/>
    <x v="22"/>
    <s v="N4"/>
    <n v="7211000514"/>
    <n v="177"/>
    <n v="211000514"/>
    <s v="FR702D50 EMERIL BY TFAL 1.8 LITER FRYER           "/>
    <s v="S"/>
    <d v="2012-01-04T00:00:00"/>
    <m/>
    <s v="X"/>
    <x v="52"/>
    <n v="42.280700000000003"/>
    <n v="45372"/>
    <d v="2012-01-30T00:00:00"/>
    <d v="2011-12-26T00:00:00"/>
    <n v="5000"/>
    <d v="2011-12-30T00:00:00"/>
    <n v="5000"/>
    <m/>
    <d v="2011-12-30T00:00:00"/>
    <n v="5000"/>
    <d v="2012-02-03T00:00:00"/>
    <d v="2011-12-30T00:00:00"/>
    <n v="5000"/>
    <n v="1250"/>
    <x v="3"/>
    <d v="2012-02-06T00:00:00"/>
    <m/>
    <n v="9321659114"/>
    <n v="10"/>
    <s v="MSKU9361078"/>
    <s v="CMA CGM DON PASCUALE"/>
    <m/>
    <s v="NINGBO"/>
    <s v="C-POST-CONF/ CLX - REJECET (NOV 21)"/>
    <m/>
    <s v="TWEETY LEUNG"/>
    <s v="FO9"/>
    <s v="ELECTRICAL COOKING            "/>
    <s v="CONFIRMED"/>
    <n v="1"/>
    <n v="1"/>
    <d v="2012-01-02T00:00:00"/>
    <s v="KITCHEN ELECTRICS             "/>
    <s v="ELECTRICAL COOKING            "/>
    <x v="0"/>
    <x v="0"/>
    <x v="3"/>
    <s v="C-POST-CONF"/>
    <n v="-3"/>
    <n v="-3"/>
    <x v="0"/>
    <n v="2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5190/000010"/>
    <n v="1370149331"/>
    <n v="10"/>
    <x v="22"/>
    <x v="22"/>
    <s v="N4"/>
    <n v="7211000514"/>
    <n v="177"/>
    <n v="211000514"/>
    <s v="FR702D50 EMERIL BY TFAL 1.8 LITER FRYER           "/>
    <s v="S"/>
    <d v="2012-01-04T00:00:00"/>
    <m/>
    <s v="X"/>
    <x v="52"/>
    <n v="42.280700000000003"/>
    <n v="45372"/>
    <d v="2012-01-30T00:00:00"/>
    <d v="2011-12-26T00:00:00"/>
    <n v="5000"/>
    <d v="2011-12-30T00:00:00"/>
    <n v="5000"/>
    <m/>
    <d v="2011-12-30T00:00:00"/>
    <n v="5000"/>
    <d v="2012-02-03T00:00:00"/>
    <d v="2011-12-30T00:00:00"/>
    <n v="5000"/>
    <n v="1250"/>
    <x v="3"/>
    <d v="2012-02-06T00:00:00"/>
    <m/>
    <n v="9321659114"/>
    <n v="10"/>
    <s v="MSKU1904287"/>
    <s v="CMA CGM DON PASCUALE"/>
    <m/>
    <s v="NINGBO"/>
    <s v="C-POST-CONF/ CLX - REJECET (NOV 21)"/>
    <m/>
    <s v="TWEETY LEUNG"/>
    <s v="FO9"/>
    <s v="ELECTRICAL COOKING            "/>
    <s v="CONFIRMED"/>
    <n v="1"/>
    <n v="1"/>
    <d v="2012-01-02T00:00:00"/>
    <s v="KITCHEN ELECTRICS             "/>
    <s v="ELECTRICAL COOKING            "/>
    <x v="0"/>
    <x v="0"/>
    <x v="3"/>
    <s v="C-POST-CONF"/>
    <n v="-3"/>
    <n v="-3"/>
    <x v="0"/>
    <n v="2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5190/000010"/>
    <n v="1370149331"/>
    <n v="10"/>
    <x v="22"/>
    <x v="22"/>
    <s v="N4"/>
    <n v="7211000514"/>
    <n v="177"/>
    <n v="211000514"/>
    <s v="FR702D50 EMERIL BY TFAL 1.8 LITER FRYER           "/>
    <s v="S"/>
    <d v="2012-01-04T00:00:00"/>
    <m/>
    <s v="X"/>
    <x v="52"/>
    <n v="42.280700000000003"/>
    <n v="45372"/>
    <d v="2012-01-30T00:00:00"/>
    <d v="2011-12-26T00:00:00"/>
    <n v="5000"/>
    <d v="2011-12-30T00:00:00"/>
    <n v="5000"/>
    <m/>
    <d v="2011-12-30T00:00:00"/>
    <n v="5000"/>
    <d v="2012-02-03T00:00:00"/>
    <d v="2011-12-30T00:00:00"/>
    <n v="5000"/>
    <n v="1250"/>
    <x v="3"/>
    <d v="2012-02-06T00:00:00"/>
    <m/>
    <n v="9321659114"/>
    <n v="10"/>
    <s v="MSKU9490630"/>
    <s v="CMA CGM DON PASCUALE"/>
    <m/>
    <s v="NINGBO"/>
    <s v="C-POST-CONF/ CLX - REJECET (NOV 21)"/>
    <m/>
    <s v="TWEETY LEUNG"/>
    <s v="FO9"/>
    <s v="ELECTRICAL COOKING            "/>
    <s v="CONFIRMED"/>
    <n v="1"/>
    <n v="1"/>
    <d v="2012-01-02T00:00:00"/>
    <s v="KITCHEN ELECTRICS             "/>
    <s v="ELECTRICAL COOKING            "/>
    <x v="0"/>
    <x v="0"/>
    <x v="3"/>
    <s v="C-POST-CONF"/>
    <n v="-3"/>
    <n v="-3"/>
    <x v="0"/>
    <n v="2"/>
    <x v="0"/>
    <x v="1"/>
    <x v="1"/>
    <n v="0"/>
    <n v="1"/>
    <n v="0"/>
    <n v="0"/>
    <n v="0"/>
    <n v="1"/>
    <x v="0"/>
    <x v="0"/>
    <x v="0"/>
    <x v="0"/>
  </r>
  <r>
    <s v="Shipment"/>
    <n v="99001804"/>
    <s v="ALMAVIVA S.A. USUARIO COMERCIAL                   "/>
    <n v="99001800"/>
    <x v="26"/>
    <s v="22566/039738"/>
    <n v="1370149086"/>
    <n v="10"/>
    <x v="30"/>
    <x v="30"/>
    <s v="N4"/>
    <n v="7211000700"/>
    <n v="39"/>
    <n v="211000700"/>
    <s v="RK200E50 RC 3IN1 CEREAL &amp; CO 6C SS/BLK C          "/>
    <s v="S"/>
    <d v="2012-01-06T00:00:00"/>
    <m/>
    <s v="X"/>
    <x v="52"/>
    <n v="23.386199999999999"/>
    <n v="24"/>
    <d v="2012-02-09T00:00:00"/>
    <d v="2012-01-05T00:00:00"/>
    <n v="1056"/>
    <d v="2012-01-06T00:00:00"/>
    <n v="1056"/>
    <m/>
    <d v="2011-12-31T00:00:00"/>
    <n v="1056"/>
    <d v="2012-02-08T00:00:00"/>
    <d v="2012-01-04T00:00:00"/>
    <n v="1056"/>
    <n v="1056"/>
    <x v="2"/>
    <d v="2012-02-08T00:00:00"/>
    <m/>
    <n v="9321659115"/>
    <n v="10"/>
    <s v="MSKU3973760"/>
    <s v="CARSTEN MAERSK 1203/"/>
    <m/>
    <s v="NINGBO"/>
    <m/>
    <m/>
    <s v="THOMAS HO"/>
    <s v="FO9"/>
    <s v="ELECTRICAL COOKING            "/>
    <s v="CONFIRMED"/>
    <n v="1"/>
    <n v="1"/>
    <d v="2012-01-04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69/039740"/>
    <n v="1370149091"/>
    <n v="10"/>
    <x v="30"/>
    <x v="30"/>
    <s v="N4"/>
    <n v="7211000764"/>
    <n v="39"/>
    <n v="211000764"/>
    <s v="RK110E50 RC UNO 10C SILV CO                       "/>
    <s v="S"/>
    <d v="2012-01-06T00:00:00"/>
    <m/>
    <s v="X"/>
    <x v="52"/>
    <n v="11.8398"/>
    <n v="12"/>
    <d v="2012-02-10T00:00:00"/>
    <d v="2012-01-06T00:00:00"/>
    <n v="2128"/>
    <d v="2012-01-06T00:00:00"/>
    <n v="2128"/>
    <m/>
    <d v="2011-12-31T00:00:00"/>
    <n v="2128"/>
    <d v="2012-02-08T00:00:00"/>
    <d v="2012-01-04T00:00:00"/>
    <n v="2128"/>
    <n v="2128"/>
    <x v="2"/>
    <d v="2012-02-08T00:00:00"/>
    <m/>
    <n v="9321659117"/>
    <n v="10"/>
    <s v="MRKU0609460"/>
    <s v="CARSTEN MAERSK 1203/"/>
    <m/>
    <s v="NINGBO"/>
    <m/>
    <m/>
    <s v="THOMAS HO"/>
    <s v="FO9"/>
    <s v="ELECTRICAL COOKING            "/>
    <s v="CONFIRMED"/>
    <n v="1"/>
    <n v="1"/>
    <d v="2012-01-04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741/000010"/>
    <n v="1370149213"/>
    <n v="10"/>
    <x v="30"/>
    <x v="30"/>
    <s v="N4"/>
    <n v="7211000845"/>
    <n v="39"/>
    <n v="211000845"/>
    <s v="RK302E00 RC 8IN1 10C SS FR                        "/>
    <s v="S"/>
    <d v="2012-01-09T00:00:00"/>
    <m/>
    <s v="X"/>
    <x v="52"/>
    <n v="31.103899999999999"/>
    <n v="25"/>
    <d v="2012-02-03T00:00:00"/>
    <d v="2011-12-30T00:00:00"/>
    <n v="612"/>
    <d v="2012-01-05T00:00:00"/>
    <n v="612"/>
    <m/>
    <d v="2012-01-01T00:00:00"/>
    <n v="612"/>
    <d v="2012-02-08T00:00:00"/>
    <d v="2012-01-04T00:00:00"/>
    <n v="612"/>
    <n v="612"/>
    <x v="6"/>
    <d v="2012-02-09T00:00:00"/>
    <m/>
    <n v="9321659118"/>
    <n v="10"/>
    <s v="CMAU8392406"/>
    <s v="CMA CGM GEMINI FM422"/>
    <m/>
    <s v="NINGBO"/>
    <s v="C-PULLIN-CONF/"/>
    <m/>
    <s v="JASON FAN"/>
    <s v="FO9"/>
    <s v="ELECTRICAL COOKING            "/>
    <s v="CONFIRMED"/>
    <n v="1"/>
    <n v="1"/>
    <d v="2012-01-05T00:00:00"/>
    <s v="KITCHEN ELECTRICS             "/>
    <s v="ELECTRICAL COOKING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726/000010"/>
    <n v="1370149256"/>
    <n v="10"/>
    <x v="30"/>
    <x v="30"/>
    <s v="N2"/>
    <n v="2100051056"/>
    <n v="50"/>
    <n v="211000518"/>
    <s v="CB522013 PLANCHA 2000W  I THERMOS ES/PT           "/>
    <s v="S"/>
    <d v="2012-01-07T00:00:00"/>
    <m/>
    <s v="X"/>
    <x v="52"/>
    <n v="22.723700000000001"/>
    <n v="19"/>
    <d v="2012-02-03T00:00:00"/>
    <d v="2011-12-30T00:00:00"/>
    <n v="1992"/>
    <d v="2012-01-01T00:00:00"/>
    <n v="1992"/>
    <m/>
    <d v="2011-12-25T00:00:00"/>
    <n v="1992"/>
    <d v="2012-02-05T00:00:00"/>
    <d v="2012-01-01T00:00:00"/>
    <n v="1992"/>
    <n v="1992"/>
    <x v="13"/>
    <d v="2012-02-05T00:00:00"/>
    <m/>
    <n v="9321659119"/>
    <n v="10"/>
    <s v="PONU7311695"/>
    <s v="MAERSK ESSEN 1202/"/>
    <m/>
    <s v="NINGBO"/>
    <s v="C-POST-CONF/LATE DOC FROM FORWARDER"/>
    <m/>
    <s v="JASON FAN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3"/>
    <s v="C-POST-CONF"/>
    <n v="-3"/>
    <n v="-3"/>
    <x v="0"/>
    <n v="2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24/000010"/>
    <n v="1370148093"/>
    <n v="10"/>
    <x v="31"/>
    <x v="31"/>
    <s v="A1"/>
    <n v="2100065129"/>
    <n v="201"/>
    <n v="115003050"/>
    <s v="A9098264 EASY CARE GREY TNS 5QT JUMBO CO          "/>
    <s v="S"/>
    <d v="2012-01-16T00:00:00"/>
    <m/>
    <s v="X"/>
    <x v="52"/>
    <n v="9.3276000000000003"/>
    <n v="10"/>
    <d v="2012-02-15T00:00:00"/>
    <d v="2012-01-04T00:00:00"/>
    <n v="4100"/>
    <d v="2012-01-04T00:00:00"/>
    <n v="4100"/>
    <m/>
    <d v="2012-01-06T00:00:00"/>
    <n v="4100"/>
    <d v="2012-02-17T00:00:00"/>
    <d v="2012-01-06T00:00:00"/>
    <n v="4100"/>
    <n v="3326"/>
    <x v="7"/>
    <d v="2012-02-17T00:00:00"/>
    <m/>
    <n v="9321659120"/>
    <n v="10"/>
    <s v="FCIU8833180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24/000010"/>
    <n v="1370148093"/>
    <n v="10"/>
    <x v="31"/>
    <x v="31"/>
    <s v="A1"/>
    <n v="2100065129"/>
    <n v="201"/>
    <n v="115003050"/>
    <s v="A9098264 EASY CARE GREY TNS 5QT JUMBO CO          "/>
    <s v="S"/>
    <d v="2012-01-16T00:00:00"/>
    <m/>
    <s v="X"/>
    <x v="52"/>
    <n v="9.3276000000000003"/>
    <n v="10"/>
    <d v="2012-02-15T00:00:00"/>
    <d v="2012-01-04T00:00:00"/>
    <n v="4100"/>
    <d v="2012-01-04T00:00:00"/>
    <n v="4100"/>
    <m/>
    <d v="2012-01-06T00:00:00"/>
    <n v="4100"/>
    <d v="2012-02-17T00:00:00"/>
    <d v="2012-01-06T00:00:00"/>
    <n v="4100"/>
    <n v="774"/>
    <x v="7"/>
    <d v="2012-02-17T00:00:00"/>
    <m/>
    <n v="9321659120"/>
    <n v="10"/>
    <s v="INKU6111507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53/000010"/>
    <n v="1370148113"/>
    <n v="10"/>
    <x v="31"/>
    <x v="31"/>
    <s v="A1"/>
    <n v="2100064646"/>
    <n v="201"/>
    <n v="115002984"/>
    <s v="C1190574 SIGNATURE BLACK TNS 10&quot; FP (W)           "/>
    <s v="S"/>
    <d v="2012-01-16T00:00:00"/>
    <m/>
    <s v="X"/>
    <x v="52"/>
    <n v="6.335"/>
    <n v="7"/>
    <d v="2012-02-21T00:00:00"/>
    <d v="2012-01-10T00:00:00"/>
    <n v="6000"/>
    <d v="2012-01-10T00:00:00"/>
    <n v="6000"/>
    <m/>
    <d v="2012-01-06T00:00:00"/>
    <n v="6000"/>
    <d v="2012-02-14T00:00:00"/>
    <d v="2012-01-03T00:00:00"/>
    <n v="6000"/>
    <n v="6000"/>
    <x v="7"/>
    <d v="2012-02-17T00:00:00"/>
    <m/>
    <n v="9321659122"/>
    <n v="10"/>
    <s v="CMAU5605745"/>
    <s v="XIN CHANG JIANG A094"/>
    <m/>
    <s v="WUHAN"/>
    <s v="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61/000010"/>
    <n v="1370148114"/>
    <n v="10"/>
    <x v="31"/>
    <x v="31"/>
    <s v="A1"/>
    <n v="2100064638"/>
    <n v="201"/>
    <n v="115002981"/>
    <s v="C1570574 SIGNATURE BLUE TNS 10&quot; FP (W)            "/>
    <s v="S"/>
    <d v="2012-01-16T00:00:00"/>
    <m/>
    <s v="X"/>
    <x v="52"/>
    <n v="6.3951000000000002"/>
    <n v="7"/>
    <d v="2012-02-21T00:00:00"/>
    <d v="2012-01-10T00:00:00"/>
    <n v="999"/>
    <d v="2012-01-10T00:00:00"/>
    <n v="1002"/>
    <m/>
    <d v="2012-01-06T00:00:00"/>
    <n v="1002"/>
    <d v="2012-02-17T00:00:00"/>
    <d v="2012-01-06T00:00:00"/>
    <n v="1002"/>
    <n v="1002"/>
    <x v="7"/>
    <d v="2012-02-17T00:00:00"/>
    <m/>
    <n v="9321659123"/>
    <n v="10"/>
    <s v="DVRU0530446"/>
    <s v="XIN CHANG JIANG A094"/>
    <m/>
    <s v="WUHAN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52/000010"/>
    <n v="1370148116"/>
    <n v="10"/>
    <x v="31"/>
    <x v="31"/>
    <s v="A1"/>
    <n v="2100067826"/>
    <n v="200"/>
    <n v="115003421"/>
    <s v="A8092394 GRIP RIGHT TNS GRAY 2QT COVD SP          "/>
    <s v="S"/>
    <d v="2012-01-16T00:00:00"/>
    <m/>
    <s v="X"/>
    <x v="52"/>
    <n v="5.6464999999999996"/>
    <n v="6"/>
    <d v="2012-01-30T00:00:00"/>
    <d v="2011-12-19T00:00:00"/>
    <n v="8500"/>
    <d v="2012-01-06T00:00:00"/>
    <n v="8500"/>
    <m/>
    <d v="2011-12-15T00:00:00"/>
    <n v="8500"/>
    <d v="2012-02-17T00:00:00"/>
    <d v="2012-01-06T00:00:00"/>
    <n v="8500"/>
    <n v="5658"/>
    <x v="7"/>
    <d v="2012-02-17T00:00:00"/>
    <m/>
    <n v="9321659124"/>
    <n v="10"/>
    <s v="INKU2645973"/>
    <s v="XIN CHANG JIANG A094"/>
    <m/>
    <s v="WUHAN"/>
    <s v="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52/000010"/>
    <n v="1370148116"/>
    <n v="10"/>
    <x v="31"/>
    <x v="31"/>
    <s v="A1"/>
    <n v="2100067826"/>
    <n v="200"/>
    <n v="115003421"/>
    <s v="A8092394 GRIP RIGHT TNS GRAY 2QT COVD SP          "/>
    <s v="S"/>
    <d v="2012-01-16T00:00:00"/>
    <m/>
    <s v="X"/>
    <x v="52"/>
    <n v="5.6464999999999996"/>
    <n v="6"/>
    <d v="2012-01-30T00:00:00"/>
    <d v="2011-12-19T00:00:00"/>
    <n v="8500"/>
    <d v="2012-01-06T00:00:00"/>
    <n v="8500"/>
    <m/>
    <d v="2011-12-15T00:00:00"/>
    <n v="8500"/>
    <d v="2012-02-17T00:00:00"/>
    <d v="2012-01-06T00:00:00"/>
    <n v="8500"/>
    <n v="2842"/>
    <x v="7"/>
    <d v="2012-02-17T00:00:00"/>
    <m/>
    <n v="9321659124"/>
    <n v="10"/>
    <s v="CMAU5330437"/>
    <s v="XIN CHANG JIANG A094"/>
    <m/>
    <s v="WUHAN"/>
    <s v="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73/000010"/>
    <n v="1370148142"/>
    <n v="10"/>
    <x v="31"/>
    <x v="31"/>
    <s v="A1"/>
    <n v="2100067826"/>
    <n v="200"/>
    <n v="115003421"/>
    <s v="A8092394 GRIP RIGHT TNS GRAY 2QT COVD SP          "/>
    <s v="S"/>
    <d v="2012-01-18T00:00:00"/>
    <m/>
    <s v="X"/>
    <x v="52"/>
    <n v="5.6464999999999996"/>
    <n v="6"/>
    <d v="2012-02-05T00:00:00"/>
    <d v="2011-12-25T00:00:00"/>
    <n v="4500"/>
    <d v="2012-01-13T00:00:00"/>
    <n v="4500"/>
    <m/>
    <d v="2011-12-30T00:00:00"/>
    <n v="4500"/>
    <d v="2012-02-24T00:00:00"/>
    <d v="2012-01-13T00:00:00"/>
    <n v="4500"/>
    <n v="4500"/>
    <x v="24"/>
    <d v="2012-02-24T00:00:00"/>
    <m/>
    <n v="9321659130"/>
    <n v="10"/>
    <s v="CMAU5004955"/>
    <s v="JI HAI ZHI XIU A138/"/>
    <m/>
    <s v="WUHAN"/>
    <s v="C-POST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56/000010"/>
    <n v="1370148165"/>
    <n v="10"/>
    <x v="31"/>
    <x v="31"/>
    <s v="A1"/>
    <n v="2100064622"/>
    <n v="201"/>
    <n v="115002977"/>
    <s v="A8130874 SOFT HANDLES TNS BLUE 12&quot; FP (W          "/>
    <s v="S"/>
    <d v="2012-01-16T00:00:00"/>
    <m/>
    <s v="X"/>
    <x v="52"/>
    <n v="6.6780999999999997"/>
    <n v="7"/>
    <d v="2012-02-15T00:00:00"/>
    <d v="2012-01-04T00:00:00"/>
    <n v="3426"/>
    <d v="2012-01-04T00:00:00"/>
    <n v="3426"/>
    <m/>
    <d v="2012-01-06T00:00:00"/>
    <n v="3426"/>
    <d v="2012-02-17T00:00:00"/>
    <d v="2012-01-06T00:00:00"/>
    <n v="3426"/>
    <n v="1158"/>
    <x v="7"/>
    <d v="2012-02-17T00:00:00"/>
    <m/>
    <n v="9321659132"/>
    <n v="10"/>
    <s v="TGHU6314900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56/000010"/>
    <n v="1370148165"/>
    <n v="10"/>
    <x v="31"/>
    <x v="31"/>
    <s v="A1"/>
    <n v="2100064622"/>
    <n v="201"/>
    <n v="115002977"/>
    <s v="A8130874 SOFT HANDLES TNS BLUE 12&quot; FP (W          "/>
    <s v="S"/>
    <d v="2012-01-16T00:00:00"/>
    <m/>
    <s v="X"/>
    <x v="52"/>
    <n v="6.6780999999999997"/>
    <n v="7"/>
    <d v="2012-02-15T00:00:00"/>
    <d v="2012-01-04T00:00:00"/>
    <n v="3426"/>
    <d v="2012-01-04T00:00:00"/>
    <n v="3426"/>
    <m/>
    <d v="2012-01-06T00:00:00"/>
    <n v="3426"/>
    <d v="2012-02-17T00:00:00"/>
    <d v="2012-01-06T00:00:00"/>
    <n v="3426"/>
    <n v="2268"/>
    <x v="7"/>
    <d v="2012-02-17T00:00:00"/>
    <m/>
    <n v="9321659132"/>
    <n v="10"/>
    <s v="CMAU5330437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55/000010"/>
    <n v="1370148166"/>
    <n v="10"/>
    <x v="31"/>
    <x v="31"/>
    <s v="A1"/>
    <n v="2100064624"/>
    <n v="201"/>
    <n v="116000904"/>
    <s v="A813S274 SOFT HANDLE TNS BLU 2 SET FP 9.          "/>
    <s v="S"/>
    <d v="2012-01-18T00:00:00"/>
    <m/>
    <s v="X"/>
    <x v="52"/>
    <n v="11.1884"/>
    <n v="12"/>
    <d v="2012-02-15T00:00:00"/>
    <d v="2012-01-04T00:00:00"/>
    <n v="5320"/>
    <d v="2012-01-13T00:00:00"/>
    <n v="5320"/>
    <m/>
    <d v="2012-01-06T00:00:00"/>
    <n v="5320"/>
    <d v="2012-02-24T00:00:00"/>
    <d v="2012-01-13T00:00:00"/>
    <n v="5320"/>
    <n v="4806"/>
    <x v="24"/>
    <d v="2012-02-24T00:00:00"/>
    <m/>
    <n v="9321659133"/>
    <n v="10"/>
    <s v="ECMU9131436"/>
    <s v="JI HAI ZHI XIU A138/"/>
    <m/>
    <s v="WUHAN"/>
    <s v="C-POST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155/000010"/>
    <n v="1370148166"/>
    <n v="10"/>
    <x v="31"/>
    <x v="31"/>
    <s v="A1"/>
    <n v="2100064624"/>
    <n v="201"/>
    <n v="116000904"/>
    <s v="A813S274 SOFT HANDLE TNS BLU 2 SET FP 9.          "/>
    <s v="S"/>
    <d v="2012-01-18T00:00:00"/>
    <m/>
    <s v="X"/>
    <x v="52"/>
    <n v="11.1884"/>
    <n v="12"/>
    <d v="2012-02-15T00:00:00"/>
    <d v="2012-01-04T00:00:00"/>
    <n v="5320"/>
    <d v="2012-01-13T00:00:00"/>
    <n v="5320"/>
    <m/>
    <d v="2012-01-06T00:00:00"/>
    <n v="5320"/>
    <d v="2012-02-24T00:00:00"/>
    <d v="2012-01-13T00:00:00"/>
    <n v="5320"/>
    <n v="514"/>
    <x v="24"/>
    <d v="2012-02-24T00:00:00"/>
    <m/>
    <n v="9321659133"/>
    <n v="10"/>
    <s v="CMAU5705702"/>
    <s v="JI HAI ZHI XIU A138/"/>
    <m/>
    <s v="WUHAN"/>
    <s v="C-POST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6/000010"/>
    <n v="1370148188"/>
    <n v="10"/>
    <x v="31"/>
    <x v="31"/>
    <s v="A1"/>
    <n v="2100067834"/>
    <n v="200"/>
    <n v="115003443"/>
    <s v="A8098294 GRIP RIGHT TNS GRAY 12&quot;JUMBO CO          "/>
    <s v="S"/>
    <d v="2012-01-16T00:00:00"/>
    <m/>
    <s v="X"/>
    <x v="52"/>
    <n v="9.7478999999999996"/>
    <n v="10"/>
    <d v="2012-02-15T00:00:00"/>
    <d v="2012-01-04T00:00:00"/>
    <n v="6500"/>
    <d v="2012-01-04T00:00:00"/>
    <n v="6500"/>
    <m/>
    <d v="2012-01-06T00:00:00"/>
    <n v="6500"/>
    <d v="2012-02-14T00:00:00"/>
    <d v="2012-01-03T00:00:00"/>
    <n v="6500"/>
    <n v="340"/>
    <x v="7"/>
    <d v="2012-02-17T00:00:00"/>
    <m/>
    <n v="9321659134"/>
    <n v="10"/>
    <s v="CMAU5605745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6/000010"/>
    <n v="1370148188"/>
    <n v="10"/>
    <x v="31"/>
    <x v="31"/>
    <s v="A1"/>
    <n v="2100067834"/>
    <n v="200"/>
    <n v="115003443"/>
    <s v="A8098294 GRIP RIGHT TNS GRAY 12&quot;JUMBO CO          "/>
    <s v="S"/>
    <d v="2012-01-16T00:00:00"/>
    <m/>
    <s v="X"/>
    <x v="52"/>
    <n v="9.7478999999999996"/>
    <n v="10"/>
    <d v="2012-02-15T00:00:00"/>
    <d v="2012-01-04T00:00:00"/>
    <n v="6500"/>
    <d v="2012-01-04T00:00:00"/>
    <n v="6500"/>
    <m/>
    <d v="2012-01-06T00:00:00"/>
    <n v="6500"/>
    <d v="2012-02-14T00:00:00"/>
    <d v="2012-01-03T00:00:00"/>
    <n v="6500"/>
    <n v="3280"/>
    <x v="7"/>
    <d v="2012-02-17T00:00:00"/>
    <m/>
    <n v="9321659134"/>
    <n v="10"/>
    <s v="INBU5456564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6/000010"/>
    <n v="1370148188"/>
    <n v="10"/>
    <x v="31"/>
    <x v="31"/>
    <s v="A1"/>
    <n v="2100067834"/>
    <n v="200"/>
    <n v="115003443"/>
    <s v="A8098294 GRIP RIGHT TNS GRAY 12&quot;JUMBO CO          "/>
    <s v="S"/>
    <d v="2012-01-18T00:00:00"/>
    <m/>
    <s v="X"/>
    <x v="52"/>
    <n v="9.7478999999999996"/>
    <n v="10"/>
    <d v="2012-02-15T00:00:00"/>
    <d v="2012-01-04T00:00:00"/>
    <n v="6500"/>
    <d v="2012-01-04T00:00:00"/>
    <n v="6500"/>
    <m/>
    <d v="2012-01-06T00:00:00"/>
    <n v="6500"/>
    <d v="2012-02-14T00:00:00"/>
    <d v="2012-01-03T00:00:00"/>
    <n v="6500"/>
    <n v="2880"/>
    <x v="7"/>
    <d v="2012-02-17T00:00:00"/>
    <m/>
    <n v="9321659134"/>
    <n v="10"/>
    <s v="ECMU4664094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0/000010"/>
    <n v="1370148192"/>
    <n v="10"/>
    <x v="31"/>
    <x v="31"/>
    <s v="A1"/>
    <n v="2100067827"/>
    <n v="200"/>
    <n v="115003442"/>
    <s v="A8090294 GRIP RIGHT TNS GREY 8&quot; SAUTE             "/>
    <s v="S"/>
    <d v="2012-01-16T00:00:00"/>
    <m/>
    <s v="X"/>
    <x v="52"/>
    <n v="3.899"/>
    <n v="4"/>
    <d v="2012-02-20T00:00:00"/>
    <d v="2012-01-09T00:00:00"/>
    <n v="5004"/>
    <d v="2012-01-09T00:00:00"/>
    <n v="5004"/>
    <m/>
    <d v="2012-01-06T00:00:00"/>
    <n v="5004"/>
    <d v="2012-02-17T00:00:00"/>
    <d v="2012-01-06T00:00:00"/>
    <n v="5004"/>
    <n v="4236"/>
    <x v="7"/>
    <d v="2012-02-17T00:00:00"/>
    <m/>
    <n v="9321659135"/>
    <n v="10"/>
    <s v="TGHU6314900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0/000010"/>
    <n v="1370148192"/>
    <n v="10"/>
    <x v="31"/>
    <x v="31"/>
    <s v="A1"/>
    <n v="2100067827"/>
    <n v="200"/>
    <n v="115003442"/>
    <s v="A8090294 GRIP RIGHT TNS GREY 8&quot; SAUTE             "/>
    <s v="S"/>
    <d v="2012-01-16T00:00:00"/>
    <m/>
    <s v="X"/>
    <x v="52"/>
    <n v="3.899"/>
    <n v="4"/>
    <d v="2012-02-20T00:00:00"/>
    <d v="2012-01-09T00:00:00"/>
    <n v="5004"/>
    <d v="2012-01-09T00:00:00"/>
    <n v="5004"/>
    <m/>
    <d v="2012-01-06T00:00:00"/>
    <n v="5004"/>
    <d v="2012-02-17T00:00:00"/>
    <d v="2012-01-06T00:00:00"/>
    <n v="5004"/>
    <n v="768"/>
    <x v="7"/>
    <d v="2012-02-17T00:00:00"/>
    <m/>
    <n v="9321659135"/>
    <n v="10"/>
    <s v="INKU2645973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858/000010"/>
    <n v="1370148195"/>
    <n v="10"/>
    <x v="31"/>
    <x v="31"/>
    <s v="A1"/>
    <n v="2100067830"/>
    <n v="200"/>
    <n v="115003418"/>
    <s v="A7798294 EASY CARE RED 5QT JUMBO COOKER           "/>
    <s v="S"/>
    <d v="2012-01-16T00:00:00"/>
    <m/>
    <s v="X"/>
    <x v="52"/>
    <n v="9.1412999999999993"/>
    <n v="10"/>
    <d v="2012-02-15T00:00:00"/>
    <d v="2012-01-04T00:00:00"/>
    <n v="5000"/>
    <d v="2012-01-04T00:00:00"/>
    <n v="5000"/>
    <m/>
    <d v="2012-01-06T00:00:00"/>
    <n v="5000"/>
    <d v="2012-02-17T00:00:00"/>
    <d v="2012-01-06T00:00:00"/>
    <n v="5000"/>
    <n v="3410"/>
    <x v="7"/>
    <d v="2012-02-17T00:00:00"/>
    <m/>
    <n v="9321659136"/>
    <n v="10"/>
    <s v="GVCU5170970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858/000010"/>
    <n v="1370148195"/>
    <n v="10"/>
    <x v="31"/>
    <x v="31"/>
    <s v="A1"/>
    <n v="2100067830"/>
    <n v="200"/>
    <n v="115003418"/>
    <s v="A7798294 EASY CARE RED 5QT JUMBO COOKER           "/>
    <s v="S"/>
    <d v="2012-01-16T00:00:00"/>
    <m/>
    <s v="X"/>
    <x v="52"/>
    <n v="9.1412999999999993"/>
    <n v="10"/>
    <d v="2012-02-15T00:00:00"/>
    <d v="2012-01-04T00:00:00"/>
    <n v="5000"/>
    <d v="2012-01-04T00:00:00"/>
    <n v="5000"/>
    <m/>
    <d v="2012-01-06T00:00:00"/>
    <n v="5000"/>
    <d v="2012-02-17T00:00:00"/>
    <d v="2012-01-06T00:00:00"/>
    <n v="5000"/>
    <n v="1590"/>
    <x v="7"/>
    <d v="2012-02-17T00:00:00"/>
    <m/>
    <n v="9321659136"/>
    <n v="10"/>
    <s v="DVRU0530446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748/000010"/>
    <n v="1370148196"/>
    <n v="10"/>
    <x v="31"/>
    <x v="31"/>
    <s v="A1"/>
    <n v="2100064634"/>
    <n v="201"/>
    <n v="115002978"/>
    <s v="A8120874 SOFT HANDLES TNS BLACK 12&quot; FP (          "/>
    <s v="S"/>
    <d v="2012-01-16T00:00:00"/>
    <m/>
    <s v="X"/>
    <x v="52"/>
    <n v="6.6269"/>
    <n v="7"/>
    <d v="2012-02-15T00:00:00"/>
    <d v="2012-01-04T00:00:00"/>
    <n v="5889"/>
    <d v="2012-01-04T00:00:00"/>
    <n v="5889"/>
    <m/>
    <d v="2012-01-06T00:00:00"/>
    <n v="5889"/>
    <d v="2012-02-17T00:00:00"/>
    <d v="2012-01-06T00:00:00"/>
    <n v="5889"/>
    <n v="912"/>
    <x v="7"/>
    <d v="2012-02-17T00:00:00"/>
    <m/>
    <n v="9321659137"/>
    <n v="10"/>
    <s v="CMAU5330437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0748/000010"/>
    <n v="1370148196"/>
    <n v="10"/>
    <x v="31"/>
    <x v="31"/>
    <s v="A1"/>
    <n v="2100064634"/>
    <n v="201"/>
    <n v="115002978"/>
    <s v="A8120874 SOFT HANDLES TNS BLACK 12&quot; FP (          "/>
    <s v="S"/>
    <d v="2012-01-16T00:00:00"/>
    <m/>
    <s v="X"/>
    <x v="52"/>
    <n v="6.6269"/>
    <n v="7"/>
    <d v="2012-02-15T00:00:00"/>
    <d v="2012-01-04T00:00:00"/>
    <n v="5889"/>
    <d v="2012-01-04T00:00:00"/>
    <n v="5889"/>
    <m/>
    <d v="2012-01-06T00:00:00"/>
    <n v="5889"/>
    <d v="2012-02-17T00:00:00"/>
    <d v="2012-01-06T00:00:00"/>
    <n v="5889"/>
    <n v="4977"/>
    <x v="7"/>
    <d v="2012-02-17T00:00:00"/>
    <m/>
    <n v="9321659137"/>
    <n v="10"/>
    <s v="INKU6111507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54/000010"/>
    <n v="1370148239"/>
    <n v="10"/>
    <x v="31"/>
    <x v="31"/>
    <s v="A1"/>
    <n v="2100064647"/>
    <n v="201"/>
    <n v="115002985"/>
    <s v="C1190874 SIGNATURE BLACK TNS 12&quot; FP (W)           "/>
    <s v="S"/>
    <d v="2012-01-16T00:00:00"/>
    <m/>
    <s v="X"/>
    <x v="52"/>
    <n v="7.8432000000000004"/>
    <n v="8"/>
    <d v="2012-02-02T00:00:00"/>
    <d v="2011-12-22T00:00:00"/>
    <n v="2487"/>
    <d v="2012-01-06T00:00:00"/>
    <n v="2487"/>
    <m/>
    <d v="2011-12-25T00:00:00"/>
    <n v="2487"/>
    <d v="2012-02-17T00:00:00"/>
    <d v="2012-01-06T00:00:00"/>
    <n v="2487"/>
    <n v="2487"/>
    <x v="7"/>
    <d v="2012-02-17T00:00:00"/>
    <m/>
    <n v="9321659140"/>
    <n v="10"/>
    <s v="TGHU6314900"/>
    <s v="XIN CHANG JIANG A094"/>
    <m/>
    <s v="WUHAN"/>
    <s v="C-POST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59/000010"/>
    <n v="1370148280"/>
    <n v="10"/>
    <x v="31"/>
    <x v="31"/>
    <s v="A1"/>
    <n v="2100067827"/>
    <n v="200"/>
    <n v="115003442"/>
    <s v="A8090294 GRIP RIGHT TNS GREY 8&quot; SAUTE             "/>
    <s v="S"/>
    <d v="2012-01-16T00:00:00"/>
    <m/>
    <s v="X"/>
    <x v="52"/>
    <n v="3.899"/>
    <n v="4"/>
    <d v="2012-02-15T00:00:00"/>
    <d v="2012-01-04T00:00:00"/>
    <n v="5004"/>
    <d v="2012-01-04T00:00:00"/>
    <n v="5004"/>
    <m/>
    <d v="2012-01-06T00:00:00"/>
    <n v="5004"/>
    <d v="2012-02-17T00:00:00"/>
    <d v="2012-01-06T00:00:00"/>
    <n v="5004"/>
    <n v="5004"/>
    <x v="7"/>
    <d v="2012-02-17T00:00:00"/>
    <m/>
    <n v="9321659143"/>
    <n v="10"/>
    <s v="TGHU6314900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48/000010"/>
    <n v="1370148334"/>
    <n v="10"/>
    <x v="31"/>
    <x v="31"/>
    <s v="A1"/>
    <n v="2100064645"/>
    <n v="201"/>
    <n v="115002983"/>
    <s v="C1190274 SIGNATURE BLACK TNS 8&quot; FP (W)            "/>
    <s v="S"/>
    <d v="2012-01-16T00:00:00"/>
    <m/>
    <s v="X"/>
    <x v="52"/>
    <n v="4.9183000000000003"/>
    <n v="5"/>
    <d v="2012-01-30T00:00:00"/>
    <d v="2011-12-19T00:00:00"/>
    <n v="999"/>
    <d v="2012-01-06T00:00:00"/>
    <n v="1002"/>
    <m/>
    <d v="2011-12-23T00:00:00"/>
    <n v="1002"/>
    <d v="2012-02-17T00:00:00"/>
    <d v="2012-01-06T00:00:00"/>
    <n v="1002"/>
    <n v="1002"/>
    <x v="7"/>
    <d v="2012-02-17T00:00:00"/>
    <m/>
    <n v="9321659146"/>
    <n v="10"/>
    <s v="CMAU5330437"/>
    <s v="XIN CHANG JIANG A094"/>
    <m/>
    <s v="WUHAN"/>
    <s v="C-POST-CONF/C-PULLIN-CONF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72/000010"/>
    <n v="1370148359"/>
    <n v="10"/>
    <x v="31"/>
    <x v="31"/>
    <s v="A1"/>
    <n v="2100067835"/>
    <n v="200"/>
    <n v="115003419"/>
    <s v="A8090594 GRIP RIGHT TNS GRAY 10&quot; SAUTE            "/>
    <s v="S"/>
    <d v="2012-01-16T00:00:00"/>
    <m/>
    <s v="X"/>
    <x v="52"/>
    <n v="4.9610000000000003"/>
    <n v="5"/>
    <d v="2012-02-15T00:00:00"/>
    <d v="2012-01-04T00:00:00"/>
    <n v="8502"/>
    <d v="2012-01-04T00:00:00"/>
    <n v="8502"/>
    <m/>
    <d v="2012-01-06T00:00:00"/>
    <n v="8502"/>
    <d v="2012-02-17T00:00:00"/>
    <d v="2012-01-06T00:00:00"/>
    <n v="8502"/>
    <n v="582"/>
    <x v="7"/>
    <d v="2012-02-17T00:00:00"/>
    <m/>
    <n v="9321659147"/>
    <n v="10"/>
    <s v="CMAU8331709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072/000010"/>
    <n v="1370148359"/>
    <n v="10"/>
    <x v="31"/>
    <x v="31"/>
    <s v="A1"/>
    <n v="2100067835"/>
    <n v="200"/>
    <n v="115003419"/>
    <s v="A8090594 GRIP RIGHT TNS GRAY 10&quot; SAUTE            "/>
    <s v="S"/>
    <d v="2012-01-16T00:00:00"/>
    <m/>
    <s v="X"/>
    <x v="52"/>
    <n v="4.9610000000000003"/>
    <n v="5"/>
    <d v="2012-02-15T00:00:00"/>
    <d v="2012-01-04T00:00:00"/>
    <n v="8502"/>
    <d v="2012-01-04T00:00:00"/>
    <n v="8502"/>
    <m/>
    <d v="2012-01-06T00:00:00"/>
    <n v="8502"/>
    <d v="2012-02-17T00:00:00"/>
    <d v="2012-01-06T00:00:00"/>
    <n v="8502"/>
    <n v="7920"/>
    <x v="7"/>
    <d v="2012-02-17T00:00:00"/>
    <m/>
    <n v="9321659147"/>
    <n v="10"/>
    <s v="ECMU4438760"/>
    <s v="XIN CHANG JIANG A094"/>
    <m/>
    <s v="WUHAN"/>
    <m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5/000010"/>
    <n v="1370148362"/>
    <n v="10"/>
    <x v="31"/>
    <x v="31"/>
    <s v="A1"/>
    <n v="2100067834"/>
    <n v="200"/>
    <n v="115003443"/>
    <s v="A8098294 GRIP RIGHT TNS GRAY 12&quot;JUMBO CO          "/>
    <s v="S"/>
    <d v="2012-01-16T00:00:00"/>
    <m/>
    <s v="X"/>
    <x v="52"/>
    <n v="9.7478999999999996"/>
    <n v="10"/>
    <d v="2012-01-30T00:00:00"/>
    <d v="2011-12-19T00:00:00"/>
    <n v="6730"/>
    <d v="2012-01-06T00:00:00"/>
    <n v="6730"/>
    <m/>
    <d v="2011-12-23T00:00:00"/>
    <n v="6730"/>
    <d v="2012-02-14T00:00:00"/>
    <d v="2012-01-03T00:00:00"/>
    <n v="6730"/>
    <n v="3200"/>
    <x v="7"/>
    <d v="2012-02-17T00:00:00"/>
    <m/>
    <n v="9321659148"/>
    <n v="10"/>
    <s v="ECMU9812825"/>
    <s v="XIN CHANG JIANG A094"/>
    <m/>
    <s v="WUHAN"/>
    <s v="C-POST-CONF/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5/000010"/>
    <n v="1370148362"/>
    <n v="10"/>
    <x v="31"/>
    <x v="31"/>
    <s v="A1"/>
    <n v="2100067834"/>
    <n v="200"/>
    <n v="115003443"/>
    <s v="A8098294 GRIP RIGHT TNS GRAY 12&quot;JUMBO CO          "/>
    <s v="S"/>
    <d v="2012-01-16T00:00:00"/>
    <m/>
    <s v="X"/>
    <x v="52"/>
    <n v="9.7478999999999996"/>
    <n v="10"/>
    <d v="2012-01-30T00:00:00"/>
    <d v="2011-12-19T00:00:00"/>
    <n v="6730"/>
    <d v="2012-01-06T00:00:00"/>
    <n v="6730"/>
    <m/>
    <d v="2011-12-23T00:00:00"/>
    <n v="6730"/>
    <d v="2012-02-14T00:00:00"/>
    <d v="2012-01-03T00:00:00"/>
    <n v="6730"/>
    <n v="3170"/>
    <x v="7"/>
    <d v="2012-02-17T00:00:00"/>
    <m/>
    <n v="9321659148"/>
    <n v="10"/>
    <s v="CATU4901297"/>
    <s v="XIN CHANG JIANG A094"/>
    <m/>
    <s v="WUHAN"/>
    <s v="C-POST-CONF/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265/000010"/>
    <n v="1370148362"/>
    <n v="10"/>
    <x v="31"/>
    <x v="31"/>
    <s v="A1"/>
    <n v="2100067834"/>
    <n v="200"/>
    <n v="115003443"/>
    <s v="A8098294 GRIP RIGHT TNS GRAY 12&quot;JUMBO CO          "/>
    <s v="S"/>
    <d v="2012-01-18T00:00:00"/>
    <m/>
    <s v="X"/>
    <x v="52"/>
    <n v="9.7478999999999996"/>
    <n v="10"/>
    <d v="2012-01-30T00:00:00"/>
    <d v="2011-12-19T00:00:00"/>
    <n v="6730"/>
    <d v="2012-01-06T00:00:00"/>
    <n v="6730"/>
    <m/>
    <d v="2011-12-23T00:00:00"/>
    <n v="6730"/>
    <d v="2012-02-14T00:00:00"/>
    <d v="2012-01-03T00:00:00"/>
    <n v="6730"/>
    <n v="360"/>
    <x v="7"/>
    <d v="2012-02-17T00:00:00"/>
    <m/>
    <n v="9321659148"/>
    <n v="10"/>
    <s v="ECMU4664094"/>
    <s v="XIN CHANG JIANG A094"/>
    <m/>
    <s v="WUHAN"/>
    <s v="C-POST-CONF/LATE EDI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3"/>
    <s v="C-POST-CONF"/>
    <n v="-3"/>
    <n v="-3"/>
    <x v="0"/>
    <n v="2"/>
    <x v="0"/>
    <x v="0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959/000010"/>
    <n v="1370148369"/>
    <n v="10"/>
    <x v="31"/>
    <x v="31"/>
    <s v="A1"/>
    <n v="2100064649"/>
    <n v="201"/>
    <n v="116000909"/>
    <s v="C119SC74 SIGNATURE BLK TNS 12P SET TS SO          "/>
    <s v="S"/>
    <d v="2012-01-16T00:00:00"/>
    <m/>
    <s v="X"/>
    <x v="52"/>
    <n v="40.091000000000001"/>
    <n v="42"/>
    <d v="2012-02-02T00:00:00"/>
    <d v="2011-12-22T00:00:00"/>
    <n v="2000"/>
    <d v="2012-01-06T00:00:00"/>
    <n v="2000"/>
    <m/>
    <d v="2012-01-06T00:00:00"/>
    <n v="2000"/>
    <d v="2012-02-17T00:00:00"/>
    <d v="2012-01-06T00:00:00"/>
    <n v="2000"/>
    <n v="876"/>
    <x v="7"/>
    <d v="2012-02-17T00:00:00"/>
    <m/>
    <n v="9321659150"/>
    <n v="10"/>
    <s v="CMAU8330889"/>
    <s v="XIN CHANG JIANG A094"/>
    <m/>
    <s v="WUHAN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959/000010"/>
    <n v="1370148369"/>
    <n v="10"/>
    <x v="31"/>
    <x v="31"/>
    <s v="A1"/>
    <n v="2100064649"/>
    <n v="201"/>
    <n v="116000909"/>
    <s v="C119SC74 SIGNATURE BLK TNS 12P SET TS SO          "/>
    <s v="S"/>
    <d v="2012-01-16T00:00:00"/>
    <m/>
    <s v="X"/>
    <x v="52"/>
    <n v="40.091000000000001"/>
    <n v="42"/>
    <d v="2012-02-02T00:00:00"/>
    <d v="2011-12-22T00:00:00"/>
    <n v="2000"/>
    <d v="2012-01-06T00:00:00"/>
    <n v="2000"/>
    <m/>
    <d v="2012-01-06T00:00:00"/>
    <n v="2000"/>
    <d v="2012-02-17T00:00:00"/>
    <d v="2012-01-06T00:00:00"/>
    <n v="2000"/>
    <n v="338"/>
    <x v="7"/>
    <d v="2012-02-17T00:00:00"/>
    <m/>
    <n v="9321659150"/>
    <n v="10"/>
    <s v="DVRU0530446"/>
    <s v="XIN CHANG JIANG A094"/>
    <m/>
    <s v="WUHAN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959/000010"/>
    <n v="1370148369"/>
    <n v="10"/>
    <x v="31"/>
    <x v="31"/>
    <s v="A1"/>
    <n v="2100064649"/>
    <n v="201"/>
    <n v="116000909"/>
    <s v="C119SC74 SIGNATURE BLK TNS 12P SET TS SO          "/>
    <s v="S"/>
    <d v="2012-01-16T00:00:00"/>
    <m/>
    <s v="X"/>
    <x v="52"/>
    <n v="40.091000000000001"/>
    <n v="42"/>
    <d v="2012-02-02T00:00:00"/>
    <d v="2011-12-22T00:00:00"/>
    <n v="2000"/>
    <d v="2012-01-06T00:00:00"/>
    <n v="2000"/>
    <m/>
    <d v="2012-01-06T00:00:00"/>
    <n v="2000"/>
    <d v="2012-02-17T00:00:00"/>
    <d v="2012-01-06T00:00:00"/>
    <n v="2000"/>
    <n v="786"/>
    <x v="7"/>
    <d v="2012-02-17T00:00:00"/>
    <m/>
    <n v="9321659150"/>
    <n v="10"/>
    <s v="CMAU8331709"/>
    <s v="XIN CHANG JIANG A094"/>
    <m/>
    <s v="WUHAN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088/000010"/>
    <n v="1370148134"/>
    <n v="10"/>
    <x v="76"/>
    <x v="76"/>
    <s v="A1"/>
    <n v="2100064932"/>
    <n v="200"/>
    <n v="115003146"/>
    <s v="C1163374 STP26(3.5QT)LID WEAR REAL EASY           "/>
    <s v="S"/>
    <d v="2012-01-06T00:00:00"/>
    <m/>
    <s v="X"/>
    <x v="52"/>
    <n v="7.4151999999999996"/>
    <n v="7773"/>
    <d v="2012-02-06T00:00:00"/>
    <d v="2012-01-02T00:00:00"/>
    <n v="2500"/>
    <d v="2012-01-08T00:00:00"/>
    <n v="2500"/>
    <m/>
    <d v="2012-01-08T00:00:00"/>
    <n v="2500"/>
    <d v="2012-02-12T00:00:00"/>
    <d v="2012-01-08T00:00:00"/>
    <n v="2500"/>
    <n v="2500"/>
    <x v="23"/>
    <d v="2012-02-12T00:00:00"/>
    <m/>
    <n v="9321659154"/>
    <n v="10"/>
    <s v="ECMU9818079"/>
    <s v="SIMA SAMAN"/>
    <m/>
    <s v="HO CHI MINH CITY"/>
    <s v="C-CLX-NEG(DEC 07 / STILL WAITING BU CONFIRMATION )"/>
    <m/>
    <s v="TWEETY LEU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1192/000010"/>
    <n v="1370148163"/>
    <n v="10"/>
    <x v="76"/>
    <x v="76"/>
    <s v="A1"/>
    <n v="2100060749"/>
    <n v="200"/>
    <s v="C1168274       "/>
    <s v="C1168274 REAL EASY NS BLACK 5QT JUMBO CO          "/>
    <s v="S"/>
    <d v="2012-01-03T00:00:00"/>
    <m/>
    <s v="X"/>
    <x v="52"/>
    <n v="10.0543"/>
    <n v="10540"/>
    <d v="2012-02-22T00:00:00"/>
    <d v="2012-01-18T00:00:00"/>
    <n v="3000"/>
    <d v="2012-01-01T00:00:00"/>
    <n v="3000"/>
    <m/>
    <d v="2012-01-01T00:00:00"/>
    <n v="3000"/>
    <d v="2012-02-05T00:00:00"/>
    <d v="2012-01-01T00:00:00"/>
    <n v="3000"/>
    <n v="1100"/>
    <x v="13"/>
    <d v="2012-02-05T00:00:00"/>
    <m/>
    <n v="9321659157"/>
    <n v="10"/>
    <s v="GLDU7192842"/>
    <s v="SIMA SAMAN"/>
    <m/>
    <s v="HO CHI MINH CITY"/>
    <s v="SP-HOLIDAY/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192/000010"/>
    <n v="1370148163"/>
    <n v="10"/>
    <x v="76"/>
    <x v="76"/>
    <s v="A1"/>
    <n v="2100060749"/>
    <n v="200"/>
    <s v="C1168274       "/>
    <s v="C1168274 REAL EASY NS BLACK 5QT JUMBO CO          "/>
    <s v="S"/>
    <d v="2012-01-03T00:00:00"/>
    <m/>
    <s v="X"/>
    <x v="52"/>
    <n v="10.0543"/>
    <n v="10540"/>
    <d v="2012-02-22T00:00:00"/>
    <d v="2012-01-18T00:00:00"/>
    <n v="3000"/>
    <d v="2012-01-01T00:00:00"/>
    <n v="3000"/>
    <m/>
    <d v="2012-01-01T00:00:00"/>
    <n v="3000"/>
    <d v="2012-02-05T00:00:00"/>
    <d v="2012-01-01T00:00:00"/>
    <n v="3000"/>
    <n v="1900"/>
    <x v="13"/>
    <d v="2012-02-05T00:00:00"/>
    <m/>
    <n v="9321659157"/>
    <n v="10"/>
    <s v="CAIU8278495"/>
    <s v="SIMA SAMAN"/>
    <m/>
    <s v="HO CHI MINH CITY"/>
    <s v="SP-HOLIDAY/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191/000010"/>
    <n v="1370148193"/>
    <n v="10"/>
    <x v="76"/>
    <x v="76"/>
    <s v="A1"/>
    <n v="2100060749"/>
    <n v="200"/>
    <s v="C1168274       "/>
    <s v="C1168274 REAL EASY NS BLACK 5QT JUMBO CO          "/>
    <s v="S"/>
    <d v="2012-01-03T00:00:00"/>
    <m/>
    <s v="X"/>
    <x v="52"/>
    <n v="10.0543"/>
    <n v="10540"/>
    <d v="2012-02-15T00:00:00"/>
    <d v="2012-01-11T00:00:00"/>
    <n v="5180"/>
    <d v="2012-01-01T00:00:00"/>
    <n v="5180"/>
    <m/>
    <d v="2012-01-01T00:00:00"/>
    <n v="5180"/>
    <d v="2012-02-05T00:00:00"/>
    <d v="2012-01-01T00:00:00"/>
    <n v="5180"/>
    <n v="1700"/>
    <x v="13"/>
    <d v="2012-02-05T00:00:00"/>
    <m/>
    <n v="9321659158"/>
    <n v="10"/>
    <s v="TGHU9489055"/>
    <s v="SIMA SAMAN"/>
    <m/>
    <s v="HO CHI MINH CITY"/>
    <s v="SP-HOLIDAY/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191/000010"/>
    <n v="1370148193"/>
    <n v="10"/>
    <x v="76"/>
    <x v="76"/>
    <s v="A1"/>
    <n v="2100060749"/>
    <n v="200"/>
    <s v="C1168274       "/>
    <s v="C1168274 REAL EASY NS BLACK 5QT JUMBO CO          "/>
    <s v="S"/>
    <d v="2012-01-03T00:00:00"/>
    <m/>
    <s v="X"/>
    <x v="52"/>
    <n v="10.0543"/>
    <n v="10540"/>
    <d v="2012-02-15T00:00:00"/>
    <d v="2012-01-11T00:00:00"/>
    <n v="5180"/>
    <d v="2012-01-01T00:00:00"/>
    <n v="5180"/>
    <m/>
    <d v="2012-01-01T00:00:00"/>
    <n v="5180"/>
    <d v="2012-02-05T00:00:00"/>
    <d v="2012-01-01T00:00:00"/>
    <n v="5180"/>
    <n v="1680"/>
    <x v="13"/>
    <d v="2012-02-05T00:00:00"/>
    <m/>
    <n v="9321659158"/>
    <n v="10"/>
    <s v="ECMU9086070"/>
    <s v="SIMA SAMAN"/>
    <m/>
    <s v="HO CHI MINH CITY"/>
    <s v="SP-HOLIDAY/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191/000010"/>
    <n v="1370148193"/>
    <n v="10"/>
    <x v="76"/>
    <x v="76"/>
    <s v="A1"/>
    <n v="2100060749"/>
    <n v="200"/>
    <s v="C1168274       "/>
    <s v="C1168274 REAL EASY NS BLACK 5QT JUMBO CO          "/>
    <s v="S"/>
    <d v="2012-01-03T00:00:00"/>
    <m/>
    <s v="X"/>
    <x v="52"/>
    <n v="10.0543"/>
    <n v="10540"/>
    <d v="2012-02-15T00:00:00"/>
    <d v="2012-01-11T00:00:00"/>
    <n v="5180"/>
    <d v="2012-01-01T00:00:00"/>
    <n v="5180"/>
    <m/>
    <d v="2012-01-01T00:00:00"/>
    <n v="5180"/>
    <d v="2012-02-05T00:00:00"/>
    <d v="2012-01-01T00:00:00"/>
    <n v="5180"/>
    <n v="1800"/>
    <x v="13"/>
    <d v="2012-02-05T00:00:00"/>
    <m/>
    <n v="9321659158"/>
    <n v="10"/>
    <s v="CMAU5813076"/>
    <s v="SIMA SAMAN"/>
    <m/>
    <s v="HO CHI MINH CITY"/>
    <s v="SP-HOLIDAY/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190/000010"/>
    <n v="1370148194"/>
    <n v="10"/>
    <x v="76"/>
    <x v="76"/>
    <s v="A1"/>
    <n v="2100060749"/>
    <n v="200"/>
    <s v="C1168274       "/>
    <s v="C1168274 REAL EASY NS BLACK 5QT JUMBO CO          "/>
    <s v="S"/>
    <d v="2012-01-13T00:00:00"/>
    <m/>
    <s v="X"/>
    <x v="52"/>
    <n v="10.0543"/>
    <n v="11"/>
    <d v="2012-01-31T00:00:00"/>
    <d v="2011-12-27T00:00:00"/>
    <n v="6000"/>
    <d v="2012-01-15T00:00:00"/>
    <n v="6000"/>
    <m/>
    <d v="2011-12-11T00:00:00"/>
    <n v="6000"/>
    <d v="2012-02-19T00:00:00"/>
    <d v="2012-01-15T00:00:00"/>
    <n v="6000"/>
    <n v="1900"/>
    <x v="11"/>
    <d v="2012-02-19T00:00:00"/>
    <m/>
    <n v="9321659159"/>
    <n v="10"/>
    <s v="TRLU6622483"/>
    <s v="SIMA SAMAN"/>
    <m/>
    <s v="HO CHI MINH CITY"/>
    <s v="C-POST-CONF/SP-BOTTLENECK/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6"/>
    <s v="C-POST-CONF"/>
    <n v="1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190/000010"/>
    <n v="1370148194"/>
    <n v="10"/>
    <x v="76"/>
    <x v="76"/>
    <s v="A1"/>
    <n v="2100060749"/>
    <n v="200"/>
    <s v="C1168274       "/>
    <s v="C1168274 REAL EASY NS BLACK 5QT JUMBO CO          "/>
    <s v="S"/>
    <d v="2012-01-13T00:00:00"/>
    <m/>
    <s v="X"/>
    <x v="52"/>
    <n v="10.0543"/>
    <n v="11"/>
    <d v="2012-01-31T00:00:00"/>
    <d v="2011-12-27T00:00:00"/>
    <n v="6000"/>
    <d v="2012-01-15T00:00:00"/>
    <n v="6000"/>
    <m/>
    <d v="2011-12-11T00:00:00"/>
    <n v="6000"/>
    <d v="2012-02-19T00:00:00"/>
    <d v="2012-01-15T00:00:00"/>
    <n v="6000"/>
    <n v="1900"/>
    <x v="11"/>
    <d v="2012-02-19T00:00:00"/>
    <m/>
    <n v="9321659159"/>
    <n v="10"/>
    <s v="ECMU9253964"/>
    <s v="SIMA SAMAN"/>
    <m/>
    <s v="HO CHI MINH CITY"/>
    <s v="C-POST-CONF/SP-BOTTLENECK/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6"/>
    <s v="C-POST-CONF"/>
    <n v="1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190/000010"/>
    <n v="1370148194"/>
    <n v="10"/>
    <x v="76"/>
    <x v="76"/>
    <s v="A1"/>
    <n v="2100060749"/>
    <n v="200"/>
    <s v="C1168274       "/>
    <s v="C1168274 REAL EASY NS BLACK 5QT JUMBO CO          "/>
    <s v="S"/>
    <d v="2012-01-13T00:00:00"/>
    <m/>
    <s v="X"/>
    <x v="52"/>
    <n v="10.0543"/>
    <n v="11"/>
    <d v="2012-01-31T00:00:00"/>
    <d v="2011-12-27T00:00:00"/>
    <n v="6000"/>
    <d v="2012-01-15T00:00:00"/>
    <n v="6000"/>
    <m/>
    <d v="2011-12-11T00:00:00"/>
    <n v="6000"/>
    <d v="2012-02-19T00:00:00"/>
    <d v="2012-01-15T00:00:00"/>
    <n v="6000"/>
    <n v="300"/>
    <x v="11"/>
    <d v="2012-02-19T00:00:00"/>
    <m/>
    <n v="9321659159"/>
    <n v="10"/>
    <s v="CMAU1833109"/>
    <s v="SIMA SAMAN"/>
    <m/>
    <s v="HO CHI MINH CITY"/>
    <s v="C-POST-CONF/SP-BOTTLENECK/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6"/>
    <s v="C-POST-CONF"/>
    <n v="1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1190/000010"/>
    <n v="1370148194"/>
    <n v="10"/>
    <x v="76"/>
    <x v="76"/>
    <s v="A1"/>
    <n v="2100060749"/>
    <n v="200"/>
    <s v="C1168274       "/>
    <s v="C1168274 REAL EASY NS BLACK 5QT JUMBO CO          "/>
    <s v="S"/>
    <d v="2012-01-13T00:00:00"/>
    <m/>
    <s v="X"/>
    <x v="52"/>
    <n v="10.0543"/>
    <n v="11"/>
    <d v="2012-01-31T00:00:00"/>
    <d v="2011-12-27T00:00:00"/>
    <n v="6000"/>
    <d v="2012-01-15T00:00:00"/>
    <n v="6000"/>
    <m/>
    <d v="2011-12-11T00:00:00"/>
    <n v="6000"/>
    <d v="2012-02-19T00:00:00"/>
    <d v="2012-01-15T00:00:00"/>
    <n v="6000"/>
    <n v="1900"/>
    <x v="11"/>
    <d v="2012-02-19T00:00:00"/>
    <m/>
    <n v="9321659159"/>
    <n v="10"/>
    <s v="ECMU9460792"/>
    <s v="SIMA SAMAN"/>
    <m/>
    <s v="HO CHI MINH CITY"/>
    <s v="C-POST-CONF/SP-BOTTLENECK/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6"/>
    <s v="C-POST-CONF"/>
    <n v="1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819/000010"/>
    <n v="1370148208"/>
    <n v="10"/>
    <x v="76"/>
    <x v="76"/>
    <s v="A1"/>
    <n v="2100064617"/>
    <n v="201"/>
    <n v="116000925"/>
    <s v="A799SA74 BANQUET BLUE TNS 10PC SET (V)            "/>
    <s v="S"/>
    <d v="2012-01-03T00:00:00"/>
    <m/>
    <s v="X"/>
    <x v="52"/>
    <n v="33.410699999999999"/>
    <n v="35025"/>
    <d v="2012-01-30T00:00:00"/>
    <d v="2011-12-26T00:00:00"/>
    <n v="2500"/>
    <d v="2011-12-26T00:00:00"/>
    <n v="2500"/>
    <m/>
    <d v="2012-01-01T00:00:00"/>
    <n v="2500"/>
    <d v="2012-02-05T00:00:00"/>
    <d v="2012-01-01T00:00:00"/>
    <n v="2500"/>
    <n v="1250"/>
    <x v="13"/>
    <d v="2012-02-05T00:00:00"/>
    <m/>
    <n v="9321659162"/>
    <n v="10"/>
    <s v="CMAU5535524"/>
    <s v="SIMA SAMAN"/>
    <m/>
    <s v="HO CHI MINH CITY"/>
    <m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819/000010"/>
    <n v="1370148208"/>
    <n v="10"/>
    <x v="76"/>
    <x v="76"/>
    <s v="A1"/>
    <n v="2100064617"/>
    <n v="201"/>
    <n v="116000925"/>
    <s v="A799SA74 BANQUET BLUE TNS 10PC SET (V)            "/>
    <s v="S"/>
    <d v="2012-01-03T00:00:00"/>
    <m/>
    <s v="X"/>
    <x v="52"/>
    <n v="33.410699999999999"/>
    <n v="35025"/>
    <d v="2012-01-30T00:00:00"/>
    <d v="2011-12-26T00:00:00"/>
    <n v="2500"/>
    <d v="2011-12-26T00:00:00"/>
    <n v="2500"/>
    <m/>
    <d v="2012-01-01T00:00:00"/>
    <n v="2500"/>
    <d v="2012-02-05T00:00:00"/>
    <d v="2012-01-01T00:00:00"/>
    <n v="2500"/>
    <n v="1250"/>
    <x v="13"/>
    <d v="2012-02-05T00:00:00"/>
    <m/>
    <n v="9321659162"/>
    <n v="10"/>
    <s v="TGHU9526462"/>
    <s v="SIMA SAMAN"/>
    <m/>
    <s v="HO CHI MINH CITY"/>
    <m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808/000010"/>
    <n v="1370148212"/>
    <n v="10"/>
    <x v="76"/>
    <x v="76"/>
    <s v="A1"/>
    <n v="2100061243"/>
    <n v="201"/>
    <s v="A8000564       "/>
    <s v="A8000564 BANQUET TNS GREY FP 10.25&quot;               "/>
    <s v="S"/>
    <d v="2012-01-03T00:00:00"/>
    <m/>
    <s v="X"/>
    <x v="52"/>
    <n v="4.8738999999999999"/>
    <n v="5109"/>
    <d v="2012-02-15T00:00:00"/>
    <d v="2012-01-11T00:00:00"/>
    <n v="1800"/>
    <d v="2012-01-01T00:00:00"/>
    <n v="1800"/>
    <m/>
    <d v="2012-01-01T00:00:00"/>
    <n v="1800"/>
    <d v="2012-02-05T00:00:00"/>
    <d v="2012-01-01T00:00:00"/>
    <n v="1800"/>
    <n v="1800"/>
    <x v="13"/>
    <d v="2012-02-05T00:00:00"/>
    <m/>
    <n v="9321659166"/>
    <n v="10"/>
    <s v="TRLU7532996"/>
    <s v="SIMA SAMAN"/>
    <m/>
    <s v="HO CHI MINH CITY"/>
    <s v="SP-HOLIDAY/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806/000010"/>
    <n v="1370148214"/>
    <n v="10"/>
    <x v="76"/>
    <x v="76"/>
    <s v="A1"/>
    <n v="2100056958"/>
    <n v="201"/>
    <s v="A8520544       "/>
    <s v="A8520544 CONTINUITY TNS GREY FP 10.25IN           "/>
    <s v="S"/>
    <d v="2012-01-03T00:00:00"/>
    <m/>
    <s v="X"/>
    <x v="52"/>
    <n v="5.3727999999999998"/>
    <n v="5632"/>
    <d v="2012-02-15T00:00:00"/>
    <d v="2012-01-11T00:00:00"/>
    <n v="1998"/>
    <d v="2012-01-01T00:00:00"/>
    <n v="1998"/>
    <m/>
    <d v="2012-01-01T00:00:00"/>
    <n v="1998"/>
    <d v="2012-02-05T00:00:00"/>
    <d v="2012-01-01T00:00:00"/>
    <n v="1998"/>
    <n v="1998"/>
    <x v="13"/>
    <d v="2012-02-05T00:00:00"/>
    <m/>
    <n v="9321659168"/>
    <n v="10"/>
    <s v="TRLU7532996"/>
    <s v="SIMA SAMAN"/>
    <m/>
    <s v="HO CHI MINH CITY"/>
    <s v="SP-HOLIDAY/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800/000010"/>
    <n v="1370148215"/>
    <n v="10"/>
    <x v="76"/>
    <x v="76"/>
    <s v="A1"/>
    <n v="2100056954"/>
    <n v="201"/>
    <s v="A8520244       "/>
    <s v="A8520244 CONTINUITY TNS GREY FP 8&quot; (V)            "/>
    <s v="S"/>
    <d v="2012-01-03T00:00:00"/>
    <m/>
    <s v="X"/>
    <x v="52"/>
    <n v="3.7502"/>
    <n v="3931"/>
    <d v="2012-02-15T00:00:00"/>
    <d v="2012-01-11T00:00:00"/>
    <n v="1002"/>
    <d v="2012-01-01T00:00:00"/>
    <n v="1002"/>
    <m/>
    <d v="2012-01-01T00:00:00"/>
    <n v="1002"/>
    <d v="2012-02-05T00:00:00"/>
    <d v="2012-01-01T00:00:00"/>
    <n v="1002"/>
    <n v="1002"/>
    <x v="13"/>
    <d v="2012-02-05T00:00:00"/>
    <m/>
    <n v="9321659169"/>
    <n v="10"/>
    <s v="ECMU9086070"/>
    <s v="SIMA SAMAN"/>
    <m/>
    <s v="HO CHI MINH CITY"/>
    <s v="SP-HOLIDAY/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882/000010"/>
    <n v="1370148251"/>
    <n v="10"/>
    <x v="76"/>
    <x v="76"/>
    <s v="A1"/>
    <n v="2100055867"/>
    <n v="201"/>
    <s v="A8570084       "/>
    <s v="A8570084 ONE EGG WONDER 12CM FP                   "/>
    <s v="S"/>
    <d v="2012-01-06T00:00:00"/>
    <m/>
    <s v="X"/>
    <x v="52"/>
    <n v="2.0558000000000001"/>
    <n v="2155"/>
    <d v="2012-02-20T00:00:00"/>
    <d v="2012-01-16T00:00:00"/>
    <n v="19998"/>
    <d v="2012-01-08T00:00:00"/>
    <n v="19998"/>
    <m/>
    <d v="2012-01-01T00:00:00"/>
    <n v="19998"/>
    <d v="2012-02-12T00:00:00"/>
    <d v="2012-01-08T00:00:00"/>
    <n v="19998"/>
    <n v="4998"/>
    <x v="23"/>
    <d v="2012-02-12T00:00:00"/>
    <m/>
    <n v="9321659174"/>
    <n v="10"/>
    <s v="ECMU9729006"/>
    <s v="SIMA SAMAN"/>
    <m/>
    <s v="HO CHI MINH CITY"/>
    <s v="C-POST-CONF/SP-HOLIDAY/"/>
    <m/>
    <s v="TWEETY LEU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3"/>
    <s v="C-POST-CONF"/>
    <n v="-3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882/000010"/>
    <n v="1370148251"/>
    <n v="10"/>
    <x v="76"/>
    <x v="76"/>
    <s v="A1"/>
    <n v="2100055867"/>
    <n v="201"/>
    <s v="A8570084       "/>
    <s v="A8570084 ONE EGG WONDER 12CM FP                   "/>
    <s v="S"/>
    <d v="2012-01-06T00:00:00"/>
    <m/>
    <s v="X"/>
    <x v="52"/>
    <n v="2.0558000000000001"/>
    <n v="2155"/>
    <d v="2012-02-20T00:00:00"/>
    <d v="2012-01-16T00:00:00"/>
    <n v="19998"/>
    <d v="2012-01-08T00:00:00"/>
    <n v="19998"/>
    <m/>
    <d v="2012-01-01T00:00:00"/>
    <n v="19998"/>
    <d v="2012-02-12T00:00:00"/>
    <d v="2012-01-08T00:00:00"/>
    <n v="19998"/>
    <n v="15000"/>
    <x v="23"/>
    <d v="2012-02-12T00:00:00"/>
    <m/>
    <n v="9321659174"/>
    <n v="10"/>
    <s v="CMAU1018884"/>
    <s v="SIMA SAMAN"/>
    <m/>
    <s v="HO CHI MINH CITY"/>
    <s v="C-POST-CONF/SP-HOLIDAY/"/>
    <m/>
    <s v="TWEETY LEU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3"/>
    <s v="C-POST-CONF"/>
    <n v="-3"/>
    <n v="-3"/>
    <x v="0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821/000010"/>
    <n v="1370148274"/>
    <n v="10"/>
    <x v="76"/>
    <x v="76"/>
    <s v="A1"/>
    <n v="2100064617"/>
    <n v="201"/>
    <n v="116000925"/>
    <s v="A799SA74 BANQUET BLUE TNS 10PC SET (V)            "/>
    <s v="S"/>
    <d v="2012-01-06T00:00:00"/>
    <m/>
    <s v="X"/>
    <x v="52"/>
    <n v="33.410699999999999"/>
    <n v="35025"/>
    <d v="2012-02-10T00:00:00"/>
    <d v="2012-01-06T00:00:00"/>
    <n v="1000"/>
    <d v="2012-01-08T00:00:00"/>
    <n v="1000"/>
    <m/>
    <d v="2012-01-01T00:00:00"/>
    <n v="1000"/>
    <d v="2012-02-12T00:00:00"/>
    <d v="2012-01-08T00:00:00"/>
    <n v="1000"/>
    <n v="1000"/>
    <x v="23"/>
    <d v="2012-02-12T00:00:00"/>
    <m/>
    <n v="9321659175"/>
    <n v="10"/>
    <s v="ECMU9729006"/>
    <s v="SIMA SAMAN"/>
    <m/>
    <s v="HO CHI MINH CITY"/>
    <s v="C-POST-CONF/"/>
    <m/>
    <s v="TWEETY LEU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2881/000010"/>
    <n v="1370148306"/>
    <n v="10"/>
    <x v="76"/>
    <x v="76"/>
    <s v="A1"/>
    <n v="2100055867"/>
    <n v="201"/>
    <s v="A8570084       "/>
    <s v="A8570084 ONE EGG WONDER 12CM FP                   "/>
    <s v="S"/>
    <d v="2012-01-03T00:00:00"/>
    <m/>
    <s v="X"/>
    <x v="52"/>
    <n v="2.0558000000000001"/>
    <n v="2155"/>
    <d v="2012-02-15T00:00:00"/>
    <d v="2012-01-11T00:00:00"/>
    <n v="19998"/>
    <d v="2012-01-08T00:00:00"/>
    <n v="19998"/>
    <m/>
    <d v="2012-01-01T00:00:00"/>
    <n v="19998"/>
    <d v="2012-02-12T00:00:00"/>
    <d v="2012-01-08T00:00:00"/>
    <n v="19998"/>
    <n v="19998"/>
    <x v="13"/>
    <d v="2012-02-05T00:00:00"/>
    <m/>
    <n v="9321659179"/>
    <n v="10"/>
    <s v="CMAU1075689"/>
    <s v="SIMA SAMAN"/>
    <m/>
    <s v="HO CHI MINH CITY"/>
    <s v="SP-HOLIDAY/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069/000010"/>
    <n v="1370148331"/>
    <n v="10"/>
    <x v="76"/>
    <x v="76"/>
    <s v="A1"/>
    <n v="2100060751"/>
    <n v="200"/>
    <s v="C1160774       "/>
    <s v="C1160774 REAL EASY NS BLACK 12&quot; SKILLET           "/>
    <s v="S"/>
    <d v="2012-01-03T00:00:00"/>
    <m/>
    <s v="X"/>
    <x v="52"/>
    <n v="6.6261999999999999"/>
    <n v="6946"/>
    <d v="2012-02-15T00:00:00"/>
    <d v="2012-01-11T00:00:00"/>
    <n v="5900"/>
    <d v="2012-01-01T00:00:00"/>
    <n v="5900"/>
    <m/>
    <d v="2012-01-01T00:00:00"/>
    <n v="5900"/>
    <d v="2012-02-05T00:00:00"/>
    <d v="2012-01-01T00:00:00"/>
    <n v="5900"/>
    <n v="1200"/>
    <x v="13"/>
    <d v="2012-02-05T00:00:00"/>
    <m/>
    <n v="9321659181"/>
    <n v="10"/>
    <s v="GLDU7192842"/>
    <s v="SIMA SAMAN"/>
    <m/>
    <s v="HO CHI MINH CITY"/>
    <s v="SP-HOLIDAY/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069/000010"/>
    <n v="1370148331"/>
    <n v="10"/>
    <x v="76"/>
    <x v="76"/>
    <s v="A1"/>
    <n v="2100060751"/>
    <n v="200"/>
    <s v="C1160774       "/>
    <s v="C1160774 REAL EASY NS BLACK 12&quot; SKILLET           "/>
    <s v="S"/>
    <d v="2012-01-03T00:00:00"/>
    <m/>
    <s v="X"/>
    <x v="52"/>
    <n v="6.6261999999999999"/>
    <n v="6946"/>
    <d v="2012-02-15T00:00:00"/>
    <d v="2012-01-11T00:00:00"/>
    <n v="5900"/>
    <d v="2012-01-01T00:00:00"/>
    <n v="5900"/>
    <m/>
    <d v="2012-01-01T00:00:00"/>
    <n v="5900"/>
    <d v="2012-02-05T00:00:00"/>
    <d v="2012-01-01T00:00:00"/>
    <n v="5900"/>
    <n v="4700"/>
    <x v="13"/>
    <d v="2012-02-05T00:00:00"/>
    <m/>
    <n v="9321659181"/>
    <n v="10"/>
    <s v="CLHU8399460"/>
    <s v="SIMA SAMAN"/>
    <m/>
    <s v="HO CHI MINH CITY"/>
    <s v="SP-HOLIDAY/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803/000010"/>
    <n v="1370148353"/>
    <n v="10"/>
    <x v="76"/>
    <x v="76"/>
    <s v="A1"/>
    <n v="2100061242"/>
    <n v="201"/>
    <s v="A8000264       "/>
    <s v="A8000264 BANQUET TNS GREY FP 8&quot;                   "/>
    <s v="S"/>
    <d v="2012-01-03T00:00:00"/>
    <m/>
    <s v="X"/>
    <x v="52"/>
    <n v="3.57"/>
    <n v="3742"/>
    <d v="2012-02-21T00:00:00"/>
    <d v="2012-01-17T00:00:00"/>
    <n v="2601"/>
    <d v="2012-01-01T00:00:00"/>
    <n v="2601"/>
    <m/>
    <d v="2012-01-01T00:00:00"/>
    <n v="2601"/>
    <d v="2012-02-05T00:00:00"/>
    <d v="2012-01-01T00:00:00"/>
    <n v="2601"/>
    <n v="2601"/>
    <x v="13"/>
    <d v="2012-02-05T00:00:00"/>
    <m/>
    <n v="9321659185"/>
    <n v="10"/>
    <s v="GLDU7192842"/>
    <s v="SIMA SAMAN"/>
    <m/>
    <s v="HO CHI MINH CITY"/>
    <s v="SP-HOLIDAY/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089/000010"/>
    <n v="1370148356"/>
    <n v="10"/>
    <x v="76"/>
    <x v="76"/>
    <s v="A1"/>
    <n v="2100064932"/>
    <n v="200"/>
    <n v="115003146"/>
    <s v="C1163374 STP26(3.5QT)LID WEAR REAL EASY           "/>
    <s v="S"/>
    <d v="2012-01-03T00:00:00"/>
    <m/>
    <s v="X"/>
    <x v="52"/>
    <n v="7.4151999999999996"/>
    <n v="7773"/>
    <d v="2012-02-15T00:00:00"/>
    <d v="2012-01-11T00:00:00"/>
    <n v="3500"/>
    <d v="2012-01-01T00:00:00"/>
    <n v="3500"/>
    <m/>
    <d v="2012-01-01T00:00:00"/>
    <n v="3500"/>
    <d v="2012-02-05T00:00:00"/>
    <d v="2012-01-01T00:00:00"/>
    <n v="3500"/>
    <n v="2400"/>
    <x v="13"/>
    <d v="2012-02-05T00:00:00"/>
    <m/>
    <n v="9321659186"/>
    <n v="10"/>
    <s v="INKU2676043"/>
    <s v="SIMA SAMAN"/>
    <m/>
    <s v="HO CHI MINH CITY"/>
    <s v="SP-HOLIDAY/C-CLX-NEG(DEC 07 / STILL WAITING BU CONFIRMAITON )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7"/>
    <s v="SP-HOLIDAY"/>
    <n v="-3"/>
    <n v="-3"/>
    <x v="6"/>
    <n v="3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2089/000010"/>
    <n v="1370148356"/>
    <n v="10"/>
    <x v="76"/>
    <x v="76"/>
    <s v="A1"/>
    <n v="2100064932"/>
    <n v="200"/>
    <n v="115003146"/>
    <s v="C1163374 STP26(3.5QT)LID WEAR REAL EASY           "/>
    <s v="S"/>
    <d v="2012-01-03T00:00:00"/>
    <m/>
    <s v="X"/>
    <x v="52"/>
    <n v="7.4151999999999996"/>
    <n v="7773"/>
    <d v="2012-02-15T00:00:00"/>
    <d v="2012-01-11T00:00:00"/>
    <n v="3500"/>
    <d v="2012-01-01T00:00:00"/>
    <n v="3500"/>
    <m/>
    <d v="2012-01-01T00:00:00"/>
    <n v="3500"/>
    <d v="2012-02-05T00:00:00"/>
    <d v="2012-01-01T00:00:00"/>
    <n v="3500"/>
    <n v="1100"/>
    <x v="13"/>
    <d v="2012-02-05T00:00:00"/>
    <m/>
    <n v="9321659186"/>
    <n v="10"/>
    <s v="TRLU7532996"/>
    <s v="SIMA SAMAN"/>
    <m/>
    <s v="HO CHI MINH CITY"/>
    <s v="SP-HOLIDAY/C-CLX-NEG(DEC 07 / STILL WAITING BU CONFIRMAITON )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7"/>
    <s v="SP-HOLIDAY"/>
    <n v="-3"/>
    <n v="-3"/>
    <x v="6"/>
    <n v="3"/>
    <x v="0"/>
    <x v="0"/>
    <x v="0"/>
    <n v="1"/>
    <n v="0"/>
    <n v="1"/>
    <n v="0"/>
    <n v="0"/>
    <n v="1"/>
    <x v="0"/>
    <x v="0"/>
    <x v="1"/>
    <x v="1"/>
  </r>
  <r>
    <s v="Shipment"/>
    <n v="99005220"/>
    <s v="GROUPE SEB ARGENTINA SA                           "/>
    <n v="99005200"/>
    <x v="33"/>
    <s v="966/000001"/>
    <n v="1370148561"/>
    <n v="10"/>
    <x v="8"/>
    <x v="8"/>
    <s v="K9"/>
    <n v="8000034359"/>
    <n v="38"/>
    <s v="PV5006AR       "/>
    <s v="PV5006AR NDG CIRCOLO RED AR                       "/>
    <s v="S"/>
    <d v="2012-01-07T00:00:00"/>
    <m/>
    <s v="X"/>
    <x v="52"/>
    <n v="52.28"/>
    <n v="59"/>
    <d v="2012-02-10T00:00:00"/>
    <d v="2011-12-30T00:00:00"/>
    <n v="1240"/>
    <d v="2011-12-30T00:00:00"/>
    <n v="1240"/>
    <m/>
    <d v="2011-12-30T00:00:00"/>
    <n v="1240"/>
    <d v="2012-02-10T00:00:00"/>
    <d v="2011-12-30T00:00:00"/>
    <n v="1240"/>
    <n v="1240"/>
    <x v="2"/>
    <d v="2012-02-15T00:00:00"/>
    <m/>
    <n v="9321659193"/>
    <n v="10"/>
    <s v="MRKU0682943"/>
    <s v="MAERSK LIMA 152W/"/>
    <m/>
    <s v="YANTIAN"/>
    <m/>
    <m/>
    <s v="THOMAS HO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0645/000010"/>
    <n v="1370147228"/>
    <n v="10"/>
    <x v="22"/>
    <x v="22"/>
    <s v="N4"/>
    <n v="7211000528"/>
    <n v="177"/>
    <n v="211000528"/>
    <s v="FF104115 FRY MAXI COMPACT FB WHT/BLK GB           "/>
    <s v="S"/>
    <d v="2012-01-11T00:00:00"/>
    <m/>
    <s v="X"/>
    <x v="52"/>
    <n v="19.7773"/>
    <n v="13"/>
    <d v="2012-02-13T00:00:00"/>
    <d v="2012-01-09T00:00:00"/>
    <n v="1000"/>
    <d v="2012-01-09T00:00:00"/>
    <n v="810"/>
    <m/>
    <d v="2012-01-05T00:00:00"/>
    <n v="810"/>
    <d v="2012-02-09T00:00:00"/>
    <d v="2012-01-05T00:00:00"/>
    <n v="810"/>
    <n v="810"/>
    <x v="23"/>
    <d v="2012-02-12T00:00:00"/>
    <m/>
    <n v="9321659194"/>
    <n v="10"/>
    <s v="GESU1397031"/>
    <s v="XINSHANGHAI 0063W/"/>
    <m/>
    <s v="NINGBO"/>
    <m/>
    <m/>
    <s v="KENUS WONG"/>
    <s v="FO9"/>
    <s v="ELECTRICAL COOKING            "/>
    <s v="CONFIRMED"/>
    <n v="1"/>
    <n v="1"/>
    <d v="2012-01-08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1615/000010"/>
    <n v="1370147429"/>
    <n v="10"/>
    <x v="0"/>
    <x v="0"/>
    <s v="A2"/>
    <n v="7114000212"/>
    <n v="254"/>
    <n v="114000212"/>
    <s v="P2500731 P.COOKER SLIDE SECURE 5 6QT GB           "/>
    <s v="S"/>
    <d v="2012-01-18T00:00:00"/>
    <m/>
    <s v="X"/>
    <x v="52"/>
    <n v="28.5502"/>
    <n v="18"/>
    <d v="2012-02-20T00:00:00"/>
    <d v="2012-01-16T00:00:00"/>
    <n v="1000"/>
    <d v="2012-01-16T00:00:00"/>
    <n v="850"/>
    <m/>
    <d v="2012-01-14T00:00:00"/>
    <n v="1000"/>
    <d v="2012-02-18T00:00:00"/>
    <d v="2012-01-14T00:00:00"/>
    <n v="850"/>
    <n v="850"/>
    <x v="11"/>
    <d v="2012-02-19T00:00:00"/>
    <m/>
    <n v="9321659195"/>
    <n v="10"/>
    <s v="CAMU8348110"/>
    <s v="TIAN JIN VOY 0652W"/>
    <m/>
    <s v="NINGBO"/>
    <m/>
    <m/>
    <s v="KENUS WO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48327/000010"/>
    <n v="1370146818"/>
    <n v="10"/>
    <x v="55"/>
    <x v="55"/>
    <s v="P4"/>
    <n v="8000034530"/>
    <n v="77"/>
    <s v="QB400DA4       "/>
    <s v="QB400DA4 KTM GOURMET 900W SILV GB                 "/>
    <s v="S"/>
    <d v="2012-01-09T00:00:00"/>
    <m/>
    <s v="X"/>
    <x v="52"/>
    <n v="76.8"/>
    <n v="55"/>
    <d v="2012-01-31T00:00:00"/>
    <d v="2011-12-27T00:00:00"/>
    <n v="700"/>
    <d v="2011-12-27T00:00:00"/>
    <n v="700"/>
    <m/>
    <d v="2011-12-27T00:00:00"/>
    <n v="700"/>
    <d v="2012-01-31T00:00:00"/>
    <d v="2011-12-27T00:00:00"/>
    <n v="700"/>
    <n v="700"/>
    <x v="13"/>
    <d v="2012-02-05T00:00:00"/>
    <m/>
    <n v="9321659196"/>
    <n v="10"/>
    <s v="POCU1213131"/>
    <s v="CHARLOTTE MAERSK 120"/>
    <m/>
    <s v="YANTIAN"/>
    <s v="LATE EDI"/>
    <m/>
    <s v="KENUS WONG"/>
    <s v="FO9"/>
    <s v="FOOD PREPARATION              "/>
    <s v="CONFIRMED"/>
    <n v="1"/>
    <n v="52"/>
    <d v="2012-01-01T00:00:00"/>
    <s v="KITCHEN ELECTRICS             "/>
    <s v="FOOD PREPARATION        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54108/000010"/>
    <n v="1370148428"/>
    <n v="10"/>
    <x v="55"/>
    <x v="55"/>
    <s v="P4"/>
    <n v="8000034530"/>
    <n v="77"/>
    <s v="QB400DA4       "/>
    <s v="QB400DA4 KTM GOURMET 900W SILV GB                 "/>
    <s v="S"/>
    <d v="2012-01-18T00:00:00"/>
    <m/>
    <s v="X"/>
    <x v="52"/>
    <n v="76.8"/>
    <n v="55"/>
    <d v="2012-02-06T00:00:00"/>
    <d v="2012-01-02T00:00:00"/>
    <n v="700"/>
    <d v="2012-01-02T00:00:00"/>
    <n v="700"/>
    <m/>
    <d v="2012-01-16T00:00:00"/>
    <n v="700"/>
    <d v="2012-02-20T00:00:00"/>
    <d v="2012-01-16T00:00:00"/>
    <n v="700"/>
    <n v="700"/>
    <x v="8"/>
    <d v="2012-02-20T00:00:00"/>
    <m/>
    <n v="9321659197"/>
    <n v="10"/>
    <s v="MRKU0438623"/>
    <s v="MAERSK TUKANG 1202/"/>
    <m/>
    <s v="YANTIAN"/>
    <s v="SP-MTL/"/>
    <m/>
    <s v="KENUS WONG"/>
    <s v="FO9"/>
    <s v="FOOD PREPARATION              "/>
    <s v="CONFIRMED"/>
    <n v="1"/>
    <n v="3"/>
    <d v="2012-01-16T00:00:00"/>
    <s v="KITCHEN ELECTRICS             "/>
    <s v="FOOD PREPARATION              "/>
    <x v="4"/>
    <x v="1"/>
    <x v="9"/>
    <s v="SP-MTL"/>
    <n v="1"/>
    <n v="1"/>
    <x v="10"/>
    <n v="1"/>
    <x v="0"/>
    <x v="0"/>
    <x v="0"/>
    <n v="1"/>
    <n v="0"/>
    <n v="0"/>
    <n v="0"/>
    <n v="0"/>
    <n v="0"/>
    <x v="0"/>
    <x v="1"/>
    <x v="1"/>
    <x v="0"/>
  </r>
  <r>
    <s v="Shipment"/>
    <n v="99002601"/>
    <s v="GROUPE SEB UK LTD                                 "/>
    <n v="99002601"/>
    <x v="10"/>
    <s v="9321654110/000010"/>
    <n v="1370148429"/>
    <n v="10"/>
    <x v="55"/>
    <x v="55"/>
    <s v="P4"/>
    <n v="8000034530"/>
    <n v="77"/>
    <s v="QB400DA4       "/>
    <s v="QB400DA4 KTM GOURMET 900W SILV GB                 "/>
    <s v="S"/>
    <d v="2012-01-18T00:00:00"/>
    <m/>
    <s v="X"/>
    <x v="52"/>
    <n v="76.8"/>
    <n v="55"/>
    <d v="2012-02-13T00:00:00"/>
    <d v="2012-01-09T00:00:00"/>
    <n v="700"/>
    <d v="2012-01-09T00:00:00"/>
    <n v="700"/>
    <m/>
    <d v="2012-01-23T00:00:00"/>
    <n v="700"/>
    <d v="2012-02-20T00:00:00"/>
    <d v="2012-01-16T00:00:00"/>
    <n v="700"/>
    <n v="700"/>
    <x v="8"/>
    <d v="2012-02-20T00:00:00"/>
    <m/>
    <n v="9321659199"/>
    <n v="10"/>
    <s v="MRKU0699870"/>
    <s v="MAERSK TUKANG 1202/"/>
    <m/>
    <s v="YANTIAN"/>
    <s v="SP-MTL/"/>
    <m/>
    <s v="KENUS WONG"/>
    <s v="FO9"/>
    <s v="FOOD PREPARATION              "/>
    <s v="CONFIRMED"/>
    <n v="1"/>
    <n v="3"/>
    <d v="2012-01-16T00:00:00"/>
    <s v="KITCHEN ELECTRICS             "/>
    <s v="FOOD PREPARATION              "/>
    <x v="4"/>
    <x v="1"/>
    <x v="9"/>
    <s v="SP-MTL"/>
    <n v="1"/>
    <n v="1"/>
    <x v="10"/>
    <n v="1"/>
    <x v="0"/>
    <x v="1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2684/000010"/>
    <n v="1370147793"/>
    <n v="10"/>
    <x v="26"/>
    <x v="26"/>
    <s v="P1"/>
    <n v="1500831596"/>
    <n v="105"/>
    <n v="831596"/>
    <s v="JU58113E JUI EASY FRUIT 700W PLAST WHT E          "/>
    <s v="S"/>
    <d v="2012-01-06T00:00:00"/>
    <m/>
    <s v="X"/>
    <x v="52"/>
    <n v="28.13"/>
    <n v="1017"/>
    <d v="2012-02-10T00:00:00"/>
    <d v="2011-12-23T00:00:00"/>
    <n v="1164"/>
    <d v="2011-12-23T00:00:00"/>
    <n v="1164"/>
    <m/>
    <d v="2012-01-07T00:00:00"/>
    <n v="1164"/>
    <d v="2012-02-10T00:00:00"/>
    <d v="2011-12-23T00:00:00"/>
    <n v="1164"/>
    <n v="1164"/>
    <x v="16"/>
    <d v="2012-02-21T00:00:00"/>
    <m/>
    <n v="9321659200"/>
    <n v="10"/>
    <s v="TRLU4822327"/>
    <s v="NYK VESTA/28W51"/>
    <m/>
    <s v="YANTIAN"/>
    <s v="SP-PROD-ISSUE/TP ISSUE"/>
    <m/>
    <s v="KENUS WONG"/>
    <s v="FO9"/>
    <s v="FOOD PREPARATION              "/>
    <s v="CONFIRMED"/>
    <n v="1"/>
    <n v="1"/>
    <d v="2012-01-03T00:00:00"/>
    <s v="KITCHEN ELECTRICS             "/>
    <s v="FOOD PREPARATION              "/>
    <x v="1"/>
    <x v="1"/>
    <x v="1"/>
    <m/>
    <n v="0"/>
    <n v="0"/>
    <x v="1"/>
    <n v="2"/>
    <x v="0"/>
    <x v="0"/>
    <x v="1"/>
    <n v="1"/>
    <n v="0"/>
    <n v="0"/>
    <n v="0"/>
    <n v="0"/>
    <n v="0"/>
    <x v="0"/>
    <x v="1"/>
    <x v="1"/>
    <x v="0"/>
  </r>
  <r>
    <s v="Shipment"/>
    <n v="99102353"/>
    <s v="THE BRANCH OF ZAO &quot;GROUPE SEB                     "/>
    <n v="99004801"/>
    <x v="1"/>
    <s v="9321652275/000010"/>
    <n v="1370147655"/>
    <n v="10"/>
    <x v="17"/>
    <x v="17"/>
    <s v="L4"/>
    <n v="1830003901"/>
    <n v="5"/>
    <s v="CV8642D0       "/>
    <s v="CV8642D0 HAIR DRYER AC MOTOR INFINIPRO 2          "/>
    <s v="S"/>
    <d v="2012-01-19T00:00:00"/>
    <m/>
    <s v="X"/>
    <x v="52"/>
    <n v="10.96"/>
    <n v="413"/>
    <d v="2012-02-24T00:00:00"/>
    <d v="2012-01-06T00:00:00"/>
    <n v="3000"/>
    <d v="2012-01-18T00:00:00"/>
    <n v="3000"/>
    <m/>
    <d v="2012-01-06T00:00:00"/>
    <n v="3000"/>
    <d v="2012-03-07T00:00:00"/>
    <d v="2012-01-18T00:00:00"/>
    <n v="3000"/>
    <n v="3000"/>
    <x v="21"/>
    <d v="2012-03-07T00:00:00"/>
    <m/>
    <n v="9321659201"/>
    <n v="10"/>
    <s v="OOLU8590317"/>
    <s v="OOCL CALIFORNIA/29W0"/>
    <m/>
    <s v="HONG KONG"/>
    <s v="CONS-SHIPT/"/>
    <m/>
    <s v="KENUS WONG"/>
    <s v="FO9"/>
    <s v="PERSONAL CARE                 "/>
    <s v="CONFIRMED"/>
    <n v="1"/>
    <n v="3"/>
    <d v="2012-01-18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2712/000010"/>
    <n v="1370147759"/>
    <n v="10"/>
    <x v="26"/>
    <x v="26"/>
    <s v="P1"/>
    <n v="1500831597"/>
    <n v="105"/>
    <n v="831597"/>
    <s v="JU581136 JUI EASY FRUIT 700W PLAST SILV           "/>
    <s v="S"/>
    <d v="2012-01-06T00:00:00"/>
    <m/>
    <s v="X"/>
    <x v="52"/>
    <n v="31.5"/>
    <n v="1137"/>
    <d v="2012-02-17T00:00:00"/>
    <d v="2011-12-30T00:00:00"/>
    <n v="1164"/>
    <d v="2011-12-30T00:00:00"/>
    <n v="1164"/>
    <m/>
    <d v="2012-01-09T00:00:00"/>
    <n v="1164"/>
    <d v="2012-02-17T00:00:00"/>
    <d v="2011-12-30T00:00:00"/>
    <n v="1164"/>
    <n v="1164"/>
    <x v="16"/>
    <d v="2012-02-21T00:00:00"/>
    <m/>
    <n v="9321659202"/>
    <n v="10"/>
    <s v="OOLU7316786"/>
    <s v="NYK VESTA/28W51"/>
    <m/>
    <s v="YANTIAN"/>
    <s v="SP-PROD-ISSUE/FOB ISSUE/TP ISSUE"/>
    <m/>
    <s v="KENUS WONG"/>
    <s v="FO9"/>
    <s v="FOOD PREPARATION              "/>
    <s v="CONFIRMED"/>
    <n v="1"/>
    <n v="1"/>
    <d v="2012-01-03T00:00:00"/>
    <s v="KITCHEN ELECTRICS             "/>
    <s v="FOOD PREPARATION              "/>
    <x v="1"/>
    <x v="1"/>
    <x v="1"/>
    <m/>
    <n v="0"/>
    <n v="0"/>
    <x v="1"/>
    <n v="3"/>
    <x v="0"/>
    <x v="1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2682/000010"/>
    <n v="1370147797"/>
    <n v="10"/>
    <x v="26"/>
    <x v="26"/>
    <s v="P1"/>
    <n v="1500831591"/>
    <n v="105"/>
    <n v="831591"/>
    <s v="JU585G3E JUI EASY FRUIT 700W RED/SS EE            "/>
    <s v="S"/>
    <d v="2012-01-04T00:00:00"/>
    <m/>
    <s v="X"/>
    <x v="52"/>
    <n v="34.979999999999997"/>
    <n v="1260"/>
    <d v="2012-02-24T00:00:00"/>
    <d v="2012-01-06T00:00:00"/>
    <n v="1164"/>
    <d v="2012-01-06T00:00:00"/>
    <n v="1164"/>
    <m/>
    <d v="2012-01-13T00:00:00"/>
    <n v="1164"/>
    <d v="2012-03-01T00:00:00"/>
    <d v="2012-01-12T00:00:00"/>
    <n v="1164"/>
    <n v="1164"/>
    <x v="16"/>
    <d v="2012-02-21T00:00:00"/>
    <m/>
    <n v="9321659203"/>
    <n v="10"/>
    <s v="OOLU7759188"/>
    <s v="NYK VESTA/28W51"/>
    <m/>
    <s v="YANTIAN"/>
    <s v="SP-PROD-ISSUE/FOB ISSUE/TP ISSUE"/>
    <m/>
    <s v="KENUS WONG"/>
    <s v="FO9"/>
    <s v="FOOD PREPARATION              "/>
    <s v="CONFIRMED"/>
    <n v="1"/>
    <n v="1"/>
    <d v="2012-01-03T00:00:00"/>
    <s v="KITCHEN ELECTRICS             "/>
    <s v="FOOD PREPARATION              "/>
    <x v="1"/>
    <x v="1"/>
    <x v="1"/>
    <m/>
    <n v="0"/>
    <n v="0"/>
    <x v="1"/>
    <n v="3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2146/000010"/>
    <n v="1370149373"/>
    <n v="10"/>
    <x v="28"/>
    <x v="28"/>
    <s v="R1"/>
    <n v="1500635439"/>
    <n v="55"/>
    <n v="635439"/>
    <s v="BW500T30 KET PRECISION TIT EUR                    "/>
    <s v="S"/>
    <d v="2012-02-02T00:00:00"/>
    <m/>
    <s v="X"/>
    <x v="52"/>
    <n v="26.97"/>
    <n v="26"/>
    <d v="2012-02-23T00:00:00"/>
    <d v="2012-01-19T00:00:00"/>
    <n v="1680"/>
    <d v="2012-01-19T00:00:00"/>
    <n v="1680"/>
    <m/>
    <d v="2012-01-19T00:00:00"/>
    <n v="1680"/>
    <d v="2012-02-23T00:00:00"/>
    <d v="2012-01-19T00:00:00"/>
    <n v="1680"/>
    <n v="1680"/>
    <x v="1"/>
    <d v="2012-02-27T00:00:00"/>
    <m/>
    <n v="9321659238"/>
    <n v="10"/>
    <s v="TCKU3156786"/>
    <s v="HYUNDAI NAVARINO"/>
    <m/>
    <s v="YANTIAN"/>
    <m/>
    <m/>
    <s v="AGNES NUNES"/>
    <s v="FO9"/>
    <s v="BEVERAGE                      "/>
    <s v="CONFIRMED"/>
    <n v="1"/>
    <n v="4"/>
    <d v="2012-01-23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2145/000010"/>
    <n v="1370149377"/>
    <n v="10"/>
    <x v="33"/>
    <x v="33"/>
    <s v="R1"/>
    <n v="1500635440"/>
    <n v="27"/>
    <n v="635440"/>
    <s v="KM611T30 FCM PRESICION TIT/BLK EUR                "/>
    <s v="S"/>
    <d v="2012-02-01T00:00:00"/>
    <m/>
    <s v="X"/>
    <x v="52"/>
    <n v="35.43"/>
    <n v="32"/>
    <d v="2012-02-20T00:00:00"/>
    <d v="2012-01-16T00:00:00"/>
    <n v="1056"/>
    <d v="2012-01-16T00:00:00"/>
    <n v="1056"/>
    <m/>
    <d v="2012-01-16T00:00:00"/>
    <n v="1056"/>
    <d v="2012-02-20T00:00:00"/>
    <d v="2012-01-16T00:00:00"/>
    <n v="1056"/>
    <n v="1056"/>
    <x v="14"/>
    <d v="2012-02-24T00:00:00"/>
    <m/>
    <n v="9321659239"/>
    <n v="10"/>
    <s v="MOAU0300562"/>
    <s v="MOL MATRIX/010W"/>
    <m/>
    <s v="YANTIAN"/>
    <m/>
    <m/>
    <s v="AGNES NUNES"/>
    <s v="FO9"/>
    <s v="BEVERAGE                      "/>
    <s v="CONFIRMED"/>
    <n v="1"/>
    <n v="3"/>
    <d v="2012-01-20T00:00:00"/>
    <s v="KITCHEN ELECTRICS             "/>
    <s v="BREAKFAST &amp; BREVAGE PREP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2144/000010"/>
    <n v="1370149374"/>
    <n v="10"/>
    <x v="49"/>
    <x v="49"/>
    <s v="R1"/>
    <n v="1500578145"/>
    <n v="23"/>
    <n v="578145"/>
    <s v="KH700T30 TOAS PRECISION TIT/BLK EUR               "/>
    <s v="S"/>
    <d v="2012-01-29T00:00:00"/>
    <m/>
    <s v="X"/>
    <x v="52"/>
    <n v="25.27"/>
    <n v="22"/>
    <d v="2012-02-20T00:00:00"/>
    <d v="2012-01-16T00:00:00"/>
    <n v="1300"/>
    <d v="2012-01-16T00:00:00"/>
    <n v="1300"/>
    <m/>
    <m/>
    <m/>
    <d v="2012-05-07T00:00:00"/>
    <d v="2012-04-02T00:00:00"/>
    <n v="1300"/>
    <n v="1052"/>
    <x v="15"/>
    <d v="2012-03-01T00:00:00"/>
    <m/>
    <n v="9321659241"/>
    <n v="10"/>
    <s v="MOAU0337052"/>
    <s v="MOL MARVEL/008W"/>
    <m/>
    <s v="YANTIAN"/>
    <s v="SP-TECH/SP-TECH/"/>
    <m/>
    <s v="AGNES NUNES"/>
    <s v="FO9"/>
    <s v="BEVERAGE                      "/>
    <s v="CONFIRMED"/>
    <n v="1"/>
    <n v="4"/>
    <d v="2012-01-26T00:00:00"/>
    <s v="KITCHEN ELECTRICS             "/>
    <s v="BREAKFAST &amp; BREVAGE PREP      "/>
    <x v="2"/>
    <x v="1"/>
    <x v="2"/>
    <s v="SP-TECH"/>
    <n v="1"/>
    <n v="1"/>
    <x v="4"/>
    <n v="2"/>
    <x v="0"/>
    <x v="0"/>
    <x v="0"/>
    <n v="0"/>
    <n v="0"/>
    <n v="0"/>
    <n v="0"/>
    <n v="0"/>
    <n v="0"/>
    <x v="0"/>
    <x v="1"/>
    <x v="1"/>
    <x v="0"/>
  </r>
  <r>
    <s v="Shipment"/>
    <n v="99102353"/>
    <s v="THE BRANCH OF ZAO &quot;GROUPE SEB                     "/>
    <n v="99004801"/>
    <x v="1"/>
    <s v="9321651927/000010"/>
    <n v="1370147630"/>
    <n v="10"/>
    <x v="8"/>
    <x v="8"/>
    <s v="L4"/>
    <n v="1830002447"/>
    <n v="131"/>
    <s v="CF7270D4       "/>
    <s v="CF7270D4 STRAIGHTENER AND CURLER 2IN1             "/>
    <s v="S"/>
    <d v="2012-01-07T00:00:00"/>
    <m/>
    <s v="X"/>
    <x v="52"/>
    <n v="16.18"/>
    <n v="578"/>
    <d v="2012-02-24T00:00:00"/>
    <d v="2012-01-06T00:00:00"/>
    <n v="5700"/>
    <d v="2012-01-06T00:00:00"/>
    <n v="5700"/>
    <m/>
    <m/>
    <m/>
    <d v="2012-03-10T00:00:00"/>
    <d v="2012-01-21T00:00:00"/>
    <n v="5700"/>
    <n v="5592"/>
    <x v="6"/>
    <d v="2012-02-23T00:00:00"/>
    <m/>
    <n v="9321659295"/>
    <n v="10"/>
    <s v="DRYU4038162"/>
    <s v="MOL MAXIM/010W"/>
    <m/>
    <s v="SHENZHEN"/>
    <s v="SP-MTL/"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4"/>
    <x v="1"/>
    <x v="9"/>
    <s v="SP-MTL"/>
    <n v="1"/>
    <n v="1"/>
    <x v="10"/>
    <n v="1"/>
    <x v="0"/>
    <x v="1"/>
    <x v="0"/>
    <n v="0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1927/000010"/>
    <n v="1370147630"/>
    <n v="10"/>
    <x v="8"/>
    <x v="8"/>
    <s v="L4"/>
    <n v="1830002447"/>
    <n v="131"/>
    <s v="CF7270D4       "/>
    <s v="CF7270D4 STRAIGHTENER AND CURLER 2IN1             "/>
    <s v="S"/>
    <d v="2012-01-29T00:00:00"/>
    <m/>
    <s v="X"/>
    <x v="52"/>
    <n v="16.18"/>
    <n v="578"/>
    <d v="2012-02-24T00:00:00"/>
    <d v="2012-01-06T00:00:00"/>
    <n v="5700"/>
    <d v="2012-01-06T00:00:00"/>
    <n v="5700"/>
    <m/>
    <m/>
    <m/>
    <d v="2012-03-10T00:00:00"/>
    <d v="2012-01-21T00:00:00"/>
    <n v="5700"/>
    <n v="108"/>
    <x v="4"/>
    <d v="2012-03-11T00:00:00"/>
    <m/>
    <n v="9321659295"/>
    <n v="10"/>
    <s v="TGHU4857088"/>
    <s v="MOL CHARISMA/009W"/>
    <m/>
    <s v="SHENZHEN"/>
    <s v="SP-MTL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4"/>
    <x v="1"/>
    <x v="9"/>
    <s v="SP-MTL"/>
    <n v="1"/>
    <n v="1"/>
    <x v="10"/>
    <n v="1"/>
    <x v="0"/>
    <x v="0"/>
    <x v="0"/>
    <n v="0"/>
    <n v="0"/>
    <n v="0"/>
    <n v="0"/>
    <n v="0"/>
    <n v="0"/>
    <x v="0"/>
    <x v="1"/>
    <x v="1"/>
    <x v="0"/>
  </r>
  <r>
    <s v="Shipment"/>
    <n v="99102353"/>
    <s v="THE BRANCH OF ZAO &quot;GROUPE SEB                     "/>
    <n v="99004801"/>
    <x v="1"/>
    <s v="9321652284/000010"/>
    <n v="1370147644"/>
    <n v="10"/>
    <x v="8"/>
    <x v="8"/>
    <s v="L4"/>
    <n v="1830003927"/>
    <n v="131"/>
    <s v="SF7870D1       "/>
    <s v="SF7870D1 RESPECTISSIM LISS STRAIGHTENER           "/>
    <s v="S"/>
    <d v="2012-01-06T00:00:00"/>
    <m/>
    <s v="X"/>
    <x v="52"/>
    <n v="20.18"/>
    <n v="728"/>
    <d v="2012-02-17T00:00:00"/>
    <d v="2011-12-30T00:00:00"/>
    <n v="8064"/>
    <d v="2012-01-05T00:00:00"/>
    <n v="8064"/>
    <m/>
    <m/>
    <m/>
    <d v="2012-03-10T00:00:00"/>
    <d v="2012-01-21T00:00:00"/>
    <n v="8064"/>
    <n v="7650"/>
    <x v="16"/>
    <d v="2012-02-21T00:00:00"/>
    <m/>
    <n v="9321659296"/>
    <n v="10"/>
    <s v="OOLU7812195"/>
    <s v="NYK VESTA/28W51"/>
    <m/>
    <s v="YANTIAN"/>
    <s v="SP-MTL/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4"/>
    <x v="1"/>
    <x v="9"/>
    <s v="SP-MTL"/>
    <n v="1"/>
    <n v="1"/>
    <x v="10"/>
    <n v="1"/>
    <x v="0"/>
    <x v="1"/>
    <x v="0"/>
    <n v="0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2284/000010"/>
    <n v="1370147644"/>
    <n v="10"/>
    <x v="8"/>
    <x v="8"/>
    <s v="L4"/>
    <n v="1830003927"/>
    <n v="131"/>
    <s v="SF7870D1       "/>
    <s v="SF7870D1 RESPECTISSIM LISS STRAIGHTENER           "/>
    <s v="S"/>
    <d v="2012-01-29T00:00:00"/>
    <m/>
    <s v="X"/>
    <x v="52"/>
    <n v="20.18"/>
    <n v="728"/>
    <d v="2012-02-17T00:00:00"/>
    <d v="2011-12-30T00:00:00"/>
    <n v="8064"/>
    <d v="2012-01-05T00:00:00"/>
    <n v="8064"/>
    <m/>
    <m/>
    <m/>
    <d v="2012-03-10T00:00:00"/>
    <d v="2012-01-21T00:00:00"/>
    <n v="8064"/>
    <n v="414"/>
    <x v="4"/>
    <d v="2012-03-11T00:00:00"/>
    <m/>
    <n v="9321659296"/>
    <n v="10"/>
    <s v="TGHU4857088"/>
    <s v="MOL CHARISMA/009W"/>
    <m/>
    <s v="YANTIAN"/>
    <s v="SP-MTL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4"/>
    <x v="1"/>
    <x v="9"/>
    <s v="SP-MTL"/>
    <n v="1"/>
    <n v="1"/>
    <x v="10"/>
    <n v="1"/>
    <x v="0"/>
    <x v="0"/>
    <x v="0"/>
    <n v="0"/>
    <n v="0"/>
    <n v="0"/>
    <n v="0"/>
    <n v="0"/>
    <n v="0"/>
    <x v="0"/>
    <x v="1"/>
    <x v="1"/>
    <x v="0"/>
  </r>
  <r>
    <s v="Shipment"/>
    <n v="99002901"/>
    <s v="GROUPE SEB CENTRAL EUROPE KFT.                    "/>
    <n v="99002901"/>
    <x v="29"/>
    <s v="4500261304/000010"/>
    <n v="1370148051"/>
    <n v="10"/>
    <x v="25"/>
    <x v="25"/>
    <s v="R9"/>
    <n v="1500573613"/>
    <n v="23"/>
    <n v="573613"/>
    <s v="LT120530 TOAS SUBITO 2S WINE RED EE               "/>
    <s v="S"/>
    <d v="2012-01-06T00:00:00"/>
    <m/>
    <s v="X"/>
    <x v="53"/>
    <n v="10.16"/>
    <n v="2357"/>
    <d v="2012-02-03T00:00:00"/>
    <d v="2011-12-30T00:00:00"/>
    <n v="2436"/>
    <d v="2011-12-30T00:00:00"/>
    <n v="2436"/>
    <m/>
    <d v="2011-12-30T00:00:00"/>
    <n v="2436"/>
    <d v="2012-02-09T00:00:00"/>
    <d v="2012-01-05T00:00:00"/>
    <n v="2436"/>
    <n v="2436"/>
    <x v="2"/>
    <d v="2012-02-08T00:00:00"/>
    <m/>
    <n v="9321660072"/>
    <n v="10"/>
    <s v="PONU0793620"/>
    <s v="MAERSK LIMA/152W"/>
    <m/>
    <s v="YANTIAN"/>
    <s v="SAILING-SCHED-UPDATE/"/>
    <m/>
    <s v="KENUS WONG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466/000010"/>
    <n v="1370148060"/>
    <n v="10"/>
    <x v="0"/>
    <x v="0"/>
    <s v="A2"/>
    <n v="7114000215"/>
    <n v="254"/>
    <n v="114000215"/>
    <s v="P2500732 P.COOKER SLIDE SECURE 5 6QT SI           "/>
    <s v="S"/>
    <d v="2012-01-10T00:00:00"/>
    <m/>
    <s v="X"/>
    <x v="53"/>
    <n v="28.703099999999999"/>
    <n v="6134"/>
    <d v="2012-02-03T00:00:00"/>
    <d v="2011-12-30T00:00:00"/>
    <n v="1000"/>
    <d v="2011-12-30T00:00:00"/>
    <n v="1000"/>
    <m/>
    <d v="2012-01-03T00:00:00"/>
    <n v="1000"/>
    <d v="2012-02-12T00:00:00"/>
    <d v="2012-01-08T00:00:00"/>
    <n v="1000"/>
    <n v="1000"/>
    <x v="23"/>
    <d v="2012-02-12T00:00:00"/>
    <m/>
    <n v="9321660073"/>
    <n v="10"/>
    <s v="MSKU8406265"/>
    <s v="CMA CGM VESPUCCI/VA1"/>
    <m/>
    <s v="NINGBO"/>
    <s v="FORWARDER-PROB/"/>
    <m/>
    <s v="KENUS WO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103498"/>
    <s v="GSE/DSV BLP WAREHOUSE YANTIAN                     "/>
    <n v="99005151"/>
    <x v="18"/>
    <s v="9321656691/000010"/>
    <n v="1370148911"/>
    <n v="10"/>
    <x v="11"/>
    <x v="11"/>
    <s v="J4"/>
    <n v="1830003234"/>
    <n v="1"/>
    <s v="IM1210E0       "/>
    <s v="IM1210E0 STEAM IRON INICIO                        "/>
    <s v="S"/>
    <d v="2012-01-17T00:00:00"/>
    <m/>
    <s v="X"/>
    <x v="53"/>
    <n v="7.2"/>
    <n v="8"/>
    <d v="2012-01-16T00:00:00"/>
    <d v="2012-01-13T00:00:00"/>
    <n v="4320"/>
    <d v="2012-01-13T00:00:00"/>
    <n v="4320"/>
    <m/>
    <d v="2012-01-13T00:00:00"/>
    <n v="4320"/>
    <d v="2012-01-16T00:00:00"/>
    <d v="2012-01-13T00:00:00"/>
    <n v="4320"/>
    <n v="4320"/>
    <x v="24"/>
    <d v="2012-01-16T00:00:00"/>
    <m/>
    <n v="9321660075"/>
    <n v="10"/>
    <m/>
    <m/>
    <m/>
    <s v="XIAMEN"/>
    <m/>
    <m/>
    <s v="ZANDRA LAM"/>
    <s v="FO9"/>
    <s v="LINEN CARE                    "/>
    <s v="CONFIRMED"/>
    <n v="1"/>
    <n v="2"/>
    <d v="2012-01-13T00:00:00"/>
    <s v="LINEN PERS HOME CARE          "/>
    <s v="LINEN CARE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6668/000010"/>
    <n v="1370148928"/>
    <n v="10"/>
    <x v="14"/>
    <x v="14"/>
    <s v="J4"/>
    <n v="1830003812"/>
    <n v="2"/>
    <s v="FS1540E0*      "/>
    <s v="FS1540E0 DRY IRON PLASTIC DURILIUM                "/>
    <s v="S"/>
    <d v="2012-01-17T00:00:00"/>
    <m/>
    <s v="X"/>
    <x v="53"/>
    <n v="7.12"/>
    <n v="8"/>
    <d v="2012-01-20T00:00:00"/>
    <d v="2012-01-06T00:00:00"/>
    <n v="3024"/>
    <d v="2012-01-06T00:00:00"/>
    <n v="3024"/>
    <m/>
    <d v="2012-01-05T00:00:00"/>
    <n v="3024"/>
    <d v="2012-01-19T00:00:00"/>
    <d v="2012-01-05T00:00:00"/>
    <n v="3024"/>
    <n v="3024"/>
    <x v="9"/>
    <d v="2012-01-28T00:00:00"/>
    <m/>
    <n v="9321660079"/>
    <n v="10"/>
    <s v="CCLU4703560"/>
    <s v="HATSU COURAGE V0078W"/>
    <m/>
    <s v="NINGBO"/>
    <m/>
    <m/>
    <s v="ZANDRA LAM"/>
    <s v="FO9"/>
    <s v="LINEN CARE                    "/>
    <s v="CONFIRMED"/>
    <n v="1"/>
    <n v="2"/>
    <d v="2012-01-14T00:00:00"/>
    <s v="LINEN PERS HOME CARE          "/>
    <s v="LINEN CARE                    "/>
    <x v="6"/>
    <x v="2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103498"/>
    <s v="GSE/DSV BLP WAREHOUSE YANTIAN                     "/>
    <n v="99005151"/>
    <x v="18"/>
    <s v="9321656752/000010"/>
    <n v="1370148908"/>
    <n v="10"/>
    <x v="14"/>
    <x v="14"/>
    <s v="J4"/>
    <n v="1830003844"/>
    <n v="2"/>
    <s v="ID5300E0*      "/>
    <s v="ID5300E0 DRY IRON PLASTIC STAINLESS STEE          "/>
    <s v="S"/>
    <d v="2012-01-17T00:00:00"/>
    <m/>
    <s v="X"/>
    <x v="53"/>
    <n v="5.12"/>
    <n v="5"/>
    <d v="2012-01-16T00:00:00"/>
    <d v="2012-01-02T00:00:00"/>
    <n v="5946"/>
    <d v="2012-01-02T00:00:00"/>
    <n v="5946"/>
    <m/>
    <d v="2012-01-05T00:00:00"/>
    <n v="5946"/>
    <d v="2012-01-19T00:00:00"/>
    <d v="2012-01-05T00:00:00"/>
    <n v="5946"/>
    <n v="5946"/>
    <x v="9"/>
    <d v="2012-01-28T00:00:00"/>
    <m/>
    <n v="9321660086"/>
    <n v="10"/>
    <s v="CCLU4703560"/>
    <s v="HATSU COURAGE V0078W"/>
    <m/>
    <s v="NINGBO"/>
    <m/>
    <m/>
    <s v="ZANDRA LAM"/>
    <s v="FO9"/>
    <s v="LINEN CARE                    "/>
    <s v="CONFIRMED"/>
    <n v="1"/>
    <n v="2"/>
    <d v="2012-01-14T00:00:00"/>
    <s v="LINEN PERS HOME CARE          "/>
    <s v="LINEN CARE                    "/>
    <x v="6"/>
    <x v="2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103498"/>
    <s v="GSE/DSV BLP WAREHOUSE YANTIAN                     "/>
    <n v="99005151"/>
    <x v="18"/>
    <s v="9321656665/000010"/>
    <n v="1370148912"/>
    <n v="10"/>
    <x v="14"/>
    <x v="14"/>
    <s v="J4"/>
    <n v="1830003442"/>
    <n v="1"/>
    <s v="IM3150E0       "/>
    <s v="IM3150E0 STEAM IRON MAESTRO 50                    "/>
    <s v="S"/>
    <d v="2012-01-17T00:00:00"/>
    <m/>
    <s v="X"/>
    <x v="53"/>
    <n v="8.6999999999999993"/>
    <n v="9"/>
    <d v="2012-01-20T00:00:00"/>
    <d v="2012-01-06T00:00:00"/>
    <n v="1680"/>
    <d v="2012-01-06T00:00:00"/>
    <n v="1680"/>
    <m/>
    <d v="2012-01-05T00:00:00"/>
    <n v="1680"/>
    <d v="2012-01-19T00:00:00"/>
    <d v="2012-01-05T00:00:00"/>
    <n v="1680"/>
    <n v="1680"/>
    <x v="9"/>
    <d v="2012-01-28T00:00:00"/>
    <m/>
    <n v="9321660091"/>
    <n v="10"/>
    <s v="CCLU4703560"/>
    <s v="HATSU COURAGE V0078W"/>
    <m/>
    <s v="NINGBO"/>
    <m/>
    <m/>
    <s v="ZANDRA LAM"/>
    <s v="FO9"/>
    <s v="LINEN CARE                    "/>
    <s v="CONFIRMED"/>
    <n v="1"/>
    <n v="2"/>
    <d v="2012-01-14T00:00:00"/>
    <s v="LINEN PERS HOME CARE          "/>
    <s v="LINEN CARE                    "/>
    <x v="6"/>
    <x v="2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003700"/>
    <s v="SEB ASIA LTD                                      "/>
    <n v="99003700"/>
    <x v="7"/>
    <s v="SAS-10-319/HKG/"/>
    <n v="1370149534"/>
    <n v="10"/>
    <x v="22"/>
    <x v="22"/>
    <s v="P3"/>
    <n v="7211000900"/>
    <n v="36"/>
    <n v="211000900"/>
    <s v="BL2201B4 BLD UNO 1.25L WHT GB                     "/>
    <s v="S"/>
    <d v="2012-01-05T00:00:00"/>
    <m/>
    <s v="X"/>
    <x v="53"/>
    <n v="12.7072"/>
    <n v="12726"/>
    <d v="2012-01-17T00:00:00"/>
    <d v="2012-01-03T00:00:00"/>
    <n v="1407"/>
    <d v="2012-01-03T00:00:00"/>
    <n v="1407"/>
    <m/>
    <d v="2012-01-04T00:00:00"/>
    <n v="1407"/>
    <d v="2012-01-18T00:00:00"/>
    <d v="2012-01-04T00:00:00"/>
    <n v="1407"/>
    <n v="1407"/>
    <x v="2"/>
    <d v="2012-01-18T00:00:00"/>
    <m/>
    <n v="9321660199"/>
    <n v="10"/>
    <s v="OOLU7644445"/>
    <s v="OOCL CANADA"/>
    <m/>
    <s v="NINGBO"/>
    <m/>
    <m/>
    <s v="THOMAS HO"/>
    <s v="FO9"/>
    <s v="FOOD PREPARATION              "/>
    <s v="CONFIRMED"/>
    <n v="1"/>
    <n v="1"/>
    <d v="2012-01-04T00:00:00"/>
    <s v="KITCHEN ELECTRICS             "/>
    <s v="FOOD PREPARATION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18/HKG/"/>
    <n v="1370149535"/>
    <n v="10"/>
    <x v="4"/>
    <x v="4"/>
    <s v="M5"/>
    <n v="2210016794"/>
    <n v="68"/>
    <s v="RH84324A       "/>
    <s v="RH84324A CORDLESS HANDSTICK-AIR FORCE CO          "/>
    <s v="S"/>
    <d v="2012-01-16T00:00:00"/>
    <m/>
    <s v="X"/>
    <x v="53"/>
    <n v="42.41"/>
    <n v="44"/>
    <d v="2012-01-03T00:00:00"/>
    <d v="2012-01-03T00:00:00"/>
    <n v="826"/>
    <d v="2012-01-03T00:00:00"/>
    <n v="826"/>
    <m/>
    <d v="2012-01-03T00:00:00"/>
    <n v="826"/>
    <d v="2012-01-13T00:00:00"/>
    <d v="2012-01-13T00:00:00"/>
    <n v="826"/>
    <n v="826"/>
    <x v="9"/>
    <d v="2012-01-14T00:00:00"/>
    <m/>
    <n v="9321660207"/>
    <n v="10"/>
    <s v="TRUCK"/>
    <s v="LOCAL DELIVERY"/>
    <m/>
    <s v="YANTIAN"/>
    <s v="SP-MTL/"/>
    <m/>
    <s v="THOMAS HO"/>
    <s v="FO9"/>
    <s v="HOME CLEANING                 "/>
    <s v="CONFIRMED"/>
    <n v="1"/>
    <n v="2"/>
    <d v="2012-01-14T00:00:00"/>
    <s v="HOME CLEANING                 "/>
    <s v="HOME CLEANING                 "/>
    <x v="3"/>
    <x v="2"/>
    <x v="9"/>
    <s v="SP-MTL"/>
    <n v="1"/>
    <n v="1"/>
    <x v="10"/>
    <n v="1"/>
    <x v="0"/>
    <x v="0"/>
    <x v="0"/>
    <n v="0"/>
    <n v="0"/>
    <n v="0"/>
    <n v="0"/>
    <n v="0"/>
    <n v="0"/>
    <x v="1"/>
    <x v="0"/>
    <x v="1"/>
    <x v="0"/>
  </r>
  <r>
    <s v="Shipment"/>
    <n v="99003221"/>
    <s v="GROUPE SEB CANADA INC                             "/>
    <n v="99003200"/>
    <x v="27"/>
    <s v="22547/039712"/>
    <n v="1370146639"/>
    <n v="10"/>
    <x v="0"/>
    <x v="0"/>
    <s v="A1"/>
    <n v="2100058397"/>
    <n v="204"/>
    <n v="115002318"/>
    <s v="D0370754 FP30 B GAS OPT TEC EN AN GREY T          "/>
    <s v="S"/>
    <d v="2012-01-11T00:00:00"/>
    <m/>
    <s v="X"/>
    <x v="43"/>
    <n v="8.7057000000000002"/>
    <n v="9"/>
    <d v="2011-12-31T00:00:00"/>
    <d v="2011-12-03T00:00:00"/>
    <n v="20004"/>
    <d v="2012-01-05T00:00:00"/>
    <n v="20004"/>
    <m/>
    <d v="2012-01-05T00:00:00"/>
    <n v="20004"/>
    <d v="2012-02-02T00:00:00"/>
    <d v="2012-01-05T00:00:00"/>
    <n v="20004"/>
    <n v="8220"/>
    <x v="23"/>
    <d v="2012-02-05T00:00:00"/>
    <m/>
    <n v="9321660235"/>
    <n v="10"/>
    <s v="OOLU8170485"/>
    <s v="HOUSTON EXPRESS 40E0"/>
    <m/>
    <s v="NINGBO"/>
    <s v="C-POST-CONF"/>
    <m/>
    <s v="TWEETY LEU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1"/>
    <n v="0"/>
    <n v="1"/>
    <n v="0"/>
    <n v="0"/>
    <n v="1"/>
    <x v="0"/>
    <x v="0"/>
    <x v="1"/>
    <x v="1"/>
  </r>
  <r>
    <s v="Shipment"/>
    <n v="99003221"/>
    <s v="GROUPE SEB CANADA INC                             "/>
    <n v="99003200"/>
    <x v="27"/>
    <s v="22547/039712"/>
    <n v="1370146639"/>
    <n v="10"/>
    <x v="0"/>
    <x v="0"/>
    <s v="A1"/>
    <n v="2100058397"/>
    <n v="204"/>
    <n v="115002318"/>
    <s v="D0370754 FP30 B GAS OPT TEC EN AN GREY T          "/>
    <s v="S"/>
    <d v="2012-01-11T00:00:00"/>
    <m/>
    <s v="X"/>
    <x v="43"/>
    <n v="8.7057000000000002"/>
    <n v="9"/>
    <d v="2011-12-31T00:00:00"/>
    <d v="2011-12-03T00:00:00"/>
    <n v="20004"/>
    <d v="2012-01-05T00:00:00"/>
    <n v="20004"/>
    <m/>
    <d v="2012-01-05T00:00:00"/>
    <n v="20004"/>
    <d v="2012-02-02T00:00:00"/>
    <d v="2012-01-05T00:00:00"/>
    <n v="20004"/>
    <n v="8220"/>
    <x v="23"/>
    <d v="2012-02-05T00:00:00"/>
    <m/>
    <n v="9321660235"/>
    <n v="10"/>
    <s v="TCLU5038012"/>
    <s v="HOUSTON EXPRESS 40E0"/>
    <m/>
    <s v="NINGBO"/>
    <s v="C-POST-CONF"/>
    <m/>
    <s v="TWEETY LEU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1"/>
    <n v="0"/>
    <n v="1"/>
    <n v="0"/>
    <n v="0"/>
    <n v="1"/>
    <x v="0"/>
    <x v="0"/>
    <x v="1"/>
    <x v="1"/>
  </r>
  <r>
    <s v="Shipment"/>
    <n v="99003221"/>
    <s v="GROUPE SEB CANADA INC                             "/>
    <n v="99003200"/>
    <x v="27"/>
    <s v="22547/039712"/>
    <n v="1370146639"/>
    <n v="10"/>
    <x v="0"/>
    <x v="0"/>
    <s v="A1"/>
    <n v="2100058397"/>
    <n v="204"/>
    <n v="115002318"/>
    <s v="D0370754 FP30 B GAS OPT TEC EN AN GREY T          "/>
    <s v="S"/>
    <d v="2012-01-11T00:00:00"/>
    <m/>
    <s v="X"/>
    <x v="43"/>
    <n v="8.7057000000000002"/>
    <n v="9"/>
    <d v="2011-12-31T00:00:00"/>
    <d v="2011-12-03T00:00:00"/>
    <n v="20004"/>
    <d v="2012-01-05T00:00:00"/>
    <n v="20004"/>
    <m/>
    <d v="2012-01-05T00:00:00"/>
    <n v="20004"/>
    <d v="2012-02-02T00:00:00"/>
    <d v="2012-01-05T00:00:00"/>
    <n v="20004"/>
    <n v="3564"/>
    <x v="23"/>
    <d v="2012-02-05T00:00:00"/>
    <m/>
    <n v="9321660235"/>
    <n v="10"/>
    <s v="TGHU9783624"/>
    <s v="HOUSTON EXPRESS 40E0"/>
    <m/>
    <s v="NINGBO"/>
    <s v="C-POST-CONF"/>
    <m/>
    <s v="TWEETY LEU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1"/>
    <n v="0"/>
    <n v="1"/>
    <n v="0"/>
    <n v="0"/>
    <n v="1"/>
    <x v="0"/>
    <x v="0"/>
    <x v="1"/>
    <x v="1"/>
  </r>
  <r>
    <s v="Shipment"/>
    <n v="99003221"/>
    <s v="GROUPE SEB CANADA INC                             "/>
    <n v="99003200"/>
    <x v="27"/>
    <s v="22547/039713"/>
    <n v="1370146639"/>
    <n v="20"/>
    <x v="0"/>
    <x v="0"/>
    <s v="A1"/>
    <n v="2100058398"/>
    <n v="204"/>
    <n v="115002319"/>
    <s v="D0370854 FP32 B GAS OPT TEC EN AN GREY T          "/>
    <s v="S"/>
    <d v="2012-01-12T00:00:00"/>
    <m/>
    <s v="X"/>
    <x v="43"/>
    <n v="9.1775000000000002"/>
    <n v="9"/>
    <d v="2011-12-31T00:00:00"/>
    <d v="2011-12-03T00:00:00"/>
    <n v="18000"/>
    <d v="2012-01-05T00:00:00"/>
    <n v="18000"/>
    <m/>
    <d v="2012-01-05T00:00:00"/>
    <n v="18000"/>
    <d v="2012-02-02T00:00:00"/>
    <d v="2012-01-05T00:00:00"/>
    <n v="18000"/>
    <n v="5040"/>
    <x v="23"/>
    <d v="2012-02-05T00:00:00"/>
    <m/>
    <n v="9321660236"/>
    <n v="10"/>
    <s v="CAIU4145452"/>
    <s v="HOUSTON EXPRESS 40E0"/>
    <m/>
    <s v="NINGBO"/>
    <s v="C-POST-CONF"/>
    <m/>
    <s v="TWEETY LEU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1"/>
    <n v="0"/>
    <n v="1"/>
    <n v="0"/>
    <n v="0"/>
    <n v="1"/>
    <x v="0"/>
    <x v="0"/>
    <x v="1"/>
    <x v="1"/>
  </r>
  <r>
    <s v="Shipment"/>
    <n v="99003221"/>
    <s v="GROUPE SEB CANADA INC                             "/>
    <n v="99003200"/>
    <x v="27"/>
    <s v="22547/039713"/>
    <n v="1370146639"/>
    <n v="20"/>
    <x v="0"/>
    <x v="0"/>
    <s v="A1"/>
    <n v="2100058398"/>
    <n v="204"/>
    <n v="115002319"/>
    <s v="D0370854 FP32 B GAS OPT TEC EN AN GREY T          "/>
    <s v="S"/>
    <d v="2012-01-11T00:00:00"/>
    <m/>
    <s v="X"/>
    <x v="43"/>
    <n v="9.1775000000000002"/>
    <n v="9"/>
    <d v="2011-12-31T00:00:00"/>
    <d v="2011-12-03T00:00:00"/>
    <n v="18000"/>
    <d v="2012-01-05T00:00:00"/>
    <n v="18000"/>
    <m/>
    <d v="2012-01-05T00:00:00"/>
    <n v="18000"/>
    <d v="2012-02-02T00:00:00"/>
    <d v="2012-01-05T00:00:00"/>
    <n v="18000"/>
    <n v="6480"/>
    <x v="23"/>
    <d v="2012-02-05T00:00:00"/>
    <m/>
    <n v="9321660236"/>
    <n v="10"/>
    <s v="OOLU7886813"/>
    <s v="HOUSTON EXPRESS 40E0"/>
    <m/>
    <s v="NINGBO"/>
    <s v="C-POST-CONF"/>
    <m/>
    <s v="TWEETY LEU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1"/>
    <n v="0"/>
    <n v="1"/>
    <n v="0"/>
    <n v="0"/>
    <n v="1"/>
    <x v="0"/>
    <x v="0"/>
    <x v="1"/>
    <x v="1"/>
  </r>
  <r>
    <s v="Shipment"/>
    <n v="99003221"/>
    <s v="GROUPE SEB CANADA INC                             "/>
    <n v="99003200"/>
    <x v="27"/>
    <s v="22547/039713"/>
    <n v="1370146639"/>
    <n v="20"/>
    <x v="0"/>
    <x v="0"/>
    <s v="A1"/>
    <n v="2100058398"/>
    <n v="204"/>
    <n v="115002319"/>
    <s v="D0370854 FP32 B GAS OPT TEC EN AN GREY T          "/>
    <s v="S"/>
    <d v="2012-01-11T00:00:00"/>
    <m/>
    <s v="X"/>
    <x v="43"/>
    <n v="9.1775000000000002"/>
    <n v="9"/>
    <d v="2011-12-31T00:00:00"/>
    <d v="2011-12-03T00:00:00"/>
    <n v="18000"/>
    <d v="2012-01-05T00:00:00"/>
    <n v="18000"/>
    <m/>
    <d v="2012-01-05T00:00:00"/>
    <n v="18000"/>
    <d v="2012-02-02T00:00:00"/>
    <d v="2012-01-05T00:00:00"/>
    <n v="18000"/>
    <n v="6480"/>
    <x v="23"/>
    <d v="2012-02-05T00:00:00"/>
    <m/>
    <n v="9321660236"/>
    <n v="10"/>
    <s v="OOLU7471381"/>
    <s v="HOUSTON EXPRESS 40E0"/>
    <m/>
    <s v="NINGBO"/>
    <s v="C-POST-CONF"/>
    <m/>
    <s v="TWEETY LEUNG"/>
    <s v="FO9"/>
    <s v="COOKWARE                      "/>
    <s v="CONFIRMED"/>
    <n v="1"/>
    <n v="1"/>
    <d v="2012-01-08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1589/000010"/>
    <n v="1370147938"/>
    <n v="10"/>
    <x v="8"/>
    <x v="8"/>
    <s v="L4"/>
    <n v="1830003206"/>
    <n v="131"/>
    <s v="CF7322C4       "/>
    <s v="CF7322C4 HANDY W&amp;DRY LED STRAIGHTENER             "/>
    <s v="S"/>
    <d v="2012-01-10T00:00:00"/>
    <m/>
    <s v="X"/>
    <x v="53"/>
    <n v="10.71"/>
    <n v="10"/>
    <d v="2012-02-03T00:00:00"/>
    <d v="2011-12-30T00:00:00"/>
    <n v="2502"/>
    <d v="2011-12-30T00:00:00"/>
    <n v="2502"/>
    <m/>
    <d v="2011-12-23T00:00:00"/>
    <n v="2502"/>
    <d v="2012-02-08T00:00:00"/>
    <d v="2012-01-04T00:00:00"/>
    <n v="2502"/>
    <n v="2502"/>
    <x v="16"/>
    <d v="2012-02-07T00:00:00"/>
    <m/>
    <n v="9321660270"/>
    <n v="10"/>
    <s v="APZU4491956"/>
    <s v="H VANCOUVER / 007W"/>
    <m/>
    <s v="SHEKOU"/>
    <m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80/000001"/>
    <n v="1370149527"/>
    <n v="10"/>
    <x v="0"/>
    <x v="0"/>
    <s v="A1"/>
    <n v="2100068606"/>
    <n v="208"/>
    <s v="E8940744       "/>
    <s v="E8940744 FP30 MAINST JO HA IND ANOD GREY          "/>
    <s v="S"/>
    <d v="2012-01-19T00:00:00"/>
    <m/>
    <s v="X"/>
    <x v="54"/>
    <n v="16.082899999999999"/>
    <n v="17"/>
    <d v="2012-02-06T00:00:00"/>
    <d v="2012-01-16T00:00:00"/>
    <n v="1500"/>
    <d v="2012-01-16T00:00:00"/>
    <n v="1500"/>
    <m/>
    <d v="2012-01-19T00:00:00"/>
    <n v="1500"/>
    <d v="2012-02-09T00:00:00"/>
    <d v="2012-01-19T00:00:00"/>
    <n v="1500"/>
    <n v="1500"/>
    <x v="22"/>
    <d v="2012-02-09T00:00:00"/>
    <m/>
    <n v="9321660428"/>
    <n v="10"/>
    <s v="APLU9085657"/>
    <s v="MAERSK GARONNE/204W"/>
    <m/>
    <s v="NINGBO"/>
    <s v="FORWARDER-PROB/"/>
    <m/>
    <s v="AGNES NUNES"/>
    <s v="FO9"/>
    <s v="COOKWARE                      "/>
    <s v="CONFIRMED"/>
    <n v="1"/>
    <n v="3"/>
    <d v="2012-01-19T00:00:00"/>
    <s v="COOKWARE                      "/>
    <s v="COOKWARE                      "/>
    <x v="0"/>
    <x v="0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80/000002"/>
    <n v="1370149527"/>
    <n v="20"/>
    <x v="0"/>
    <x v="0"/>
    <s v="A1"/>
    <n v="2100068607"/>
    <n v="208"/>
    <n v="115003498"/>
    <s v="E8943244 STP24LID MAINS JO HA IND ANO GR          "/>
    <s v="S"/>
    <d v="2012-01-19T00:00:00"/>
    <m/>
    <s v="X"/>
    <x v="54"/>
    <n v="16.861000000000001"/>
    <n v="17"/>
    <d v="2012-02-06T00:00:00"/>
    <d v="2012-01-16T00:00:00"/>
    <n v="1000"/>
    <d v="2012-01-16T00:00:00"/>
    <n v="1000"/>
    <m/>
    <d v="2012-01-19T00:00:00"/>
    <n v="1000"/>
    <d v="2012-02-09T00:00:00"/>
    <d v="2012-01-19T00:00:00"/>
    <n v="1000"/>
    <n v="1000"/>
    <x v="22"/>
    <d v="2012-02-09T00:00:00"/>
    <m/>
    <n v="9321660428"/>
    <n v="20"/>
    <s v="APLU9085657"/>
    <s v="MAERSK GARONNE/204W"/>
    <m/>
    <s v="NINGBO"/>
    <s v="FORWARDER-PROB/"/>
    <m/>
    <s v="AGNES NUNES"/>
    <s v="FO9"/>
    <s v="COOKWARE                      "/>
    <s v="CONFIRMED"/>
    <n v="1"/>
    <n v="3"/>
    <d v="2012-01-19T00:00:00"/>
    <s v="COOKWARE                      "/>
    <s v="COOKWARE                      "/>
    <x v="0"/>
    <x v="0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80/000003"/>
    <n v="1370149527"/>
    <n v="30"/>
    <x v="0"/>
    <x v="0"/>
    <s v="A1"/>
    <n v="2100068616"/>
    <n v="205"/>
    <s v="E4362414       "/>
    <s v="E4362414 SCP20LID TEFAL BY JO SS UNCOATE          "/>
    <s v="S"/>
    <d v="2012-01-19T00:00:00"/>
    <m/>
    <s v="X"/>
    <x v="54"/>
    <n v="12.7735"/>
    <n v="17"/>
    <d v="2012-02-06T00:00:00"/>
    <d v="2012-01-16T00:00:00"/>
    <n v="1000"/>
    <d v="2012-01-16T00:00:00"/>
    <n v="1000"/>
    <m/>
    <d v="2012-01-19T00:00:00"/>
    <n v="2000"/>
    <d v="2012-02-09T00:00:00"/>
    <d v="2012-01-19T00:00:00"/>
    <n v="1000"/>
    <n v="1000"/>
    <x v="22"/>
    <d v="2012-02-09T00:00:00"/>
    <m/>
    <n v="9321660428"/>
    <n v="30"/>
    <s v="APLU9085657"/>
    <s v="MAERSK GARONNE/204W"/>
    <m/>
    <s v="NINGBO"/>
    <s v="FORWARDER-PROB/"/>
    <m/>
    <s v="AGNES NUNES"/>
    <s v="FO9"/>
    <s v="COOKWARE                      "/>
    <s v="CONFIRMED"/>
    <n v="1"/>
    <n v="3"/>
    <d v="2012-01-19T00:00:00"/>
    <s v="COOKWARE                      "/>
    <s v="COOKWARE                      "/>
    <x v="0"/>
    <x v="0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80/000004"/>
    <n v="1370149527"/>
    <n v="40"/>
    <x v="0"/>
    <x v="0"/>
    <s v="A1"/>
    <n v="2100068617"/>
    <n v="205"/>
    <s v="E4364614       "/>
    <s v="E4364614 D.OV24LID TEFAL BY JO SS UNCOAT          "/>
    <s v="S"/>
    <d v="2012-01-19T00:00:00"/>
    <m/>
    <s v="X"/>
    <x v="54"/>
    <n v="16.956399999999999"/>
    <n v="17"/>
    <d v="2012-02-06T00:00:00"/>
    <d v="2012-01-16T00:00:00"/>
    <n v="1000"/>
    <d v="2012-01-16T00:00:00"/>
    <n v="1000"/>
    <m/>
    <d v="2012-01-19T00:00:00"/>
    <n v="2000"/>
    <d v="2012-02-09T00:00:00"/>
    <d v="2012-01-19T00:00:00"/>
    <n v="1000"/>
    <n v="1000"/>
    <x v="22"/>
    <d v="2012-02-09T00:00:00"/>
    <m/>
    <n v="9321660428"/>
    <n v="40"/>
    <s v="TCLU4098275"/>
    <s v="MAERSK GARONNE/204W"/>
    <m/>
    <s v="NINGBO"/>
    <s v="FORWARDER-PROB/"/>
    <m/>
    <s v="AGNES NUNES"/>
    <s v="FO9"/>
    <s v="COOKWARE                      "/>
    <s v="CONFIRMED"/>
    <n v="1"/>
    <n v="3"/>
    <d v="2012-01-19T00:00:00"/>
    <s v="COOKWARE                      "/>
    <s v="COOKWARE                      "/>
    <x v="0"/>
    <x v="0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80/000005"/>
    <n v="1370149527"/>
    <n v="50"/>
    <x v="0"/>
    <x v="0"/>
    <s v="A1"/>
    <n v="2100068580"/>
    <n v="205"/>
    <s v="E9949614       "/>
    <s v="E9949614 UNIVERSAL STEAMER 16/18/20 SUPO          "/>
    <s v="S"/>
    <d v="2012-01-19T00:00:00"/>
    <m/>
    <s v="X"/>
    <x v="54"/>
    <n v="6.8647"/>
    <n v="17"/>
    <d v="2012-02-06T00:00:00"/>
    <d v="2012-01-16T00:00:00"/>
    <n v="1002"/>
    <d v="2012-01-16T00:00:00"/>
    <n v="1002"/>
    <m/>
    <d v="2012-01-19T00:00:00"/>
    <n v="2004"/>
    <d v="2012-02-09T00:00:00"/>
    <d v="2012-01-19T00:00:00"/>
    <n v="1002"/>
    <n v="1002"/>
    <x v="22"/>
    <d v="2012-02-09T00:00:00"/>
    <m/>
    <n v="9321660428"/>
    <n v="50"/>
    <s v="TCLU4098275"/>
    <s v="MAERSK GARONNE/204W"/>
    <m/>
    <s v="NINGBO"/>
    <s v="FORWARDER-PROB/"/>
    <m/>
    <s v="AGNES NUNES"/>
    <s v="FO9"/>
    <s v="COOKWARE                      "/>
    <s v="CONFIRMED"/>
    <n v="1"/>
    <n v="3"/>
    <d v="2012-01-19T00:00:00"/>
    <s v="COOKWARE                      "/>
    <s v="COOKWARE                      "/>
    <x v="0"/>
    <x v="0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80/000006"/>
    <n v="1370149527"/>
    <n v="60"/>
    <x v="0"/>
    <x v="0"/>
    <s v="A1"/>
    <n v="2100068618"/>
    <n v="205"/>
    <s v="E4369014       "/>
    <s v="E4369014 SET 3SCPLID TEFAL BY JO SS UNCO          "/>
    <s v="S"/>
    <d v="2012-01-19T00:00:00"/>
    <m/>
    <s v="X"/>
    <x v="54"/>
    <n v="33.893999999999998"/>
    <n v="17"/>
    <d v="2012-02-06T00:00:00"/>
    <d v="2012-01-16T00:00:00"/>
    <n v="1000"/>
    <d v="2012-01-16T00:00:00"/>
    <n v="1000"/>
    <m/>
    <d v="2012-01-19T00:00:00"/>
    <n v="2000"/>
    <d v="2012-02-09T00:00:00"/>
    <d v="2012-01-19T00:00:00"/>
    <n v="1000"/>
    <n v="1000"/>
    <x v="22"/>
    <d v="2012-02-09T00:00:00"/>
    <m/>
    <n v="9321660428"/>
    <n v="60"/>
    <s v="TCLU4098275"/>
    <s v="MAERSK GARONNE/204W"/>
    <m/>
    <s v="NINGBO"/>
    <s v="FORWARDER-PROB/"/>
    <m/>
    <s v="AGNES NUNES"/>
    <s v="FO9"/>
    <s v="COOKWARE                      "/>
    <s v="CONFIRMED"/>
    <n v="1"/>
    <n v="3"/>
    <d v="2012-01-19T00:00:00"/>
    <s v="COOKWARE                      "/>
    <s v="COOKWARE                      "/>
    <x v="0"/>
    <x v="0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79/000001"/>
    <n v="1370149528"/>
    <n v="10"/>
    <x v="0"/>
    <x v="0"/>
    <s v="A1"/>
    <n v="2100068605"/>
    <n v="208"/>
    <s v="E8940544       "/>
    <s v="E8940544 FP26 MAINST JO HA IND ANOD GREY          "/>
    <s v="S"/>
    <d v="2012-01-19T00:00:00"/>
    <m/>
    <s v="X"/>
    <x v="54"/>
    <n v="12.9975"/>
    <n v="14"/>
    <d v="2012-02-06T00:00:00"/>
    <d v="2012-01-16T00:00:00"/>
    <n v="1002"/>
    <d v="2012-01-16T00:00:00"/>
    <n v="1002"/>
    <m/>
    <d v="2012-01-19T00:00:00"/>
    <n v="1002"/>
    <d v="2012-02-09T00:00:00"/>
    <d v="2012-01-19T00:00:00"/>
    <n v="1002"/>
    <n v="1002"/>
    <x v="22"/>
    <d v="2012-02-09T00:00:00"/>
    <m/>
    <n v="9321660429"/>
    <n v="10"/>
    <s v="APLU9085657"/>
    <s v="MAERSK GARONNE/204W"/>
    <m/>
    <s v="NINGBO"/>
    <s v="FORWARDER-PROB/"/>
    <m/>
    <s v="AGNES NUNES"/>
    <s v="FO9"/>
    <s v="COOKWARE                      "/>
    <s v="CONFIRMED"/>
    <n v="1"/>
    <n v="3"/>
    <d v="2012-01-19T00:00:00"/>
    <s v="COOKWARE                      "/>
    <s v="COOKWARE                      "/>
    <x v="0"/>
    <x v="0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819/000060"/>
    <n v="1370146832"/>
    <n v="60"/>
    <x v="0"/>
    <x v="0"/>
    <s v="A5"/>
    <n v="7117001156"/>
    <n v="236"/>
    <n v="117001156"/>
    <s v="010707060122 LID  CM.22  BRIOSA                   "/>
    <s v="S"/>
    <d v="2012-01-11T00:00:00"/>
    <m/>
    <s v="X"/>
    <x v="54"/>
    <n v="3.694"/>
    <n v="8"/>
    <d v="2012-02-10T00:00:00"/>
    <d v="2012-01-13T00:00:00"/>
    <n v="1000"/>
    <d v="2012-01-13T00:00:00"/>
    <n v="1000"/>
    <m/>
    <d v="2012-01-07T00:00:00"/>
    <n v="1000"/>
    <d v="2012-02-04T00:00:00"/>
    <d v="2012-01-07T00:00:00"/>
    <n v="1000"/>
    <n v="1000"/>
    <x v="0"/>
    <d v="2012-02-06T00:00:00"/>
    <m/>
    <n v="9321660432"/>
    <n v="10"/>
    <s v="UACU5590503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8819/000070"/>
    <n v="1370146832"/>
    <n v="70"/>
    <x v="0"/>
    <x v="0"/>
    <s v="A5"/>
    <n v="7117001157"/>
    <n v="236"/>
    <n v="117001157"/>
    <s v="010707060126 LID  CM.26  BRIOSA                   "/>
    <s v="S"/>
    <d v="2012-01-11T00:00:00"/>
    <m/>
    <s v="X"/>
    <x v="54"/>
    <n v="4.2362000000000002"/>
    <n v="8"/>
    <d v="2012-02-10T00:00:00"/>
    <d v="2012-01-13T00:00:00"/>
    <n v="1000"/>
    <d v="2012-01-13T00:00:00"/>
    <n v="1000"/>
    <m/>
    <d v="2012-01-07T00:00:00"/>
    <n v="1000"/>
    <d v="2012-02-04T00:00:00"/>
    <d v="2012-01-07T00:00:00"/>
    <n v="1000"/>
    <n v="1000"/>
    <x v="0"/>
    <d v="2012-02-06T00:00:00"/>
    <m/>
    <n v="9321660432"/>
    <n v="20"/>
    <s v="UACU5590503"/>
    <s v="XIN FU ZHOU/1202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334/000010"/>
    <n v="1370149283"/>
    <n v="10"/>
    <x v="25"/>
    <x v="25"/>
    <s v="R9"/>
    <n v="1500576900"/>
    <n v="23"/>
    <n v="576900"/>
    <s v="TL180001 TOAS CLASSIC LS BLK A                    "/>
    <s v="S"/>
    <d v="2012-01-07T00:00:00"/>
    <m/>
    <s v="X"/>
    <x v="54"/>
    <n v="8.02"/>
    <n v="6"/>
    <d v="2012-02-06T00:00:00"/>
    <d v="2012-01-02T00:00:00"/>
    <n v="2312"/>
    <d v="2012-01-02T00:00:00"/>
    <n v="2312"/>
    <m/>
    <d v="2012-01-02T00:00:00"/>
    <n v="2312"/>
    <d v="2012-02-08T00:00:00"/>
    <d v="2012-01-04T00:00:00"/>
    <n v="2312"/>
    <n v="2312"/>
    <x v="2"/>
    <d v="2012-02-08T00:00:00"/>
    <m/>
    <n v="9321660497"/>
    <n v="10"/>
    <s v="MSKU6407370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691/000010"/>
    <n v="1370149211"/>
    <n v="10"/>
    <x v="17"/>
    <x v="17"/>
    <s v="L4"/>
    <n v="1830003787"/>
    <n v="5"/>
    <s v="CV8655C0       "/>
    <s v="CV8655C0 HAIR DRYER AC MOTOR INIFINIPRO           "/>
    <s v="S"/>
    <d v="2012-01-09T00:00:00"/>
    <m/>
    <s v="X"/>
    <x v="54"/>
    <n v="12.87"/>
    <n v="11"/>
    <d v="2012-02-03T00:00:00"/>
    <d v="2011-12-30T00:00:00"/>
    <n v="1000"/>
    <d v="2011-12-30T00:00:00"/>
    <n v="1000"/>
    <m/>
    <d v="2011-12-30T00:00:00"/>
    <n v="1000"/>
    <d v="2012-02-07T00:00:00"/>
    <d v="2012-01-03T00:00:00"/>
    <n v="1000"/>
    <n v="1000"/>
    <x v="16"/>
    <d v="2012-02-07T00:00:00"/>
    <m/>
    <n v="9321660525"/>
    <n v="10"/>
    <s v="TTNU4741519"/>
    <s v="H.VANCOUVER/007W"/>
    <m/>
    <s v="HONG KONG"/>
    <s v="CONS-SHIPT/LATE DOC FROM FORWARDER"/>
    <m/>
    <s v="JASON FAN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75/000010"/>
    <n v="1370149293"/>
    <n v="10"/>
    <x v="7"/>
    <x v="7"/>
    <s v="M1"/>
    <n v="1830003164"/>
    <n v="8"/>
    <s v="VU2021F0       "/>
    <s v="VU2021F0 DESK FAN CLASSIC                         "/>
    <s v="S"/>
    <d v="2012-01-17T00:00:00"/>
    <m/>
    <s v="X"/>
    <x v="54"/>
    <n v="11.425000000000001"/>
    <n v="10"/>
    <d v="2012-02-17T00:00:00"/>
    <d v="2012-01-13T00:00:00"/>
    <n v="900"/>
    <d v="2012-01-13T00:00:00"/>
    <n v="900"/>
    <m/>
    <d v="2012-01-13T00:00:00"/>
    <n v="900"/>
    <d v="2012-02-15T00:00:00"/>
    <d v="2012-01-11T00:00:00"/>
    <n v="900"/>
    <n v="900"/>
    <x v="17"/>
    <d v="2012-02-15T00:00:00"/>
    <m/>
    <n v="9321660527"/>
    <n v="10"/>
    <s v="PONU1638886"/>
    <s v="GRETE MAERSK 121W/"/>
    <m/>
    <s v="YANTIAN"/>
    <m/>
    <m/>
    <s v="JASON FAN"/>
    <s v="FO9"/>
    <s v="HOME COMFORT                  "/>
    <s v="CONFIRMED"/>
    <n v="1"/>
    <n v="2"/>
    <d v="2012-01-11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757/000010"/>
    <n v="1370149286"/>
    <n v="10"/>
    <x v="22"/>
    <x v="22"/>
    <s v="N4"/>
    <n v="7211000503"/>
    <n v="177"/>
    <n v="211000503"/>
    <s v="AF101932 FRY UNO FIX ALU WHT/RED EUR              "/>
    <s v="S"/>
    <d v="2012-01-09T00:00:00"/>
    <m/>
    <s v="X"/>
    <x v="54"/>
    <n v="19.092099999999999"/>
    <n v="15"/>
    <d v="2012-02-06T00:00:00"/>
    <d v="2012-01-02T00:00:00"/>
    <n v="810"/>
    <d v="2012-01-05T00:00:00"/>
    <n v="810"/>
    <m/>
    <d v="2012-01-01T00:00:00"/>
    <n v="810"/>
    <d v="2012-02-05T00:00:00"/>
    <d v="2012-01-01T00:00:00"/>
    <n v="810"/>
    <n v="810"/>
    <x v="6"/>
    <d v="2012-02-09T00:00:00"/>
    <m/>
    <n v="9321660538"/>
    <n v="10"/>
    <s v="INBU5064732"/>
    <s v="GRETE MAERSK 121W/"/>
    <m/>
    <s v="NINGBO"/>
    <m/>
    <m/>
    <s v="JASON FAN"/>
    <s v="FO9"/>
    <s v="ELECTRICAL COOKING            "/>
    <s v="CONFIRMED"/>
    <n v="1"/>
    <n v="1"/>
    <d v="2012-01-05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5652/000010"/>
    <n v="1370149217"/>
    <n v="10"/>
    <x v="11"/>
    <x v="11"/>
    <s v="N1"/>
    <n v="2100039731"/>
    <n v="50"/>
    <s v="CB500512       "/>
    <s v="CB500512 PLANCHA COMPACTE 900                     "/>
    <s v="S"/>
    <d v="2012-01-09T00:00:00"/>
    <m/>
    <s v="X"/>
    <x v="54"/>
    <n v="11.72"/>
    <n v="10"/>
    <d v="2012-02-04T00:00:00"/>
    <d v="2011-12-31T00:00:00"/>
    <n v="2720"/>
    <d v="2012-01-03T00:00:00"/>
    <n v="2720"/>
    <m/>
    <d v="2011-12-28T00:00:00"/>
    <n v="2720"/>
    <d v="2012-02-08T00:00:00"/>
    <d v="2012-01-04T00:00:00"/>
    <n v="2720"/>
    <n v="2720"/>
    <x v="2"/>
    <d v="2012-02-08T00:00:00"/>
    <m/>
    <n v="9321660562"/>
    <n v="10"/>
    <s v="MSKU6179265"/>
    <s v="SVEND MAERSK 1202/"/>
    <m/>
    <s v="NINGBO"/>
    <m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63/039733"/>
    <n v="1370149085"/>
    <n v="10"/>
    <x v="0"/>
    <x v="0"/>
    <s v="A2"/>
    <n v="7114000242"/>
    <n v="254"/>
    <n v="114000242"/>
    <s v="P2500735 SLIDE SECURE 5 6QT MX                    "/>
    <s v="S"/>
    <d v="2012-01-05T00:00:00"/>
    <m/>
    <s v="X"/>
    <x v="54"/>
    <n v="28.885300000000001"/>
    <n v="28734"/>
    <d v="2012-02-10T00:00:00"/>
    <d v="2012-01-06T00:00:00"/>
    <n v="850"/>
    <d v="2012-01-06T00:00:00"/>
    <n v="850"/>
    <m/>
    <d v="2012-01-05T00:00:00"/>
    <n v="850"/>
    <d v="2012-02-09T00:00:00"/>
    <d v="2012-01-05T00:00:00"/>
    <n v="850"/>
    <n v="850"/>
    <x v="16"/>
    <d v="2012-02-07T00:00:00"/>
    <m/>
    <n v="9321660567"/>
    <n v="10"/>
    <s v="SUDU1481635"/>
    <s v="MONTE ALEGRE 152E/"/>
    <m/>
    <s v="NINGBO"/>
    <m/>
    <m/>
    <s v="THOMAS HO"/>
    <s v="FO9"/>
    <s v="COOKWARE                      "/>
    <s v="CONFIRMED"/>
    <n v="1"/>
    <n v="1"/>
    <d v="2012-01-0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37741/000010"/>
    <n v="1370149480"/>
    <n v="10"/>
    <x v="22"/>
    <x v="22"/>
    <s v="R2"/>
    <n v="7211000770"/>
    <n v="55"/>
    <n v="211000770"/>
    <s v="KI140550 KET SUBITO 1.7L RED/WHT 127V BR          "/>
    <s v="S"/>
    <d v="2012-01-18T00:00:00"/>
    <m/>
    <s v="X"/>
    <x v="54"/>
    <n v="17.1539"/>
    <n v="18"/>
    <d v="2012-01-28T00:00:00"/>
    <d v="2011-12-17T00:00:00"/>
    <n v="2400"/>
    <d v="2012-01-15T00:00:00"/>
    <n v="1638"/>
    <m/>
    <d v="2011-12-18T00:00:00"/>
    <n v="1638"/>
    <d v="2012-02-26T00:00:00"/>
    <d v="2012-01-15T00:00:00"/>
    <n v="1638"/>
    <n v="1638"/>
    <x v="8"/>
    <d v="2012-02-27T00:00:00"/>
    <m/>
    <n v="9321660576"/>
    <n v="10"/>
    <s v="SUDU7430403"/>
    <s v="MAERSK LUZ 202W/"/>
    <m/>
    <s v="NINGBO"/>
    <m/>
    <m/>
    <s v="THOMAS HO"/>
    <s v="FO9"/>
    <s v="BEVERAGE                      "/>
    <s v="CONFIRMED"/>
    <n v="1"/>
    <n v="3"/>
    <d v="2012-01-16T00:00:00"/>
    <s v="KITCHEN ELECTRICS             "/>
    <s v="BREAKFAST &amp; BREVAGE PREP      "/>
    <x v="0"/>
    <x v="0"/>
    <x v="1"/>
    <m/>
    <n v="0"/>
    <n v="0"/>
    <x v="1"/>
    <n v="0"/>
    <x v="0"/>
    <x v="0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37741/000020"/>
    <n v="1370149480"/>
    <n v="20"/>
    <x v="22"/>
    <x v="22"/>
    <s v="R2"/>
    <n v="7211000767"/>
    <n v="55"/>
    <n v="211000767"/>
    <s v="KI140551 KET SUBITO 1.7L RED/WHT 220V BR          "/>
    <s v="S"/>
    <d v="2012-01-18T00:00:00"/>
    <m/>
    <s v="X"/>
    <x v="54"/>
    <n v="17.106100000000001"/>
    <n v="18"/>
    <d v="2012-01-28T00:00:00"/>
    <d v="2011-12-17T00:00:00"/>
    <n v="2400"/>
    <d v="2012-01-15T00:00:00"/>
    <n v="999"/>
    <m/>
    <d v="2011-12-18T00:00:00"/>
    <n v="999"/>
    <d v="2012-02-26T00:00:00"/>
    <d v="2012-01-15T00:00:00"/>
    <n v="999"/>
    <n v="999"/>
    <x v="8"/>
    <d v="2012-02-27T00:00:00"/>
    <m/>
    <n v="9321660576"/>
    <n v="20"/>
    <s v="SUDU7430403"/>
    <s v="MAERSK LUZ 202W/"/>
    <m/>
    <s v="NINGBO"/>
    <m/>
    <m/>
    <s v="THOMAS HO"/>
    <s v="FO9"/>
    <s v="BEVERAGE                      "/>
    <s v="CONFIRMED"/>
    <n v="1"/>
    <n v="3"/>
    <d v="2012-01-16T00:00:00"/>
    <s v="KITCHEN ELECTRICS             "/>
    <s v="BREAKFAST &amp; BREVAGE PREP      "/>
    <x v="0"/>
    <x v="0"/>
    <x v="1"/>
    <m/>
    <n v="0"/>
    <n v="0"/>
    <x v="1"/>
    <n v="0"/>
    <x v="0"/>
    <x v="0"/>
    <x v="1"/>
    <n v="0"/>
    <n v="1"/>
    <n v="0"/>
    <n v="0"/>
    <n v="0"/>
    <n v="1"/>
    <x v="0"/>
    <x v="0"/>
    <x v="0"/>
    <x v="0"/>
  </r>
  <r>
    <s v="Shipment"/>
    <n v="99005220"/>
    <s v="GROUPE SEB ARGENTINA SA                           "/>
    <n v="99005200"/>
    <x v="33"/>
    <s v="964/000001"/>
    <n v="1370148562"/>
    <n v="10"/>
    <x v="8"/>
    <x v="8"/>
    <s v="K9"/>
    <n v="8000033992"/>
    <n v="38"/>
    <s v="PV2106AR       "/>
    <s v="PV2106AR NDG MELODY 2 RED AR                      "/>
    <s v="S"/>
    <d v="2012-01-07T00:00:00"/>
    <m/>
    <s v="X"/>
    <x v="55"/>
    <n v="44.13"/>
    <n v="50"/>
    <d v="2012-02-12T00:00:00"/>
    <d v="2012-01-01T00:00:00"/>
    <n v="1240"/>
    <d v="2012-01-01T00:00:00"/>
    <n v="1240"/>
    <m/>
    <d v="2012-01-08T00:00:00"/>
    <n v="1240"/>
    <d v="2012-02-12T00:00:00"/>
    <d v="2012-01-01T00:00:00"/>
    <n v="1240"/>
    <n v="1240"/>
    <x v="2"/>
    <d v="2012-02-15T00:00:00"/>
    <m/>
    <n v="9321660616"/>
    <n v="10"/>
    <s v="PONU1874881"/>
    <s v="MAERSK LIMA 152W/"/>
    <m/>
    <s v="YANTIAN"/>
    <m/>
    <m/>
    <s v="THOMAS HO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220"/>
    <s v="GROUPE SEB ARGENTINA SA                           "/>
    <n v="99005200"/>
    <x v="33"/>
    <s v="973/000001"/>
    <n v="1370149565"/>
    <n v="10"/>
    <x v="23"/>
    <x v="23"/>
    <s v="N4"/>
    <n v="2820100750"/>
    <n v="32"/>
    <n v="633809"/>
    <s v="MV100750 ACCESSIMO  3 BOWLS CHROME                "/>
    <s v="S"/>
    <d v="2012-01-28T00:00:00"/>
    <m/>
    <s v="X"/>
    <x v="55"/>
    <n v="16.1571"/>
    <n v="18"/>
    <d v="2012-02-20T00:00:00"/>
    <d v="2012-01-09T00:00:00"/>
    <n v="1932"/>
    <d v="2012-01-09T00:00:00"/>
    <n v="1932"/>
    <m/>
    <d v="2012-01-09T00:00:00"/>
    <n v="1932"/>
    <d v="2012-03-03T00:00:00"/>
    <d v="2012-01-21T00:00:00"/>
    <n v="1932"/>
    <n v="1932"/>
    <x v="4"/>
    <d v="2012-03-04T00:00:00"/>
    <m/>
    <n v="9321660617"/>
    <n v="10"/>
    <s v="SUDU5304366"/>
    <s v="MAERSK LA PAZ 203W/"/>
    <m/>
    <s v="SHANGHAI"/>
    <s v="SP-MTL"/>
    <m/>
    <s v="THOMAS HO"/>
    <s v="FO9"/>
    <s v="ELECTRICAL COOKING            "/>
    <s v="CONFIRMED"/>
    <n v="1"/>
    <n v="3"/>
    <d v="2012-01-22T00:00:00"/>
    <s v="KITCHEN ELECTRICS             "/>
    <s v="ELECTRICAL COOKING            "/>
    <x v="0"/>
    <x v="0"/>
    <x v="9"/>
    <s v="SP-MTL"/>
    <n v="1"/>
    <n v="1"/>
    <x v="10"/>
    <n v="1"/>
    <x v="0"/>
    <x v="0"/>
    <x v="0"/>
    <n v="0"/>
    <n v="0"/>
    <n v="0"/>
    <n v="0"/>
    <n v="0"/>
    <n v="0"/>
    <x v="1"/>
    <x v="0"/>
    <x v="1"/>
    <x v="0"/>
  </r>
  <r>
    <s v="Shipment"/>
    <n v="99008300"/>
    <s v="KRUPS GmbH &amp; Co. KG                               "/>
    <n v="99008300"/>
    <x v="15"/>
    <s v="4500262041/000010"/>
    <n v="1370149372"/>
    <n v="10"/>
    <x v="49"/>
    <x v="49"/>
    <s v="R1"/>
    <n v="1500572103"/>
    <n v="23"/>
    <n v="572103"/>
    <s v="F1517010 TOASTCONTROL  CLASSIC                    "/>
    <s v="S"/>
    <d v="2012-01-10T00:00:00"/>
    <m/>
    <s v="X"/>
    <x v="55"/>
    <n v="8.17"/>
    <n v="7"/>
    <d v="2012-01-30T00:00:00"/>
    <d v="2011-12-26T00:00:00"/>
    <n v="1854"/>
    <d v="2012-01-03T00:00:00"/>
    <n v="1854"/>
    <m/>
    <d v="2012-01-03T00:00:00"/>
    <n v="1854"/>
    <d v="2012-02-07T00:00:00"/>
    <d v="2012-01-03T00:00:00"/>
    <n v="1854"/>
    <n v="1854"/>
    <x v="0"/>
    <d v="2012-02-13T00:00:00"/>
    <m/>
    <n v="9321660629"/>
    <n v="10"/>
    <s v="MOFU5810067"/>
    <s v="HYUNDAI FORCE/017W"/>
    <m/>
    <s v="YANTIAN"/>
    <s v="SP-NO-FORECAST/"/>
    <m/>
    <s v="AGNES NUNES"/>
    <s v="FO9"/>
    <s v="BEVERAGE                      "/>
    <s v="CONFIRMED"/>
    <n v="1"/>
    <n v="2"/>
    <d v="2012-01-09T00:00:00"/>
    <s v="KITCHEN ELECTRICS             "/>
    <s v="BREAKFAST &amp; BREVAGE PREP      "/>
    <x v="2"/>
    <x v="1"/>
    <x v="14"/>
    <s v="SP-NO-FORECAST"/>
    <n v="-3"/>
    <n v="-3"/>
    <x v="15"/>
    <n v="1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8304/000010"/>
    <n v="1370149242"/>
    <n v="10"/>
    <x v="2"/>
    <x v="2"/>
    <s v="R1"/>
    <n v="1500635402"/>
    <n v="27"/>
    <n v="635402"/>
    <s v="FG150830 FCM SUBITO MINI 6C BLK/SS EUR            "/>
    <s v="S"/>
    <d v="2012-01-21T00:00:00"/>
    <m/>
    <s v="X"/>
    <x v="55"/>
    <n v="6.5"/>
    <n v="6"/>
    <d v="2012-02-17T00:00:00"/>
    <d v="2012-01-13T00:00:00"/>
    <n v="2096"/>
    <d v="2012-01-13T00:00:00"/>
    <n v="2096"/>
    <m/>
    <d v="2012-01-13T00:00:00"/>
    <n v="2096"/>
    <d v="2012-02-24T00:00:00"/>
    <d v="2012-01-20T00:00:00"/>
    <n v="2096"/>
    <n v="2096"/>
    <x v="26"/>
    <d v="2012-02-25T00:00:00"/>
    <m/>
    <n v="9321660633"/>
    <n v="10"/>
    <s v="MSKU6460246"/>
    <s v="MAERSK EINDHOVEN/120"/>
    <m/>
    <s v="YANTIAN"/>
    <s v="SAILING-SCHED-UPDATE/CONS-SHIPT/"/>
    <m/>
    <s v="JASON FAN"/>
    <s v="FO9"/>
    <s v="BEVERAGE                      "/>
    <s v="CONFIRMED"/>
    <n v="1"/>
    <n v="3"/>
    <d v="2012-01-21T00:00:00"/>
    <s v="KITCHEN ELECTRICS             "/>
    <s v="BREAKFAST &amp; BREVAGE PREP      "/>
    <x v="1"/>
    <x v="1"/>
    <x v="10"/>
    <s v="CONS-SHIPT"/>
    <n v="-3"/>
    <n v="-3"/>
    <x v="8"/>
    <n v="2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55651/000010"/>
    <n v="1370149271"/>
    <n v="10"/>
    <x v="11"/>
    <x v="11"/>
    <s v="N1"/>
    <n v="2100039731"/>
    <n v="50"/>
    <s v="CB500512       "/>
    <s v="CB500512 PLANCHA COMPACTE 900                     "/>
    <s v="S"/>
    <d v="2012-01-07T00:00:00"/>
    <m/>
    <s v="X"/>
    <x v="55"/>
    <n v="11.72"/>
    <n v="10"/>
    <d v="2012-02-04T00:00:00"/>
    <d v="2011-12-31T00:00:00"/>
    <n v="3200"/>
    <d v="2012-01-03T00:00:00"/>
    <n v="3200"/>
    <m/>
    <d v="2011-12-28T00:00:00"/>
    <n v="3200"/>
    <d v="2012-02-08T00:00:00"/>
    <d v="2012-01-04T00:00:00"/>
    <n v="3200"/>
    <n v="3200"/>
    <x v="2"/>
    <d v="2012-02-08T00:00:00"/>
    <m/>
    <n v="9321660636"/>
    <n v="10"/>
    <s v="MSKU0391739"/>
    <s v="SVEND MAERSK 1202/"/>
    <m/>
    <s v="NINGBO"/>
    <m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8222/000010"/>
    <n v="1370149334"/>
    <n v="10"/>
    <x v="58"/>
    <x v="58"/>
    <s v="A3"/>
    <n v="2100067499"/>
    <n v="231"/>
    <s v="J0915S64       "/>
    <s v="J0915S64 2PC 15&quot;&amp;17&quot;BAKING SHEET SET EME          "/>
    <s v="S"/>
    <d v="2012-01-20T00:00:00"/>
    <m/>
    <s v="X"/>
    <x v="51"/>
    <n v="6.23"/>
    <n v="8"/>
    <d v="2012-01-30T00:00:00"/>
    <d v="2011-12-26T00:00:00"/>
    <n v="1200"/>
    <d v="2012-01-17T00:00:00"/>
    <n v="1200"/>
    <m/>
    <d v="2011-12-26T00:00:00"/>
    <n v="1200"/>
    <d v="2012-02-20T00:00:00"/>
    <d v="2012-01-16T00:00:00"/>
    <n v="1200"/>
    <n v="1200"/>
    <x v="21"/>
    <d v="2012-02-22T00:00:00"/>
    <m/>
    <n v="9321660645"/>
    <n v="10"/>
    <s v="TTNU3926272"/>
    <s v="CMA CGM TANCREDI 557"/>
    <m/>
    <s v="YANTIAN"/>
    <s v="CONS-SHIPT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5189/000010"/>
    <n v="1370149344"/>
    <n v="10"/>
    <x v="22"/>
    <x v="22"/>
    <s v="N4"/>
    <n v="7211000514"/>
    <n v="177"/>
    <n v="211000514"/>
    <s v="FR702D50 EMERIL BY TFAL 1.8 LITER FRYER           "/>
    <s v="S"/>
    <d v="2012-01-14T00:00:00"/>
    <m/>
    <s v="X"/>
    <x v="51"/>
    <n v="43.435899999999997"/>
    <n v="45"/>
    <d v="2012-01-30T00:00:00"/>
    <d v="2011-12-26T00:00:00"/>
    <n v="4500"/>
    <d v="2012-01-13T00:00:00"/>
    <n v="4500"/>
    <m/>
    <d v="2012-01-13T00:00:00"/>
    <n v="4500"/>
    <d v="2012-02-17T00:00:00"/>
    <d v="2012-01-13T00:00:00"/>
    <n v="4500"/>
    <n v="1337"/>
    <x v="24"/>
    <d v="2012-02-17T00:00:00"/>
    <m/>
    <n v="9321660646"/>
    <n v="10"/>
    <s v="SCZU3968667"/>
    <s v="NYK CONSTELLATION/26"/>
    <m/>
    <s v="NINGBO"/>
    <s v="SP-OVERCAP/C-POSTPONE/CLX- NEG( NOV 21)"/>
    <m/>
    <s v="TWEETY LEUNG"/>
    <s v="FO9"/>
    <s v="ELECTRICAL COOKING            "/>
    <s v="CONFIRMED"/>
    <n v="1"/>
    <n v="2"/>
    <d v="2012-01-13T00:00:00"/>
    <s v="KITCHEN ELECTRICS             "/>
    <s v="ELECTRICAL COOKING            "/>
    <x v="0"/>
    <x v="0"/>
    <x v="11"/>
    <s v="SP-OVERCAP"/>
    <n v="-3"/>
    <n v="-3"/>
    <x v="9"/>
    <n v="3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5189/000010"/>
    <n v="1370149344"/>
    <n v="10"/>
    <x v="22"/>
    <x v="22"/>
    <s v="N4"/>
    <n v="7211000514"/>
    <n v="177"/>
    <n v="211000514"/>
    <s v="FR702D50 EMERIL BY TFAL 1.8 LITER FRYER           "/>
    <s v="S"/>
    <d v="2012-01-14T00:00:00"/>
    <m/>
    <s v="X"/>
    <x v="51"/>
    <n v="43.435899999999997"/>
    <n v="45"/>
    <d v="2012-01-30T00:00:00"/>
    <d v="2011-12-26T00:00:00"/>
    <n v="4500"/>
    <d v="2012-01-13T00:00:00"/>
    <n v="4500"/>
    <m/>
    <d v="2012-01-13T00:00:00"/>
    <n v="4500"/>
    <d v="2012-02-17T00:00:00"/>
    <d v="2012-01-13T00:00:00"/>
    <n v="4500"/>
    <n v="1337"/>
    <x v="24"/>
    <d v="2012-02-17T00:00:00"/>
    <m/>
    <n v="9321660646"/>
    <n v="10"/>
    <s v="GATU8317583"/>
    <s v="NYK CONSTELLATION/26"/>
    <m/>
    <s v="NINGBO"/>
    <s v="SP-OVERCAP/C-POSTPONE/CLX- NEG( NOV 21)"/>
    <m/>
    <s v="TWEETY LEUNG"/>
    <s v="FO9"/>
    <s v="ELECTRICAL COOKING            "/>
    <s v="CONFIRMED"/>
    <n v="1"/>
    <n v="2"/>
    <d v="2012-01-13T00:00:00"/>
    <s v="KITCHEN ELECTRICS             "/>
    <s v="ELECTRICAL COOKING            "/>
    <x v="0"/>
    <x v="0"/>
    <x v="11"/>
    <s v="SP-OVERCAP"/>
    <n v="-3"/>
    <n v="-3"/>
    <x v="9"/>
    <n v="3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5189/000010"/>
    <n v="1370149344"/>
    <n v="10"/>
    <x v="22"/>
    <x v="22"/>
    <s v="N4"/>
    <n v="7211000514"/>
    <n v="177"/>
    <n v="211000514"/>
    <s v="FR702D50 EMERIL BY TFAL 1.8 LITER FRYER           "/>
    <s v="S"/>
    <d v="2012-01-14T00:00:00"/>
    <m/>
    <s v="X"/>
    <x v="51"/>
    <n v="43.435899999999997"/>
    <n v="45"/>
    <d v="2012-01-30T00:00:00"/>
    <d v="2011-12-26T00:00:00"/>
    <n v="4500"/>
    <d v="2012-01-13T00:00:00"/>
    <n v="4500"/>
    <m/>
    <d v="2012-01-13T00:00:00"/>
    <n v="4500"/>
    <d v="2012-02-17T00:00:00"/>
    <d v="2012-01-13T00:00:00"/>
    <n v="4500"/>
    <n v="1337"/>
    <x v="24"/>
    <d v="2012-02-17T00:00:00"/>
    <m/>
    <n v="9321660646"/>
    <n v="10"/>
    <s v="HLXU6016480"/>
    <s v="NYK CONSTELLATION/26"/>
    <m/>
    <s v="NINGBO"/>
    <s v="SP-OVERCAP/C-POSTPONE/CLX- NEG( NOV 21)"/>
    <m/>
    <s v="TWEETY LEUNG"/>
    <s v="FO9"/>
    <s v="ELECTRICAL COOKING            "/>
    <s v="CONFIRMED"/>
    <n v="1"/>
    <n v="2"/>
    <d v="2012-01-13T00:00:00"/>
    <s v="KITCHEN ELECTRICS             "/>
    <s v="ELECTRICAL COOKING            "/>
    <x v="0"/>
    <x v="0"/>
    <x v="11"/>
    <s v="SP-OVERCAP"/>
    <n v="-3"/>
    <n v="-3"/>
    <x v="9"/>
    <n v="3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5189/000010"/>
    <n v="1370149344"/>
    <n v="10"/>
    <x v="22"/>
    <x v="22"/>
    <s v="N4"/>
    <n v="7211000514"/>
    <n v="177"/>
    <n v="211000514"/>
    <s v="FR702D50 EMERIL BY TFAL 1.8 LITER FRYER           "/>
    <s v="S"/>
    <d v="2012-01-14T00:00:00"/>
    <m/>
    <s v="X"/>
    <x v="51"/>
    <n v="43.435899999999997"/>
    <n v="45"/>
    <d v="2012-01-30T00:00:00"/>
    <d v="2011-12-26T00:00:00"/>
    <n v="4500"/>
    <d v="2012-01-13T00:00:00"/>
    <n v="4500"/>
    <m/>
    <d v="2012-01-13T00:00:00"/>
    <n v="4500"/>
    <d v="2012-02-17T00:00:00"/>
    <d v="2012-01-13T00:00:00"/>
    <n v="4500"/>
    <n v="489"/>
    <x v="24"/>
    <d v="2012-02-17T00:00:00"/>
    <m/>
    <n v="9321660646"/>
    <n v="10"/>
    <s v="CPSU4725528"/>
    <s v="NYK CONSTELLATION/26"/>
    <m/>
    <s v="NINGBO"/>
    <s v="SP-OVERCAP/C-POSTPONE/CLX- NEG( NOV 21)"/>
    <m/>
    <s v="TWEETY LEUNG"/>
    <s v="FO9"/>
    <s v="ELECTRICAL COOKING            "/>
    <s v="CONFIRMED"/>
    <n v="1"/>
    <n v="2"/>
    <d v="2012-01-13T00:00:00"/>
    <s v="KITCHEN ELECTRICS             "/>
    <s v="ELECTRICAL COOKING            "/>
    <x v="0"/>
    <x v="0"/>
    <x v="11"/>
    <s v="SP-OVERCAP"/>
    <n v="-3"/>
    <n v="-3"/>
    <x v="9"/>
    <n v="3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0588/000010"/>
    <n v="1370149614"/>
    <n v="10"/>
    <x v="20"/>
    <x v="20"/>
    <s v="A7"/>
    <n v="8700800214"/>
    <n v="205"/>
    <n v="59905"/>
    <s v="59905 ASPARAGUS POT  INOX ALL -CLAD               "/>
    <s v="S"/>
    <d v="2012-01-06T00:00:00"/>
    <m/>
    <s v="X"/>
    <x v="55"/>
    <n v="14.75"/>
    <n v="17"/>
    <d v="2012-02-06T00:00:00"/>
    <d v="2012-01-02T00:00:00"/>
    <n v="1500"/>
    <d v="2012-01-02T00:00:00"/>
    <n v="1500"/>
    <m/>
    <d v="2012-01-02T00:00:00"/>
    <n v="1500"/>
    <d v="2012-02-06T00:00:00"/>
    <d v="2012-01-02T00:00:00"/>
    <n v="1500"/>
    <n v="1500"/>
    <x v="13"/>
    <d v="2012-02-05T00:00:00"/>
    <m/>
    <n v="9321660696"/>
    <n v="10"/>
    <s v="TCLU8226939"/>
    <s v="ITAL LAGUNA 0608-036"/>
    <m/>
    <s v="YANTIAN"/>
    <s v="LATE EDI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0589/000010"/>
    <n v="1370149615"/>
    <n v="10"/>
    <x v="20"/>
    <x v="20"/>
    <s v="A7"/>
    <n v="8700800654"/>
    <n v="235"/>
    <s v="T112           "/>
    <s v="T112 12&quot; LOCKING TONGS                            "/>
    <s v="S"/>
    <d v="2012-01-06T00:00:00"/>
    <m/>
    <s v="X"/>
    <x v="55"/>
    <n v="3.92"/>
    <n v="5"/>
    <d v="2012-02-06T00:00:00"/>
    <d v="2012-01-02T00:00:00"/>
    <n v="1536"/>
    <d v="2012-01-02T00:00:00"/>
    <n v="1536"/>
    <m/>
    <d v="2012-01-02T00:00:00"/>
    <n v="1536"/>
    <d v="2012-02-06T00:00:00"/>
    <d v="2012-01-02T00:00:00"/>
    <n v="1536"/>
    <n v="1536"/>
    <x v="13"/>
    <d v="2012-02-05T00:00:00"/>
    <m/>
    <n v="9321660700"/>
    <n v="10"/>
    <s v="LTIU8006025"/>
    <s v="ITAL LAGUNA 0608-036"/>
    <m/>
    <s v="YANTIAN"/>
    <s v="LATE EDI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458/000010"/>
    <n v="1370148052"/>
    <n v="10"/>
    <x v="9"/>
    <x v="9"/>
    <s v="N3"/>
    <n v="1500633278"/>
    <n v="177"/>
    <n v="633278"/>
    <s v="FR402330 VERSALIO LUXE &quot;C+N&quot;                      "/>
    <s v="S"/>
    <d v="2012-01-05T00:00:00"/>
    <m/>
    <s v="X"/>
    <x v="55"/>
    <n v="33.340000000000003"/>
    <n v="8327080"/>
    <d v="2012-02-05T00:00:00"/>
    <d v="2012-01-01T00:00:00"/>
    <n v="1920"/>
    <d v="2012-01-01T00:00:00"/>
    <n v="1920"/>
    <m/>
    <d v="2012-01-01T00:00:00"/>
    <n v="1920"/>
    <d v="2012-02-08T00:00:00"/>
    <d v="2012-01-04T00:00:00"/>
    <n v="1920"/>
    <n v="1920"/>
    <x v="2"/>
    <d v="2012-02-08T00:00:00"/>
    <m/>
    <n v="9321660762"/>
    <n v="10"/>
    <s v="MSKU6774822"/>
    <s v="MAERSK LIMA/152W"/>
    <m/>
    <s v="YANTIAN"/>
    <s v="C-POST-CONF/"/>
    <m/>
    <s v="KENUS WONG"/>
    <s v="FO9"/>
    <s v="ELECTRICAL COOKING            "/>
    <s v="CONFIRMED"/>
    <n v="1"/>
    <n v="1"/>
    <d v="2012-01-04T00:00:00"/>
    <s v="KITCHEN ELECTRICS             "/>
    <s v="ELECTRICAL COOKING            "/>
    <x v="4"/>
    <x v="1"/>
    <x v="3"/>
    <s v="C-POST-CONF"/>
    <n v="-3"/>
    <n v="-3"/>
    <x v="0"/>
    <n v="1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1455/000010"/>
    <n v="1370148036"/>
    <n v="10"/>
    <x v="9"/>
    <x v="9"/>
    <s v="N3"/>
    <n v="1500631043"/>
    <n v="177"/>
    <n v="631043"/>
    <s v="FR401330 VERSALIO                                 "/>
    <s v="S"/>
    <d v="2012-01-05T00:00:00"/>
    <m/>
    <s v="X"/>
    <x v="55"/>
    <n v="31.17"/>
    <n v="7790690"/>
    <d v="2012-02-05T00:00:00"/>
    <d v="2012-01-01T00:00:00"/>
    <n v="1920"/>
    <d v="2012-01-01T00:00:00"/>
    <n v="1920"/>
    <m/>
    <d v="2012-01-01T00:00:00"/>
    <n v="1920"/>
    <d v="2012-02-08T00:00:00"/>
    <d v="2012-01-04T00:00:00"/>
    <n v="1920"/>
    <n v="1920"/>
    <x v="2"/>
    <d v="2012-02-08T00:00:00"/>
    <m/>
    <n v="9321660776"/>
    <n v="10"/>
    <s v="MSKU6212511"/>
    <s v="MAERSK LIMA/152W"/>
    <m/>
    <s v="YANTIAN"/>
    <m/>
    <m/>
    <s v="KENUS WONG"/>
    <s v="FO9"/>
    <s v="ELECTRICAL COOKING            "/>
    <s v="CONFIRMED"/>
    <n v="1"/>
    <n v="1"/>
    <d v="2012-01-04T00:00:00"/>
    <s v="KITCHEN ELECTRICS             "/>
    <s v="ELECTRICAL COOKING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7307/000010"/>
    <n v="1370148902"/>
    <n v="10"/>
    <x v="46"/>
    <x v="46"/>
    <s v="L4"/>
    <n v="1830003509"/>
    <n v="175"/>
    <s v="CF4032M0       "/>
    <s v="CF4032M0 MULTI STYLER APPLIANCE                   "/>
    <s v="S"/>
    <d v="2012-01-17T00:00:00"/>
    <m/>
    <s v="X"/>
    <x v="56"/>
    <n v="15.23"/>
    <n v="17"/>
    <d v="2012-01-09T00:00:00"/>
    <d v="2012-01-08T00:00:00"/>
    <n v="3000"/>
    <d v="2012-01-08T00:00:00"/>
    <n v="2004"/>
    <m/>
    <d v="2012-01-08T00:00:00"/>
    <n v="3000"/>
    <d v="2012-01-09T00:00:00"/>
    <d v="2012-01-08T00:00:00"/>
    <n v="2004"/>
    <n v="2004"/>
    <x v="24"/>
    <d v="2012-01-14T00:00:00"/>
    <m/>
    <n v="9321661475"/>
    <n v="10"/>
    <m/>
    <m/>
    <m/>
    <s v="YANTIAN"/>
    <s v="Changed qty to 2004 pcs by BU on dated Dec. 08/"/>
    <m/>
    <s v="ZANDRA LAM"/>
    <s v="FO9"/>
    <s v="PERSONAL CARE                 "/>
    <s v="CONFIRMED"/>
    <n v="1"/>
    <n v="2"/>
    <d v="2012-01-13T00:00:00"/>
    <s v="LINEN PERS HOME CARE          "/>
    <s v="PERSONAL CARE                 "/>
    <x v="3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6761/000010"/>
    <n v="1370148925"/>
    <n v="10"/>
    <x v="11"/>
    <x v="11"/>
    <s v="J4"/>
    <n v="1830003545"/>
    <n v="1"/>
    <s v="IM1215M0       "/>
    <s v="IM1215M0 STEAM IRON INICIO 15                     "/>
    <s v="S"/>
    <d v="2012-01-18T00:00:00"/>
    <m/>
    <s v="X"/>
    <x v="56"/>
    <n v="8.18"/>
    <n v="9"/>
    <d v="2012-01-09T00:00:00"/>
    <d v="2012-01-06T00:00:00"/>
    <n v="3000"/>
    <d v="2012-01-06T00:00:00"/>
    <n v="3000"/>
    <m/>
    <d v="2012-01-06T00:00:00"/>
    <n v="3000"/>
    <d v="2012-01-09T00:00:00"/>
    <d v="2012-01-06T00:00:00"/>
    <n v="3000"/>
    <n v="3000"/>
    <x v="19"/>
    <d v="2012-01-20T00:00:00"/>
    <m/>
    <n v="9321661535"/>
    <n v="10"/>
    <s v="BY TRUCK"/>
    <s v="BY TRUCK"/>
    <m/>
    <s v="XIAMEN"/>
    <m/>
    <m/>
    <s v="ZANDRA LAM"/>
    <s v="FO9"/>
    <s v="LINEN CARE                    "/>
    <s v="CONFIRMED"/>
    <n v="1"/>
    <n v="3"/>
    <d v="2012-01-17T00:00:00"/>
    <s v="LINEN PERS HOME CARE          "/>
    <s v="LINEN CARE                    "/>
    <x v="5"/>
    <x v="2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103498"/>
    <s v="GSE/DSV BLP WAREHOUSE YANTIAN                     "/>
    <n v="99005151"/>
    <x v="18"/>
    <s v="9321656757/000010"/>
    <n v="1370148907"/>
    <n v="10"/>
    <x v="70"/>
    <x v="70"/>
    <s v="N3"/>
    <n v="1500632914"/>
    <n v="39"/>
    <n v="632914"/>
    <s v="MK100970 RICE COOKER 10C SA/KW                    "/>
    <s v="S"/>
    <d v="2012-01-09T00:00:00"/>
    <m/>
    <s v="X"/>
    <x v="56"/>
    <n v="10.6"/>
    <n v="12"/>
    <d v="2012-01-09T00:00:00"/>
    <d v="2012-01-08T00:00:00"/>
    <n v="2304"/>
    <d v="2012-01-08T00:00:00"/>
    <n v="2304"/>
    <m/>
    <d v="2012-01-08T00:00:00"/>
    <n v="2304"/>
    <d v="2012-01-09T00:00:00"/>
    <d v="2012-01-08T00:00:00"/>
    <n v="2304"/>
    <n v="2304"/>
    <x v="7"/>
    <d v="2012-01-07T00:00:00"/>
    <m/>
    <n v="9321661538"/>
    <n v="10"/>
    <s v="BY TRUCK"/>
    <s v="BY TRUCK"/>
    <m/>
    <s v="YANTIAN"/>
    <s v="UNLOAD JAN06 2012"/>
    <m/>
    <s v="ZANDRA LAM"/>
    <s v="FO9"/>
    <s v="ELECTRICAL COOKING            "/>
    <s v="CONFIRMED"/>
    <n v="1"/>
    <n v="1"/>
    <d v="2012-01-06T00:00:00"/>
    <s v="KITCHEN ELECTRICS             "/>
    <s v="ELECTRICAL COOKING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6764/000010"/>
    <n v="1370148924"/>
    <n v="10"/>
    <x v="25"/>
    <x v="25"/>
    <s v="R9"/>
    <n v="1500573602"/>
    <n v="23"/>
    <n v="573602"/>
    <s v="TT176115 TOAS SUBITO 2S E-R BL/CHPO BLK/          "/>
    <s v="S"/>
    <d v="2012-01-09T00:00:00"/>
    <m/>
    <s v="X"/>
    <x v="56"/>
    <n v="9.32"/>
    <n v="10"/>
    <d v="2012-01-09T00:00:00"/>
    <d v="2012-01-08T00:00:00"/>
    <n v="2394"/>
    <d v="2012-01-08T00:00:00"/>
    <n v="2394"/>
    <m/>
    <d v="2012-01-08T00:00:00"/>
    <n v="2394"/>
    <d v="2012-01-09T00:00:00"/>
    <d v="2012-01-08T00:00:00"/>
    <n v="2394"/>
    <n v="2394"/>
    <x v="12"/>
    <d v="2012-01-08T00:00:00"/>
    <m/>
    <n v="9321661539"/>
    <n v="10"/>
    <s v="BY TRUCK"/>
    <s v="BY TRUCK"/>
    <m/>
    <s v="YANTIAN"/>
    <s v="UNLOAD JAN07 2012"/>
    <m/>
    <s v="ZANDRA LAM"/>
    <s v="FO9"/>
    <s v="BEVERAGE                      "/>
    <s v="CONFIRMED"/>
    <n v="1"/>
    <n v="1"/>
    <d v="2012-01-07T00:00:00"/>
    <s v="KITCHEN ELECTRICS             "/>
    <s v="BREAKFAST &amp; BREVAGE PREP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6631/000010"/>
    <n v="1370148932"/>
    <n v="10"/>
    <x v="25"/>
    <x v="25"/>
    <s v="R1"/>
    <n v="1500576602"/>
    <n v="23"/>
    <n v="576602"/>
    <s v="TT110031 TOAS PRIN1BIS 2S H-X-Z                   "/>
    <s v="S"/>
    <d v="2012-01-11T00:00:00"/>
    <m/>
    <s v="X"/>
    <x v="56"/>
    <n v="6.76"/>
    <n v="8"/>
    <d v="2012-01-16T00:00:00"/>
    <d v="2012-01-15T00:00:00"/>
    <n v="2976"/>
    <d v="2012-01-15T00:00:00"/>
    <n v="2976"/>
    <m/>
    <d v="2012-01-15T00:00:00"/>
    <n v="2976"/>
    <d v="2012-01-16T00:00:00"/>
    <d v="2012-01-15T00:00:00"/>
    <n v="2976"/>
    <n v="2976"/>
    <x v="5"/>
    <d v="2012-01-11T00:00:00"/>
    <m/>
    <n v="9321661542"/>
    <n v="10"/>
    <m/>
    <m/>
    <m/>
    <s v="YANTIAN"/>
    <s v="UNLOAD JAN10 2012"/>
    <m/>
    <s v="ZANDRA LAM"/>
    <s v="FO9"/>
    <s v="BEVERAGE                      "/>
    <s v="CONFIRMED"/>
    <n v="1"/>
    <n v="2"/>
    <d v="2012-01-10T00:00:00"/>
    <s v="KITCHEN ELECTRICS             "/>
    <s v="BREAKFAST &amp; BREVAGE PREP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7265/000010"/>
    <n v="1370148905"/>
    <n v="10"/>
    <x v="17"/>
    <x v="17"/>
    <s v="L4"/>
    <n v="1830003080"/>
    <n v="131"/>
    <s v="SF3012F4       "/>
    <s v="SF3012F4 ECO ELITE STRAIGHTENER                   "/>
    <s v="S"/>
    <d v="2012-01-06T00:00:00"/>
    <m/>
    <s v="X"/>
    <x v="56"/>
    <n v="7.42"/>
    <n v="8382"/>
    <d v="2012-01-05T00:00:00"/>
    <d v="2012-01-04T00:00:00"/>
    <n v="3000"/>
    <d v="2012-01-04T00:00:00"/>
    <n v="3000"/>
    <m/>
    <d v="2012-01-04T00:00:00"/>
    <n v="3000"/>
    <d v="2012-01-07T00:00:00"/>
    <d v="2012-01-06T00:00:00"/>
    <n v="3000"/>
    <n v="3000"/>
    <x v="6"/>
    <d v="2012-01-06T00:00:00"/>
    <m/>
    <n v="9321661548"/>
    <n v="10"/>
    <s v="BY TRUCK"/>
    <s v="BY TRUCK"/>
    <m/>
    <s v="YANTIAN"/>
    <s v="UNLOAD JAN05"/>
    <m/>
    <s v="ZANDRA LAM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6768/000010"/>
    <n v="1370148921"/>
    <n v="10"/>
    <x v="9"/>
    <x v="9"/>
    <s v="N3"/>
    <n v="1500633265"/>
    <n v="39"/>
    <n v="633265"/>
    <s v="RK400671 RC COMFORT 10C &quot;R&quot;                       "/>
    <s v="S"/>
    <d v="2012-01-13T00:00:00"/>
    <m/>
    <s v="X"/>
    <x v="56"/>
    <n v="14.63"/>
    <n v="17"/>
    <d v="2012-01-09T00:00:00"/>
    <d v="2012-01-08T00:00:00"/>
    <n v="1898"/>
    <d v="2012-01-08T00:00:00"/>
    <n v="1898"/>
    <m/>
    <d v="2012-01-08T00:00:00"/>
    <n v="1898"/>
    <d v="2012-01-13T00:00:00"/>
    <d v="2012-01-12T00:00:00"/>
    <n v="1898"/>
    <n v="1898"/>
    <x v="10"/>
    <d v="2012-01-13T00:00:00"/>
    <m/>
    <n v="9321661549"/>
    <n v="10"/>
    <s v="BY TRUCK"/>
    <s v="BY TRUCK"/>
    <m/>
    <s v="YANTIAN"/>
    <m/>
    <m/>
    <s v="ZANDRA LAM"/>
    <s v="FO9"/>
    <s v="ELECTRICAL COOKING            "/>
    <s v="CONFIRMED"/>
    <n v="1"/>
    <n v="2"/>
    <d v="2012-01-12T00:00:00"/>
    <s v="KITCHEN ELECTRICS             "/>
    <s v="ELECTRICAL COOKING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52377/000010"/>
    <n v="1370147893"/>
    <n v="10"/>
    <x v="77"/>
    <x v="77"/>
    <s v="A3"/>
    <n v="2100011908"/>
    <n v="232"/>
    <n v="9189202"/>
    <s v="918920 KITCHEN ROLL DISPENSER TEFAL               "/>
    <s v="S"/>
    <d v="2012-01-06T00:00:00"/>
    <m/>
    <s v="X"/>
    <x v="56"/>
    <n v="5.8"/>
    <n v="5125"/>
    <d v="2012-02-06T00:00:00"/>
    <d v="2012-01-02T00:00:00"/>
    <n v="2300"/>
    <d v="2012-01-02T00:00:00"/>
    <n v="2296"/>
    <m/>
    <m/>
    <m/>
    <d v="2012-02-06T00:00:00"/>
    <d v="2012-01-02T00:00:00"/>
    <n v="2296"/>
    <n v="2296"/>
    <x v="16"/>
    <d v="2012-02-07T00:00:00"/>
    <m/>
    <n v="9321661560"/>
    <n v="10"/>
    <s v="APZU3726640"/>
    <s v="CHINA EXPRESS/008W"/>
    <m/>
    <s v="HONG KONG"/>
    <m/>
    <m/>
    <s v="JASON FAN"/>
    <s v="FO9"/>
    <s v="COOKWARE                      "/>
    <s v="CONFIRMED"/>
    <n v="1"/>
    <n v="1"/>
    <d v="2012-01-03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0"/>
    <n v="1"/>
    <n v="0"/>
    <n v="0"/>
    <n v="1"/>
    <x v="0"/>
    <x v="0"/>
    <x v="1"/>
    <x v="1"/>
  </r>
  <r>
    <s v="Shipment"/>
    <n v="99103498"/>
    <s v="GSE/DSV BLP WAREHOUSE YANTIAN                     "/>
    <n v="99005151"/>
    <x v="18"/>
    <s v="9321656692/000010"/>
    <n v="1370148910"/>
    <n v="10"/>
    <x v="11"/>
    <x v="11"/>
    <s v="J4"/>
    <n v="1830003235"/>
    <n v="1"/>
    <s v="IM1215E0       "/>
    <s v="IM1215E0 STEAM IRON NICIO 15                      "/>
    <s v="S"/>
    <d v="2012-01-18T00:00:00"/>
    <m/>
    <s v="X"/>
    <x v="56"/>
    <n v="7.17"/>
    <n v="8"/>
    <d v="2012-01-16T00:00:00"/>
    <d v="2012-01-13T00:00:00"/>
    <n v="4320"/>
    <d v="2012-01-13T00:00:00"/>
    <n v="4320"/>
    <m/>
    <d v="2012-01-13T00:00:00"/>
    <n v="4320"/>
    <d v="2012-01-16T00:00:00"/>
    <d v="2012-01-13T00:00:00"/>
    <n v="4320"/>
    <n v="4320"/>
    <x v="19"/>
    <d v="2012-01-20T00:00:00"/>
    <m/>
    <n v="9321661564"/>
    <n v="10"/>
    <s v="BY TRUCK"/>
    <s v="BY TRUCK"/>
    <m/>
    <s v="XIAMEN"/>
    <m/>
    <m/>
    <s v="ZANDRA LAM"/>
    <s v="FO9"/>
    <s v="LINEN CARE                    "/>
    <s v="CONFIRMED"/>
    <n v="1"/>
    <n v="3"/>
    <d v="2012-01-17T00:00:00"/>
    <s v="LINEN PERS HOME CARE          "/>
    <s v="LINEN CARE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6643/000010"/>
    <n v="1370148930"/>
    <n v="10"/>
    <x v="9"/>
    <x v="9"/>
    <s v="N3"/>
    <n v="1500632400"/>
    <n v="177"/>
    <n v="632400"/>
    <s v="AF100130 PRINCIPIO IT/MO-PO/FR                    "/>
    <s v="S"/>
    <d v="2012-01-06T00:00:00"/>
    <m/>
    <s v="X"/>
    <x v="56"/>
    <n v="16.04"/>
    <n v="18700"/>
    <d v="2012-01-16T00:00:00"/>
    <d v="2012-01-15T00:00:00"/>
    <n v="1344"/>
    <d v="2012-01-05T00:00:00"/>
    <n v="1344"/>
    <m/>
    <d v="2012-01-15T00:00:00"/>
    <n v="1344"/>
    <d v="2012-01-06T00:00:00"/>
    <d v="2012-01-05T00:00:00"/>
    <n v="1344"/>
    <n v="1344"/>
    <x v="6"/>
    <d v="2012-01-06T00:00:00"/>
    <m/>
    <n v="9321661565"/>
    <n v="10"/>
    <s v="BY TRUCK"/>
    <s v="BY TRUCK"/>
    <m/>
    <s v="YANTIAN"/>
    <s v="UNLOAD JAN05"/>
    <m/>
    <s v="ZANDRA LAM"/>
    <s v="FO9"/>
    <s v="ELECTRICAL COOKING            "/>
    <s v="CONFIRMED"/>
    <n v="1"/>
    <n v="1"/>
    <d v="2012-01-05T00:00:00"/>
    <s v="KITCHEN ELECTRICS             "/>
    <s v="ELECTRICAL COOKING            "/>
    <x v="4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6779/000010"/>
    <n v="1370148906"/>
    <n v="10"/>
    <x v="9"/>
    <x v="9"/>
    <s v="N3"/>
    <n v="1500632413"/>
    <n v="177"/>
    <n v="632413"/>
    <s v="AF100170 PRINCIPIO CF TAC &quot;R&quot;                     "/>
    <s v="S"/>
    <d v="2012-01-06T00:00:00"/>
    <m/>
    <s v="X"/>
    <x v="56"/>
    <n v="16.350000000000001"/>
    <n v="19063"/>
    <d v="2012-01-09T00:00:00"/>
    <d v="2012-01-08T00:00:00"/>
    <n v="672"/>
    <d v="2012-01-08T00:00:00"/>
    <n v="672"/>
    <m/>
    <d v="2012-01-08T00:00:00"/>
    <n v="672"/>
    <d v="2012-01-06T00:00:00"/>
    <d v="2012-01-05T00:00:00"/>
    <n v="672"/>
    <n v="672"/>
    <x v="6"/>
    <d v="2012-01-06T00:00:00"/>
    <m/>
    <n v="9321661567"/>
    <n v="10"/>
    <s v="BY TRUCK"/>
    <s v="BY TRUCK"/>
    <m/>
    <s v="YANTIAN"/>
    <m/>
    <m/>
    <s v="ZANDRA LAM"/>
    <s v="FO9"/>
    <s v="ELECTRICAL COOKING            "/>
    <s v="CONFIRMED"/>
    <n v="1"/>
    <n v="1"/>
    <d v="2012-01-05T00:00:00"/>
    <s v="KITCHEN ELECTRICS             "/>
    <s v="ELECTRICAL COOKING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C-11-003/PHL/"/>
    <n v="1370149863"/>
    <n v="20"/>
    <x v="0"/>
    <x v="0"/>
    <s v="AA"/>
    <n v="7116000285"/>
    <n v="201"/>
    <n v="116000285"/>
    <s v="TW7004 SET SCP16 + DUTCHOV 24+ FRY 24 HA          "/>
    <s v="S"/>
    <d v="2012-01-26T00:00:00"/>
    <m/>
    <s v="X"/>
    <x v="56"/>
    <n v="18.642900000000001"/>
    <n v="19"/>
    <d v="2011-11-30T00:00:00"/>
    <d v="2011-11-30T00:00:00"/>
    <n v="1000"/>
    <d v="2012-01-21T00:00:00"/>
    <n v="1000"/>
    <m/>
    <d v="2012-01-21T00:00:00"/>
    <n v="1000"/>
    <d v="2012-01-21T00:00:00"/>
    <d v="2012-01-21T00:00:00"/>
    <n v="1000"/>
    <n v="1000"/>
    <x v="26"/>
    <d v="2012-01-21T00:00:00"/>
    <m/>
    <n v="9321661658"/>
    <n v="10"/>
    <s v="WHLU4094668"/>
    <s v="WAN HAI 602 V.019W"/>
    <m/>
    <s v="NINGBO"/>
    <s v="SP-OVERCAP/"/>
    <m/>
    <s v="THOMAS HO"/>
    <s v="FO9"/>
    <s v="COOKWARE                      "/>
    <s v="CONFIRMED"/>
    <n v="1"/>
    <n v="3"/>
    <d v="2012-01-21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7325"/>
    <s v="Spedition Hendricks GmbH &amp; Co.KG                  "/>
    <n v="99008300"/>
    <x v="15"/>
    <s v="4500262445/000010"/>
    <n v="1370149600"/>
    <n v="10"/>
    <x v="55"/>
    <x v="55"/>
    <s v="P4"/>
    <n v="8000034172"/>
    <n v="77"/>
    <s v="QA402GB2       "/>
    <s v="QA402GB2 KTM MC GOURMET+RBK RED NE                "/>
    <s v="S"/>
    <d v="2012-02-01T00:00:00"/>
    <m/>
    <s v="X"/>
    <x v="57"/>
    <n v="74.5"/>
    <n v="64"/>
    <d v="2012-02-16T00:00:00"/>
    <d v="2012-01-12T00:00:00"/>
    <n v="700"/>
    <d v="2012-01-12T00:00:00"/>
    <n v="700"/>
    <m/>
    <d v="2012-02-08T00:00:00"/>
    <n v="700"/>
    <d v="2012-02-23T00:00:00"/>
    <d v="2012-01-19T00:00:00"/>
    <n v="700"/>
    <n v="700"/>
    <x v="14"/>
    <d v="2012-02-24T00:00:00"/>
    <m/>
    <n v="9321662472"/>
    <n v="10"/>
    <s v="APHU6011523"/>
    <s v="MOL MATRIX/010W"/>
    <m/>
    <s v="YANTIAN"/>
    <s v="SP-OVERCAP/"/>
    <m/>
    <s v="AGNES NUNES"/>
    <s v="FO9"/>
    <s v="FOOD PREPARATION              "/>
    <s v="CONFIRMED"/>
    <n v="1"/>
    <n v="3"/>
    <d v="2012-01-20T00:00:00"/>
    <s v="KITCHEN ELECTRICS             "/>
    <s v="FOOD PREPARATION              "/>
    <x v="4"/>
    <x v="1"/>
    <x v="11"/>
    <s v="SP-OVERCAP"/>
    <n v="-3"/>
    <n v="-3"/>
    <x v="9"/>
    <n v="1"/>
    <x v="0"/>
    <x v="0"/>
    <x v="0"/>
    <n v="1"/>
    <n v="0"/>
    <n v="0"/>
    <n v="0"/>
    <n v="0"/>
    <n v="0"/>
    <x v="0"/>
    <x v="1"/>
    <x v="1"/>
    <x v="0"/>
  </r>
  <r>
    <s v="Shipment"/>
    <n v="99002102"/>
    <s v="GROUPE SEB ITALIA S.p.a                           "/>
    <n v="99002102"/>
    <x v="14"/>
    <s v="4600079152/000250"/>
    <n v="1370149992"/>
    <n v="250"/>
    <x v="55"/>
    <x v="55"/>
    <s v="P1"/>
    <n v="1500819841"/>
    <n v="104"/>
    <n v="819841"/>
    <s v="GVA241 MCHP SPEEDY PRO WHT ES                     "/>
    <s v="S"/>
    <d v="2012-01-19T00:00:00"/>
    <m/>
    <s v="X"/>
    <x v="57"/>
    <n v="15.92"/>
    <n v="14"/>
    <d v="2012-02-13T00:00:00"/>
    <d v="2012-01-16T00:00:00"/>
    <n v="1002"/>
    <d v="2012-01-16T00:00:00"/>
    <n v="1002"/>
    <m/>
    <d v="2012-02-10T00:00:00"/>
    <n v="1002"/>
    <d v="2012-02-13T00:00:00"/>
    <d v="2012-01-16T00:00:00"/>
    <n v="1002"/>
    <n v="1002"/>
    <x v="19"/>
    <d v="2012-02-14T00:00:00"/>
    <m/>
    <n v="9321662473"/>
    <n v="10"/>
    <s v="CLHU8555223"/>
    <s v="APL HAMBURG/015W"/>
    <m/>
    <s v="YANTIAN"/>
    <s v="C-PULLIN-CONF/SP-MTL/SP-HOLIDAY/"/>
    <m/>
    <s v="JASON FAN"/>
    <s v="FO9"/>
    <s v="FOOD PREPARATION              "/>
    <s v="CONFIRMED"/>
    <n v="1"/>
    <n v="3"/>
    <d v="2012-01-17T00:00:00"/>
    <s v="KITCHEN ELECTRICS             "/>
    <s v="FOOD PREPARATION              "/>
    <x v="4"/>
    <x v="1"/>
    <x v="9"/>
    <s v="SP-HOLIDAY"/>
    <n v="1"/>
    <n v="-3"/>
    <x v="6"/>
    <n v="3"/>
    <x v="0"/>
    <x v="1"/>
    <x v="0"/>
    <n v="1"/>
    <n v="0"/>
    <n v="1"/>
    <n v="0"/>
    <n v="0"/>
    <n v="1"/>
    <x v="0"/>
    <x v="0"/>
    <x v="1"/>
    <x v="1"/>
  </r>
  <r>
    <s v="Shipment"/>
    <n v="99008300"/>
    <s v="KRUPS GmbH &amp; Co. KG                               "/>
    <n v="99008300"/>
    <x v="15"/>
    <s v="4500262108/000010"/>
    <n v="1370149378"/>
    <n v="10"/>
    <x v="16"/>
    <x v="16"/>
    <s v="P1"/>
    <n v="1500811234"/>
    <n v="106"/>
    <n v="811234"/>
    <s v="GN500131 HMX 3MIX5000 WHT EUR                     "/>
    <s v="S"/>
    <d v="2012-01-29T00:00:00"/>
    <m/>
    <s v="X"/>
    <x v="57"/>
    <n v="18.262"/>
    <n v="15"/>
    <d v="2012-02-08T00:00:00"/>
    <d v="2012-01-04T00:00:00"/>
    <n v="3344"/>
    <d v="2012-01-18T00:00:00"/>
    <n v="3344"/>
    <m/>
    <d v="2012-01-18T00:00:00"/>
    <n v="3344"/>
    <d v="2012-02-22T00:00:00"/>
    <d v="2012-01-18T00:00:00"/>
    <n v="3344"/>
    <n v="3344"/>
    <x v="1"/>
    <d v="2012-02-27T00:00:00"/>
    <m/>
    <n v="9321662478"/>
    <n v="10"/>
    <s v="MOAU6517663"/>
    <s v="HYUNDAI NAVARINO/006"/>
    <m/>
    <s v="YANTIAN"/>
    <s v="BU-ETD-TEMP/"/>
    <m/>
    <s v="AGNES NUNES"/>
    <s v="FO9"/>
    <s v="FOOD PREPARATION              "/>
    <s v="CONFIRMED"/>
    <n v="1"/>
    <n v="4"/>
    <d v="2012-01-23T00:00:00"/>
    <s v="KITCHEN ELECTRICS             "/>
    <s v="FOOD PREPARATION              "/>
    <x v="3"/>
    <x v="2"/>
    <x v="4"/>
    <s v="BU-ETD-TEMP"/>
    <n v="-3"/>
    <n v="-3"/>
    <x v="3"/>
    <n v="1"/>
    <x v="0"/>
    <x v="0"/>
    <x v="0"/>
    <n v="1"/>
    <n v="0"/>
    <n v="1"/>
    <n v="0"/>
    <n v="0"/>
    <n v="1"/>
    <x v="0"/>
    <x v="0"/>
    <x v="1"/>
    <x v="1"/>
  </r>
  <r>
    <s v="Shipment"/>
    <n v="99002102"/>
    <s v="GROUPE SEB ITALIA S.p.a                           "/>
    <n v="99002102"/>
    <x v="14"/>
    <s v="4600079152/000230"/>
    <n v="1370149992"/>
    <n v="230"/>
    <x v="16"/>
    <x v="16"/>
    <s v="L4"/>
    <n v="1830003821"/>
    <n v="5"/>
    <s v="CV7420E5       "/>
    <s v="CV7420E5 RESPECTISSIM PRO HAIR DRYER              "/>
    <s v="S"/>
    <d v="2012-01-18T00:00:00"/>
    <m/>
    <s v="X"/>
    <x v="57"/>
    <n v="12"/>
    <n v="14"/>
    <d v="2012-02-13T00:00:00"/>
    <d v="2012-01-16T00:00:00"/>
    <n v="3000"/>
    <d v="2012-01-17T00:00:00"/>
    <n v="3000"/>
    <m/>
    <d v="2012-01-17T00:00:00"/>
    <n v="1852"/>
    <d v="2012-02-14T00:00:00"/>
    <d v="2012-01-17T00:00:00"/>
    <n v="3000"/>
    <n v="3000"/>
    <x v="19"/>
    <d v="2012-02-14T00:00:00"/>
    <m/>
    <n v="9321662481"/>
    <n v="10"/>
    <s v="OOLU1993898"/>
    <s v="APL HAMBURG"/>
    <m/>
    <s v="YANTIAN"/>
    <s v="C-PULLIN-CONF/SP-NO-FORECAST/SP-NO-FORECAST/"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4"/>
    <s v="SP-NO-FORECAST"/>
    <n v="-3"/>
    <n v="-3"/>
    <x v="15"/>
    <n v="3"/>
    <x v="0"/>
    <x v="1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2173/000010"/>
    <n v="1370149490"/>
    <n v="10"/>
    <x v="5"/>
    <x v="5"/>
    <s v="R9"/>
    <n v="1500573203"/>
    <n v="23"/>
    <n v="573203"/>
    <s v="TT230230 TOAS PREMIS BLK DE                       "/>
    <s v="S"/>
    <d v="2012-01-29T00:00:00"/>
    <m/>
    <s v="X"/>
    <x v="57"/>
    <n v="10.01"/>
    <n v="8"/>
    <d v="2012-02-23T00:00:00"/>
    <d v="2012-01-19T00:00:00"/>
    <n v="1680"/>
    <d v="2012-01-19T00:00:00"/>
    <n v="1680"/>
    <m/>
    <d v="2012-01-19T00:00:00"/>
    <n v="1680"/>
    <d v="2012-02-26T00:00:00"/>
    <d v="2012-01-22T00:00:00"/>
    <n v="1680"/>
    <n v="1680"/>
    <x v="4"/>
    <d v="2012-02-26T00:00:00"/>
    <m/>
    <n v="9321662483"/>
    <n v="10"/>
    <s v="FSCU4737612"/>
    <s v="HYUNDAI NAVARINO/006"/>
    <m/>
    <s v="SHENZHEN"/>
    <m/>
    <m/>
    <s v="AGNES NUNES"/>
    <s v="FO9"/>
    <s v="BEVERAGE                      "/>
    <s v="CONFIRMED"/>
    <n v="1"/>
    <n v="3"/>
    <d v="2012-01-22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2/000040"/>
    <n v="1370147544"/>
    <n v="40"/>
    <x v="8"/>
    <x v="8"/>
    <s v="K9"/>
    <n v="8000033943"/>
    <n v="30"/>
    <s v="XN200310       "/>
    <s v="XN200310 NES ESSENZA MANUAL BLK EUR               "/>
    <s v="S"/>
    <d v="2012-01-10T00:00:00"/>
    <m/>
    <s v="X"/>
    <x v="57"/>
    <n v="41.4"/>
    <n v="13"/>
    <d v="2012-01-30T00:00:00"/>
    <d v="2012-01-02T00:00:00"/>
    <n v="2380"/>
    <d v="2012-01-02T00:00:00"/>
    <n v="2380"/>
    <m/>
    <d v="2011-12-30T00:00:00"/>
    <n v="2380"/>
    <d v="2012-01-30T00:00:00"/>
    <d v="2012-01-02T00:00:00"/>
    <n v="2380"/>
    <n v="2380"/>
    <x v="16"/>
    <d v="2012-01-31T00:00:00"/>
    <m/>
    <n v="9321662485"/>
    <n v="10"/>
    <s v="UACU5306958"/>
    <s v="HANJIN AMSTERDAM/007"/>
    <m/>
    <s v="YANTIAN"/>
    <s v="waiting TP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8942/000050"/>
    <n v="1370147544"/>
    <n v="50"/>
    <x v="8"/>
    <x v="8"/>
    <s v="K9"/>
    <n v="8000033943"/>
    <n v="30"/>
    <s v="XN200310       "/>
    <s v="XN200310 NES ESSENZA MANUAL BLK EUR               "/>
    <s v="S"/>
    <d v="2012-01-10T00:00:00"/>
    <m/>
    <s v="X"/>
    <x v="57"/>
    <n v="41.4"/>
    <n v="13"/>
    <d v="2012-02-06T00:00:00"/>
    <d v="2012-01-09T00:00:00"/>
    <n v="2380"/>
    <d v="2012-01-09T00:00:00"/>
    <n v="2380"/>
    <m/>
    <d v="2012-01-06T00:00:00"/>
    <n v="2380"/>
    <d v="2012-01-30T00:00:00"/>
    <d v="2012-01-02T00:00:00"/>
    <n v="2380"/>
    <n v="2380"/>
    <x v="16"/>
    <d v="2012-01-31T00:00:00"/>
    <m/>
    <n v="9321662485"/>
    <n v="20"/>
    <s v="UACU5312673"/>
    <s v="HANJIN AMSTERDAM/007"/>
    <m/>
    <s v="YANTIAN"/>
    <s v="waiting TP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5/000050"/>
    <n v="1370149101"/>
    <n v="50"/>
    <x v="8"/>
    <x v="8"/>
    <s v="K9"/>
    <n v="8000034358"/>
    <n v="38"/>
    <s v="KP100010       "/>
    <s v="KP100010 NDG PICCOLO BLK EUR                      "/>
    <s v="S"/>
    <d v="2012-01-11T00:00:00"/>
    <m/>
    <s v="X"/>
    <x v="57"/>
    <n v="33.79"/>
    <n v="14"/>
    <d v="2012-02-06T00:00:00"/>
    <d v="2012-01-09T00:00:00"/>
    <n v="2160"/>
    <d v="2012-01-09T00:00:00"/>
    <n v="2160"/>
    <m/>
    <d v="2011-12-30T00:00:00"/>
    <n v="2160"/>
    <d v="2012-01-30T00:00:00"/>
    <d v="2012-01-02T00:00:00"/>
    <n v="2160"/>
    <n v="2160"/>
    <x v="0"/>
    <d v="2012-02-06T00:00:00"/>
    <m/>
    <n v="9321662486"/>
    <n v="10"/>
    <s v="UACU8365213"/>
    <s v="HANJIN BRUSSELS/0070"/>
    <m/>
    <s v="YANTIAN"/>
    <s v="SP-HOLIDAY/"/>
    <m/>
    <s v="JASON FAN"/>
    <s v="FO9"/>
    <s v="BEVERAGE                      "/>
    <s v="CONFIRMED"/>
    <n v="1"/>
    <n v="2"/>
    <d v="2012-01-09T00:00:00"/>
    <s v="KITCHEN ELECTRICS             "/>
    <s v="BREAKFAST &amp; BREVAGE PREP      "/>
    <x v="4"/>
    <x v="1"/>
    <x v="7"/>
    <s v="SP-HOLIDAY"/>
    <n v="-3"/>
    <n v="-3"/>
    <x v="6"/>
    <n v="1"/>
    <x v="0"/>
    <x v="1"/>
    <x v="0"/>
    <n v="1"/>
    <n v="0"/>
    <n v="1"/>
    <n v="0"/>
    <n v="0"/>
    <n v="1"/>
    <x v="0"/>
    <x v="0"/>
    <x v="1"/>
    <x v="1"/>
  </r>
  <r>
    <s v="Shipment"/>
    <n v="99002102"/>
    <s v="GROUPE SEB ITALIA S.p.a                           "/>
    <n v="99002102"/>
    <x v="14"/>
    <s v="4600079073/000010"/>
    <n v="1370149103"/>
    <n v="10"/>
    <x v="8"/>
    <x v="8"/>
    <s v="K9"/>
    <n v="8000033963"/>
    <n v="38"/>
    <s v="KP100210       "/>
    <s v="KP100210 NDG PICCOLO WHT EUR                      "/>
    <s v="S"/>
    <d v="2012-01-10T00:00:00"/>
    <m/>
    <s v="X"/>
    <x v="57"/>
    <n v="33.869999999999997"/>
    <n v="17"/>
    <d v="2012-02-06T00:00:00"/>
    <d v="2012-01-09T00:00:00"/>
    <n v="2160"/>
    <d v="2012-01-09T00:00:00"/>
    <n v="2160"/>
    <m/>
    <d v="2011-12-30T00:00:00"/>
    <n v="2160"/>
    <d v="2012-01-30T00:00:00"/>
    <d v="2012-01-02T00:00:00"/>
    <n v="2160"/>
    <n v="2160"/>
    <x v="16"/>
    <d v="2012-01-31T00:00:00"/>
    <m/>
    <n v="9321662487"/>
    <n v="10"/>
    <s v="UACU8282490"/>
    <s v="HANJIN AMSTERDAM/007"/>
    <m/>
    <s v="YANTIAN"/>
    <s v="SP-HOLIDAY/waiting TP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7"/>
    <s v="SP-HOLIDAY"/>
    <n v="-3"/>
    <n v="-3"/>
    <x v="6"/>
    <n v="2"/>
    <x v="0"/>
    <x v="1"/>
    <x v="0"/>
    <n v="1"/>
    <n v="0"/>
    <n v="1"/>
    <n v="0"/>
    <n v="0"/>
    <n v="1"/>
    <x v="0"/>
    <x v="0"/>
    <x v="1"/>
    <x v="1"/>
  </r>
  <r>
    <s v="Shipment"/>
    <n v="99002102"/>
    <s v="GROUPE SEB ITALIA S.p.a                           "/>
    <n v="99002102"/>
    <x v="14"/>
    <s v="4600079073/000020"/>
    <n v="1370149103"/>
    <n v="20"/>
    <x v="8"/>
    <x v="8"/>
    <s v="K9"/>
    <n v="8000033963"/>
    <n v="38"/>
    <s v="KP100210       "/>
    <s v="KP100210 NDG PICCOLO WHT EUR                      "/>
    <s v="S"/>
    <d v="2012-01-10T00:00:00"/>
    <m/>
    <s v="X"/>
    <x v="57"/>
    <n v="33.869999999999997"/>
    <n v="17"/>
    <d v="2012-02-06T00:00:00"/>
    <d v="2012-01-09T00:00:00"/>
    <n v="2160"/>
    <d v="2012-01-09T00:00:00"/>
    <n v="2160"/>
    <m/>
    <d v="2011-12-30T00:00:00"/>
    <n v="2160"/>
    <d v="2012-01-30T00:00:00"/>
    <d v="2012-01-02T00:00:00"/>
    <n v="2160"/>
    <n v="2160"/>
    <x v="16"/>
    <d v="2012-01-31T00:00:00"/>
    <m/>
    <n v="9321662487"/>
    <n v="20"/>
    <s v="TRLU4820371"/>
    <s v="HANJIN AMSTERDAM/007"/>
    <m/>
    <s v="YANTIAN"/>
    <s v="SP-HOLIDAY/waiting TP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7"/>
    <s v="SP-HOLIDAY"/>
    <n v="-3"/>
    <n v="-3"/>
    <x v="6"/>
    <n v="2"/>
    <x v="0"/>
    <x v="1"/>
    <x v="0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7871/000010"/>
    <n v="1370149253"/>
    <n v="10"/>
    <x v="8"/>
    <x v="8"/>
    <s v="L4"/>
    <n v="1830003982"/>
    <n v="175"/>
    <s v="CF9022C0       "/>
    <s v="CF9022C0 BRUSH ACTIV'' 700W                       "/>
    <s v="S"/>
    <d v="2012-02-03T00:00:00"/>
    <m/>
    <s v="X"/>
    <x v="57"/>
    <n v="12.5"/>
    <n v="11"/>
    <d v="2012-02-17T00:00:00"/>
    <d v="2012-01-13T00:00:00"/>
    <n v="2220"/>
    <d v="2012-01-13T00:00:00"/>
    <n v="2220"/>
    <m/>
    <d v="2012-01-13T00:00:00"/>
    <n v="2220"/>
    <d v="2012-02-17T00:00:00"/>
    <d v="2012-01-13T00:00:00"/>
    <n v="2220"/>
    <n v="2220"/>
    <x v="27"/>
    <d v="2012-02-29T00:00:00"/>
    <m/>
    <n v="9321662489"/>
    <n v="10"/>
    <s v="MRKU3384808"/>
    <s v="MARGRETHE MAERSK 122"/>
    <m/>
    <s v="YANTIAN"/>
    <s v="SP-MTL"/>
    <m/>
    <s v="JASON FAN"/>
    <s v="FO9"/>
    <s v="PERSONAL CARE                 "/>
    <s v="CONFIRMED"/>
    <n v="1"/>
    <n v="4"/>
    <d v="2012-01-25T00:00:00"/>
    <s v="LINEN PERS HOME CARE          "/>
    <s v="PERSONAL CARE                 "/>
    <x v="4"/>
    <x v="1"/>
    <x v="9"/>
    <s v="SP-MTL"/>
    <n v="1"/>
    <n v="1"/>
    <x v="10"/>
    <n v="1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58042/000010"/>
    <n v="1370149255"/>
    <n v="10"/>
    <x v="8"/>
    <x v="8"/>
    <s v="K9"/>
    <n v="8000033702"/>
    <n v="38"/>
    <s v="KP500610       "/>
    <s v="KP500610 NDG CIRCOLO RED EUR                      "/>
    <s v="S"/>
    <d v="2012-01-09T00:00:00"/>
    <m/>
    <s v="X"/>
    <x v="57"/>
    <n v="52.28"/>
    <n v="44"/>
    <d v="2012-01-27T00:00:00"/>
    <d v="2011-12-23T00:00:00"/>
    <n v="1240"/>
    <d v="2012-01-02T00:00:00"/>
    <n v="1240"/>
    <m/>
    <d v="2012-01-02T00:00:00"/>
    <n v="1240"/>
    <d v="2012-02-05T00:00:00"/>
    <d v="2012-01-01T00:00:00"/>
    <n v="1240"/>
    <n v="1240"/>
    <x v="2"/>
    <d v="2012-02-08T00:00:00"/>
    <m/>
    <n v="9321662490"/>
    <n v="10"/>
    <s v="MRKU0507004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6834/000010"/>
    <n v="1370149265"/>
    <n v="10"/>
    <x v="8"/>
    <x v="8"/>
    <s v="R1"/>
    <n v="8000032918"/>
    <n v="103"/>
    <s v="VB5020FRCN     "/>
    <s v="VB5020FR BTD  B90 BLK FR                          "/>
    <s v="S"/>
    <d v="2012-02-03T00:00:00"/>
    <m/>
    <s v="X"/>
    <x v="57"/>
    <n v="76.23"/>
    <n v="65"/>
    <d v="2012-01-27T00:00:00"/>
    <d v="2011-12-23T00:00:00"/>
    <n v="1410"/>
    <d v="2012-01-13T00:00:00"/>
    <n v="1410"/>
    <m/>
    <d v="2011-12-23T00:00:00"/>
    <n v="1410"/>
    <d v="2012-02-17T00:00:00"/>
    <d v="2012-01-13T00:00:00"/>
    <n v="1410"/>
    <n v="705"/>
    <x v="27"/>
    <d v="2012-02-29T00:00:00"/>
    <m/>
    <n v="9321662491"/>
    <n v="10"/>
    <s v="MRKU0487340"/>
    <s v="MARGRETHE MAERSK 122"/>
    <m/>
    <s v="YANTIAN"/>
    <s v="SP-WRONGSHIP/C-POST-CONF/"/>
    <m/>
    <s v="JASON FAN"/>
    <s v="FO9"/>
    <s v="BEVERAGE                      "/>
    <s v="CONFIRMED"/>
    <n v="1"/>
    <n v="4"/>
    <d v="2012-01-25T00:00:00"/>
    <s v="KITCHEN ELECTRICS             "/>
    <s v="BREAKFAST &amp; BREVAGE PREP      "/>
    <x v="4"/>
    <x v="1"/>
    <x v="18"/>
    <s v="C-POST-CONF"/>
    <n v="1"/>
    <n v="-3"/>
    <x v="0"/>
    <n v="2"/>
    <x v="0"/>
    <x v="0"/>
    <x v="1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56834/000010"/>
    <n v="1370149265"/>
    <n v="10"/>
    <x v="8"/>
    <x v="8"/>
    <s v="R1"/>
    <n v="8000032918"/>
    <n v="103"/>
    <s v="VB5020FRCN     "/>
    <s v="VB5020FR BTD  B90 BLK FR                          "/>
    <s v="S"/>
    <d v="2012-02-03T00:00:00"/>
    <m/>
    <s v="X"/>
    <x v="57"/>
    <n v="76.23"/>
    <n v="65"/>
    <d v="2012-01-27T00:00:00"/>
    <d v="2011-12-23T00:00:00"/>
    <n v="1410"/>
    <d v="2012-01-13T00:00:00"/>
    <n v="1410"/>
    <m/>
    <d v="2011-12-23T00:00:00"/>
    <n v="1410"/>
    <d v="2012-02-17T00:00:00"/>
    <d v="2012-01-13T00:00:00"/>
    <n v="1410"/>
    <n v="705"/>
    <x v="27"/>
    <d v="2012-02-29T00:00:00"/>
    <m/>
    <n v="9321662491"/>
    <n v="10"/>
    <s v="MRKU0247714"/>
    <s v="MARGRETHE MAERSK 122"/>
    <m/>
    <s v="YANTIAN"/>
    <s v="SP-WRONGSHIP/C-POST-CONF/"/>
    <m/>
    <s v="JASON FAN"/>
    <s v="FO9"/>
    <s v="BEVERAGE                      "/>
    <s v="CONFIRMED"/>
    <n v="1"/>
    <n v="4"/>
    <d v="2012-01-25T00:00:00"/>
    <s v="KITCHEN ELECTRICS             "/>
    <s v="BREAKFAST &amp; BREVAGE PREP      "/>
    <x v="4"/>
    <x v="1"/>
    <x v="18"/>
    <s v="C-POST-CONF"/>
    <n v="1"/>
    <n v="-3"/>
    <x v="0"/>
    <n v="2"/>
    <x v="0"/>
    <x v="0"/>
    <x v="1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56037/000010"/>
    <n v="1370149307"/>
    <n v="10"/>
    <x v="8"/>
    <x v="8"/>
    <s v="K9"/>
    <n v="8000033727"/>
    <n v="38"/>
    <s v="KP210211B      "/>
    <s v="KP210211 NDG MELODY 2 WHT EUR                     "/>
    <s v="S"/>
    <d v="2012-01-18T00:00:00"/>
    <m/>
    <s v="X"/>
    <x v="57"/>
    <n v="44.13"/>
    <n v="37"/>
    <d v="2012-01-27T00:00:00"/>
    <d v="2011-12-23T00:00:00"/>
    <n v="1240"/>
    <d v="2012-01-02T00:00:00"/>
    <n v="1240"/>
    <m/>
    <d v="2012-01-01T00:00:00"/>
    <n v="1240"/>
    <d v="2012-02-05T00:00:00"/>
    <d v="2012-01-01T00:00:00"/>
    <n v="1240"/>
    <n v="1240"/>
    <x v="2"/>
    <d v="2012-02-08T00:00:00"/>
    <m/>
    <n v="9321662492"/>
    <n v="10"/>
    <s v="MSKU6450192"/>
    <s v="MAREN MAERSK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8053/000010"/>
    <n v="1370149205"/>
    <n v="10"/>
    <x v="8"/>
    <x v="8"/>
    <s v="K9"/>
    <n v="8000033999"/>
    <n v="38"/>
    <s v="KP210110       "/>
    <s v="KP210110 NDG MELODY 2 PIANO BLK EUR               "/>
    <s v="S"/>
    <d v="2012-01-18T00:00:00"/>
    <m/>
    <s v="X"/>
    <x v="57"/>
    <n v="44.49"/>
    <n v="37"/>
    <d v="2012-01-27T00:00:00"/>
    <d v="2011-12-23T00:00:00"/>
    <n v="1240"/>
    <d v="2012-01-02T00:00:00"/>
    <n v="1240"/>
    <m/>
    <d v="2012-01-02T00:00:00"/>
    <n v="1240"/>
    <d v="2012-02-05T00:00:00"/>
    <d v="2012-01-01T00:00:00"/>
    <n v="1240"/>
    <n v="1240"/>
    <x v="2"/>
    <d v="2012-02-08T00:00:00"/>
    <m/>
    <n v="9321662493"/>
    <n v="10"/>
    <s v="MRKU0676107"/>
    <s v="MAREN MAERSK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6017/000010"/>
    <n v="1370149235"/>
    <n v="10"/>
    <x v="8"/>
    <x v="8"/>
    <s v="K9"/>
    <n v="8000033697"/>
    <n v="38"/>
    <s v="KP500210       "/>
    <s v="KP500210 NDG CIRCOLO PEARLY EUR                   "/>
    <s v="S"/>
    <d v="2012-01-09T00:00:00"/>
    <m/>
    <s v="X"/>
    <x v="57"/>
    <n v="50.38"/>
    <n v="42"/>
    <d v="2012-01-27T00:00:00"/>
    <d v="2011-12-23T00:00:00"/>
    <n v="1240"/>
    <d v="2012-01-02T00:00:00"/>
    <n v="1240"/>
    <m/>
    <d v="2012-01-02T00:00:00"/>
    <n v="1240"/>
    <d v="2012-02-05T00:00:00"/>
    <d v="2012-01-01T00:00:00"/>
    <n v="1240"/>
    <n v="1240"/>
    <x v="2"/>
    <d v="2012-02-08T00:00:00"/>
    <m/>
    <n v="9321662494"/>
    <n v="10"/>
    <s v="MRKU0281318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6041/000010"/>
    <n v="1370149278"/>
    <n v="10"/>
    <x v="8"/>
    <x v="8"/>
    <s v="K9"/>
    <n v="8000033731"/>
    <n v="38"/>
    <s v="KP210611B      "/>
    <s v="KP210611 NDG MELODY 2 RED EUR                     "/>
    <s v="S"/>
    <d v="2012-01-09T00:00:00"/>
    <m/>
    <s v="X"/>
    <x v="57"/>
    <n v="44.13"/>
    <n v="37"/>
    <d v="2012-01-27T00:00:00"/>
    <d v="2011-12-23T00:00:00"/>
    <n v="1240"/>
    <d v="2012-01-02T00:00:00"/>
    <n v="1240"/>
    <m/>
    <d v="2012-01-02T00:00:00"/>
    <n v="1240"/>
    <d v="2012-02-05T00:00:00"/>
    <d v="2012-01-01T00:00:00"/>
    <n v="1240"/>
    <n v="1240"/>
    <x v="2"/>
    <d v="2012-02-08T00:00:00"/>
    <m/>
    <n v="9321662496"/>
    <n v="10"/>
    <s v="MSKU1047559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6028/000010"/>
    <n v="1370149258"/>
    <n v="10"/>
    <x v="8"/>
    <x v="8"/>
    <s v="K9"/>
    <n v="8000033706"/>
    <n v="38"/>
    <s v="KP500010       "/>
    <s v="KP500010 NDG CIRCOLO ANTH EUR                     "/>
    <s v="S"/>
    <d v="2012-01-09T00:00:00"/>
    <m/>
    <s v="X"/>
    <x v="57"/>
    <n v="50.22"/>
    <n v="42"/>
    <d v="2012-01-27T00:00:00"/>
    <d v="2011-12-23T00:00:00"/>
    <n v="1240"/>
    <d v="2012-01-02T00:00:00"/>
    <n v="1240"/>
    <m/>
    <d v="2012-01-02T00:00:00"/>
    <n v="1240"/>
    <d v="2012-02-05T00:00:00"/>
    <d v="2012-01-01T00:00:00"/>
    <n v="1240"/>
    <n v="1240"/>
    <x v="2"/>
    <d v="2012-02-08T00:00:00"/>
    <m/>
    <n v="9321662497"/>
    <n v="10"/>
    <s v="PONU1469127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0"/>
    <x v="1"/>
    <n v="1"/>
    <n v="0"/>
    <n v="1"/>
    <n v="0"/>
    <n v="0"/>
    <n v="1"/>
    <x v="0"/>
    <x v="0"/>
    <x v="1"/>
    <x v="1"/>
  </r>
  <r>
    <s v="Shipment"/>
    <n v="99002601"/>
    <s v="GROUPE SEB UK LTD                                 "/>
    <n v="99002601"/>
    <x v="10"/>
    <s v="9321659403/000010"/>
    <n v="1370149388"/>
    <n v="10"/>
    <x v="8"/>
    <x v="8"/>
    <s v="K9"/>
    <n v="8000033944"/>
    <n v="30"/>
    <s v="XN200340       "/>
    <s v="XN200340 NES ESSENZA MANUAL BLK GB                "/>
    <s v="S"/>
    <d v="2012-01-05T00:00:00"/>
    <m/>
    <s v="X"/>
    <x v="57"/>
    <n v="41.91"/>
    <n v="30188"/>
    <d v="2012-02-06T00:00:00"/>
    <d v="2012-01-02T00:00:00"/>
    <n v="2040"/>
    <d v="2011-12-30T00:00:00"/>
    <n v="2040"/>
    <m/>
    <d v="2012-01-06T00:00:00"/>
    <n v="2040"/>
    <d v="2012-02-06T00:00:00"/>
    <d v="2012-01-02T00:00:00"/>
    <n v="2040"/>
    <n v="2040"/>
    <x v="13"/>
    <d v="2012-02-05T00:00:00"/>
    <m/>
    <n v="9321662499"/>
    <n v="10"/>
    <s v="MRKU0185762"/>
    <s v="CHARLOTTE MAERSK 120"/>
    <m/>
    <s v="YANTIAN"/>
    <s v="C-PULLIN-CONF/"/>
    <m/>
    <s v="KENUS WONG"/>
    <s v="FO9"/>
    <s v="BEVERAGE                      "/>
    <s v="CONFIRMED"/>
    <n v="1"/>
    <n v="52"/>
    <d v="2012-01-01T00:00:00"/>
    <s v="KITCHEN ELECTRICS             "/>
    <s v="BREAKFAST &amp; BREVAGE PREP      "/>
    <x v="4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2039/000010"/>
    <n v="1370149371"/>
    <n v="10"/>
    <x v="8"/>
    <x v="8"/>
    <s v="K9"/>
    <n v="8000033723"/>
    <n v="38"/>
    <s v="KP210011B      "/>
    <s v="KP210011 NDG MELODY 2 BLK EUR                     "/>
    <s v="S"/>
    <d v="2012-01-06T00:00:00"/>
    <m/>
    <s v="X"/>
    <x v="57"/>
    <n v="44.13"/>
    <n v="38"/>
    <d v="2012-01-26T00:00:00"/>
    <d v="2011-12-22T00:00:00"/>
    <n v="4960"/>
    <d v="2012-01-02T00:00:00"/>
    <n v="4960"/>
    <m/>
    <d v="2012-01-02T00:00:00"/>
    <n v="8680"/>
    <d v="2012-02-05T00:00:00"/>
    <d v="2012-01-01T00:00:00"/>
    <n v="4960"/>
    <n v="1240"/>
    <x v="6"/>
    <d v="2012-02-09T00:00:00"/>
    <m/>
    <n v="9321662500"/>
    <n v="10"/>
    <s v="TCLU4107947"/>
    <s v="MOL MAXIM/010W"/>
    <m/>
    <s v="YANTIAN"/>
    <s v="C-PULLIN-CONF/"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1"/>
    <x v="0"/>
    <x v="0"/>
    <x v="1"/>
    <n v="1"/>
    <n v="0"/>
    <n v="1"/>
    <n v="0"/>
    <n v="0"/>
    <n v="1"/>
    <x v="0"/>
    <x v="0"/>
    <x v="1"/>
    <x v="1"/>
  </r>
  <r>
    <s v="Shipment"/>
    <n v="99008300"/>
    <s v="KRUPS GmbH &amp; Co. KG                               "/>
    <n v="99008300"/>
    <x v="15"/>
    <s v="4500262039/000010"/>
    <n v="1370149371"/>
    <n v="10"/>
    <x v="8"/>
    <x v="8"/>
    <s v="K9"/>
    <n v="8000033723"/>
    <n v="38"/>
    <s v="KP210011B      "/>
    <s v="KP210011 NDG MELODY 2 BLK EUR                     "/>
    <s v="S"/>
    <d v="2012-01-06T00:00:00"/>
    <m/>
    <s v="X"/>
    <x v="57"/>
    <n v="44.13"/>
    <n v="38"/>
    <d v="2012-01-26T00:00:00"/>
    <d v="2011-12-22T00:00:00"/>
    <n v="4960"/>
    <d v="2012-01-02T00:00:00"/>
    <n v="4960"/>
    <m/>
    <d v="2012-01-02T00:00:00"/>
    <n v="8680"/>
    <d v="2012-02-05T00:00:00"/>
    <d v="2012-01-01T00:00:00"/>
    <n v="4960"/>
    <n v="1240"/>
    <x v="6"/>
    <d v="2012-02-09T00:00:00"/>
    <m/>
    <n v="9321662500"/>
    <n v="10"/>
    <s v="APZU4799105"/>
    <s v="MOL MAXIM/010W"/>
    <m/>
    <s v="YANTIAN"/>
    <s v="C-PULLIN-CONF/"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1"/>
    <x v="0"/>
    <x v="0"/>
    <x v="1"/>
    <n v="1"/>
    <n v="0"/>
    <n v="1"/>
    <n v="0"/>
    <n v="0"/>
    <n v="1"/>
    <x v="0"/>
    <x v="0"/>
    <x v="1"/>
    <x v="1"/>
  </r>
  <r>
    <s v="Shipment"/>
    <n v="99008300"/>
    <s v="KRUPS GmbH &amp; Co. KG                               "/>
    <n v="99008300"/>
    <x v="15"/>
    <s v="4500262039/000010"/>
    <n v="1370149371"/>
    <n v="10"/>
    <x v="8"/>
    <x v="8"/>
    <s v="K9"/>
    <n v="8000033723"/>
    <n v="38"/>
    <s v="KP210011B      "/>
    <s v="KP210011 NDG MELODY 2 BLK EUR                     "/>
    <s v="S"/>
    <d v="2012-01-06T00:00:00"/>
    <m/>
    <s v="X"/>
    <x v="57"/>
    <n v="44.13"/>
    <n v="38"/>
    <d v="2012-01-26T00:00:00"/>
    <d v="2011-12-22T00:00:00"/>
    <n v="4960"/>
    <d v="2012-01-02T00:00:00"/>
    <n v="4960"/>
    <m/>
    <d v="2012-01-02T00:00:00"/>
    <n v="8680"/>
    <d v="2012-02-05T00:00:00"/>
    <d v="2012-01-01T00:00:00"/>
    <n v="4960"/>
    <n v="1240"/>
    <x v="6"/>
    <d v="2012-02-09T00:00:00"/>
    <m/>
    <n v="9321662500"/>
    <n v="10"/>
    <s v="APZU4610696"/>
    <s v="MOL MAXIM/010W"/>
    <m/>
    <s v="YANTIAN"/>
    <s v="C-PULLIN-CONF/"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1"/>
    <x v="0"/>
    <x v="0"/>
    <x v="1"/>
    <n v="1"/>
    <n v="0"/>
    <n v="1"/>
    <n v="0"/>
    <n v="0"/>
    <n v="1"/>
    <x v="0"/>
    <x v="0"/>
    <x v="1"/>
    <x v="1"/>
  </r>
  <r>
    <s v="Shipment"/>
    <n v="99008300"/>
    <s v="KRUPS GmbH &amp; Co. KG                               "/>
    <n v="99008300"/>
    <x v="15"/>
    <s v="4500262038/000010"/>
    <n v="1370149376"/>
    <n v="10"/>
    <x v="8"/>
    <x v="8"/>
    <s v="K9"/>
    <n v="8000033967"/>
    <n v="38"/>
    <s v="KP100910       "/>
    <s v="KP100910 NDG PICCOLO TIT EUR                      "/>
    <s v="S"/>
    <d v="2012-01-07T00:00:00"/>
    <m/>
    <s v="X"/>
    <x v="57"/>
    <n v="36.61"/>
    <n v="30694"/>
    <d v="2012-01-30T00:00:00"/>
    <d v="2011-12-26T00:00:00"/>
    <n v="2160"/>
    <d v="2012-01-02T00:00:00"/>
    <n v="2160"/>
    <m/>
    <d v="2011-12-30T00:00:00"/>
    <n v="2160"/>
    <d v="2012-02-09T00:00:00"/>
    <d v="2012-01-05T00:00:00"/>
    <n v="2160"/>
    <n v="2160"/>
    <x v="6"/>
    <d v="2012-02-09T00:00:00"/>
    <m/>
    <n v="9321662501"/>
    <n v="10"/>
    <s v="CAIU4067318"/>
    <s v="MOL MAXIM/010W"/>
    <m/>
    <s v="YANTIAN"/>
    <m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0"/>
    <x v="0"/>
    <x v="0"/>
    <x v="1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60360/000010"/>
    <n v="1370149563"/>
    <n v="10"/>
    <x v="8"/>
    <x v="8"/>
    <s v="K9"/>
    <n v="8000033732"/>
    <n v="38"/>
    <s v="KP210640B      "/>
    <s v="KP210640 NDG MELODY 2 RED UK                      "/>
    <s v="S"/>
    <d v="2012-01-05T00:00:00"/>
    <m/>
    <s v="X"/>
    <x v="57"/>
    <n v="44.86"/>
    <n v="32311"/>
    <d v="2012-02-13T00:00:00"/>
    <d v="2012-01-09T00:00:00"/>
    <n v="1240"/>
    <d v="2012-01-09T00:00:00"/>
    <n v="1240"/>
    <m/>
    <d v="2012-01-15T00:00:00"/>
    <n v="1240"/>
    <d v="2012-02-06T00:00:00"/>
    <d v="2012-01-02T00:00:00"/>
    <n v="1240"/>
    <n v="1240"/>
    <x v="13"/>
    <d v="2012-02-05T00:00:00"/>
    <m/>
    <n v="9321662502"/>
    <n v="10"/>
    <s v="SEAU7840260"/>
    <s v="CHARLOTTE MAERSK 120"/>
    <m/>
    <s v="YANTIAN"/>
    <m/>
    <m/>
    <s v="KENUS WONG"/>
    <s v="FO9"/>
    <s v="BEVERAGE                      "/>
    <s v="CONFIRMED"/>
    <n v="1"/>
    <n v="52"/>
    <d v="2012-01-01T00:00:00"/>
    <s v="KITCHEN ELECTRICS             "/>
    <s v="BREAKFAST &amp; BREVAGE PREP      "/>
    <x v="4"/>
    <x v="1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002901"/>
    <s v="GROUPE SEB CENTRAL EUROPE KFT.                    "/>
    <n v="99002901"/>
    <x v="29"/>
    <s v="4500262734/000010"/>
    <n v="1370149788"/>
    <n v="10"/>
    <x v="8"/>
    <x v="8"/>
    <s v="L4"/>
    <n v="1830003826"/>
    <n v="131"/>
    <s v="SF7870D0       "/>
    <s v="SF7870D0 RESPECTISSIM LISS STRAIGHTENER           "/>
    <s v="S"/>
    <d v="2012-02-06T00:00:00"/>
    <m/>
    <s v="X"/>
    <x v="57"/>
    <n v="20.3"/>
    <n v="5085"/>
    <d v="2012-03-05T00:00:00"/>
    <d v="2012-01-30T00:00:00"/>
    <n v="3000"/>
    <d v="2012-01-30T00:00:00"/>
    <n v="3000"/>
    <m/>
    <d v="2012-01-20T00:00:00"/>
    <n v="3000"/>
    <d v="2012-02-24T00:00:00"/>
    <d v="2012-01-20T00:00:00"/>
    <n v="3000"/>
    <n v="3000"/>
    <x v="26"/>
    <d v="2012-02-25T00:00:00"/>
    <m/>
    <n v="9321662504"/>
    <n v="10"/>
    <s v="MSKU4273903"/>
    <s v="CMA CGM LAMARTINE/78"/>
    <m/>
    <s v="YANTIAN"/>
    <s v="SP-HOLIDAY/"/>
    <m/>
    <s v="KENUS WONG"/>
    <s v="FO9"/>
    <s v="PERSONAL CARE                 "/>
    <s v="CONFIRMED"/>
    <n v="1"/>
    <n v="3"/>
    <d v="2012-01-21T00:00:00"/>
    <s v="LINEN PERS HOME CARE          "/>
    <s v="PERSONAL CARE                 "/>
    <x v="4"/>
    <x v="1"/>
    <x v="7"/>
    <s v="SP-HOLIDAY"/>
    <n v="-3"/>
    <n v="-3"/>
    <x v="6"/>
    <n v="1"/>
    <x v="0"/>
    <x v="0"/>
    <x v="0"/>
    <n v="1"/>
    <n v="0"/>
    <n v="0"/>
    <n v="0"/>
    <n v="0"/>
    <n v="0"/>
    <x v="0"/>
    <x v="1"/>
    <x v="1"/>
    <x v="0"/>
  </r>
  <r>
    <s v="Shipment"/>
    <n v="99002901"/>
    <s v="GROUPE SEB CENTRAL EUROPE KFT.                    "/>
    <n v="99002901"/>
    <x v="29"/>
    <s v="4500262761/000010"/>
    <n v="1370149821"/>
    <n v="10"/>
    <x v="8"/>
    <x v="8"/>
    <s v="L4"/>
    <n v="1830003870"/>
    <n v="175"/>
    <s v="CF9250D0       "/>
    <s v="CF9250D0 ROTATING BRUSH ACTIV 1000W               "/>
    <s v="S"/>
    <d v="2012-01-11T00:00:00"/>
    <m/>
    <s v="X"/>
    <x v="57"/>
    <n v="16.89"/>
    <n v="4192"/>
    <d v="2012-02-09T00:00:00"/>
    <d v="2012-01-05T00:00:00"/>
    <n v="3072"/>
    <d v="2012-01-07T00:00:00"/>
    <n v="3072"/>
    <m/>
    <d v="2011-12-30T00:00:00"/>
    <n v="3072"/>
    <d v="2012-02-11T00:00:00"/>
    <d v="2012-01-07T00:00:00"/>
    <n v="3072"/>
    <n v="3072"/>
    <x v="12"/>
    <d v="2012-02-11T00:00:00"/>
    <m/>
    <n v="9321662505"/>
    <n v="10"/>
    <s v="MRKU0000431"/>
    <s v="CMA CGM RAVEL/785W"/>
    <m/>
    <s v="YANTIAN"/>
    <m/>
    <m/>
    <s v="KENUS WONG"/>
    <s v="FO9"/>
    <s v="PERSONAL CARE                 "/>
    <s v="CONFIRMED"/>
    <n v="1"/>
    <n v="1"/>
    <d v="2012-01-07T00:00:00"/>
    <s v="LINEN PERS HOME CARE          "/>
    <s v="PERSONAL CARE   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730/000010"/>
    <n v="1370149828"/>
    <n v="10"/>
    <x v="8"/>
    <x v="8"/>
    <s v="L4"/>
    <n v="1830003203"/>
    <n v="131"/>
    <s v="CF7322D4       "/>
    <s v="CF7322D4 HANDY W&amp;DRY LED STRAIGHTENER             "/>
    <s v="S"/>
    <d v="2012-02-06T00:00:00"/>
    <m/>
    <s v="X"/>
    <x v="57"/>
    <n v="10.77"/>
    <n v="2807"/>
    <d v="2012-03-05T00:00:00"/>
    <d v="2012-01-30T00:00:00"/>
    <n v="3000"/>
    <d v="2012-01-30T00:00:00"/>
    <n v="3000"/>
    <m/>
    <d v="2012-01-20T00:00:00"/>
    <n v="3000"/>
    <d v="2012-02-24T00:00:00"/>
    <d v="2012-01-20T00:00:00"/>
    <n v="3000"/>
    <n v="3000"/>
    <x v="26"/>
    <d v="2012-02-25T00:00:00"/>
    <m/>
    <n v="9321662506"/>
    <n v="10"/>
    <s v="MSKU4273903"/>
    <s v="CMA CGM LAMARTINE/78"/>
    <m/>
    <s v="SHEKOU"/>
    <s v="SP-HOLIDAY/"/>
    <m/>
    <s v="KENUS WONG"/>
    <s v="FO9"/>
    <s v="PERSONAL CARE                 "/>
    <s v="CONFIRMED"/>
    <n v="1"/>
    <n v="3"/>
    <d v="2012-01-21T00:00:00"/>
    <s v="LINEN PERS HOME CARE          "/>
    <s v="PERSONAL CARE                 "/>
    <x v="4"/>
    <x v="1"/>
    <x v="7"/>
    <s v="SP-HOLIDAY"/>
    <n v="-3"/>
    <n v="-3"/>
    <x v="6"/>
    <n v="1"/>
    <x v="0"/>
    <x v="0"/>
    <x v="0"/>
    <n v="1"/>
    <n v="0"/>
    <n v="0"/>
    <n v="0"/>
    <n v="0"/>
    <n v="0"/>
    <x v="0"/>
    <x v="1"/>
    <x v="1"/>
    <x v="0"/>
  </r>
  <r>
    <s v="Shipment"/>
    <n v="99006103"/>
    <s v="SAS GROUPE SEB FRANCE                             "/>
    <n v="99006100"/>
    <x v="3"/>
    <s v="9321661767/000010"/>
    <n v="1370150126"/>
    <n v="10"/>
    <x v="8"/>
    <x v="8"/>
    <s v="L4"/>
    <n v="1830003317"/>
    <n v="15"/>
    <s v="TS5511C0       "/>
    <s v="TS5511C0 FOOTSPA REFLEXOL.                        "/>
    <s v="S"/>
    <d v="2012-01-09T00:00:00"/>
    <m/>
    <s v="X"/>
    <x v="57"/>
    <n v="18.440000000000001"/>
    <n v="15"/>
    <d v="2012-02-10T00:00:00"/>
    <d v="2012-01-06T00:00:00"/>
    <n v="900"/>
    <d v="2012-01-06T00:00:00"/>
    <n v="900"/>
    <m/>
    <d v="2012-01-06T00:00:00"/>
    <n v="900"/>
    <d v="2012-02-10T00:00:00"/>
    <d v="2012-01-06T00:00:00"/>
    <n v="900"/>
    <n v="300"/>
    <x v="2"/>
    <d v="2012-02-08T00:00:00"/>
    <m/>
    <n v="9321662507"/>
    <n v="10"/>
    <s v="MSKU1047559"/>
    <s v="MAREN MAERSK 121W/"/>
    <m/>
    <s v="YANTIAN"/>
    <m/>
    <m/>
    <s v="JASON FAN"/>
    <s v="FO9"/>
    <s v="PERSONAL CARE                 "/>
    <s v="CONFIRMED"/>
    <n v="1"/>
    <n v="1"/>
    <d v="2012-01-04T00:00:00"/>
    <s v="LINEN PERS HOME CARE          "/>
    <s v="PERSONAL CARE   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1767/000010"/>
    <n v="1370150126"/>
    <n v="10"/>
    <x v="8"/>
    <x v="8"/>
    <s v="L4"/>
    <n v="1830003317"/>
    <n v="15"/>
    <s v="TS5511C0       "/>
    <s v="TS5511C0 FOOTSPA REFLEXOL.                        "/>
    <s v="S"/>
    <d v="2012-01-10T00:00:00"/>
    <m/>
    <s v="X"/>
    <x v="57"/>
    <n v="18.440000000000001"/>
    <n v="15"/>
    <d v="2012-02-10T00:00:00"/>
    <d v="2012-01-06T00:00:00"/>
    <n v="900"/>
    <d v="2012-01-06T00:00:00"/>
    <n v="900"/>
    <m/>
    <d v="2012-01-06T00:00:00"/>
    <n v="900"/>
    <d v="2012-02-10T00:00:00"/>
    <d v="2012-01-06T00:00:00"/>
    <n v="900"/>
    <n v="300"/>
    <x v="2"/>
    <d v="2012-02-08T00:00:00"/>
    <m/>
    <n v="9321662507"/>
    <n v="10"/>
    <s v="MRKU3253813"/>
    <s v="MAREN MAERSK"/>
    <m/>
    <s v="YANTIAN"/>
    <m/>
    <m/>
    <s v="JASON FAN"/>
    <s v="FO9"/>
    <s v="PERSONAL CARE                 "/>
    <s v="CONFIRMED"/>
    <n v="1"/>
    <n v="1"/>
    <d v="2012-01-04T00:00:00"/>
    <s v="LINEN PERS HOME CARE          "/>
    <s v="PERSONAL CARE   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1767/000010"/>
    <n v="1370150126"/>
    <n v="10"/>
    <x v="8"/>
    <x v="8"/>
    <s v="L4"/>
    <n v="1830003317"/>
    <n v="15"/>
    <s v="TS5511C0       "/>
    <s v="TS5511C0 FOOTSPA REFLEXOL.                        "/>
    <s v="S"/>
    <d v="2012-01-09T00:00:00"/>
    <m/>
    <s v="X"/>
    <x v="57"/>
    <n v="18.440000000000001"/>
    <n v="15"/>
    <d v="2012-02-10T00:00:00"/>
    <d v="2012-01-06T00:00:00"/>
    <n v="900"/>
    <d v="2012-01-06T00:00:00"/>
    <n v="900"/>
    <m/>
    <d v="2012-01-06T00:00:00"/>
    <n v="900"/>
    <d v="2012-02-10T00:00:00"/>
    <d v="2012-01-06T00:00:00"/>
    <n v="900"/>
    <n v="300"/>
    <x v="2"/>
    <d v="2012-02-08T00:00:00"/>
    <m/>
    <n v="9321662507"/>
    <n v="10"/>
    <s v="TTNU9469281"/>
    <s v="MAREN MAERSK 121W/"/>
    <m/>
    <s v="YANTIAN"/>
    <m/>
    <m/>
    <s v="JASON FAN"/>
    <s v="FO9"/>
    <s v="PERSONAL CARE                 "/>
    <s v="CONFIRMED"/>
    <n v="1"/>
    <n v="1"/>
    <d v="2012-01-04T00:00:00"/>
    <s v="LINEN PERS HOME CARE          "/>
    <s v="PERSONAL CARE   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2322/000010"/>
    <n v="1370149598"/>
    <n v="10"/>
    <x v="35"/>
    <x v="35"/>
    <s v="P1"/>
    <n v="1500833730"/>
    <n v="105"/>
    <n v="833730"/>
    <s v="JU650G31 JUI JU650 MET RED FR                     "/>
    <s v="S"/>
    <d v="2012-01-05T00:00:00"/>
    <m/>
    <s v="X"/>
    <x v="57"/>
    <n v="42.43"/>
    <n v="37115"/>
    <d v="2012-02-13T00:00:00"/>
    <d v="2012-01-09T00:00:00"/>
    <n v="1100"/>
    <d v="2012-01-09T00:00:00"/>
    <n v="1100"/>
    <m/>
    <d v="2012-01-09T00:00:00"/>
    <n v="1100"/>
    <d v="2012-02-06T00:00:00"/>
    <d v="2012-01-02T00:00:00"/>
    <n v="1100"/>
    <n v="1100"/>
    <x v="3"/>
    <d v="2012-02-06T00:00:00"/>
    <m/>
    <n v="9321662508"/>
    <n v="10"/>
    <s v="TGHU4933357"/>
    <s v="HYUNDAI SPLENDOR/016"/>
    <m/>
    <s v="YANTIAN"/>
    <s v="SAILING-SCHED-UPDATE/"/>
    <m/>
    <s v="AGNES NUNES"/>
    <s v="FO9"/>
    <s v="FOOD PREPARATION              "/>
    <s v="CONFIRMED"/>
    <n v="1"/>
    <n v="1"/>
    <d v="2012-01-02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807/000001"/>
    <n v="1370149994"/>
    <n v="10"/>
    <x v="35"/>
    <x v="35"/>
    <s v="R1"/>
    <n v="1500634594"/>
    <n v="55"/>
    <n v="634594"/>
    <s v="BF803170 KET APRECIA U.CLEAN 0.8L WHT JP          "/>
    <s v="S"/>
    <d v="2012-01-17T00:00:00"/>
    <m/>
    <s v="X"/>
    <x v="57"/>
    <n v="12.88"/>
    <n v="12"/>
    <d v="2012-01-23T00:00:00"/>
    <d v="2012-01-09T00:00:00"/>
    <n v="2880"/>
    <d v="2012-01-09T00:00:00"/>
    <n v="2880"/>
    <m/>
    <d v="2012-01-09T00:00:00"/>
    <n v="2880"/>
    <d v="2012-01-30T00:00:00"/>
    <d v="2012-01-16T00:00:00"/>
    <n v="2880"/>
    <n v="2880"/>
    <x v="9"/>
    <d v="2012-01-28T00:00:00"/>
    <m/>
    <n v="9321662509"/>
    <n v="10"/>
    <s v="MSKU2003679"/>
    <s v="MCC SHANGHAI/1201"/>
    <m/>
    <s v="YANTIAN"/>
    <m/>
    <m/>
    <s v="DOROTHEA LING"/>
    <s v="FO9"/>
    <s v="BEVERAGE                      "/>
    <s v="CONFIRMED"/>
    <n v="1"/>
    <n v="2"/>
    <d v="2012-01-14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807/000002"/>
    <n v="1370149994"/>
    <n v="20"/>
    <x v="35"/>
    <x v="35"/>
    <s v="R1"/>
    <n v="1500634595"/>
    <n v="55"/>
    <n v="634595"/>
    <s v="BF803570 KET APRECIA U.CLEAN 0.8L RED JP          "/>
    <s v="S"/>
    <d v="2012-01-10T00:00:00"/>
    <m/>
    <s v="X"/>
    <x v="57"/>
    <n v="12.88"/>
    <n v="12"/>
    <d v="2012-01-23T00:00:00"/>
    <d v="2012-01-09T00:00:00"/>
    <n v="2880"/>
    <d v="2012-01-09T00:00:00"/>
    <n v="2880"/>
    <m/>
    <d v="2012-01-09T00:00:00"/>
    <n v="2880"/>
    <d v="2012-01-23T00:00:00"/>
    <d v="2012-01-09T00:00:00"/>
    <n v="2880"/>
    <n v="2880"/>
    <x v="12"/>
    <d v="2012-01-21T00:00:00"/>
    <m/>
    <n v="9321662509"/>
    <n v="20"/>
    <s v="MSKU6351728"/>
    <s v="SILS/1201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807/000003"/>
    <n v="1370149994"/>
    <n v="30"/>
    <x v="35"/>
    <x v="35"/>
    <s v="R1"/>
    <n v="1500634596"/>
    <n v="55"/>
    <n v="634596"/>
    <s v="BF803870 KET APRECIA U.CLEAN 0.8L BLK JP          "/>
    <s v="S"/>
    <d v="2012-01-10T00:00:00"/>
    <m/>
    <s v="X"/>
    <x v="57"/>
    <n v="12.88"/>
    <n v="12"/>
    <d v="2012-01-23T00:00:00"/>
    <d v="2012-01-09T00:00:00"/>
    <n v="2880"/>
    <d v="2012-01-09T00:00:00"/>
    <n v="2880"/>
    <m/>
    <d v="2012-01-09T00:00:00"/>
    <n v="2880"/>
    <d v="2012-01-23T00:00:00"/>
    <d v="2012-01-09T00:00:00"/>
    <n v="2880"/>
    <n v="2880"/>
    <x v="12"/>
    <d v="2012-01-21T00:00:00"/>
    <m/>
    <n v="9321662509"/>
    <n v="30"/>
    <s v="MSKU6351728"/>
    <s v="SILS/1201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806/000001"/>
    <n v="1370149995"/>
    <n v="10"/>
    <x v="35"/>
    <x v="35"/>
    <s v="R1"/>
    <n v="1500634594"/>
    <n v="55"/>
    <n v="634594"/>
    <s v="BF803170 KET APRECIA U.CLEAN 0.8L WHT JP          "/>
    <s v="S"/>
    <d v="2012-01-09T00:00:00"/>
    <m/>
    <s v="X"/>
    <x v="57"/>
    <n v="12.88"/>
    <n v="12"/>
    <d v="2012-01-16T00:00:00"/>
    <d v="2012-01-02T00:00:00"/>
    <n v="2880"/>
    <d v="2012-01-02T00:00:00"/>
    <n v="2880"/>
    <m/>
    <d v="2012-01-02T00:00:00"/>
    <n v="2880"/>
    <d v="2012-01-19T00:00:00"/>
    <d v="2012-01-05T00:00:00"/>
    <n v="2880"/>
    <n v="2880"/>
    <x v="12"/>
    <d v="2012-01-21T00:00:00"/>
    <m/>
    <n v="9321662510"/>
    <n v="10"/>
    <s v="TSLU6411292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806/000002"/>
    <n v="1370149995"/>
    <n v="20"/>
    <x v="35"/>
    <x v="35"/>
    <s v="R1"/>
    <n v="1500634595"/>
    <n v="55"/>
    <n v="634595"/>
    <s v="BF803570 KET APRECIA U.CLEAN 0.8L RED JP          "/>
    <s v="S"/>
    <d v="2012-01-09T00:00:00"/>
    <m/>
    <s v="X"/>
    <x v="57"/>
    <n v="12.88"/>
    <n v="12"/>
    <d v="2012-01-16T00:00:00"/>
    <d v="2012-01-02T00:00:00"/>
    <n v="2880"/>
    <d v="2012-01-02T00:00:00"/>
    <n v="2880"/>
    <m/>
    <d v="2012-01-02T00:00:00"/>
    <n v="2880"/>
    <d v="2012-01-19T00:00:00"/>
    <d v="2012-01-05T00:00:00"/>
    <n v="2880"/>
    <n v="2880"/>
    <x v="12"/>
    <d v="2012-01-21T00:00:00"/>
    <m/>
    <n v="9321662510"/>
    <n v="20"/>
    <s v="TSLU6411292"/>
    <s v="KYOTO TOWER/KTWR1102"/>
    <m/>
    <s v="YANTIAN"/>
    <m/>
    <m/>
    <s v="DOROTHEA LI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1792/000010"/>
    <n v="1370150018"/>
    <n v="10"/>
    <x v="56"/>
    <x v="56"/>
    <s v="P1"/>
    <n v="1500888531"/>
    <n v="78"/>
    <n v="888531"/>
    <s v="YG230131 YGT YOGURTO WHT PE                       "/>
    <s v="S"/>
    <d v="2012-01-07T00:00:00"/>
    <m/>
    <s v="X"/>
    <x v="57"/>
    <n v="13.55"/>
    <n v="492"/>
    <d v="2012-02-27T00:00:00"/>
    <d v="2012-01-09T00:00:00"/>
    <n v="1760"/>
    <d v="2012-01-09T00:00:00"/>
    <n v="1760"/>
    <m/>
    <d v="2012-01-09T00:00:00"/>
    <n v="1760"/>
    <d v="2012-02-27T00:00:00"/>
    <d v="2012-01-09T00:00:00"/>
    <n v="1760"/>
    <n v="1760"/>
    <x v="6"/>
    <d v="2012-02-23T00:00:00"/>
    <m/>
    <n v="9321662512"/>
    <n v="10"/>
    <s v="APZU3471240"/>
    <s v="MOL MAXIM/010W"/>
    <m/>
    <s v="YANTIAN"/>
    <m/>
    <m/>
    <s v="KENUS WONG"/>
    <s v="FO9"/>
    <s v="FOOD PREPARATION              "/>
    <s v="CONFIRMED"/>
    <n v="1"/>
    <n v="1"/>
    <d v="2012-01-05T00:00:00"/>
    <s v="KITCHEN ELECTRICS             "/>
    <s v="FOOD PREPARATION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900"/>
    <s v="GROUPE SEB VENEZUELA SA                           "/>
    <n v="99001900"/>
    <x v="34"/>
    <s v="22570/039741"/>
    <n v="1370149580"/>
    <n v="10"/>
    <x v="27"/>
    <x v="27"/>
    <s v="N1"/>
    <n v="2039636020"/>
    <n v="52"/>
    <n v="3963602"/>
    <s v="3963602 AREPERA MAKER SAMURAI                     "/>
    <s v="S"/>
    <d v="2012-01-18T00:00:00"/>
    <m/>
    <s v="X"/>
    <x v="57"/>
    <n v="14.34"/>
    <n v="16"/>
    <d v="2012-03-02T00:00:00"/>
    <d v="2012-01-13T00:00:00"/>
    <n v="3080"/>
    <d v="2012-01-13T00:00:00"/>
    <n v="3080"/>
    <m/>
    <d v="2012-01-13T00:00:00"/>
    <n v="3080"/>
    <d v="2012-03-02T00:00:00"/>
    <d v="2012-01-13T00:00:00"/>
    <n v="3080"/>
    <n v="3080"/>
    <x v="8"/>
    <d v="2012-03-05T00:00:00"/>
    <m/>
    <n v="9321662513"/>
    <n v="10"/>
    <s v="PONU1602142"/>
    <s v="A.P. MOLLER 1201/"/>
    <m/>
    <s v="YANTIAN"/>
    <m/>
    <m/>
    <s v="THOMAS HO"/>
    <s v="FO9"/>
    <s v="ELECTRICAL COOKING            "/>
    <s v="CONFIRMED"/>
    <n v="1"/>
    <n v="3"/>
    <d v="2012-01-16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900"/>
    <s v="GROUPE SEB VENEZUELA SA                           "/>
    <n v="99001900"/>
    <x v="34"/>
    <s v="22570/039742"/>
    <n v="1370149580"/>
    <n v="20"/>
    <x v="27"/>
    <x v="27"/>
    <s v="N1"/>
    <n v="2039633850"/>
    <n v="52"/>
    <n v="3963385"/>
    <s v="3963385 INSTAREPA 6100/1/120V SAM VENEZ           "/>
    <s v="S"/>
    <d v="2012-01-18T00:00:00"/>
    <m/>
    <s v="X"/>
    <x v="57"/>
    <n v="14.34"/>
    <n v="16"/>
    <d v="2012-03-02T00:00:00"/>
    <d v="2012-01-13T00:00:00"/>
    <n v="3080"/>
    <d v="2012-01-13T00:00:00"/>
    <n v="3080"/>
    <m/>
    <d v="2012-01-13T00:00:00"/>
    <n v="3080"/>
    <d v="2012-03-02T00:00:00"/>
    <d v="2012-01-13T00:00:00"/>
    <n v="3080"/>
    <n v="3080"/>
    <x v="8"/>
    <d v="2012-03-05T00:00:00"/>
    <m/>
    <n v="9321662513"/>
    <n v="20"/>
    <s v="MSKU6859410"/>
    <s v="A.P. MOLLER 1201/"/>
    <m/>
    <s v="YANTIAN"/>
    <m/>
    <m/>
    <s v="THOMAS HO"/>
    <s v="FO9"/>
    <s v="ELECTRICAL COOKING            "/>
    <s v="CONFIRMED"/>
    <n v="1"/>
    <n v="3"/>
    <d v="2012-01-16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2435/000010"/>
    <n v="1370149601"/>
    <n v="10"/>
    <x v="27"/>
    <x v="27"/>
    <s v="N1"/>
    <n v="2100029029"/>
    <n v="52"/>
    <s v="FDK241         "/>
    <s v="FDK241 WAFFLE MAKER KRUPS EUROPE                  "/>
    <s v="S"/>
    <d v="2012-01-05T00:00:00"/>
    <m/>
    <s v="X"/>
    <x v="57"/>
    <n v="14.11"/>
    <n v="11782"/>
    <d v="2012-02-06T00:00:00"/>
    <d v="2012-01-02T00:00:00"/>
    <n v="1680"/>
    <d v="2012-01-02T00:00:00"/>
    <n v="1680"/>
    <m/>
    <d v="2012-01-02T00:00:00"/>
    <n v="1680"/>
    <d v="2012-02-06T00:00:00"/>
    <d v="2012-01-02T00:00:00"/>
    <n v="1680"/>
    <n v="1680"/>
    <x v="13"/>
    <d v="2012-02-05T00:00:00"/>
    <m/>
    <n v="9321662514"/>
    <n v="10"/>
    <s v="MOFU0671950"/>
    <s v="HYUNDAI SPLENDOR/016"/>
    <m/>
    <s v="YANTIAN"/>
    <m/>
    <m/>
    <s v="AGNES NUNES"/>
    <s v="FO9"/>
    <s v="ELECTRICAL COOKING            "/>
    <s v="CONFIRMED"/>
    <n v="1"/>
    <n v="52"/>
    <d v="2012-01-01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49/000010"/>
    <n v="1370149806"/>
    <n v="10"/>
    <x v="27"/>
    <x v="27"/>
    <s v="N1"/>
    <n v="2100040182"/>
    <n v="52"/>
    <s v="SW601033       "/>
    <s v="SW601033 AVANTE NOIR/CHRO TEFAL  EU CEN           "/>
    <s v="S"/>
    <d v="2012-01-11T00:00:00"/>
    <m/>
    <s v="X"/>
    <x v="57"/>
    <n v="15.84"/>
    <n v="4005"/>
    <d v="2012-02-09T00:00:00"/>
    <d v="2012-01-05T00:00:00"/>
    <n v="1356"/>
    <d v="2012-01-05T00:00:00"/>
    <n v="1356"/>
    <m/>
    <d v="2012-01-05T00:00:00"/>
    <n v="1356"/>
    <d v="2012-02-09T00:00:00"/>
    <d v="2012-01-05T00:00:00"/>
    <n v="1356"/>
    <n v="1356"/>
    <x v="12"/>
    <d v="2012-02-11T00:00:00"/>
    <m/>
    <n v="9321662515"/>
    <n v="10"/>
    <s v="PONU1727725"/>
    <s v="CMA CGM RAVEL/785W"/>
    <m/>
    <s v="YANTIAN"/>
    <m/>
    <m/>
    <s v="KENUS WONG"/>
    <s v="FO9"/>
    <s v="ELECTRICAL COOKING            "/>
    <s v="CONFIRMED"/>
    <n v="1"/>
    <n v="1"/>
    <d v="2012-01-07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28/000010"/>
    <n v="1370149807"/>
    <n v="10"/>
    <x v="27"/>
    <x v="27"/>
    <s v="K9"/>
    <n v="8000032882"/>
    <n v="29"/>
    <s v="ES060010       "/>
    <s v="ES060010 ESP ALLEGRO BLK RU                       "/>
    <s v="S"/>
    <d v="2012-01-11T00:00:00"/>
    <m/>
    <s v="X"/>
    <x v="57"/>
    <n v="16.88"/>
    <n v="4305"/>
    <d v="2012-02-09T00:00:00"/>
    <d v="2012-01-05T00:00:00"/>
    <n v="1100"/>
    <d v="2012-01-05T00:00:00"/>
    <n v="1100"/>
    <m/>
    <d v="2012-01-05T00:00:00"/>
    <n v="1100"/>
    <d v="2012-02-09T00:00:00"/>
    <d v="2012-01-05T00:00:00"/>
    <n v="1100"/>
    <n v="1100"/>
    <x v="12"/>
    <d v="2012-02-11T00:00:00"/>
    <m/>
    <n v="9321662516"/>
    <n v="10"/>
    <s v="PONU1727725"/>
    <s v="CMA CGM RAVEL/785W"/>
    <m/>
    <s v="YANTIAN"/>
    <m/>
    <m/>
    <s v="KENUS WO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29/000010"/>
    <n v="1370149814"/>
    <n v="10"/>
    <x v="27"/>
    <x v="27"/>
    <s v="K9"/>
    <n v="8000033470"/>
    <n v="29"/>
    <s v="XP522030       "/>
    <s v="XP522030 ESP XP5200 SERIES BLK RU                 "/>
    <s v="S"/>
    <d v="2012-01-11T00:00:00"/>
    <m/>
    <s v="X"/>
    <x v="57"/>
    <n v="60.55"/>
    <n v="15170"/>
    <d v="2012-02-09T00:00:00"/>
    <d v="2012-01-05T00:00:00"/>
    <n v="876"/>
    <d v="2012-01-05T00:00:00"/>
    <n v="876"/>
    <m/>
    <d v="2012-01-05T00:00:00"/>
    <n v="876"/>
    <d v="2012-02-09T00:00:00"/>
    <d v="2012-01-05T00:00:00"/>
    <n v="876"/>
    <n v="876"/>
    <x v="12"/>
    <d v="2012-02-11T00:00:00"/>
    <m/>
    <n v="9321662517"/>
    <n v="10"/>
    <s v="POCU1174992"/>
    <s v="CMA CGM RAVEL/785W"/>
    <m/>
    <s v="YANTIAN"/>
    <m/>
    <m/>
    <s v="KENUS WO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30/000010"/>
    <n v="1370149833"/>
    <n v="10"/>
    <x v="27"/>
    <x v="27"/>
    <s v="K9"/>
    <n v="8000033471"/>
    <n v="29"/>
    <s v="XP524030       "/>
    <s v="XP524030 ESP XP5200 SERIES BLK/SS RU              "/>
    <s v="S"/>
    <d v="2012-01-11T00:00:00"/>
    <m/>
    <s v="X"/>
    <x v="57"/>
    <n v="63.55"/>
    <n v="15896"/>
    <d v="2012-02-09T00:00:00"/>
    <d v="2012-01-05T00:00:00"/>
    <n v="876"/>
    <d v="2012-01-05T00:00:00"/>
    <n v="876"/>
    <m/>
    <d v="2012-01-05T00:00:00"/>
    <n v="876"/>
    <d v="2012-02-09T00:00:00"/>
    <d v="2012-01-05T00:00:00"/>
    <n v="876"/>
    <n v="876"/>
    <x v="12"/>
    <d v="2012-02-11T00:00:00"/>
    <m/>
    <n v="9321662518"/>
    <n v="10"/>
    <s v="POCU1174992"/>
    <s v="CMA CGM RAVEL/785W"/>
    <m/>
    <s v="YANTIAN"/>
    <m/>
    <m/>
    <s v="KENUS WO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32/000010"/>
    <n v="1370149838"/>
    <n v="10"/>
    <x v="27"/>
    <x v="27"/>
    <s v="K9"/>
    <n v="8000033625"/>
    <n v="29"/>
    <s v="ES440030       "/>
    <s v="ES440030 ESP PERFECTO AUTO GRE RU                 "/>
    <s v="S"/>
    <d v="2012-01-11T00:00:00"/>
    <m/>
    <s v="X"/>
    <x v="57"/>
    <n v="55.15"/>
    <n v="14182"/>
    <d v="2012-02-09T00:00:00"/>
    <d v="2012-01-05T00:00:00"/>
    <n v="672"/>
    <d v="2012-01-05T00:00:00"/>
    <n v="672"/>
    <m/>
    <d v="2012-01-05T00:00:00"/>
    <n v="672"/>
    <d v="2012-02-09T00:00:00"/>
    <d v="2012-01-05T00:00:00"/>
    <n v="672"/>
    <n v="672"/>
    <x v="12"/>
    <d v="2012-02-11T00:00:00"/>
    <m/>
    <n v="9321662519"/>
    <n v="10"/>
    <s v="MSKU6462038"/>
    <s v="CMA CGM RAVEL/785W"/>
    <m/>
    <s v="YANTIAN"/>
    <m/>
    <m/>
    <s v="KENUS WONG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2053/000010"/>
    <n v="1370150124"/>
    <n v="10"/>
    <x v="27"/>
    <x v="27"/>
    <s v="R1"/>
    <n v="8000032768"/>
    <n v="27"/>
    <s v="FME141S        "/>
    <s v="FME141 CM NEW PROAROMA 12 WHITE                   "/>
    <s v="S"/>
    <d v="2012-01-20T00:00:00"/>
    <m/>
    <s v="X"/>
    <x v="57"/>
    <n v="16.7"/>
    <n v="15"/>
    <d v="2012-02-10T00:00:00"/>
    <d v="2012-01-06T00:00:00"/>
    <n v="936"/>
    <d v="2012-01-06T00:00:00"/>
    <n v="936"/>
    <m/>
    <m/>
    <m/>
    <d v="2012-02-22T00:00:00"/>
    <d v="2012-01-18T00:00:00"/>
    <n v="936"/>
    <n v="936"/>
    <x v="21"/>
    <d v="2012-02-22T00:00:00"/>
    <m/>
    <n v="9321662520"/>
    <n v="10"/>
    <s v="PONU0992220"/>
    <s v="GJERTRUD MAERSK 121W"/>
    <m/>
    <s v="SHENZHEN"/>
    <s v="SP-PROD-ISSUE/"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2"/>
    <x v="1"/>
    <x v="1"/>
    <m/>
    <n v="0"/>
    <n v="0"/>
    <x v="1"/>
    <n v="1"/>
    <x v="0"/>
    <x v="0"/>
    <x v="0"/>
    <n v="0"/>
    <n v="0"/>
    <n v="0"/>
    <n v="0"/>
    <n v="0"/>
    <n v="0"/>
    <x v="0"/>
    <x v="1"/>
    <x v="1"/>
    <x v="0"/>
  </r>
  <r>
    <s v="Shipment"/>
    <n v="99006103"/>
    <s v="SAS GROUPE SEB FRANCE                             "/>
    <n v="99006100"/>
    <x v="3"/>
    <s v="9321658102/000010"/>
    <n v="1370149626"/>
    <n v="10"/>
    <x v="7"/>
    <x v="7"/>
    <s v="M1"/>
    <n v="1830004099"/>
    <n v="8"/>
    <s v="VU5140F0       "/>
    <s v="VU5140F0 STAND FAN CLASSIC                        "/>
    <s v="S"/>
    <d v="2012-01-27T00:00:00"/>
    <m/>
    <s v="X"/>
    <x v="57"/>
    <n v="20.09"/>
    <n v="17"/>
    <d v="2012-02-17T00:00:00"/>
    <d v="2012-01-13T00:00:00"/>
    <n v="1000"/>
    <d v="2012-01-13T00:00:00"/>
    <n v="1000"/>
    <m/>
    <d v="2012-01-13T00:00:00"/>
    <n v="1000"/>
    <d v="2012-02-24T00:00:00"/>
    <d v="2012-01-20T00:00:00"/>
    <n v="1000"/>
    <n v="1000"/>
    <x v="14"/>
    <d v="2012-02-24T00:00:00"/>
    <m/>
    <n v="9321662522"/>
    <n v="10"/>
    <s v="MRKU3368221"/>
    <s v="MAERSK EINDHOVEN"/>
    <m/>
    <s v="YANTIAN"/>
    <m/>
    <m/>
    <s v="JASON FAN"/>
    <s v="FO9"/>
    <s v="HOME COMFORT                  "/>
    <s v="CONFIRMED"/>
    <n v="1"/>
    <n v="3"/>
    <d v="2012-01-20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900"/>
    <s v="GROUPE SEB VENEZUELA SA                           "/>
    <n v="99001900"/>
    <x v="34"/>
    <s v="22576/039752"/>
    <n v="1370149574"/>
    <n v="10"/>
    <x v="7"/>
    <x v="7"/>
    <s v="M1"/>
    <n v="1830003313"/>
    <n v="8"/>
    <s v="VU6550I0       "/>
    <s v="VU6550I0 TOWER FAN EOLE 2 LCD                     "/>
    <s v="S"/>
    <d v="2012-01-05T00:00:00"/>
    <m/>
    <s v="X"/>
    <x v="57"/>
    <n v="27.01"/>
    <n v="30"/>
    <d v="2012-02-24T00:00:00"/>
    <d v="2012-01-06T00:00:00"/>
    <n v="1170"/>
    <d v="2012-01-06T00:00:00"/>
    <n v="1170"/>
    <m/>
    <d v="2012-01-14T00:00:00"/>
    <n v="1170"/>
    <d v="2012-02-20T00:00:00"/>
    <d v="2012-01-02T00:00:00"/>
    <n v="1170"/>
    <n v="1170"/>
    <x v="3"/>
    <d v="2012-02-20T00:00:00"/>
    <m/>
    <n v="9321662526"/>
    <n v="10"/>
    <s v="PONU1439375"/>
    <s v="CARSTEN MAERSK 1203/"/>
    <m/>
    <s v="YANTIAN"/>
    <s v="SP-MTL/"/>
    <m/>
    <s v="THOMAS HO"/>
    <s v="FO9"/>
    <s v="HOME COMFORT                  "/>
    <s v="CONFIRMED"/>
    <n v="1"/>
    <n v="1"/>
    <d v="2012-01-02T00:00:00"/>
    <s v="LINEN PERS HOME CARE          "/>
    <s v="HOME COMFORT                  "/>
    <x v="3"/>
    <x v="2"/>
    <x v="9"/>
    <s v="SP-MTL"/>
    <n v="1"/>
    <n v="1"/>
    <x v="10"/>
    <n v="1"/>
    <x v="0"/>
    <x v="1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60585/000010"/>
    <n v="1370150006"/>
    <n v="10"/>
    <x v="52"/>
    <x v="52"/>
    <s v="P1"/>
    <n v="1500816987"/>
    <n v="107"/>
    <n v="816987"/>
    <s v="HB715188 HBL PREP'LINE NEW POWER 700W WH          "/>
    <s v="S"/>
    <d v="2012-01-21T00:00:00"/>
    <m/>
    <s v="X"/>
    <x v="57"/>
    <n v="15.74"/>
    <n v="574"/>
    <d v="2012-02-24T00:00:00"/>
    <d v="2012-01-06T00:00:00"/>
    <n v="3060"/>
    <d v="2012-01-06T00:00:00"/>
    <n v="3060"/>
    <m/>
    <d v="2012-01-12T00:00:00"/>
    <n v="3060"/>
    <d v="2012-03-08T00:00:00"/>
    <d v="2012-01-19T00:00:00"/>
    <n v="3060"/>
    <n v="3060"/>
    <x v="14"/>
    <d v="2012-03-09T00:00:00"/>
    <m/>
    <n v="9321662528"/>
    <n v="10"/>
    <s v="TCNU9787166"/>
    <s v="MOL MATRIX/010W"/>
    <m/>
    <s v="YANTIAN"/>
    <s v="SP-PROD-ISSUE/"/>
    <m/>
    <s v="KENUS WONG"/>
    <s v="FO9"/>
    <s v="FOOD PREPARATION              "/>
    <s v="CONFIRMED"/>
    <n v="1"/>
    <n v="3"/>
    <d v="2012-01-20T00:00:00"/>
    <s v="KITCHEN ELECTRICS             "/>
    <s v="FOOD PREPARATION              "/>
    <x v="1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61804/000010"/>
    <n v="1370150007"/>
    <n v="10"/>
    <x v="52"/>
    <x v="52"/>
    <s v="P1"/>
    <n v="1500816987"/>
    <n v="107"/>
    <n v="816987"/>
    <s v="HB715188 HBL PREP'LINE NEW POWER 700W WH          "/>
    <s v="S"/>
    <d v="2012-01-18T00:00:00"/>
    <m/>
    <s v="X"/>
    <x v="57"/>
    <n v="15.74"/>
    <n v="574"/>
    <d v="2012-02-27T00:00:00"/>
    <d v="2012-01-09T00:00:00"/>
    <n v="3060"/>
    <d v="2012-01-09T00:00:00"/>
    <n v="3060"/>
    <m/>
    <d v="2012-01-15T00:00:00"/>
    <n v="3060"/>
    <d v="2012-03-03T00:00:00"/>
    <d v="2012-01-14T00:00:00"/>
    <n v="3060"/>
    <n v="3060"/>
    <x v="19"/>
    <d v="2012-03-06T00:00:00"/>
    <m/>
    <n v="9321662529"/>
    <n v="10"/>
    <s v="GESU4603183"/>
    <s v="MOL COMPETENCE/021W"/>
    <m/>
    <s v="YANTIAN"/>
    <s v="SAILING-SCHED-UPDATE/"/>
    <m/>
    <s v="KENUS WONG"/>
    <s v="FO9"/>
    <s v="FOOD PREPARATION              "/>
    <s v="CONFIRMED"/>
    <n v="1"/>
    <n v="3"/>
    <d v="2012-01-17T00:00:00"/>
    <s v="KITCHEN ELECTRICS             "/>
    <s v="FOOD PREPARATION              "/>
    <x v="1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103498"/>
    <s v="GSE/DSV BLP WAREHOUSE YANTIAN                     "/>
    <n v="99005151"/>
    <x v="18"/>
    <s v="9321660935/000010"/>
    <n v="1370150027"/>
    <n v="10"/>
    <x v="52"/>
    <x v="52"/>
    <s v="P1"/>
    <n v="8000031089"/>
    <n v="104"/>
    <s v="AR1043         "/>
    <s v="AR1043 CFG COFFEE MILL ORA/SS                     "/>
    <s v="S"/>
    <d v="2012-01-09T00:00:00"/>
    <m/>
    <s v="X"/>
    <x v="57"/>
    <n v="6.95"/>
    <n v="8"/>
    <d v="2012-01-05T00:00:00"/>
    <d v="2012-01-04T00:00:00"/>
    <n v="3504"/>
    <d v="2012-01-04T00:00:00"/>
    <n v="3504"/>
    <m/>
    <d v="2012-01-09T00:00:00"/>
    <n v="3504"/>
    <d v="2012-01-07T00:00:00"/>
    <d v="2012-01-06T00:00:00"/>
    <n v="3504"/>
    <n v="3504"/>
    <x v="7"/>
    <d v="2012-01-07T00:00:00"/>
    <m/>
    <n v="9321662530"/>
    <n v="10"/>
    <s v="BY TRUCK"/>
    <s v="BY TRUCK"/>
    <m/>
    <s v="YANTIAN"/>
    <s v="SAILING-SCHED-UPDATE/"/>
    <m/>
    <s v="ZANDRA LAM"/>
    <s v="FO9"/>
    <s v="FOOD PREPARATION              "/>
    <s v="CONFIRMED"/>
    <n v="1"/>
    <n v="1"/>
    <d v="2012-01-06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0938/000010"/>
    <n v="1370150050"/>
    <n v="10"/>
    <x v="52"/>
    <x v="52"/>
    <s v="P1"/>
    <n v="8000031089"/>
    <n v="104"/>
    <s v="AR1043         "/>
    <s v="AR1043 CFG COFFEE MILL ORA/SS                     "/>
    <s v="S"/>
    <d v="2012-01-11T00:00:00"/>
    <m/>
    <s v="X"/>
    <x v="57"/>
    <n v="6.95"/>
    <n v="8"/>
    <d v="2012-01-18T00:00:00"/>
    <d v="2012-01-17T00:00:00"/>
    <n v="3504"/>
    <d v="2012-01-09T00:00:00"/>
    <n v="3504"/>
    <m/>
    <d v="2012-01-12T00:00:00"/>
    <n v="3504"/>
    <d v="2012-01-10T00:00:00"/>
    <d v="2012-01-09T00:00:00"/>
    <n v="3504"/>
    <n v="3504"/>
    <x v="0"/>
    <d v="2012-01-10T00:00:00"/>
    <m/>
    <n v="9321662533"/>
    <n v="10"/>
    <s v="BY TRUCK"/>
    <s v="BY TRUCK"/>
    <m/>
    <s v="YANTIAN"/>
    <s v="C-PULLIN-CONF/"/>
    <m/>
    <s v="ZANDRA LAM"/>
    <s v="FO9"/>
    <s v="FOOD PREPARATION              "/>
    <s v="CONFIRMED"/>
    <n v="1"/>
    <n v="2"/>
    <d v="2012-01-09T00:00:00"/>
    <s v="KITCHEN ELECTRICS             "/>
    <s v="FOOD PREPARATION              "/>
    <x v="1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0947/000010"/>
    <n v="1370150069"/>
    <n v="10"/>
    <x v="52"/>
    <x v="52"/>
    <s v="P1"/>
    <n v="1500813230"/>
    <n v="104"/>
    <n v="813230"/>
    <s v="GVX242 CFG BURR 220V BLK/MET EUR/CL               "/>
    <s v="S"/>
    <d v="2012-01-13T00:00:00"/>
    <m/>
    <s v="X"/>
    <x v="57"/>
    <n v="15.34"/>
    <n v="18"/>
    <d v="2012-01-19T00:00:00"/>
    <d v="2012-01-18T00:00:00"/>
    <n v="1368"/>
    <d v="2012-01-18T00:00:00"/>
    <n v="1368"/>
    <m/>
    <d v="2012-01-18T00:00:00"/>
    <n v="1368"/>
    <d v="2012-01-13T00:00:00"/>
    <d v="2012-01-12T00:00:00"/>
    <n v="1368"/>
    <n v="1368"/>
    <x v="10"/>
    <d v="2012-01-13T00:00:00"/>
    <m/>
    <n v="9321662537"/>
    <n v="10"/>
    <m/>
    <m/>
    <m/>
    <s v="YANTIAN"/>
    <s v="SAILING-SCHED-UPDATE/"/>
    <m/>
    <s v="ZANDRA LAM"/>
    <s v="FO9"/>
    <s v="FOOD PREPARATION              "/>
    <s v="CONFIRMED"/>
    <n v="1"/>
    <n v="2"/>
    <d v="2012-01-12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0940/000010"/>
    <n v="1370150072"/>
    <n v="10"/>
    <x v="52"/>
    <x v="52"/>
    <s v="P1"/>
    <n v="8000031089"/>
    <n v="104"/>
    <s v="AR1043         "/>
    <s v="AR1043 CFG COFFEE MILL ORA/SS                     "/>
    <s v="S"/>
    <d v="2012-01-19T00:00:00"/>
    <m/>
    <s v="X"/>
    <x v="57"/>
    <n v="6.95"/>
    <n v="8"/>
    <d v="2012-01-20T00:00:00"/>
    <d v="2012-01-19T00:00:00"/>
    <n v="3504"/>
    <d v="2012-01-19T00:00:00"/>
    <n v="3504"/>
    <m/>
    <d v="2012-01-19T00:00:00"/>
    <n v="3504"/>
    <d v="2012-01-13T00:00:00"/>
    <d v="2012-01-12T00:00:00"/>
    <n v="3504"/>
    <n v="3504"/>
    <x v="10"/>
    <d v="2012-01-13T00:00:00"/>
    <m/>
    <n v="9321662539"/>
    <n v="10"/>
    <m/>
    <m/>
    <m/>
    <s v="YANTIAN"/>
    <s v="SAILING-SCHED-UPDATE/"/>
    <m/>
    <s v="ZANDRA LAM"/>
    <s v="FO9"/>
    <s v="FOOD PREPARATION              "/>
    <s v="CONFIRMED"/>
    <n v="1"/>
    <n v="2"/>
    <d v="2012-01-12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0939/000010"/>
    <n v="1370150073"/>
    <n v="10"/>
    <x v="52"/>
    <x v="52"/>
    <s v="P1"/>
    <n v="8000031089"/>
    <n v="104"/>
    <s v="AR1043         "/>
    <s v="AR1043 CFG COFFEE MILL ORA/SS                     "/>
    <s v="S"/>
    <d v="2012-01-13T00:00:00"/>
    <m/>
    <s v="X"/>
    <x v="57"/>
    <n v="6.95"/>
    <n v="8"/>
    <d v="2012-01-20T00:00:00"/>
    <d v="2012-01-19T00:00:00"/>
    <n v="3504"/>
    <d v="2012-01-19T00:00:00"/>
    <n v="3504"/>
    <m/>
    <d v="2012-01-16T00:00:00"/>
    <n v="3504"/>
    <d v="2012-01-13T00:00:00"/>
    <d v="2012-01-12T00:00:00"/>
    <n v="3504"/>
    <n v="3504"/>
    <x v="10"/>
    <d v="2012-01-13T00:00:00"/>
    <m/>
    <n v="9321662540"/>
    <n v="10"/>
    <m/>
    <m/>
    <m/>
    <s v="YANTIAN"/>
    <s v="SAILING-SCHED-UPDATE/"/>
    <m/>
    <s v="ZANDRA LAM"/>
    <s v="FO9"/>
    <s v="FOOD PREPARATION              "/>
    <s v="CONFIRMED"/>
    <n v="1"/>
    <n v="2"/>
    <d v="2012-01-12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0937/000010"/>
    <n v="1370150074"/>
    <n v="10"/>
    <x v="52"/>
    <x v="52"/>
    <s v="P1"/>
    <n v="8000031089"/>
    <n v="104"/>
    <s v="AR1043         "/>
    <s v="AR1043 CFG COFFEE MILL ORA/SS                     "/>
    <s v="S"/>
    <d v="2012-01-11T00:00:00"/>
    <m/>
    <s v="X"/>
    <x v="57"/>
    <n v="6.95"/>
    <n v="8"/>
    <d v="2012-01-12T00:00:00"/>
    <d v="2012-01-11T00:00:00"/>
    <n v="3504"/>
    <d v="2012-01-11T00:00:00"/>
    <n v="3504"/>
    <m/>
    <d v="2012-01-10T00:00:00"/>
    <n v="3504"/>
    <d v="2012-01-10T00:00:00"/>
    <d v="2012-01-09T00:00:00"/>
    <n v="3504"/>
    <n v="3504"/>
    <x v="23"/>
    <d v="2012-01-09T00:00:00"/>
    <m/>
    <n v="9321662541"/>
    <n v="10"/>
    <s v="BY TRUCK"/>
    <s v="BY TRUCK"/>
    <m/>
    <s v="YANTIAN"/>
    <s v="SAILING-SCHED-UPDATE/"/>
    <m/>
    <s v="ZANDRA LAM"/>
    <s v="FO9"/>
    <s v="FOOD PREPARATION              "/>
    <s v="CONFIRMED"/>
    <n v="1"/>
    <n v="1"/>
    <d v="2012-01-08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2018/000010"/>
    <n v="1370150097"/>
    <n v="10"/>
    <x v="52"/>
    <x v="52"/>
    <s v="P1"/>
    <n v="1500675930"/>
    <n v="106"/>
    <n v="675930"/>
    <s v="ABM11A30 HMX EASY MAX WHT EUR                     "/>
    <s v="S"/>
    <d v="2012-01-21T00:00:00"/>
    <m/>
    <s v="X"/>
    <x v="57"/>
    <n v="8.0399999999999991"/>
    <n v="7"/>
    <d v="2012-02-10T00:00:00"/>
    <d v="2012-01-06T00:00:00"/>
    <n v="16200"/>
    <d v="2012-01-15T00:00:00"/>
    <n v="16200"/>
    <m/>
    <d v="2012-01-13T00:00:00"/>
    <n v="16200"/>
    <d v="2012-02-24T00:00:00"/>
    <d v="2012-01-20T00:00:00"/>
    <n v="16200"/>
    <n v="16200"/>
    <x v="26"/>
    <d v="2012-02-25T00:00:00"/>
    <m/>
    <n v="9321662542"/>
    <n v="10"/>
    <s v="MSKU6283840"/>
    <s v="MAERSK EINDHOVEN/120"/>
    <m/>
    <s v="YANTIAN"/>
    <s v="SAILING-SCHED-UPDATE/C-POST-CONF/"/>
    <m/>
    <s v="JASON FAN"/>
    <s v="FO9"/>
    <s v="FOOD PREPARATION              "/>
    <s v="CONFIRMED"/>
    <n v="1"/>
    <n v="3"/>
    <d v="2012-01-21T00:00:00"/>
    <s v="KITCHEN ELECTRICS             "/>
    <s v="FOOD PREPARATION              "/>
    <x v="1"/>
    <x v="1"/>
    <x v="3"/>
    <s v="C-POST-CONF"/>
    <n v="-3"/>
    <n v="-3"/>
    <x v="0"/>
    <n v="2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9841/000010"/>
    <n v="1370149465"/>
    <n v="10"/>
    <x v="28"/>
    <x v="28"/>
    <s v="R1"/>
    <n v="8000032030"/>
    <n v="55"/>
    <s v="BI662540       "/>
    <s v="BI662540 KET EXPRESS STAIN 1.7L                   "/>
    <s v="S"/>
    <d v="2012-01-06T00:00:00"/>
    <m/>
    <s v="X"/>
    <x v="57"/>
    <n v="16.14"/>
    <n v="589"/>
    <d v="2012-02-17T00:00:00"/>
    <d v="2011-12-30T00:00:00"/>
    <n v="3843"/>
    <d v="2011-12-30T00:00:00"/>
    <n v="3843"/>
    <m/>
    <d v="2011-12-31T00:00:00"/>
    <n v="3843"/>
    <d v="2012-02-18T00:00:00"/>
    <d v="2011-12-31T00:00:00"/>
    <n v="3843"/>
    <n v="3843"/>
    <x v="6"/>
    <d v="2012-02-23T00:00:00"/>
    <m/>
    <n v="9321662543"/>
    <n v="10"/>
    <s v="APZU4503023"/>
    <s v="MOL MAXIM/010W"/>
    <m/>
    <s v="YANTIAN"/>
    <m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60/000010"/>
    <n v="1370149839"/>
    <n v="10"/>
    <x v="28"/>
    <x v="28"/>
    <s v="R1"/>
    <n v="8000032030"/>
    <n v="55"/>
    <s v="BI662540       "/>
    <s v="BI662540 KET EXPRESS STAIN 1.7L                   "/>
    <s v="S"/>
    <d v="2012-01-06T00:00:00"/>
    <m/>
    <s v="X"/>
    <x v="57"/>
    <n v="16.14"/>
    <n v="4078"/>
    <d v="2012-02-09T00:00:00"/>
    <d v="2012-01-05T00:00:00"/>
    <n v="1890"/>
    <d v="2012-01-05T00:00:00"/>
    <n v="1890"/>
    <m/>
    <d v="2012-01-06T00:00:00"/>
    <n v="1890"/>
    <d v="2012-02-10T00:00:00"/>
    <d v="2012-01-06T00:00:00"/>
    <n v="1890"/>
    <n v="1890"/>
    <x v="2"/>
    <d v="2012-02-08T00:00:00"/>
    <m/>
    <n v="9321662544"/>
    <n v="10"/>
    <s v="SEAU7873978"/>
    <s v="MAERSK LIMA/152W"/>
    <m/>
    <s v="YANTIAN"/>
    <m/>
    <m/>
    <s v="KENUS WONG"/>
    <s v="FO9"/>
    <s v="BEVERAGE                      "/>
    <s v="CONFIRMED"/>
    <n v="1"/>
    <n v="1"/>
    <d v="2012-01-04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0568/000010"/>
    <n v="1370150003"/>
    <n v="10"/>
    <x v="28"/>
    <x v="28"/>
    <s v="R1"/>
    <n v="8000032753"/>
    <n v="56"/>
    <s v="BK263044       "/>
    <s v="BK263044 SPIRIT OF TEAS / BOUIL. VITESSE          "/>
    <s v="S"/>
    <d v="2012-01-18T00:00:00"/>
    <m/>
    <s v="X"/>
    <x v="57"/>
    <n v="17.93"/>
    <n v="660"/>
    <d v="2012-02-27T00:00:00"/>
    <d v="2012-01-09T00:00:00"/>
    <n v="952"/>
    <d v="2012-01-09T00:00:00"/>
    <n v="952"/>
    <m/>
    <d v="2012-01-14T00:00:00"/>
    <n v="952"/>
    <d v="2012-03-03T00:00:00"/>
    <d v="2012-01-14T00:00:00"/>
    <n v="952"/>
    <n v="952"/>
    <x v="19"/>
    <d v="2012-03-06T00:00:00"/>
    <m/>
    <n v="9321662545"/>
    <n v="10"/>
    <s v="APZU4550513"/>
    <s v="MOL COMPETENCE/021W"/>
    <m/>
    <s v="YANTIAN"/>
    <s v="SAILING-SCHED-UPDATE"/>
    <m/>
    <s v="KENUS WONG"/>
    <s v="FO9"/>
    <s v="BEVERAGE                      "/>
    <s v="CONFIRMED"/>
    <n v="1"/>
    <n v="3"/>
    <d v="2012-01-17T00:00:00"/>
    <s v="KITCHEN ELECTRICS             "/>
    <s v="BREAKFAST &amp; BREVAGE PREP      "/>
    <x v="2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60571/000010"/>
    <n v="1370150012"/>
    <n v="10"/>
    <x v="28"/>
    <x v="28"/>
    <s v="R1"/>
    <n v="1500635401"/>
    <n v="55"/>
    <n v="635401"/>
    <s v="KI420D30 KET PRECISION 1.7L SS/BLK CIS            "/>
    <s v="S"/>
    <d v="2012-01-18T00:00:00"/>
    <m/>
    <s v="X"/>
    <x v="57"/>
    <n v="35.26"/>
    <n v="1388"/>
    <d v="2012-02-27T00:00:00"/>
    <d v="2012-01-09T00:00:00"/>
    <n v="1680"/>
    <d v="2012-01-09T00:00:00"/>
    <n v="1680"/>
    <m/>
    <d v="2012-01-14T00:00:00"/>
    <n v="1680"/>
    <d v="2012-03-03T00:00:00"/>
    <d v="2012-01-14T00:00:00"/>
    <n v="1680"/>
    <n v="1680"/>
    <x v="19"/>
    <d v="2012-03-06T00:00:00"/>
    <m/>
    <n v="9321662546"/>
    <n v="10"/>
    <s v="APZU4550513"/>
    <s v="MOL COMPETENCE/021W"/>
    <m/>
    <s v="YANTIAN"/>
    <s v="SAILING-SCHED-UPDATE"/>
    <m/>
    <s v="KENUS WONG"/>
    <s v="FO9"/>
    <s v="BEVERAGE                      "/>
    <s v="CONFIRMED"/>
    <n v="1"/>
    <n v="3"/>
    <d v="2012-01-17T00:00:00"/>
    <s v="KITCHEN ELECTRICS             "/>
    <s v="BREAKFAST &amp; BREVAGE PREP      "/>
    <x v="2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61826/000010"/>
    <n v="1370150019"/>
    <n v="10"/>
    <x v="28"/>
    <x v="28"/>
    <s v="R1"/>
    <n v="8000032030"/>
    <n v="55"/>
    <s v="BI662540       "/>
    <s v="BI662540 KET EXPRESS STAIN 1.7L                   "/>
    <s v="S"/>
    <d v="2012-01-06T00:00:00"/>
    <m/>
    <s v="X"/>
    <x v="57"/>
    <n v="16.14"/>
    <n v="589"/>
    <d v="2012-02-27T00:00:00"/>
    <d v="2012-01-09T00:00:00"/>
    <n v="3843"/>
    <d v="2012-01-09T00:00:00"/>
    <n v="3843"/>
    <m/>
    <d v="2012-01-09T00:00:00"/>
    <n v="3843"/>
    <d v="2012-02-27T00:00:00"/>
    <d v="2012-01-09T00:00:00"/>
    <n v="3843"/>
    <n v="3843"/>
    <x v="6"/>
    <d v="2012-02-23T00:00:00"/>
    <m/>
    <n v="9321662547"/>
    <n v="10"/>
    <s v="APZU4578613"/>
    <s v="MOL MAXIM/010W"/>
    <m/>
    <s v="YANTIAN"/>
    <m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9390/000010"/>
    <n v="1370150053"/>
    <n v="10"/>
    <x v="28"/>
    <x v="28"/>
    <s v="R1"/>
    <n v="8000032411"/>
    <n v="55"/>
    <s v="BI662543       "/>
    <s v="BI662543 KET EXPRESS STAIN 1.7L                   "/>
    <s v="S"/>
    <d v="2012-01-18T00:00:00"/>
    <m/>
    <s v="X"/>
    <x v="57"/>
    <n v="16.37"/>
    <n v="19"/>
    <d v="2012-01-09T00:00:00"/>
    <d v="2012-01-08T00:00:00"/>
    <n v="1890"/>
    <d v="2012-01-08T00:00:00"/>
    <n v="1890"/>
    <m/>
    <d v="2012-01-08T00:00:00"/>
    <n v="1890"/>
    <d v="2012-01-09T00:00:00"/>
    <d v="2012-01-08T00:00:00"/>
    <n v="1890"/>
    <n v="1890"/>
    <x v="9"/>
    <d v="2012-01-15T00:00:00"/>
    <m/>
    <n v="9321662548"/>
    <n v="10"/>
    <s v="BY TRUCK"/>
    <s v="BY TRUCK"/>
    <m/>
    <s v="YANTIAN"/>
    <s v="UNLOAD JAN14 2012"/>
    <m/>
    <s v="ZANDRA LAM"/>
    <s v="FO9"/>
    <s v="BEVERAGE                      "/>
    <s v="CONFIRMED"/>
    <n v="1"/>
    <n v="2"/>
    <d v="2012-01-14T00:00:00"/>
    <s v="KITCHEN ELECTRICS             "/>
    <s v="BREAKFAST &amp; BREVAGE PREP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2049/000010"/>
    <n v="1370150080"/>
    <n v="10"/>
    <x v="28"/>
    <x v="28"/>
    <s v="R1"/>
    <n v="8000032396"/>
    <n v="55"/>
    <s v="BE531010       "/>
    <s v="BE531010 KET DELFINA 1.5L                         "/>
    <s v="S"/>
    <d v="2012-01-09T00:00:00"/>
    <m/>
    <s v="X"/>
    <x v="57"/>
    <n v="7.68"/>
    <n v="7"/>
    <d v="2012-02-10T00:00:00"/>
    <d v="2012-01-06T00:00:00"/>
    <n v="4620"/>
    <d v="2012-01-06T00:00:00"/>
    <n v="4620"/>
    <m/>
    <d v="2012-01-06T00:00:00"/>
    <n v="4620"/>
    <d v="2012-02-10T00:00:00"/>
    <d v="2012-01-06T00:00:00"/>
    <n v="4620"/>
    <n v="4620"/>
    <x v="7"/>
    <d v="2012-02-10T00:00:00"/>
    <m/>
    <n v="9321662549"/>
    <n v="10"/>
    <s v="MRKU0439173"/>
    <s v="MAERSK ESSEN/1202"/>
    <m/>
    <s v="YANTIAN"/>
    <m/>
    <m/>
    <s v="JASON FAN"/>
    <s v="FO9"/>
    <s v="BEVERAGE                      "/>
    <s v="CONFIRMED"/>
    <n v="1"/>
    <n v="1"/>
    <d v="2012-01-06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163/000010"/>
    <n v="1370149354"/>
    <n v="10"/>
    <x v="40"/>
    <x v="40"/>
    <s v="L4"/>
    <n v="1830003060"/>
    <n v="5"/>
    <s v="CV4212F0       "/>
    <s v="CV4212F0 STUDIO DRY HAIR DRYER                    "/>
    <s v="S"/>
    <d v="2012-01-05T00:00:00"/>
    <m/>
    <s v="X"/>
    <x v="57"/>
    <n v="5.33"/>
    <n v="11010"/>
    <d v="2012-02-02T00:00:00"/>
    <d v="2011-12-29T00:00:00"/>
    <n v="3000"/>
    <d v="2012-01-01T00:00:00"/>
    <n v="3000"/>
    <m/>
    <d v="2011-12-29T00:00:00"/>
    <n v="3000"/>
    <d v="2012-02-05T00:00:00"/>
    <d v="2012-01-01T00:00:00"/>
    <n v="3000"/>
    <n v="3000"/>
    <x v="13"/>
    <d v="2012-02-05T00:00:00"/>
    <m/>
    <n v="9321662550"/>
    <n v="10"/>
    <s v="MAEU6219544"/>
    <s v="CMA CGM NERVAL/811W"/>
    <m/>
    <s v="YANTIAN"/>
    <s v="CONS-SHIPT/"/>
    <m/>
    <s v="KENUS WONG"/>
    <s v="FO9"/>
    <s v="PERSONAL CARE                 "/>
    <s v="CONFIRMED"/>
    <n v="1"/>
    <n v="52"/>
    <d v="2012-01-01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158/000010"/>
    <n v="1370149369"/>
    <n v="10"/>
    <x v="40"/>
    <x v="40"/>
    <s v="L4"/>
    <n v="1830002964"/>
    <n v="175"/>
    <s v="CF3150F0       "/>
    <s v="CF3150F0 DIGITAL CURLER                           "/>
    <s v="S"/>
    <d v="2012-01-30T00:00:00"/>
    <m/>
    <s v="X"/>
    <x v="57"/>
    <n v="11.44"/>
    <n v="23"/>
    <d v="2012-02-02T00:00:00"/>
    <d v="2011-12-29T00:00:00"/>
    <n v="3000"/>
    <d v="2012-01-22T00:00:00"/>
    <n v="3000"/>
    <m/>
    <d v="2012-01-19T00:00:00"/>
    <n v="3000"/>
    <d v="2012-02-26T00:00:00"/>
    <d v="2012-01-22T00:00:00"/>
    <n v="3000"/>
    <n v="3000"/>
    <x v="4"/>
    <d v="2012-02-26T00:00:00"/>
    <m/>
    <n v="9321662551"/>
    <n v="10"/>
    <s v="PONU1446986"/>
    <s v="CMA CGM CORNEILLE/81"/>
    <m/>
    <s v="YANTIAN"/>
    <s v="CONS-SHIPT/SP-NO-FORECAST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10"/>
    <s v="CONS-SHIPT"/>
    <n v="-3"/>
    <n v="-3"/>
    <x v="8"/>
    <n v="2"/>
    <x v="0"/>
    <x v="0"/>
    <x v="1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56843/000010"/>
    <n v="1370149172"/>
    <n v="10"/>
    <x v="40"/>
    <x v="40"/>
    <s v="L4"/>
    <n v="1830003383"/>
    <n v="5"/>
    <s v="CV8538D4       "/>
    <s v="CV8538D4 INFINIPRO 2000W HAIR DRYER               "/>
    <s v="S"/>
    <d v="2012-01-13T00:00:00"/>
    <m/>
    <s v="X"/>
    <x v="57"/>
    <n v="13.27"/>
    <n v="473"/>
    <d v="2012-02-24T00:00:00"/>
    <d v="2012-01-06T00:00:00"/>
    <n v="2682"/>
    <d v="2012-01-06T00:00:00"/>
    <n v="2682"/>
    <m/>
    <d v="2012-01-09T00:00:00"/>
    <n v="2682"/>
    <d v="2012-03-01T00:00:00"/>
    <d v="2012-01-12T00:00:00"/>
    <n v="2682"/>
    <n v="2682"/>
    <x v="10"/>
    <d v="2012-03-01T00:00:00"/>
    <m/>
    <n v="9321662552"/>
    <n v="10"/>
    <s v="CLHU3310871"/>
    <s v="NYK ORPHEUS/18W52"/>
    <m/>
    <s v="YANTIAN"/>
    <s v="C-FINALCUSTOMER-REQ/"/>
    <m/>
    <s v="KENUS WONG"/>
    <s v="FO9"/>
    <s v="PERSONAL CARE                 "/>
    <s v="CONFIRMED"/>
    <n v="1"/>
    <n v="2"/>
    <d v="2012-01-12T00:00:00"/>
    <s v="LINEN PERS HOME CARE          "/>
    <s v="PERSONAL CARE                 "/>
    <x v="3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20/000010"/>
    <n v="1370149798"/>
    <n v="10"/>
    <x v="40"/>
    <x v="40"/>
    <s v="L4"/>
    <n v="1830003096"/>
    <n v="5"/>
    <s v="CV4021F0       "/>
    <s v="CV4021F0 MOVELING HAIR DRYER                      "/>
    <s v="S"/>
    <d v="2012-01-06T00:00:00"/>
    <m/>
    <s v="X"/>
    <x v="57"/>
    <n v="4.5999999999999996"/>
    <n v="1139"/>
    <d v="2012-02-09T00:00:00"/>
    <d v="2012-01-05T00:00:00"/>
    <n v="3000"/>
    <d v="2012-01-05T00:00:00"/>
    <n v="3000"/>
    <m/>
    <d v="2012-01-05T00:00:00"/>
    <n v="3000"/>
    <d v="2012-02-09T00:00:00"/>
    <d v="2012-01-05T00:00:00"/>
    <n v="3000"/>
    <n v="3000"/>
    <x v="2"/>
    <d v="2012-02-08T00:00:00"/>
    <m/>
    <n v="9321662554"/>
    <n v="10"/>
    <s v="MRKU0675380"/>
    <s v="MAERSK LIMA/152W"/>
    <m/>
    <s v="YANTIAN"/>
    <s v="CONS-SHIPT/"/>
    <m/>
    <s v="KENUS WONG"/>
    <s v="FO9"/>
    <s v="PERSONAL CARE                 "/>
    <s v="CONFIRMED"/>
    <n v="1"/>
    <n v="1"/>
    <d v="2012-01-04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21/000010"/>
    <n v="1370149817"/>
    <n v="10"/>
    <x v="40"/>
    <x v="40"/>
    <s v="L4"/>
    <n v="1830003097"/>
    <n v="5"/>
    <s v="CV4220F0       "/>
    <s v="CV4220F0 STUDIO DRY HAIR DRYER                    "/>
    <s v="S"/>
    <d v="2012-01-06T00:00:00"/>
    <m/>
    <s v="X"/>
    <x v="57"/>
    <n v="6.51"/>
    <n v="1621"/>
    <d v="2012-02-09T00:00:00"/>
    <d v="2012-01-05T00:00:00"/>
    <n v="3000"/>
    <d v="2012-01-05T00:00:00"/>
    <n v="3000"/>
    <m/>
    <d v="2012-01-05T00:00:00"/>
    <n v="3000"/>
    <d v="2012-02-09T00:00:00"/>
    <d v="2012-01-05T00:00:00"/>
    <n v="3000"/>
    <n v="3000"/>
    <x v="2"/>
    <d v="2012-02-08T00:00:00"/>
    <m/>
    <n v="9321662555"/>
    <n v="10"/>
    <s v="MRKU0675380"/>
    <s v="MAERSK LIMA/152W"/>
    <m/>
    <s v="YANTIAN"/>
    <s v="CONS-SHIPT/"/>
    <m/>
    <s v="KENUS WONG"/>
    <s v="FO9"/>
    <s v="PERSONAL CARE                 "/>
    <s v="CONFIRMED"/>
    <n v="1"/>
    <n v="1"/>
    <d v="2012-01-04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19/000010"/>
    <n v="1370149818"/>
    <n v="10"/>
    <x v="40"/>
    <x v="40"/>
    <s v="L4"/>
    <n v="1830003089"/>
    <n v="5"/>
    <s v="CV4011F0       "/>
    <s v="CV4011F0 MOVELING HAIR DRYER                      "/>
    <s v="S"/>
    <d v="2012-01-06T00:00:00"/>
    <m/>
    <s v="X"/>
    <x v="57"/>
    <n v="4.24"/>
    <n v="1052"/>
    <d v="2012-02-09T00:00:00"/>
    <d v="2012-01-05T00:00:00"/>
    <n v="3000"/>
    <d v="2012-01-05T00:00:00"/>
    <n v="3000"/>
    <m/>
    <d v="2012-01-05T00:00:00"/>
    <n v="3000"/>
    <d v="2012-02-09T00:00:00"/>
    <d v="2012-01-05T00:00:00"/>
    <n v="3000"/>
    <n v="3000"/>
    <x v="2"/>
    <d v="2012-02-08T00:00:00"/>
    <m/>
    <n v="9321662556"/>
    <n v="10"/>
    <s v="MRKU0675380"/>
    <s v="MAERSK LIMA/152W"/>
    <m/>
    <s v="YANTIAN"/>
    <s v="CONS-SHIPT/"/>
    <m/>
    <s v="KENUS WONG"/>
    <s v="FO9"/>
    <s v="PERSONAL CARE                 "/>
    <s v="CONFIRMED"/>
    <n v="1"/>
    <n v="1"/>
    <d v="2012-01-04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18/000010"/>
    <n v="1370149832"/>
    <n v="10"/>
    <x v="40"/>
    <x v="40"/>
    <s v="L4"/>
    <n v="1830003060"/>
    <n v="5"/>
    <s v="CV4212F0       "/>
    <s v="CV4212F0 STUDIO DRY HAIR DRYER                    "/>
    <s v="S"/>
    <d v="2012-01-06T00:00:00"/>
    <m/>
    <s v="X"/>
    <x v="57"/>
    <n v="5.33"/>
    <n v="1330"/>
    <d v="2012-02-09T00:00:00"/>
    <d v="2012-01-05T00:00:00"/>
    <n v="3000"/>
    <d v="2012-01-05T00:00:00"/>
    <n v="3000"/>
    <m/>
    <d v="2012-01-05T00:00:00"/>
    <n v="3000"/>
    <d v="2012-02-09T00:00:00"/>
    <d v="2012-01-05T00:00:00"/>
    <n v="3000"/>
    <n v="3000"/>
    <x v="2"/>
    <d v="2012-02-08T00:00:00"/>
    <m/>
    <n v="9321662557"/>
    <n v="10"/>
    <s v="MRKU0675380"/>
    <s v="MAERSK LIMA/152W"/>
    <m/>
    <s v="YANTIAN"/>
    <s v="CONS-SHIPT/"/>
    <m/>
    <s v="KENUS WONG"/>
    <s v="FO9"/>
    <s v="PERSONAL CARE                 "/>
    <s v="CONFIRMED"/>
    <n v="1"/>
    <n v="1"/>
    <d v="2012-01-04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030"/>
    <n v="1370149992"/>
    <n v="30"/>
    <x v="40"/>
    <x v="40"/>
    <s v="L4"/>
    <n v="1830003207"/>
    <n v="5"/>
    <s v="CV8542E4       "/>
    <s v="CV8542E4 INFINIPRO 2200W HAIR DRYER               "/>
    <s v="S"/>
    <d v="2012-01-17T00:00:00"/>
    <m/>
    <s v="X"/>
    <x v="57"/>
    <n v="17.28"/>
    <n v="14"/>
    <d v="2012-02-13T00:00:00"/>
    <d v="2012-01-16T00:00:00"/>
    <n v="3000"/>
    <d v="2012-01-16T00:00:00"/>
    <n v="3000"/>
    <m/>
    <d v="2012-01-16T00:00:00"/>
    <n v="3000"/>
    <d v="2012-02-13T00:00:00"/>
    <d v="2012-01-16T00:00:00"/>
    <n v="3000"/>
    <n v="3000"/>
    <x v="19"/>
    <d v="2012-02-14T00:00:00"/>
    <m/>
    <n v="9321662558"/>
    <n v="10"/>
    <s v="SESU6028790"/>
    <s v="HANJIN BASEL/0063W"/>
    <m/>
    <s v="YANTIAN"/>
    <s v="CONS-SHIPT/"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70/000010"/>
    <n v="1370149805"/>
    <n v="10"/>
    <x v="36"/>
    <x v="36"/>
    <s v="L4"/>
    <n v="1830002710"/>
    <n v="76"/>
    <s v="TN1110F0       "/>
    <s v="TN1110F0 MOVING HAIR CLIPPER                      "/>
    <s v="S"/>
    <d v="2012-01-17T00:00:00"/>
    <m/>
    <s v="X"/>
    <x v="57"/>
    <n v="6.42"/>
    <n v="1604"/>
    <d v="2012-03-05T00:00:00"/>
    <d v="2012-01-30T00:00:00"/>
    <n v="3000"/>
    <d v="2012-01-21T00:00:00"/>
    <n v="3000"/>
    <m/>
    <d v="2012-01-30T00:00:00"/>
    <n v="3000"/>
    <d v="2012-02-18T00:00:00"/>
    <d v="2012-01-14T00:00:00"/>
    <n v="3000"/>
    <n v="3000"/>
    <x v="9"/>
    <d v="2012-02-18T00:00:00"/>
    <m/>
    <n v="9321662559"/>
    <n v="10"/>
    <s v="MSKU3936977"/>
    <s v="CMA CGM BALZAC/1202"/>
    <m/>
    <s v="YANTIAN"/>
    <s v="CONS-SHIPT/"/>
    <m/>
    <s v="KENUS WONG"/>
    <s v="FO9"/>
    <s v="PERSONAL CARE                 "/>
    <s v="CONFIRMED"/>
    <n v="1"/>
    <n v="2"/>
    <d v="2012-01-14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75/000010"/>
    <n v="1370149835"/>
    <n v="10"/>
    <x v="36"/>
    <x v="36"/>
    <s v="L4"/>
    <n v="1830003899"/>
    <n v="76"/>
    <s v="TN1014F0       "/>
    <s v="TN1014F0 LOGIC HAIRCLIPPER                        "/>
    <s v="S"/>
    <d v="2012-01-17T00:00:00"/>
    <m/>
    <s v="X"/>
    <x v="57"/>
    <n v="6.29"/>
    <n v="1571"/>
    <d v="2012-03-05T00:00:00"/>
    <d v="2012-01-30T00:00:00"/>
    <n v="3000"/>
    <d v="2012-01-21T00:00:00"/>
    <n v="3000"/>
    <m/>
    <d v="2012-01-30T00:00:00"/>
    <n v="3000"/>
    <d v="2012-02-18T00:00:00"/>
    <d v="2012-01-14T00:00:00"/>
    <n v="3000"/>
    <n v="3000"/>
    <x v="9"/>
    <d v="2012-02-18T00:00:00"/>
    <m/>
    <n v="9321662560"/>
    <n v="10"/>
    <s v="MSKU3936977"/>
    <s v="CMA CGM BALZAC/1202"/>
    <m/>
    <s v="YANTIAN"/>
    <s v="CONS-SHIPT/"/>
    <m/>
    <s v="KENUS WONG"/>
    <s v="FO9"/>
    <s v="PERSONAL CARE                 "/>
    <s v="CONFIRMED"/>
    <n v="1"/>
    <n v="2"/>
    <d v="2012-01-14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78/000010"/>
    <n v="1370149822"/>
    <n v="10"/>
    <x v="26"/>
    <x v="26"/>
    <s v="P1"/>
    <n v="1500831341"/>
    <n v="105"/>
    <n v="831341"/>
    <s v="JU320141 JUI JU320 WHT/RED SCE                    "/>
    <s v="S"/>
    <d v="2012-01-16T00:00:00"/>
    <m/>
    <s v="X"/>
    <x v="57"/>
    <n v="16.170000000000002"/>
    <n v="3984"/>
    <d v="2012-02-09T00:00:00"/>
    <d v="2012-01-05T00:00:00"/>
    <n v="1632"/>
    <d v="2012-01-05T00:00:00"/>
    <n v="1628"/>
    <m/>
    <d v="2012-01-16T00:00:00"/>
    <n v="1628"/>
    <d v="2012-02-13T00:00:00"/>
    <d v="2012-01-09T00:00:00"/>
    <n v="1628"/>
    <n v="1628"/>
    <x v="9"/>
    <d v="2012-02-18T00:00:00"/>
    <m/>
    <n v="9321662561"/>
    <n v="10"/>
    <s v="MSKU5616099"/>
    <s v="CMA CGM RAVEL/785W"/>
    <m/>
    <s v="SHENZHEN"/>
    <s v="SP-PROD-ISSUE/"/>
    <m/>
    <s v="KENUS WONG"/>
    <s v="FO9"/>
    <s v="FOOD PREPARATION              "/>
    <s v="CONFIRMED"/>
    <n v="1"/>
    <n v="2"/>
    <d v="2012-01-14T00:00:00"/>
    <s v="KITCHEN ELECTRICS             "/>
    <s v="FOOD PREPARATION              "/>
    <x v="1"/>
    <x v="1"/>
    <x v="1"/>
    <m/>
    <n v="0"/>
    <n v="0"/>
    <x v="1"/>
    <n v="1"/>
    <x v="0"/>
    <x v="0"/>
    <x v="0"/>
    <n v="1"/>
    <n v="0"/>
    <n v="0"/>
    <n v="0"/>
    <n v="0"/>
    <n v="0"/>
    <x v="0"/>
    <x v="1"/>
    <x v="1"/>
    <x v="0"/>
  </r>
  <r>
    <s v="Shipment"/>
    <n v="99006103"/>
    <s v="SAS GROUPE SEB FRANCE                             "/>
    <n v="99006100"/>
    <x v="3"/>
    <s v="9321661173/000010"/>
    <n v="1370150135"/>
    <n v="10"/>
    <x v="26"/>
    <x v="26"/>
    <s v="P1"/>
    <n v="1500831590"/>
    <n v="105"/>
    <n v="831590"/>
    <s v="JU585G31 JUI EASY FRUIT 700W RED/SS EUR           "/>
    <s v="S"/>
    <d v="2012-01-05T00:00:00"/>
    <m/>
    <s v="X"/>
    <x v="57"/>
    <n v="35.020000000000003"/>
    <n v="30107"/>
    <d v="2012-02-10T00:00:00"/>
    <d v="2012-01-06T00:00:00"/>
    <n v="1164"/>
    <d v="2012-01-06T00:00:00"/>
    <n v="1164"/>
    <m/>
    <d v="2012-01-16T00:00:00"/>
    <n v="1164"/>
    <d v="2012-02-10T00:00:00"/>
    <d v="2012-01-06T00:00:00"/>
    <n v="1164"/>
    <n v="1164"/>
    <x v="16"/>
    <d v="2012-02-07T00:00:00"/>
    <m/>
    <n v="9321662563"/>
    <n v="10"/>
    <s v="APZU4398653"/>
    <s v="HYUNDAI VANCOUVER/00"/>
    <m/>
    <s v="YANTIAN"/>
    <s v="SP-PROD-ISSUE/"/>
    <m/>
    <s v="JASON FAN"/>
    <s v="FO9"/>
    <s v="FOOD PREPARATION              "/>
    <s v="CONFIRMED"/>
    <n v="1"/>
    <n v="1"/>
    <d v="2012-01-03T00:00:00"/>
    <s v="KITCHEN ELECTRICS             "/>
    <s v="FOOD PREPARATION              "/>
    <x v="1"/>
    <x v="1"/>
    <x v="1"/>
    <m/>
    <n v="0"/>
    <n v="0"/>
    <x v="1"/>
    <n v="1"/>
    <x v="0"/>
    <x v="1"/>
    <x v="0"/>
    <n v="1"/>
    <n v="0"/>
    <n v="1"/>
    <n v="0"/>
    <n v="0"/>
    <n v="1"/>
    <x v="0"/>
    <x v="0"/>
    <x v="1"/>
    <x v="1"/>
  </r>
  <r>
    <s v="Shipment"/>
    <n v="99003600"/>
    <s v="GROUPE SEB ISTANBUL EV ALETLERI                   "/>
    <n v="99003600"/>
    <x v="13"/>
    <s v="4500262157/000010"/>
    <n v="1370149358"/>
    <n v="10"/>
    <x v="46"/>
    <x v="46"/>
    <s v="L4"/>
    <n v="1830001512"/>
    <n v="175"/>
    <s v="CF2002E0       "/>
    <s v="CF2002E0 CURLING IRON STRUCTURE                   "/>
    <s v="S"/>
    <d v="2012-01-05T00:00:00"/>
    <m/>
    <s v="X"/>
    <x v="57"/>
    <n v="3.14"/>
    <n v="6375"/>
    <d v="2012-02-02T00:00:00"/>
    <d v="2011-12-29T00:00:00"/>
    <n v="3000"/>
    <d v="2012-01-01T00:00:00"/>
    <n v="3000"/>
    <m/>
    <d v="2011-12-29T00:00:00"/>
    <n v="3000"/>
    <d v="2012-02-05T00:00:00"/>
    <d v="2012-01-01T00:00:00"/>
    <n v="3000"/>
    <n v="3000"/>
    <x v="13"/>
    <d v="2012-02-05T00:00:00"/>
    <m/>
    <n v="9321662564"/>
    <n v="10"/>
    <s v="MAEU6219544"/>
    <s v="CMA CGM NERVAL/811W"/>
    <m/>
    <s v="YANTIAN"/>
    <s v="CONS-SHIPT/"/>
    <m/>
    <s v="KENUS WONG"/>
    <s v="FO9"/>
    <s v="PERSONAL CARE                 "/>
    <s v="CONFIRMED"/>
    <n v="1"/>
    <n v="52"/>
    <d v="2012-01-01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755/000010"/>
    <n v="1370149810"/>
    <n v="10"/>
    <x v="46"/>
    <x v="46"/>
    <s v="L4"/>
    <n v="1830003633"/>
    <n v="175"/>
    <s v="CF2032F0       "/>
    <s v="CF2032F0 CURLER BASIC                             "/>
    <s v="S"/>
    <d v="2012-01-21T00:00:00"/>
    <m/>
    <s v="X"/>
    <x v="57"/>
    <n v="3.21"/>
    <n v="787"/>
    <d v="2012-02-09T00:00:00"/>
    <d v="2012-01-05T00:00:00"/>
    <n v="3000"/>
    <d v="2012-01-19T00:00:00"/>
    <n v="3000"/>
    <m/>
    <d v="2012-01-05T00:00:00"/>
    <n v="3000"/>
    <d v="2012-02-23T00:00:00"/>
    <d v="2012-01-19T00:00:00"/>
    <n v="3000"/>
    <n v="3000"/>
    <x v="26"/>
    <d v="2012-02-25T00:00:00"/>
    <m/>
    <n v="9321662565"/>
    <n v="10"/>
    <s v="MSKU6018403"/>
    <s v="MAERSK EINDHOVEN/120"/>
    <m/>
    <s v="YANTIAN"/>
    <s v="CONS-SHIPT/"/>
    <m/>
    <s v="KENUS WONG"/>
    <s v="FO9"/>
    <s v="PERSONAL CARE                 "/>
    <s v="CONFIRMED"/>
    <n v="1"/>
    <n v="3"/>
    <d v="2012-01-21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1724/000010"/>
    <n v="1370150091"/>
    <n v="10"/>
    <x v="37"/>
    <x v="37"/>
    <s v="N3"/>
    <n v="1500632018"/>
    <n v="177"/>
    <n v="632018"/>
    <s v="FR701300 OLEOCLEAN INOX &amp; DESIGN/B1               "/>
    <s v="S"/>
    <d v="2012-01-27T00:00:00"/>
    <m/>
    <s v="X"/>
    <x v="57"/>
    <n v="38.29"/>
    <n v="34"/>
    <d v="2012-02-10T00:00:00"/>
    <d v="2012-01-06T00:00:00"/>
    <n v="470"/>
    <d v="2012-01-20T00:00:00"/>
    <n v="470"/>
    <m/>
    <d v="2011-12-30T00:00:00"/>
    <n v="470"/>
    <d v="2012-02-24T00:00:00"/>
    <d v="2012-01-20T00:00:00"/>
    <n v="470"/>
    <n v="470"/>
    <x v="26"/>
    <d v="2012-02-25T00:00:00"/>
    <m/>
    <n v="9321662566"/>
    <n v="10"/>
    <s v="TTNU5343227"/>
    <s v="MAERSK EINDHOVEN"/>
    <m/>
    <s v="YANTIAN"/>
    <s v="CONS-SHIPT/"/>
    <m/>
    <s v="JASON FAN"/>
    <s v="FO9"/>
    <s v="ELECTRICAL COOKING            "/>
    <s v="CONFIRMED"/>
    <n v="1"/>
    <n v="3"/>
    <d v="2012-01-21T00:00:00"/>
    <s v="KITCHEN ELECTRICS             "/>
    <s v="ELECTRICAL COOKING            "/>
    <x v="1"/>
    <x v="1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0178/000010"/>
    <n v="1370150052"/>
    <n v="10"/>
    <x v="47"/>
    <x v="47"/>
    <s v="R1"/>
    <n v="8000032805"/>
    <n v="55"/>
    <s v="BY301010       "/>
    <s v="BY301010 KET NOUMEA 17L WHT/BLU FR                "/>
    <s v="S"/>
    <d v="2012-01-11T00:00:00"/>
    <m/>
    <s v="X"/>
    <x v="57"/>
    <n v="10.86"/>
    <n v="14"/>
    <d v="2012-01-09T00:00:00"/>
    <d v="2012-01-08T00:00:00"/>
    <n v="2304"/>
    <d v="2012-01-08T00:00:00"/>
    <n v="2304"/>
    <m/>
    <d v="2012-01-09T00:00:00"/>
    <n v="2304"/>
    <d v="2012-01-10T00:00:00"/>
    <d v="2012-01-09T00:00:00"/>
    <n v="2304"/>
    <n v="2304"/>
    <x v="0"/>
    <d v="2012-01-10T00:00:00"/>
    <m/>
    <n v="9321662567"/>
    <n v="10"/>
    <s v="BY TRUCK"/>
    <s v="BY TRUCK"/>
    <m/>
    <s v="YANTIAN"/>
    <m/>
    <m/>
    <s v="ZANDRA LAM"/>
    <s v="FO9"/>
    <s v="BEVERAGE                      "/>
    <s v="CONFIRMED"/>
    <n v="1"/>
    <n v="2"/>
    <d v="2012-01-09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2174/000010"/>
    <n v="1370149496"/>
    <n v="10"/>
    <x v="25"/>
    <x v="25"/>
    <s v="R9"/>
    <n v="1500578123"/>
    <n v="23"/>
    <n v="578123"/>
    <s v="TL681130 TOAS FE CD 2LS BW WHT EUR                "/>
    <s v="S"/>
    <d v="2012-01-09T00:00:00"/>
    <m/>
    <s v="X"/>
    <x v="57"/>
    <n v="16.34"/>
    <n v="13683"/>
    <d v="2012-01-30T00:00:00"/>
    <d v="2011-12-26T00:00:00"/>
    <n v="1212"/>
    <d v="2012-01-02T00:00:00"/>
    <n v="1212"/>
    <m/>
    <d v="2011-12-26T00:00:00"/>
    <n v="1212"/>
    <d v="2012-02-06T00:00:00"/>
    <d v="2012-01-02T00:00:00"/>
    <n v="1212"/>
    <n v="1212"/>
    <x v="13"/>
    <d v="2012-02-05T00:00:00"/>
    <m/>
    <n v="9321662568"/>
    <n v="10"/>
    <s v="CRXU3050847"/>
    <s v="HYUNDAI SPLENDOR"/>
    <m/>
    <s v="YANTIAN"/>
    <m/>
    <m/>
    <s v="AGNES NUNES"/>
    <s v="FO9"/>
    <s v="BEVERAGE                      "/>
    <s v="CONFIRMED"/>
    <n v="1"/>
    <n v="52"/>
    <d v="2012-01-01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2410/000010"/>
    <n v="1370149595"/>
    <n v="10"/>
    <x v="25"/>
    <x v="25"/>
    <s v="R1"/>
    <n v="1500576663"/>
    <n v="23"/>
    <n v="576663"/>
    <s v="TT365030 TOAS N.EXPRESS 2S +BW SS/BLK EU          "/>
    <s v="S"/>
    <d v="2012-01-19T00:00:00"/>
    <m/>
    <s v="X"/>
    <x v="57"/>
    <n v="11.61"/>
    <n v="10"/>
    <d v="2012-02-13T00:00:00"/>
    <d v="2012-01-09T00:00:00"/>
    <n v="1752"/>
    <d v="2012-01-09T00:00:00"/>
    <n v="1750"/>
    <m/>
    <m/>
    <m/>
    <d v="2012-02-16T00:00:00"/>
    <d v="2012-01-12T00:00:00"/>
    <n v="1750"/>
    <n v="1750"/>
    <x v="9"/>
    <d v="2012-02-18T00:00:00"/>
    <m/>
    <n v="9321662569"/>
    <n v="10"/>
    <s v="BNSU9996810"/>
    <s v="MAERSK SEMBAWANG/120"/>
    <m/>
    <s v="YANTIAN"/>
    <s v="BU-ETD-TEMP/"/>
    <m/>
    <s v="AGNES NUNES"/>
    <s v="FO9"/>
    <s v="BEVERAGE                      "/>
    <s v="CONFIRMED"/>
    <n v="1"/>
    <n v="2"/>
    <d v="2012-01-14T00:00:00"/>
    <s v="KITCHEN ELECTRICS             "/>
    <s v="BREAKFAST &amp; BREVAGE PREP      "/>
    <x v="4"/>
    <x v="1"/>
    <x v="4"/>
    <s v="BU-ETD-TEMP"/>
    <n v="-3"/>
    <n v="-3"/>
    <x v="3"/>
    <n v="1"/>
    <x v="0"/>
    <x v="1"/>
    <x v="0"/>
    <n v="0"/>
    <n v="0"/>
    <n v="1"/>
    <n v="0"/>
    <n v="0"/>
    <n v="1"/>
    <x v="0"/>
    <x v="0"/>
    <x v="1"/>
    <x v="1"/>
  </r>
  <r>
    <s v="Shipment"/>
    <n v="99002102"/>
    <s v="GROUPE SEB ITALIA S.p.a                           "/>
    <n v="99002102"/>
    <x v="14"/>
    <s v="4600079154/000010"/>
    <n v="1370149991"/>
    <n v="10"/>
    <x v="25"/>
    <x v="25"/>
    <s v="R9"/>
    <n v="1500576607"/>
    <n v="23"/>
    <n v="576607"/>
    <s v="TT120030 TOAS PRIN1BIS H                          "/>
    <s v="S"/>
    <d v="2012-01-16T00:00:00"/>
    <m/>
    <s v="X"/>
    <x v="57"/>
    <n v="8.06"/>
    <n v="7"/>
    <d v="2012-02-13T00:00:00"/>
    <d v="2012-01-16T00:00:00"/>
    <n v="2322"/>
    <d v="2012-01-16T00:00:00"/>
    <n v="2322"/>
    <m/>
    <d v="2012-01-16T00:00:00"/>
    <n v="2322"/>
    <d v="2012-02-08T00:00:00"/>
    <d v="2012-01-11T00:00:00"/>
    <n v="2322"/>
    <n v="2322"/>
    <x v="24"/>
    <d v="2012-02-10T00:00:00"/>
    <m/>
    <n v="9321662571"/>
    <n v="10"/>
    <s v="OOLU3688764"/>
    <s v="BUSAN EXPRESS/04W01"/>
    <m/>
    <s v="YANTIAN"/>
    <m/>
    <m/>
    <s v="JASON FAN"/>
    <s v="FO9"/>
    <s v="BEVERAGE                      "/>
    <s v="CONFIRMED"/>
    <n v="1"/>
    <n v="2"/>
    <d v="2012-01-13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49/000001"/>
    <n v="1370149999"/>
    <n v="10"/>
    <x v="25"/>
    <x v="25"/>
    <s v="R9"/>
    <n v="1500573420"/>
    <n v="23"/>
    <n v="573420"/>
    <s v="TT356150 TOAS EXPRESS 2S SS/BLK                   "/>
    <s v="S"/>
    <d v="2012-01-28T00:00:00"/>
    <m/>
    <s v="X"/>
    <x v="57"/>
    <n v="10.45"/>
    <n v="147"/>
    <d v="2012-02-25T00:00:00"/>
    <d v="2012-01-21T00:00:00"/>
    <n v="2252"/>
    <d v="2012-01-21T00:00:00"/>
    <n v="2252"/>
    <m/>
    <d v="2012-01-21T00:00:00"/>
    <n v="2252"/>
    <d v="2012-02-21T00:00:00"/>
    <d v="2012-01-17T00:00:00"/>
    <n v="2252"/>
    <n v="2252"/>
    <x v="14"/>
    <d v="2012-02-24T00:00:00"/>
    <m/>
    <n v="9321662572"/>
    <n v="10"/>
    <s v="SUDU1670618"/>
    <s v="MONTE VERDE 203E/"/>
    <m/>
    <s v="YANTIAN"/>
    <m/>
    <m/>
    <s v="TWEETY LEUNG"/>
    <s v="FO9"/>
    <s v="BEVERAGE                      "/>
    <s v="CONFIRMED"/>
    <n v="1"/>
    <n v="3"/>
    <d v="2012-01-20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0348/000010"/>
    <n v="1370150110"/>
    <n v="10"/>
    <x v="25"/>
    <x v="25"/>
    <s v="R9"/>
    <n v="1500573704"/>
    <n v="23"/>
    <n v="573704"/>
    <s v="TL176130 TOAS SUBITO LS H-D-C-I-N BL              "/>
    <s v="S"/>
    <d v="2012-01-17T00:00:00"/>
    <m/>
    <s v="X"/>
    <x v="57"/>
    <n v="10.81"/>
    <n v="9"/>
    <d v="2012-02-17T00:00:00"/>
    <d v="2012-01-13T00:00:00"/>
    <n v="2280"/>
    <d v="2012-01-13T00:00:00"/>
    <n v="2280"/>
    <m/>
    <d v="2012-01-13T00:00:00"/>
    <n v="2280"/>
    <d v="2012-02-17T00:00:00"/>
    <d v="2012-01-13T00:00:00"/>
    <n v="2280"/>
    <n v="2280"/>
    <x v="24"/>
    <d v="2012-02-17T00:00:00"/>
    <m/>
    <n v="9321662573"/>
    <n v="10"/>
    <s v="MSKU6553708"/>
    <s v="CMA CGM A VESPUCCI 1"/>
    <m/>
    <s v="YANTIAN"/>
    <m/>
    <m/>
    <s v="JASON FAN"/>
    <s v="FO9"/>
    <s v="BEVERAGE                      "/>
    <s v="CONFIRMED"/>
    <n v="1"/>
    <n v="2"/>
    <d v="2012-01-13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167/000010"/>
    <n v="1370149353"/>
    <n v="10"/>
    <x v="18"/>
    <x v="18"/>
    <s v="M5"/>
    <n v="2210016489"/>
    <n v="74"/>
    <s v="RH7737IA       "/>
    <s v="RH7737IA POWERLINE BAGLESS CLEANER RH773          "/>
    <s v="S"/>
    <d v="2012-01-04T00:00:00"/>
    <m/>
    <s v="X"/>
    <x v="57"/>
    <n v="30.17"/>
    <n v="62910"/>
    <d v="2012-02-02T00:00:00"/>
    <d v="2011-12-29T00:00:00"/>
    <n v="520"/>
    <d v="2011-12-29T00:00:00"/>
    <n v="520"/>
    <m/>
    <d v="2012-01-02T00:00:00"/>
    <n v="520"/>
    <d v="2012-02-07T00:00:00"/>
    <d v="2012-01-03T00:00:00"/>
    <n v="520"/>
    <n v="520"/>
    <x v="16"/>
    <d v="2012-02-07T00:00:00"/>
    <m/>
    <n v="9321662574"/>
    <n v="10"/>
    <s v="MAEU6315661"/>
    <s v="NEDLLOYD DRAKE/1202"/>
    <m/>
    <s v="SHANGHAI"/>
    <m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165/000010"/>
    <n v="1370149362"/>
    <n v="10"/>
    <x v="18"/>
    <x v="18"/>
    <s v="M5"/>
    <n v="2210015920"/>
    <n v="161"/>
    <s v="RO346901       "/>
    <s v="RO346901 VAC CLEANER COMPACTEO CYCLONIC           "/>
    <s v="S"/>
    <d v="2012-01-04T00:00:00"/>
    <m/>
    <s v="X"/>
    <x v="57"/>
    <n v="32.409999999999997"/>
    <n v="66919"/>
    <d v="2012-02-02T00:00:00"/>
    <d v="2011-12-29T00:00:00"/>
    <n v="730"/>
    <d v="2011-12-29T00:00:00"/>
    <n v="730"/>
    <m/>
    <d v="2012-01-02T00:00:00"/>
    <n v="730"/>
    <d v="2012-02-07T00:00:00"/>
    <d v="2012-01-03T00:00:00"/>
    <n v="730"/>
    <n v="730"/>
    <x v="16"/>
    <d v="2012-02-07T00:00:00"/>
    <m/>
    <n v="9321662575"/>
    <n v="10"/>
    <s v="MAEU6315661"/>
    <s v="NEDLLOYD DRAKE/1202"/>
    <m/>
    <s v="SHANGHAI"/>
    <m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900"/>
    <s v="GROUPE SEB VENEZUELA SA                           "/>
    <n v="99001900"/>
    <x v="34"/>
    <s v="22575/039751"/>
    <n v="1370149573"/>
    <n v="20"/>
    <x v="18"/>
    <x v="18"/>
    <s v="M5"/>
    <n v="2210015271"/>
    <n v="160"/>
    <s v="SG2555WA       "/>
    <s v="SG2555WA BLACK VAC CLEANER COMPACTEO              "/>
    <s v="S"/>
    <d v="2012-01-16T00:00:00"/>
    <m/>
    <s v="X"/>
    <x v="57"/>
    <n v="28.46"/>
    <n v="34"/>
    <d v="2012-02-24T00:00:00"/>
    <d v="2012-01-06T00:00:00"/>
    <n v="730"/>
    <d v="2012-01-06T00:00:00"/>
    <n v="730"/>
    <m/>
    <d v="2012-01-06T00:00:00"/>
    <n v="730"/>
    <d v="2012-02-29T00:00:00"/>
    <d v="2012-01-11T00:00:00"/>
    <n v="730"/>
    <n v="730"/>
    <x v="10"/>
    <d v="2012-03-01T00:00:00"/>
    <m/>
    <n v="9321662576"/>
    <n v="20"/>
    <s v="SUDU1303633"/>
    <s v="MONTE ROSA 201E/"/>
    <m/>
    <s v="SHANGHAI"/>
    <m/>
    <m/>
    <s v="THOMAS HO"/>
    <s v="FO9"/>
    <s v="HOME CLEANING                 "/>
    <s v="CONFIRMED"/>
    <n v="1"/>
    <n v="2"/>
    <d v="2012-01-12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776/000010"/>
    <n v="1370149830"/>
    <n v="10"/>
    <x v="18"/>
    <x v="18"/>
    <s v="M5"/>
    <n v="2210015543"/>
    <n v="161"/>
    <s v="RO342701       "/>
    <s v="RO342701 VAC CLEANER COMPACTEO CYCLONIC           "/>
    <s v="S"/>
    <d v="2012-01-04T00:00:00"/>
    <m/>
    <s v="X"/>
    <x v="57"/>
    <n v="30.83"/>
    <n v="7696170"/>
    <d v="2012-02-09T00:00:00"/>
    <d v="2012-01-05T00:00:00"/>
    <n v="730"/>
    <d v="2012-01-05T00:00:00"/>
    <n v="730"/>
    <m/>
    <d v="2012-01-09T00:00:00"/>
    <n v="730"/>
    <d v="2012-02-05T00:00:00"/>
    <d v="2012-01-01T00:00:00"/>
    <n v="730"/>
    <n v="730"/>
    <x v="3"/>
    <d v="2012-02-06T00:00:00"/>
    <m/>
    <n v="9321662579"/>
    <n v="10"/>
    <s v="MSKU2723529"/>
    <s v="CMA CGM RAVEL/785W"/>
    <m/>
    <s v="SHANGHAI"/>
    <m/>
    <m/>
    <s v="KENUS WONG"/>
    <s v="FO9"/>
    <s v="HOME CLEANING                 "/>
    <s v="CONFIRMED"/>
    <n v="1"/>
    <n v="1"/>
    <d v="2012-01-02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020"/>
    <n v="1370149992"/>
    <n v="20"/>
    <x v="18"/>
    <x v="18"/>
    <s v="M5"/>
    <n v="2210015544"/>
    <n v="161"/>
    <s v="RO346301       "/>
    <s v="RO346301 VAC CLEANERCOMPACTEO CYCLONIC            "/>
    <s v="S"/>
    <d v="2012-01-17T00:00:00"/>
    <m/>
    <s v="X"/>
    <x v="57"/>
    <n v="32.409999999999997"/>
    <n v="14"/>
    <d v="2012-02-13T00:00:00"/>
    <d v="2012-01-16T00:00:00"/>
    <n v="730"/>
    <d v="2012-01-16T00:00:00"/>
    <n v="730"/>
    <m/>
    <d v="2012-01-16T00:00:00"/>
    <n v="730"/>
    <d v="2012-02-12T00:00:00"/>
    <d v="2012-01-15T00:00:00"/>
    <n v="730"/>
    <n v="730"/>
    <x v="8"/>
    <d v="2012-02-13T00:00:00"/>
    <m/>
    <n v="9321662580"/>
    <n v="10"/>
    <s v="UACU8339195"/>
    <s v="XIN LIAN YUN GANG/12"/>
    <m/>
    <s v="SHANGHAI"/>
    <m/>
    <m/>
    <s v="JASON FAN"/>
    <s v="FO9"/>
    <s v="HOME CLEANING                 "/>
    <s v="CONFIRMED"/>
    <n v="1"/>
    <n v="3"/>
    <d v="2012-01-16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050"/>
    <n v="1370149992"/>
    <n v="50"/>
    <x v="18"/>
    <x v="18"/>
    <s v="M5"/>
    <n v="2210016199"/>
    <n v="74"/>
    <s v="RH7648IA       "/>
    <s v="RH7648IA POWERLINE STICK CLEANER                  "/>
    <s v="S"/>
    <d v="2012-01-17T00:00:00"/>
    <m/>
    <s v="X"/>
    <x v="57"/>
    <n v="30.09"/>
    <n v="14"/>
    <d v="2012-02-13T00:00:00"/>
    <d v="2012-01-16T00:00:00"/>
    <n v="520"/>
    <d v="2012-01-16T00:00:00"/>
    <n v="520"/>
    <m/>
    <d v="2012-01-16T00:00:00"/>
    <n v="520"/>
    <d v="2012-02-12T00:00:00"/>
    <d v="2012-01-15T00:00:00"/>
    <n v="520"/>
    <n v="520"/>
    <x v="8"/>
    <d v="2012-02-13T00:00:00"/>
    <m/>
    <n v="9321662580"/>
    <n v="20"/>
    <s v="UACU8189177"/>
    <s v="XIN LIAN YUN GANG/12"/>
    <m/>
    <s v="SHANGHAI"/>
    <m/>
    <m/>
    <s v="JASON FAN"/>
    <s v="FO9"/>
    <s v="HOME CLEANING                 "/>
    <s v="CONFIRMED"/>
    <n v="1"/>
    <n v="3"/>
    <d v="2012-01-16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070"/>
    <n v="1370149992"/>
    <n v="70"/>
    <x v="18"/>
    <x v="18"/>
    <s v="M5"/>
    <n v="2210016182"/>
    <n v="160"/>
    <s v="RO179501       "/>
    <s v="RO179501 BLACK VAC CLEANER COMPACTEO UPG          "/>
    <s v="S"/>
    <d v="2012-01-17T00:00:00"/>
    <m/>
    <s v="X"/>
    <x v="57"/>
    <n v="31.17"/>
    <n v="14"/>
    <d v="2012-02-13T00:00:00"/>
    <d v="2012-01-16T00:00:00"/>
    <n v="1530"/>
    <d v="2012-01-16T00:00:00"/>
    <n v="1530"/>
    <m/>
    <d v="2012-01-16T00:00:00"/>
    <n v="1530"/>
    <d v="2012-02-12T00:00:00"/>
    <d v="2012-01-15T00:00:00"/>
    <n v="1530"/>
    <n v="1530"/>
    <x v="8"/>
    <d v="2012-02-13T00:00:00"/>
    <m/>
    <n v="9321662580"/>
    <n v="30"/>
    <s v="UACU8099324"/>
    <s v="XIN LIAN YUN GANG/12"/>
    <m/>
    <s v="SHANGHAI"/>
    <m/>
    <m/>
    <s v="JASON FAN"/>
    <s v="FO9"/>
    <s v="HOME CLEANING                 "/>
    <s v="CONFIRMED"/>
    <n v="1"/>
    <n v="3"/>
    <d v="2012-01-16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080"/>
    <n v="1370149992"/>
    <n v="80"/>
    <x v="18"/>
    <x v="18"/>
    <s v="M5"/>
    <n v="2210016182"/>
    <n v="160"/>
    <s v="RO179501       "/>
    <s v="RO179501 BLACK VAC CLEANER COMPACTEO UPG          "/>
    <s v="S"/>
    <d v="2012-01-17T00:00:00"/>
    <m/>
    <s v="X"/>
    <x v="57"/>
    <n v="31.17"/>
    <n v="14"/>
    <d v="2012-02-17T00:00:00"/>
    <d v="2012-01-20T00:00:00"/>
    <n v="1530"/>
    <d v="2012-01-20T00:00:00"/>
    <n v="1530"/>
    <m/>
    <d v="2012-01-16T00:00:00"/>
    <n v="1530"/>
    <d v="2012-02-12T00:00:00"/>
    <d v="2012-01-15T00:00:00"/>
    <n v="1530"/>
    <n v="1530"/>
    <x v="8"/>
    <d v="2012-02-13T00:00:00"/>
    <m/>
    <n v="9321662580"/>
    <n v="40"/>
    <s v="UACU8207970"/>
    <s v="XIN LIAN YUN GANG/12"/>
    <m/>
    <s v="SHANGHAI"/>
    <m/>
    <m/>
    <s v="JASON FAN"/>
    <s v="FO9"/>
    <s v="HOME CLEANING                 "/>
    <s v="CONFIRMED"/>
    <n v="1"/>
    <n v="3"/>
    <d v="2012-01-16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100"/>
    <n v="1370149992"/>
    <n v="100"/>
    <x v="18"/>
    <x v="18"/>
    <s v="M5"/>
    <n v="2210016489"/>
    <n v="74"/>
    <s v="RH7737IA       "/>
    <s v="RH7737IA POWERLINE BAGLESS CLEANER RH773          "/>
    <s v="S"/>
    <d v="2012-01-16T00:00:00"/>
    <m/>
    <s v="X"/>
    <x v="57"/>
    <n v="30.17"/>
    <n v="14"/>
    <d v="2012-02-13T00:00:00"/>
    <d v="2012-01-16T00:00:00"/>
    <n v="520"/>
    <d v="2012-01-16T00:00:00"/>
    <n v="520"/>
    <m/>
    <d v="2012-01-16T00:00:00"/>
    <n v="520"/>
    <d v="2012-02-10T00:00:00"/>
    <d v="2012-01-13T00:00:00"/>
    <n v="520"/>
    <n v="520"/>
    <x v="9"/>
    <d v="2012-02-11T00:00:00"/>
    <m/>
    <n v="9321662580"/>
    <n v="50"/>
    <s v="OOLU7264614"/>
    <s v="APL HAMBURG/015W"/>
    <m/>
    <s v="SHANGHAI"/>
    <m/>
    <m/>
    <s v="JASON FAN"/>
    <s v="FO9"/>
    <s v="HOME CLEANING                 "/>
    <s v="CONFIRMED"/>
    <n v="1"/>
    <n v="2"/>
    <d v="2012-01-14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110"/>
    <n v="1370149992"/>
    <n v="110"/>
    <x v="18"/>
    <x v="18"/>
    <s v="M5"/>
    <n v="2210016489"/>
    <n v="74"/>
    <s v="RH7737IA       "/>
    <s v="RH7737IA POWERLINE BAGLESS CLEANER RH773          "/>
    <s v="S"/>
    <d v="2012-01-16T00:00:00"/>
    <m/>
    <s v="X"/>
    <x v="57"/>
    <n v="30.17"/>
    <n v="14"/>
    <d v="2012-02-16T00:00:00"/>
    <d v="2012-01-19T00:00:00"/>
    <n v="520"/>
    <d v="2012-01-19T00:00:00"/>
    <n v="520"/>
    <m/>
    <d v="2012-01-16T00:00:00"/>
    <n v="520"/>
    <d v="2012-02-10T00:00:00"/>
    <d v="2012-01-13T00:00:00"/>
    <n v="520"/>
    <n v="520"/>
    <x v="9"/>
    <d v="2012-02-11T00:00:00"/>
    <m/>
    <n v="9321662580"/>
    <n v="60"/>
    <s v="OOLU7264614"/>
    <s v="APL HAMBURG/015W"/>
    <m/>
    <s v="SHANGHAI"/>
    <m/>
    <m/>
    <s v="JASON FAN"/>
    <s v="FO9"/>
    <s v="HOME CLEANING                 "/>
    <s v="CONFIRMED"/>
    <n v="1"/>
    <n v="2"/>
    <d v="2012-01-14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160"/>
    <n v="1370149992"/>
    <n v="160"/>
    <x v="18"/>
    <x v="18"/>
    <s v="M5"/>
    <n v="2210016381"/>
    <n v="74"/>
    <s v="RH7765IA       "/>
    <s v="RH7765IA POWERLINE BAGLESS RH7765IA               "/>
    <s v="S"/>
    <d v="2012-01-17T00:00:00"/>
    <m/>
    <s v="X"/>
    <x v="57"/>
    <n v="38.64"/>
    <n v="14"/>
    <d v="2012-02-13T00:00:00"/>
    <d v="2012-01-16T00:00:00"/>
    <n v="520"/>
    <d v="2012-01-16T00:00:00"/>
    <n v="520"/>
    <m/>
    <d v="2012-01-16T00:00:00"/>
    <n v="520"/>
    <d v="2012-02-12T00:00:00"/>
    <d v="2012-01-15T00:00:00"/>
    <n v="520"/>
    <n v="520"/>
    <x v="8"/>
    <d v="2012-02-13T00:00:00"/>
    <m/>
    <n v="9321662580"/>
    <n v="70"/>
    <s v="UACU8189177"/>
    <s v="XIN LIAN YUN GANG/12"/>
    <m/>
    <s v="SHANGHAI"/>
    <m/>
    <m/>
    <s v="JASON FAN"/>
    <s v="FO9"/>
    <s v="HOME CLEANING                 "/>
    <s v="CONFIRMED"/>
    <n v="1"/>
    <n v="3"/>
    <d v="2012-01-16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210"/>
    <n v="1370149992"/>
    <n v="210"/>
    <x v="18"/>
    <x v="18"/>
    <s v="M5"/>
    <n v="2210016546"/>
    <n v="160"/>
    <s v="RO214501       "/>
    <s v="RO214501 VACUUM CLEANER POWER SPACE RO21          "/>
    <s v="S"/>
    <d v="2012-01-17T00:00:00"/>
    <m/>
    <s v="X"/>
    <x v="57"/>
    <n v="36.97"/>
    <n v="14"/>
    <d v="2012-02-13T00:00:00"/>
    <d v="2012-01-16T00:00:00"/>
    <n v="640"/>
    <d v="2012-01-16T00:00:00"/>
    <n v="640"/>
    <m/>
    <d v="2012-01-16T00:00:00"/>
    <n v="640"/>
    <d v="2012-02-12T00:00:00"/>
    <d v="2012-01-15T00:00:00"/>
    <n v="640"/>
    <n v="640"/>
    <x v="8"/>
    <d v="2012-02-13T00:00:00"/>
    <m/>
    <n v="9321662580"/>
    <n v="80"/>
    <s v="UACU8339195"/>
    <s v="XIN LIAN YUN GANG/12"/>
    <m/>
    <s v="SHANGHAI"/>
    <m/>
    <m/>
    <s v="JASON FAN"/>
    <s v="FO9"/>
    <s v="HOME CLEANING                 "/>
    <s v="CONFIRMED"/>
    <n v="1"/>
    <n v="3"/>
    <d v="2012-01-16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2040/000010"/>
    <n v="1370150081"/>
    <n v="10"/>
    <x v="18"/>
    <x v="18"/>
    <s v="M5"/>
    <n v="2210016581"/>
    <n v="160"/>
    <s v="MO152601       "/>
    <s v="MO152601 SILVER VAC CLEANER COMPACTEO             "/>
    <s v="S"/>
    <d v="2012-01-05T00:00:00"/>
    <m/>
    <s v="X"/>
    <x v="57"/>
    <n v="25.32"/>
    <n v="22"/>
    <d v="2012-02-10T00:00:00"/>
    <d v="2012-01-06T00:00:00"/>
    <n v="1530"/>
    <d v="2012-01-06T00:00:00"/>
    <n v="1530"/>
    <m/>
    <d v="2012-01-09T00:00:00"/>
    <n v="1530"/>
    <d v="2012-02-07T00:00:00"/>
    <d v="2012-01-03T00:00:00"/>
    <n v="1530"/>
    <n v="1530"/>
    <x v="16"/>
    <d v="2012-02-07T00:00:00"/>
    <m/>
    <n v="9321662581"/>
    <n v="10"/>
    <s v="PONU1347005"/>
    <s v="MAERSK ESSEN 1202/"/>
    <m/>
    <s v="SHANGHAI"/>
    <s v="LATE DOC FROM FORWARDER"/>
    <m/>
    <s v="JASON FAN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1764/000010"/>
    <n v="1370150107"/>
    <n v="10"/>
    <x v="18"/>
    <x v="18"/>
    <s v="M5"/>
    <n v="2210015542"/>
    <n v="161"/>
    <s v="MO454301       "/>
    <s v="MO454301 VAC CLEANER COMPACTEO CYCLONIC           "/>
    <s v="S"/>
    <d v="2012-01-05T00:00:00"/>
    <m/>
    <s v="X"/>
    <x v="57"/>
    <n v="31.18"/>
    <n v="27"/>
    <d v="2012-02-10T00:00:00"/>
    <d v="2012-01-06T00:00:00"/>
    <n v="1530"/>
    <d v="2012-01-06T00:00:00"/>
    <n v="1530"/>
    <m/>
    <d v="2012-01-09T00:00:00"/>
    <n v="1530"/>
    <d v="2012-02-07T00:00:00"/>
    <d v="2012-01-03T00:00:00"/>
    <n v="1530"/>
    <n v="1530"/>
    <x v="16"/>
    <d v="2012-02-07T00:00:00"/>
    <m/>
    <n v="9321662582"/>
    <n v="10"/>
    <s v="PONU1356922"/>
    <s v="MAERSK ESSEN 1202/"/>
    <m/>
    <s v="SHANGHAI"/>
    <s v="LATE DOC FROM FORWARDER"/>
    <m/>
    <s v="JASON FAN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44/000001"/>
    <n v="1370149352"/>
    <n v="10"/>
    <x v="11"/>
    <x v="11"/>
    <s v="J4"/>
    <n v="1830003143"/>
    <n v="64"/>
    <s v="IS5200Q0       "/>
    <s v="IS5200Q0 GARMENT STEAMER STEAM CONTROL            "/>
    <s v="S"/>
    <d v="2012-01-10T00:00:00"/>
    <m/>
    <s v="X"/>
    <x v="57"/>
    <n v="33.36"/>
    <n v="511"/>
    <d v="2012-02-17T00:00:00"/>
    <d v="2012-01-13T00:00:00"/>
    <n v="450"/>
    <d v="2012-01-07T00:00:00"/>
    <n v="450"/>
    <m/>
    <d v="2012-01-13T00:00:00"/>
    <n v="450"/>
    <d v="2012-02-11T00:00:00"/>
    <d v="2012-01-07T00:00:00"/>
    <n v="450"/>
    <n v="450"/>
    <x v="12"/>
    <d v="2012-02-11T00:00:00"/>
    <m/>
    <n v="9321662584"/>
    <n v="10"/>
    <s v="SUDU8582822"/>
    <s v="MONTE ROSA/201E/"/>
    <m/>
    <s v="XIAMEN"/>
    <s v="CONS-SHIPT/"/>
    <m/>
    <s v="TWEETY LEUNG"/>
    <s v="FO9"/>
    <s v="LINEN CARE                    "/>
    <s v="CONFIRMED"/>
    <n v="1"/>
    <n v="1"/>
    <d v="2012-01-07T00:00:00"/>
    <s v="LINEN PERS HOME CARE          "/>
    <s v="LINEN CARE                    "/>
    <x v="5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44/000002"/>
    <n v="1370149352"/>
    <n v="20"/>
    <x v="11"/>
    <x v="11"/>
    <s v="J4"/>
    <n v="1830003143"/>
    <n v="64"/>
    <s v="IS5200Q0       "/>
    <s v="IS5200Q0 GARMENT STEAMER STEAM CONTROL            "/>
    <s v="S"/>
    <d v="2012-02-01T00:00:00"/>
    <m/>
    <s v="X"/>
    <x v="57"/>
    <n v="33.36"/>
    <n v="511"/>
    <d v="2012-02-25T00:00:00"/>
    <d v="2012-01-21T00:00:00"/>
    <n v="450"/>
    <d v="2012-01-21T00:00:00"/>
    <n v="450"/>
    <m/>
    <d v="2012-01-21T00:00:00"/>
    <n v="450"/>
    <d v="2012-02-25T00:00:00"/>
    <d v="2012-01-21T00:00:00"/>
    <n v="450"/>
    <n v="450"/>
    <x v="26"/>
    <d v="2012-02-25T00:00:00"/>
    <m/>
    <n v="9321662584"/>
    <n v="20"/>
    <s v="SUDU3925662"/>
    <s v="MONTE VERDE 203E/"/>
    <m/>
    <s v="XIAMEN"/>
    <m/>
    <m/>
    <s v="TWEETY LEUNG"/>
    <s v="FO9"/>
    <s v="LINEN CARE                    "/>
    <s v="CONFIRMED"/>
    <n v="1"/>
    <n v="3"/>
    <d v="2012-01-21T00:00:00"/>
    <s v="LINEN PERS HOME CARE          "/>
    <s v="LINEN CARE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0177/000010"/>
    <n v="1370150035"/>
    <n v="10"/>
    <x v="11"/>
    <x v="11"/>
    <s v="R1"/>
    <n v="8000003439"/>
    <n v="27"/>
    <s v="BCA141         "/>
    <s v="BCA141 COFFEE MAKER SOLEA 6 CUPS (WHITE)          "/>
    <s v="S"/>
    <d v="2012-01-09T00:00:00"/>
    <m/>
    <s v="X"/>
    <x v="57"/>
    <n v="8.84"/>
    <n v="10"/>
    <d v="2012-01-09T00:00:00"/>
    <d v="2012-01-06T00:00:00"/>
    <n v="1002"/>
    <d v="2012-01-06T00:00:00"/>
    <n v="1002"/>
    <m/>
    <m/>
    <m/>
    <d v="2012-01-08T00:00:00"/>
    <d v="2012-01-05T00:00:00"/>
    <n v="1002"/>
    <n v="1002"/>
    <x v="6"/>
    <d v="2012-01-08T00:00:00"/>
    <m/>
    <n v="9321662586"/>
    <n v="10"/>
    <s v="BY TRUCK"/>
    <s v="BY TRUCK"/>
    <m/>
    <s v="XIAMEN"/>
    <m/>
    <m/>
    <s v="ZANDRA LAM"/>
    <s v="FO9"/>
    <s v="BEVERAGE                      "/>
    <s v="CONFIRMED"/>
    <n v="1"/>
    <n v="1"/>
    <d v="2012-01-05T00:00:00"/>
    <s v="KITCHEN ELECTRICS             "/>
    <s v="BREAKFAST &amp; BREVAGE PREP      "/>
    <x v="1"/>
    <x v="1"/>
    <x v="1"/>
    <m/>
    <n v="0"/>
    <n v="0"/>
    <x v="1"/>
    <n v="0"/>
    <x v="0"/>
    <x v="1"/>
    <x v="0"/>
    <n v="0"/>
    <n v="0"/>
    <n v="1"/>
    <n v="0"/>
    <n v="0"/>
    <n v="1"/>
    <x v="0"/>
    <x v="0"/>
    <x v="1"/>
    <x v="1"/>
  </r>
  <r>
    <s v="Shipment"/>
    <n v="99103498"/>
    <s v="GSE/DSV BLP WAREHOUSE YANTIAN                     "/>
    <n v="99005151"/>
    <x v="18"/>
    <s v="9321660926/000010"/>
    <n v="1370150076"/>
    <n v="10"/>
    <x v="11"/>
    <x v="11"/>
    <s v="P1"/>
    <n v="1500675360"/>
    <n v="106"/>
    <n v="675360"/>
    <s v="HM101060 BATTEUR B/R MLX ARAB.                    "/>
    <s v="S"/>
    <d v="2012-01-17T00:00:00"/>
    <m/>
    <s v="X"/>
    <x v="57"/>
    <n v="8.3800000000000008"/>
    <n v="9"/>
    <d v="2012-01-19T00:00:00"/>
    <d v="2012-01-16T00:00:00"/>
    <n v="1002"/>
    <d v="2012-01-16T00:00:00"/>
    <n v="1002"/>
    <m/>
    <d v="2012-01-17T00:00:00"/>
    <n v="1002"/>
    <d v="2012-01-20T00:00:00"/>
    <d v="2012-01-17T00:00:00"/>
    <n v="1002"/>
    <n v="1002"/>
    <x v="24"/>
    <d v="2012-01-16T00:00:00"/>
    <m/>
    <n v="9321662589"/>
    <n v="10"/>
    <m/>
    <m/>
    <m/>
    <s v="XIAMEN"/>
    <m/>
    <m/>
    <s v="ZANDRA LAM"/>
    <s v="FO9"/>
    <s v="FOOD PREPARATION              "/>
    <s v="CONFIRMED"/>
    <n v="1"/>
    <n v="2"/>
    <d v="2012-01-13T00:00:00"/>
    <s v="KITCHEN ELECTRICS             "/>
    <s v="FOOD PREPARATION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9882/000010"/>
    <n v="1370150083"/>
    <n v="10"/>
    <x v="11"/>
    <x v="11"/>
    <s v="N1"/>
    <n v="2100056294"/>
    <n v="50"/>
    <s v="CB501212       "/>
    <s v="CB501212 PLANCHA MALAGA 2009                      "/>
    <s v="S"/>
    <d v="2012-01-27T00:00:00"/>
    <m/>
    <s v="X"/>
    <x v="57"/>
    <n v="17.87"/>
    <n v="15"/>
    <d v="2012-02-24T00:00:00"/>
    <d v="2012-01-20T00:00:00"/>
    <n v="1920"/>
    <d v="2012-01-18T00:00:00"/>
    <n v="1920"/>
    <m/>
    <d v="2012-01-18T00:00:00"/>
    <n v="1920"/>
    <d v="2012-02-22T00:00:00"/>
    <d v="2012-01-18T00:00:00"/>
    <n v="1920"/>
    <n v="1920"/>
    <x v="27"/>
    <d v="2012-02-29T00:00:00"/>
    <m/>
    <n v="9321662590"/>
    <n v="10"/>
    <s v="GATU4174099"/>
    <s v="MAERSK SURABAYA"/>
    <m/>
    <s v="XIAMEN"/>
    <m/>
    <m/>
    <s v="JASON FAN"/>
    <s v="FO9"/>
    <s v="ELECTRICAL COOKING            "/>
    <s v="CONFIRMED"/>
    <n v="1"/>
    <n v="4"/>
    <d v="2012-01-25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9881/000010"/>
    <n v="1370150086"/>
    <n v="10"/>
    <x v="11"/>
    <x v="11"/>
    <s v="N1"/>
    <n v="2100056294"/>
    <n v="50"/>
    <s v="CB501212       "/>
    <s v="CB501212 PLANCHA MALAGA 2009                      "/>
    <s v="S"/>
    <d v="2012-01-20T00:00:00"/>
    <m/>
    <s v="X"/>
    <x v="57"/>
    <n v="17.87"/>
    <n v="15"/>
    <d v="2012-02-24T00:00:00"/>
    <d v="2012-01-20T00:00:00"/>
    <n v="1920"/>
    <d v="2012-01-18T00:00:00"/>
    <n v="1920"/>
    <m/>
    <d v="2012-01-18T00:00:00"/>
    <n v="1920"/>
    <d v="2012-02-22T00:00:00"/>
    <d v="2012-01-18T00:00:00"/>
    <n v="1920"/>
    <n v="1920"/>
    <x v="21"/>
    <d v="2012-02-22T00:00:00"/>
    <m/>
    <n v="9321662591"/>
    <n v="10"/>
    <s v="PONU1885700"/>
    <s v="SUSAN MAERSK 1202/"/>
    <m/>
    <s v="XIAMEN"/>
    <m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9873/000010"/>
    <n v="1370150090"/>
    <n v="10"/>
    <x v="11"/>
    <x v="11"/>
    <s v="N1"/>
    <n v="2100039731"/>
    <n v="50"/>
    <s v="CB500512       "/>
    <s v="CB500512 PLANCHA COMPACTE 900                     "/>
    <s v="S"/>
    <d v="2012-01-20T00:00:00"/>
    <m/>
    <s v="X"/>
    <x v="57"/>
    <n v="11.72"/>
    <n v="10"/>
    <d v="2012-02-17T00:00:00"/>
    <d v="2012-01-13T00:00:00"/>
    <n v="2720"/>
    <d v="2012-01-13T00:00:00"/>
    <n v="2720"/>
    <m/>
    <d v="2012-01-11T00:00:00"/>
    <n v="2720"/>
    <d v="2012-02-22T00:00:00"/>
    <d v="2012-01-18T00:00:00"/>
    <n v="2720"/>
    <n v="2720"/>
    <x v="21"/>
    <d v="2012-02-22T00:00:00"/>
    <m/>
    <n v="9321662592"/>
    <n v="10"/>
    <s v="MAEU6229985"/>
    <s v="MAERSK SOFIA 1202/"/>
    <m/>
    <s v="NINGBO"/>
    <m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2038/000010"/>
    <n v="1370150096"/>
    <n v="10"/>
    <x v="11"/>
    <x v="11"/>
    <s v="J4"/>
    <n v="1830003235"/>
    <n v="1"/>
    <s v="IM1215E0       "/>
    <s v="IM1215E0 STEAM IRON NICIO 15                      "/>
    <s v="S"/>
    <d v="2012-01-18T00:00:00"/>
    <m/>
    <s v="X"/>
    <x v="57"/>
    <n v="7.17"/>
    <n v="6"/>
    <d v="2012-02-10T00:00:00"/>
    <d v="2012-01-06T00:00:00"/>
    <n v="4320"/>
    <d v="2012-01-13T00:00:00"/>
    <n v="4320"/>
    <m/>
    <d v="2012-01-06T00:00:00"/>
    <n v="4320"/>
    <d v="2012-02-19T00:00:00"/>
    <d v="2012-01-15T00:00:00"/>
    <n v="4320"/>
    <n v="4320"/>
    <x v="11"/>
    <d v="2012-02-19T00:00:00"/>
    <m/>
    <n v="9321662593"/>
    <n v="10"/>
    <s v="DRYU4045264"/>
    <s v="OOCL SHENZHEN 54W02/"/>
    <m/>
    <s v="XIAMEN"/>
    <s v="CONS-SHIPT"/>
    <m/>
    <s v="JASON FAN"/>
    <s v="FO9"/>
    <s v="LINEN CARE                    "/>
    <s v="CONFIRMED"/>
    <n v="1"/>
    <n v="2"/>
    <d v="2012-01-15T00:00:00"/>
    <s v="LINEN PERS HOME CARE          "/>
    <s v="LINEN CARE                    "/>
    <x v="5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9874/000010"/>
    <n v="1370150102"/>
    <n v="10"/>
    <x v="11"/>
    <x v="11"/>
    <s v="N1"/>
    <n v="2100039731"/>
    <n v="50"/>
    <s v="CB500512       "/>
    <s v="CB500512 PLANCHA COMPACTE 900                     "/>
    <s v="S"/>
    <d v="2012-01-27T00:00:00"/>
    <m/>
    <s v="X"/>
    <x v="57"/>
    <n v="11.72"/>
    <n v="10"/>
    <d v="2012-02-24T00:00:00"/>
    <d v="2012-01-20T00:00:00"/>
    <n v="2720"/>
    <d v="2012-01-18T00:00:00"/>
    <n v="2720"/>
    <m/>
    <d v="2012-01-18T00:00:00"/>
    <n v="2720"/>
    <d v="2012-02-22T00:00:00"/>
    <d v="2012-01-18T00:00:00"/>
    <n v="2720"/>
    <n v="2720"/>
    <x v="27"/>
    <d v="2012-02-29T00:00:00"/>
    <m/>
    <n v="9321662594"/>
    <n v="10"/>
    <s v="MRKU0622944"/>
    <s v="MAERSK SURABAYA"/>
    <m/>
    <s v="NINGBO"/>
    <m/>
    <m/>
    <s v="JASON FAN"/>
    <s v="FO9"/>
    <s v="ELECTRICAL COOKING            "/>
    <s v="CONFIRMED"/>
    <n v="1"/>
    <n v="4"/>
    <d v="2012-01-25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9878/000010"/>
    <n v="1370150108"/>
    <n v="10"/>
    <x v="11"/>
    <x v="11"/>
    <s v="N1"/>
    <n v="2100068340"/>
    <n v="50"/>
    <s v="CB500812       "/>
    <s v="CB500812 PLA COMPACT MARINADE BLK EUR             "/>
    <s v="S"/>
    <d v="2012-01-07T00:00:00"/>
    <m/>
    <s v="X"/>
    <x v="57"/>
    <n v="14.9"/>
    <n v="13"/>
    <d v="2012-02-24T00:00:00"/>
    <d v="2012-01-20T00:00:00"/>
    <n v="1992"/>
    <d v="2012-01-06T00:00:00"/>
    <n v="1992"/>
    <m/>
    <d v="2012-01-04T00:00:00"/>
    <n v="1992"/>
    <d v="2012-02-08T00:00:00"/>
    <d v="2012-01-04T00:00:00"/>
    <n v="1992"/>
    <n v="576"/>
    <x v="2"/>
    <d v="2012-02-08T00:00:00"/>
    <m/>
    <n v="9321662595"/>
    <n v="10"/>
    <s v="MSKU6062793"/>
    <s v="SVEND MAERSK 1202/"/>
    <m/>
    <s v="XIAMEN"/>
    <m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1"/>
    <x v="1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9878/000010"/>
    <n v="1370150108"/>
    <n v="10"/>
    <x v="11"/>
    <x v="11"/>
    <s v="N1"/>
    <n v="2100068340"/>
    <n v="50"/>
    <s v="CB500812       "/>
    <s v="CB500812 PLA COMPACT MARINADE BLK EUR             "/>
    <s v="S"/>
    <d v="2012-01-07T00:00:00"/>
    <m/>
    <s v="X"/>
    <x v="57"/>
    <n v="14.9"/>
    <n v="13"/>
    <d v="2012-02-24T00:00:00"/>
    <d v="2012-01-20T00:00:00"/>
    <n v="1992"/>
    <d v="2012-01-06T00:00:00"/>
    <n v="1992"/>
    <m/>
    <d v="2012-01-04T00:00:00"/>
    <n v="1992"/>
    <d v="2012-02-08T00:00:00"/>
    <d v="2012-01-04T00:00:00"/>
    <n v="1992"/>
    <n v="1416"/>
    <x v="2"/>
    <d v="2012-02-08T00:00:00"/>
    <m/>
    <n v="9321662595"/>
    <n v="10"/>
    <s v="MAEU6285269"/>
    <s v="SVEND MAERSK 1202/"/>
    <m/>
    <s v="XIAMEN"/>
    <m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1"/>
    <x v="1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9877/000010"/>
    <n v="1370150120"/>
    <n v="10"/>
    <x v="11"/>
    <x v="11"/>
    <s v="N1"/>
    <n v="2100068340"/>
    <n v="50"/>
    <s v="CB500812       "/>
    <s v="CB500812 PLA COMPACT MARINADE BLK EUR             "/>
    <s v="S"/>
    <d v="2012-01-07T00:00:00"/>
    <m/>
    <s v="X"/>
    <x v="57"/>
    <n v="14.9"/>
    <n v="13"/>
    <d v="2012-02-10T00:00:00"/>
    <d v="2012-01-06T00:00:00"/>
    <n v="1992"/>
    <d v="2012-01-06T00:00:00"/>
    <n v="1992"/>
    <m/>
    <d v="2012-01-04T00:00:00"/>
    <n v="1992"/>
    <d v="2012-02-08T00:00:00"/>
    <d v="2012-01-04T00:00:00"/>
    <n v="1992"/>
    <n v="576"/>
    <x v="2"/>
    <d v="2012-02-08T00:00:00"/>
    <m/>
    <n v="9321662596"/>
    <n v="10"/>
    <s v="MSKU6062793"/>
    <s v="SVEND MAERSK 1202/"/>
    <m/>
    <s v="XIAMEN"/>
    <m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9877/000010"/>
    <n v="1370150120"/>
    <n v="10"/>
    <x v="11"/>
    <x v="11"/>
    <s v="N1"/>
    <n v="2100068340"/>
    <n v="50"/>
    <s v="CB500812       "/>
    <s v="CB500812 PLA COMPACT MARINADE BLK EUR             "/>
    <s v="S"/>
    <d v="2012-01-07T00:00:00"/>
    <m/>
    <s v="X"/>
    <x v="57"/>
    <n v="14.9"/>
    <n v="13"/>
    <d v="2012-02-10T00:00:00"/>
    <d v="2012-01-06T00:00:00"/>
    <n v="1992"/>
    <d v="2012-01-06T00:00:00"/>
    <n v="1992"/>
    <m/>
    <d v="2012-01-04T00:00:00"/>
    <n v="1992"/>
    <d v="2012-02-08T00:00:00"/>
    <d v="2012-01-04T00:00:00"/>
    <n v="1992"/>
    <n v="1416"/>
    <x v="2"/>
    <d v="2012-02-08T00:00:00"/>
    <m/>
    <n v="9321662596"/>
    <n v="10"/>
    <s v="TEXU7377340"/>
    <s v="SVEND MAERSK 1202/"/>
    <m/>
    <s v="XIAMEN"/>
    <m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9872/000010"/>
    <n v="1370150121"/>
    <n v="10"/>
    <x v="11"/>
    <x v="11"/>
    <s v="N1"/>
    <n v="2100039731"/>
    <n v="50"/>
    <s v="CB500512       "/>
    <s v="CB500512 PLANCHA COMPACTE 900                     "/>
    <s v="S"/>
    <d v="2012-01-17T00:00:00"/>
    <m/>
    <s v="X"/>
    <x v="57"/>
    <n v="11.72"/>
    <n v="10"/>
    <d v="2012-02-10T00:00:00"/>
    <d v="2012-01-06T00:00:00"/>
    <n v="2720"/>
    <d v="2012-01-06T00:00:00"/>
    <n v="2720"/>
    <m/>
    <d v="2012-01-11T00:00:00"/>
    <n v="2720"/>
    <d v="2012-02-15T00:00:00"/>
    <d v="2012-01-11T00:00:00"/>
    <n v="2720"/>
    <n v="2720"/>
    <x v="17"/>
    <d v="2012-02-15T00:00:00"/>
    <m/>
    <n v="9321662597"/>
    <n v="10"/>
    <s v="MRKU0395901"/>
    <s v="MAERSK SOFIA 1202/"/>
    <m/>
    <s v="NINGBO"/>
    <m/>
    <m/>
    <s v="JASON FAN"/>
    <s v="FO9"/>
    <s v="ELECTRICAL COOKING            "/>
    <s v="CONFIRMED"/>
    <n v="1"/>
    <n v="2"/>
    <d v="2012-01-11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9880/000010"/>
    <n v="1370150137"/>
    <n v="10"/>
    <x v="11"/>
    <x v="11"/>
    <s v="N1"/>
    <n v="2100056294"/>
    <n v="50"/>
    <s v="CB501212       "/>
    <s v="CB501212 PLANCHA MALAGA 2009                      "/>
    <s v="S"/>
    <d v="2012-01-07T00:00:00"/>
    <m/>
    <s v="X"/>
    <x v="57"/>
    <n v="17.87"/>
    <n v="15"/>
    <d v="2012-02-10T00:00:00"/>
    <d v="2012-01-06T00:00:00"/>
    <n v="1920"/>
    <d v="2012-01-06T00:00:00"/>
    <n v="1920"/>
    <m/>
    <d v="2012-01-04T00:00:00"/>
    <n v="1920"/>
    <d v="2012-02-08T00:00:00"/>
    <d v="2012-01-04T00:00:00"/>
    <n v="1920"/>
    <n v="1920"/>
    <x v="2"/>
    <d v="2012-02-08T00:00:00"/>
    <m/>
    <n v="9321662598"/>
    <n v="10"/>
    <s v="INBU5082280"/>
    <s v="SVEND MAERSK 1202/"/>
    <m/>
    <s v="XIAMEN"/>
    <m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2408/000010"/>
    <n v="1370149588"/>
    <n v="10"/>
    <x v="53"/>
    <x v="53"/>
    <s v="R1"/>
    <n v="1500539626"/>
    <n v="23"/>
    <n v="539626"/>
    <s v="539626 TOAS LC BW WHT/GRG DE                      "/>
    <s v="S"/>
    <d v="2012-01-12T00:00:00"/>
    <m/>
    <s v="X"/>
    <x v="57"/>
    <n v="7.37"/>
    <n v="6"/>
    <d v="2012-02-13T00:00:00"/>
    <d v="2012-01-09T00:00:00"/>
    <n v="2400"/>
    <d v="2012-01-12T00:00:00"/>
    <n v="2400"/>
    <m/>
    <d v="2012-01-09T00:00:00"/>
    <n v="2400"/>
    <d v="2012-02-16T00:00:00"/>
    <d v="2012-01-12T00:00:00"/>
    <n v="2400"/>
    <n v="2400"/>
    <x v="10"/>
    <d v="2012-02-16T00:00:00"/>
    <m/>
    <n v="9321662600"/>
    <n v="10"/>
    <s v="MOFU5880470"/>
    <s v="MOL MISSION/006W"/>
    <m/>
    <s v="YANTIAN"/>
    <s v="CONS-SHIPT/"/>
    <m/>
    <s v="AGNES NUNES"/>
    <s v="FO9"/>
    <s v="BEVERAGE                      "/>
    <s v="CONFIRMED"/>
    <n v="1"/>
    <n v="2"/>
    <d v="2012-01-12T00:00:00"/>
    <s v="KITCHEN ELECTRICS             "/>
    <s v="BREAKFAST &amp; BREVAGE PREP      "/>
    <x v="4"/>
    <x v="1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48/000001"/>
    <n v="1370149996"/>
    <n v="10"/>
    <x v="53"/>
    <x v="53"/>
    <s v="R1"/>
    <n v="1500577607"/>
    <n v="23"/>
    <n v="577607"/>
    <s v="LT100050 TOAS ACCESSIMO 2S WHT MX                 "/>
    <s v="S"/>
    <d v="2012-01-17T00:00:00"/>
    <m/>
    <s v="X"/>
    <x v="57"/>
    <n v="8.09"/>
    <n v="124"/>
    <d v="2012-02-25T00:00:00"/>
    <d v="2012-01-21T00:00:00"/>
    <n v="1576"/>
    <d v="2012-01-21T00:00:00"/>
    <n v="1576"/>
    <m/>
    <d v="2012-01-15T00:00:00"/>
    <n v="1576"/>
    <d v="2012-02-17T00:00:00"/>
    <d v="2012-01-13T00:00:00"/>
    <n v="1576"/>
    <n v="1576"/>
    <x v="24"/>
    <d v="2012-02-17T00:00:00"/>
    <m/>
    <n v="9321662602"/>
    <n v="10"/>
    <s v="SUDU7475687"/>
    <s v="MONTE SARMIENTO 202E"/>
    <m/>
    <s v="YANTIAN"/>
    <s v="SP-HOLIDAY/"/>
    <m/>
    <s v="TWEETY LEUNG"/>
    <s v="FO9"/>
    <s v="BEVERAGE                      "/>
    <s v="CONFIRMED"/>
    <n v="1"/>
    <n v="2"/>
    <d v="2012-01-13T00:00:00"/>
    <s v="KITCHEN ELECTRICS             "/>
    <s v="BREAKFAST &amp; BREVAGE PREP      "/>
    <x v="4"/>
    <x v="1"/>
    <x v="7"/>
    <s v="SP-HOLIDAY"/>
    <n v="-3"/>
    <n v="-3"/>
    <x v="6"/>
    <n v="1"/>
    <x v="0"/>
    <x v="0"/>
    <x v="0"/>
    <n v="0"/>
    <n v="0"/>
    <n v="0"/>
    <n v="0"/>
    <n v="0"/>
    <n v="0"/>
    <x v="1"/>
    <x v="0"/>
    <x v="1"/>
    <x v="0"/>
  </r>
  <r>
    <s v="Shipment"/>
    <n v="99102353"/>
    <s v="THE BRANCH OF ZAO &quot;GROUPE SEB                     "/>
    <n v="99004801"/>
    <x v="1"/>
    <s v="9321661807/000010"/>
    <n v="1370150014"/>
    <n v="10"/>
    <x v="53"/>
    <x v="53"/>
    <s v="R1"/>
    <n v="1500539646"/>
    <n v="23"/>
    <n v="539646"/>
    <s v="539646 TOAS LC WHT/GRG RU                         "/>
    <s v="S"/>
    <d v="2012-01-13T00:00:00"/>
    <m/>
    <s v="X"/>
    <x v="57"/>
    <n v="7.37"/>
    <n v="271"/>
    <d v="2012-02-27T00:00:00"/>
    <d v="2012-01-09T00:00:00"/>
    <n v="2400"/>
    <d v="2012-01-09T00:00:00"/>
    <n v="2400"/>
    <m/>
    <d v="2012-01-09T00:00:00"/>
    <n v="2400"/>
    <d v="2012-03-01T00:00:00"/>
    <d v="2012-01-12T00:00:00"/>
    <n v="2400"/>
    <n v="2400"/>
    <x v="10"/>
    <d v="2012-03-01T00:00:00"/>
    <m/>
    <n v="9321662603"/>
    <n v="10"/>
    <s v="OOLU7355186"/>
    <s v="NYK ORPHEUS/18W52"/>
    <m/>
    <s v="YANTIAN"/>
    <m/>
    <m/>
    <s v="KENUS WONG"/>
    <s v="FO9"/>
    <s v="BEVERAGE                      "/>
    <s v="CONFIRMED"/>
    <n v="1"/>
    <n v="2"/>
    <d v="2012-01-12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2446/000010"/>
    <n v="1370149591"/>
    <n v="10"/>
    <x v="4"/>
    <x v="4"/>
    <s v="M5"/>
    <n v="2210016372"/>
    <n v="68"/>
    <s v="RH8548GA       "/>
    <s v="RH8548GA CORDLESS STICKCLEANER  18V               "/>
    <s v="S"/>
    <d v="2012-01-04T00:00:00"/>
    <m/>
    <s v="X"/>
    <x v="57"/>
    <n v="47.98"/>
    <n v="40977"/>
    <d v="2012-02-13T00:00:00"/>
    <d v="2012-01-09T00:00:00"/>
    <n v="826"/>
    <d v="2012-01-09T00:00:00"/>
    <n v="826"/>
    <m/>
    <d v="2012-01-09T00:00:00"/>
    <n v="826"/>
    <d v="2012-02-13T00:00:00"/>
    <d v="2012-01-09T00:00:00"/>
    <n v="826"/>
    <n v="826"/>
    <x v="13"/>
    <d v="2012-02-05T00:00:00"/>
    <m/>
    <n v="9321662604"/>
    <n v="10"/>
    <s v="CAIU2744554"/>
    <s v="HYUNDAI SPLENDOR/016"/>
    <m/>
    <s v="YANTIAN"/>
    <m/>
    <m/>
    <s v="AGNES NUNES"/>
    <s v="FO9"/>
    <s v="HOME CLEANING                 "/>
    <s v="CONFIRMED"/>
    <n v="1"/>
    <n v="52"/>
    <d v="2012-01-01T00:00:00"/>
    <s v="HOME CLEANING                 "/>
    <s v="HOME CLEANING                 "/>
    <x v="3"/>
    <x v="2"/>
    <x v="1"/>
    <m/>
    <n v="0"/>
    <n v="0"/>
    <x v="1"/>
    <n v="0"/>
    <x v="0"/>
    <x v="0"/>
    <x v="0"/>
    <n v="0"/>
    <n v="0"/>
    <n v="0"/>
    <n v="0"/>
    <n v="0"/>
    <n v="0"/>
    <x v="1"/>
    <x v="0"/>
    <x v="1"/>
    <x v="0"/>
  </r>
  <r>
    <s v="Shipment"/>
    <n v="99002901"/>
    <s v="GROUPE SEB CENTRAL EUROPE KFT.                    "/>
    <n v="99002901"/>
    <x v="29"/>
    <s v="4500262664/000010"/>
    <n v="1370149819"/>
    <n v="10"/>
    <x v="4"/>
    <x v="4"/>
    <s v="M5"/>
    <n v="2210016554"/>
    <n v="68"/>
    <s v="RH857101       "/>
    <s v="RH857101 CORDLESS HANDSTICK AIR FORCE-24          "/>
    <s v="S"/>
    <d v="2012-01-16T00:00:00"/>
    <m/>
    <s v="X"/>
    <x v="57"/>
    <n v="54.33"/>
    <n v="13389"/>
    <d v="2012-03-05T00:00:00"/>
    <d v="2012-01-30T00:00:00"/>
    <n v="826"/>
    <d v="2012-01-30T00:00:00"/>
    <n v="826"/>
    <m/>
    <d v="2012-01-18T00:00:00"/>
    <n v="826"/>
    <d v="2012-02-22T00:00:00"/>
    <d v="2012-01-18T00:00:00"/>
    <n v="826"/>
    <n v="826"/>
    <x v="9"/>
    <d v="2012-02-18T00:00:00"/>
    <m/>
    <n v="9321662605"/>
    <n v="10"/>
    <s v="MSKU6299300"/>
    <s v="CMA CGM BALZAC/1202"/>
    <m/>
    <s v="YANTIAN"/>
    <s v="SP-HOLIDAY/"/>
    <m/>
    <s v="KENUS WONG"/>
    <s v="FO9"/>
    <s v="HOME CLEANING                 "/>
    <s v="CONFIRMED"/>
    <n v="1"/>
    <n v="2"/>
    <d v="2012-01-14T00:00:00"/>
    <s v="HOME CLEANING                 "/>
    <s v="HOME CLEANING                 "/>
    <x v="3"/>
    <x v="2"/>
    <x v="7"/>
    <s v="SP-HOLIDAY"/>
    <n v="-3"/>
    <n v="-3"/>
    <x v="6"/>
    <n v="1"/>
    <x v="0"/>
    <x v="0"/>
    <x v="0"/>
    <n v="1"/>
    <n v="0"/>
    <n v="0"/>
    <n v="0"/>
    <n v="1"/>
    <n v="1"/>
    <x v="0"/>
    <x v="0"/>
    <x v="1"/>
    <x v="1"/>
  </r>
  <r>
    <s v="Shipment"/>
    <n v="99002901"/>
    <s v="GROUPE SEB CENTRAL EUROPE KFT.                    "/>
    <n v="99002901"/>
    <x v="29"/>
    <s v="4500262665/000010"/>
    <n v="1370149823"/>
    <n v="10"/>
    <x v="4"/>
    <x v="4"/>
    <s v="M5"/>
    <n v="2210016706"/>
    <n v="68"/>
    <s v="RH845901       "/>
    <s v="RH845901 CORDLESS HANDSTICK AIR FORCE  1          "/>
    <s v="S"/>
    <d v="2012-01-16T00:00:00"/>
    <m/>
    <s v="X"/>
    <x v="57"/>
    <n v="42.41"/>
    <n v="10267"/>
    <d v="2012-03-05T00:00:00"/>
    <d v="2012-01-30T00:00:00"/>
    <n v="826"/>
    <d v="2012-01-30T00:00:00"/>
    <n v="826"/>
    <m/>
    <d v="2012-01-18T00:00:00"/>
    <n v="826"/>
    <d v="2012-02-22T00:00:00"/>
    <d v="2012-01-18T00:00:00"/>
    <n v="826"/>
    <n v="826"/>
    <x v="9"/>
    <d v="2012-02-18T00:00:00"/>
    <m/>
    <n v="9321662606"/>
    <n v="10"/>
    <s v="MSKU6299300"/>
    <s v="CMA CGM BALZAC/1202"/>
    <m/>
    <s v="YANTIAN"/>
    <s v="SP-HOLIDAY/"/>
    <m/>
    <s v="KENUS WONG"/>
    <s v="FO9"/>
    <s v="HOME CLEANING                 "/>
    <s v="CONFIRMED"/>
    <n v="1"/>
    <n v="2"/>
    <d v="2012-01-14T00:00:00"/>
    <s v="HOME CLEANING                 "/>
    <s v="HOME CLEANING                 "/>
    <x v="3"/>
    <x v="2"/>
    <x v="7"/>
    <s v="SP-HOLIDAY"/>
    <n v="-3"/>
    <n v="-3"/>
    <x v="6"/>
    <n v="1"/>
    <x v="0"/>
    <x v="0"/>
    <x v="0"/>
    <n v="1"/>
    <n v="0"/>
    <n v="0"/>
    <n v="0"/>
    <n v="1"/>
    <n v="1"/>
    <x v="0"/>
    <x v="0"/>
    <x v="1"/>
    <x v="1"/>
  </r>
  <r>
    <s v="Shipment"/>
    <n v="99002102"/>
    <s v="GROUPE SEB ITALIA S.p.a                           "/>
    <n v="99002102"/>
    <x v="14"/>
    <s v="4600079152/000130"/>
    <n v="1370149992"/>
    <n v="130"/>
    <x v="4"/>
    <x v="4"/>
    <s v="M5"/>
    <n v="2210015096"/>
    <n v="68"/>
    <s v="RH856501       "/>
    <s v="RH856501 CORDLESS HANDSTICK-24V                   "/>
    <s v="S"/>
    <d v="2012-01-19T00:00:00"/>
    <m/>
    <s v="X"/>
    <x v="57"/>
    <n v="54.33"/>
    <n v="14"/>
    <d v="2012-02-13T00:00:00"/>
    <d v="2012-01-16T00:00:00"/>
    <n v="826"/>
    <d v="2012-01-16T00:00:00"/>
    <n v="826"/>
    <m/>
    <d v="2012-01-16T00:00:00"/>
    <n v="826"/>
    <d v="2012-02-13T00:00:00"/>
    <d v="2012-01-16T00:00:00"/>
    <n v="826"/>
    <n v="826"/>
    <x v="19"/>
    <d v="2012-02-14T00:00:00"/>
    <m/>
    <n v="9321662607"/>
    <n v="10"/>
    <s v="OOLU7509297"/>
    <s v="APL HAMBURG"/>
    <m/>
    <s v="YANTIAN"/>
    <m/>
    <m/>
    <s v="JASON FAN"/>
    <s v="FO9"/>
    <s v="HOME CLEANING                 "/>
    <s v="CONFIRMED"/>
    <n v="1"/>
    <n v="3"/>
    <d v="2012-01-17T00:00:00"/>
    <s v="HOME CLEANING                 "/>
    <s v="HOME CLEANING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1861/000010"/>
    <n v="1370150094"/>
    <n v="10"/>
    <x v="4"/>
    <x v="4"/>
    <s v="M5"/>
    <n v="2210016087"/>
    <n v="68"/>
    <s v="RH855201       "/>
    <s v="RH855201 CORDLESS HANDSTICK-18V                   "/>
    <s v="S"/>
    <d v="2012-01-10T00:00:00"/>
    <m/>
    <s v="X"/>
    <x v="57"/>
    <n v="47.98"/>
    <n v="41"/>
    <d v="2012-02-10T00:00:00"/>
    <d v="2012-01-06T00:00:00"/>
    <n v="826"/>
    <d v="2012-01-06T00:00:00"/>
    <n v="826"/>
    <m/>
    <d v="2012-01-06T00:00:00"/>
    <n v="826"/>
    <d v="2012-02-10T00:00:00"/>
    <d v="2012-01-06T00:00:00"/>
    <n v="826"/>
    <n v="826"/>
    <x v="7"/>
    <d v="2012-02-10T00:00:00"/>
    <m/>
    <n v="9321662608"/>
    <n v="10"/>
    <s v="UESU4153644"/>
    <s v="MAERSK ESSEN 1202/"/>
    <m/>
    <s v="YANTIAN"/>
    <m/>
    <m/>
    <s v="JASON FAN"/>
    <s v="FO9"/>
    <s v="HOME CLEANING                 "/>
    <s v="CONFIRMED"/>
    <n v="1"/>
    <n v="1"/>
    <d v="2012-01-06T00:00:00"/>
    <s v="HOME CLEANING                 "/>
    <s v="HOME CLEANING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1858/000010"/>
    <n v="1370150125"/>
    <n v="10"/>
    <x v="4"/>
    <x v="4"/>
    <s v="M5"/>
    <n v="2210015096"/>
    <n v="68"/>
    <s v="RH856501       "/>
    <s v="RH856501 CORDLESS HANDSTICK-24V                   "/>
    <s v="S"/>
    <d v="2012-01-10T00:00:00"/>
    <m/>
    <s v="X"/>
    <x v="57"/>
    <n v="54.33"/>
    <n v="46"/>
    <d v="2012-02-10T00:00:00"/>
    <d v="2012-01-06T00:00:00"/>
    <n v="826"/>
    <d v="2012-01-06T00:00:00"/>
    <n v="826"/>
    <m/>
    <d v="2012-01-06T00:00:00"/>
    <n v="826"/>
    <d v="2012-02-10T00:00:00"/>
    <d v="2012-01-06T00:00:00"/>
    <n v="826"/>
    <n v="826"/>
    <x v="7"/>
    <d v="2012-02-10T00:00:00"/>
    <m/>
    <n v="9321662609"/>
    <n v="10"/>
    <s v="UESU4153644"/>
    <s v="MAERSK ESSEN 1202/"/>
    <m/>
    <s v="YANTIAN"/>
    <m/>
    <m/>
    <s v="JASON FAN"/>
    <s v="FO9"/>
    <s v="HOME CLEANING                 "/>
    <s v="CONFIRMED"/>
    <n v="1"/>
    <n v="1"/>
    <d v="2012-01-06T00:00:00"/>
    <s v="HOME CLEANING                 "/>
    <s v="HOME CLEANING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164/000010"/>
    <n v="1370149363"/>
    <n v="10"/>
    <x v="38"/>
    <x v="38"/>
    <s v="L4"/>
    <n v="1830002711"/>
    <n v="76"/>
    <s v="TN3010F0       "/>
    <s v="TN3010F0 NOSE &amp; EAR TRIMMER                       "/>
    <s v="S"/>
    <d v="2012-01-17T00:00:00"/>
    <m/>
    <s v="X"/>
    <x v="57"/>
    <n v="3.46"/>
    <n v="7"/>
    <d v="2012-02-02T00:00:00"/>
    <d v="2011-12-29T00:00:00"/>
    <n v="3000"/>
    <d v="2012-01-03T00:00:00"/>
    <n v="3000"/>
    <m/>
    <d v="2011-12-29T00:00:00"/>
    <n v="3000"/>
    <d v="2012-02-09T00:00:00"/>
    <d v="2012-01-05T00:00:00"/>
    <n v="3000"/>
    <n v="3000"/>
    <x v="6"/>
    <d v="2012-02-09T00:00:00"/>
    <m/>
    <n v="9321662610"/>
    <n v="10"/>
    <s v="MRKU8217980"/>
    <s v="NEDLLOYD DRAKE/1202"/>
    <m/>
    <s v="YANTIAN"/>
    <s v="CONS-SHIPT/C-POST-CONF/"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3"/>
    <x v="2"/>
    <x v="10"/>
    <s v="CONS-SHIPT"/>
    <n v="-3"/>
    <n v="-3"/>
    <x v="8"/>
    <n v="2"/>
    <x v="0"/>
    <x v="1"/>
    <x v="1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140"/>
    <n v="1370149992"/>
    <n v="140"/>
    <x v="38"/>
    <x v="38"/>
    <s v="L4"/>
    <n v="1830002979"/>
    <n v="76"/>
    <s v="TN5030E0       "/>
    <s v="TN5030E0 WET &amp; DRY HAIR CLIPPER                   "/>
    <s v="S"/>
    <d v="2012-01-19T00:00:00"/>
    <m/>
    <s v="X"/>
    <x v="57"/>
    <n v="10.31"/>
    <n v="14"/>
    <d v="2012-02-13T00:00:00"/>
    <d v="2012-01-16T00:00:00"/>
    <n v="3000"/>
    <d v="2012-01-16T00:00:00"/>
    <n v="3000"/>
    <m/>
    <d v="2012-01-16T00:00:00"/>
    <n v="3000"/>
    <d v="2012-02-13T00:00:00"/>
    <d v="2012-01-16T00:00:00"/>
    <n v="3000"/>
    <n v="3000"/>
    <x v="19"/>
    <d v="2012-02-14T00:00:00"/>
    <m/>
    <n v="9321662611"/>
    <n v="10"/>
    <s v="UACU8241681"/>
    <s v="HANJIN BASEL"/>
    <m/>
    <s v="YANTIAN"/>
    <m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150"/>
    <n v="1370149992"/>
    <n v="150"/>
    <x v="38"/>
    <x v="38"/>
    <s v="L4"/>
    <n v="1830002709"/>
    <n v="76"/>
    <s v="TN1050F0       "/>
    <s v="TN1050F0 HAIR CLIPPER DRIVER                      "/>
    <s v="S"/>
    <d v="2012-01-19T00:00:00"/>
    <m/>
    <s v="X"/>
    <x v="57"/>
    <n v="6.23"/>
    <n v="14"/>
    <d v="2012-02-13T00:00:00"/>
    <d v="2012-01-16T00:00:00"/>
    <n v="3000"/>
    <d v="2012-01-16T00:00:00"/>
    <n v="3000"/>
    <m/>
    <d v="2012-01-16T00:00:00"/>
    <n v="3000"/>
    <d v="2012-02-13T00:00:00"/>
    <d v="2012-01-16T00:00:00"/>
    <n v="3000"/>
    <n v="3000"/>
    <x v="19"/>
    <d v="2012-02-14T00:00:00"/>
    <m/>
    <n v="9321662611"/>
    <n v="20"/>
    <s v="UACU8241681"/>
    <s v="HANJIN BASEL"/>
    <m/>
    <s v="YANTIAN"/>
    <m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2135/000010"/>
    <n v="1370149370"/>
    <n v="10"/>
    <x v="13"/>
    <x v="13"/>
    <s v="A3"/>
    <n v="2100068044"/>
    <n v="205"/>
    <s v="A6079054       "/>
    <s v="A6079054 SET 10PC SIMPLE CHEF SS UNCOAT           "/>
    <s v="S"/>
    <d v="2012-02-02T00:00:00"/>
    <m/>
    <s v="X"/>
    <x v="57"/>
    <n v="37.15"/>
    <n v="132"/>
    <d v="2012-03-02T00:00:00"/>
    <d v="2012-01-20T00:00:00"/>
    <n v="1470"/>
    <d v="2012-01-20T00:00:00"/>
    <n v="1470"/>
    <m/>
    <d v="2012-01-20T00:00:00"/>
    <n v="1470"/>
    <d v="2012-03-07T00:00:00"/>
    <d v="2012-01-25T00:00:00"/>
    <n v="1470"/>
    <n v="1330"/>
    <x v="15"/>
    <d v="2012-03-08T00:00:00"/>
    <m/>
    <n v="9321662612"/>
    <n v="10"/>
    <s v="APMU4035298"/>
    <s v="EUGEN MAERSK 1202/"/>
    <m/>
    <s v="YANTIAN"/>
    <s v="CONS-SHIPT/"/>
    <m/>
    <s v="KENUS WONG"/>
    <s v="FO9"/>
    <s v="COOKWARE                      "/>
    <s v="CONFIRMED"/>
    <n v="1"/>
    <n v="4"/>
    <d v="2012-01-26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2135/000010"/>
    <n v="1370149370"/>
    <n v="10"/>
    <x v="13"/>
    <x v="13"/>
    <s v="A3"/>
    <n v="2100068044"/>
    <n v="205"/>
    <s v="A6079054       "/>
    <s v="A6079054 SET 10PC SIMPLE CHEF SS UNCOAT           "/>
    <s v="S"/>
    <d v="2012-02-02T00:00:00"/>
    <m/>
    <s v="X"/>
    <x v="57"/>
    <n v="37.15"/>
    <n v="132"/>
    <d v="2012-03-02T00:00:00"/>
    <d v="2012-01-20T00:00:00"/>
    <n v="1470"/>
    <d v="2012-01-20T00:00:00"/>
    <n v="1470"/>
    <m/>
    <d v="2012-01-20T00:00:00"/>
    <n v="1470"/>
    <d v="2012-03-07T00:00:00"/>
    <d v="2012-01-25T00:00:00"/>
    <n v="1470"/>
    <n v="140"/>
    <x v="15"/>
    <d v="2012-03-08T00:00:00"/>
    <m/>
    <n v="9321662612"/>
    <n v="10"/>
    <s v="MRKU0198878"/>
    <s v="EUGEN MAERSK 1202/"/>
    <m/>
    <s v="YANTIAN"/>
    <s v="CONS-SHIPT/"/>
    <m/>
    <s v="KENUS WONG"/>
    <s v="FO9"/>
    <s v="COOKWARE                      "/>
    <s v="CONFIRMED"/>
    <n v="1"/>
    <n v="4"/>
    <d v="2012-01-26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2731/000010"/>
    <n v="1370149844"/>
    <n v="10"/>
    <x v="13"/>
    <x v="13"/>
    <s v="A3"/>
    <n v="2100064856"/>
    <n v="205"/>
    <s v="C806S154       "/>
    <s v="C806S154 SET 10P SAT&amp;GLAS VOLUPTY SS UNC          "/>
    <s v="S"/>
    <d v="2012-02-02T00:00:00"/>
    <m/>
    <s v="X"/>
    <x v="57"/>
    <n v="46.44"/>
    <n v="165"/>
    <d v="2012-03-12T00:00:00"/>
    <d v="2012-01-30T00:00:00"/>
    <n v="500"/>
    <d v="2012-01-30T00:00:00"/>
    <n v="500"/>
    <m/>
    <d v="2012-01-30T00:00:00"/>
    <n v="500"/>
    <d v="2012-03-07T00:00:00"/>
    <d v="2012-01-25T00:00:00"/>
    <n v="500"/>
    <n v="500"/>
    <x v="15"/>
    <d v="2012-03-08T00:00:00"/>
    <m/>
    <n v="9321662613"/>
    <n v="10"/>
    <s v="MRKU0198878"/>
    <s v="EUGEN MAERSK 1202/"/>
    <m/>
    <s v="YANTIAN"/>
    <s v="CONS-SHIPT/"/>
    <m/>
    <s v="KENUS WONG"/>
    <s v="FO9"/>
    <s v="COOKWARE                      "/>
    <s v="CONFIRMED"/>
    <n v="1"/>
    <n v="4"/>
    <d v="2012-01-26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166/000010"/>
    <n v="1370149364"/>
    <n v="10"/>
    <x v="78"/>
    <x v="78"/>
    <s v="L2"/>
    <n v="2100057248"/>
    <n v="48"/>
    <s v="TD4100K0       "/>
    <s v="TD4100K0 HUMIDIFIER DISNEY                        "/>
    <s v="S"/>
    <d v="2012-01-04T00:00:00"/>
    <m/>
    <s v="X"/>
    <x v="57"/>
    <n v="22.22"/>
    <n v="43941"/>
    <d v="2012-02-02T00:00:00"/>
    <d v="2011-12-29T00:00:00"/>
    <n v="640"/>
    <d v="2011-12-29T00:00:00"/>
    <n v="640"/>
    <m/>
    <d v="2011-12-29T00:00:00"/>
    <n v="640"/>
    <d v="2012-02-07T00:00:00"/>
    <d v="2012-01-03T00:00:00"/>
    <n v="640"/>
    <n v="640"/>
    <x v="16"/>
    <d v="2012-02-07T00:00:00"/>
    <m/>
    <n v="9321662614"/>
    <n v="10"/>
    <s v="MSKU7539258"/>
    <s v="NEDLLOYD DRAKE/1202"/>
    <m/>
    <s v="SHANGHAI"/>
    <m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40/000001"/>
    <n v="1370149351"/>
    <n v="10"/>
    <x v="2"/>
    <x v="2"/>
    <s v="R1"/>
    <n v="8000033212"/>
    <n v="27"/>
    <s v="FG1115ME       "/>
    <s v="FG1115ME FCM HELIORA COMFORT BLK MX               "/>
    <s v="S"/>
    <d v="2012-01-17T00:00:00"/>
    <m/>
    <s v="X"/>
    <x v="57"/>
    <n v="8.14"/>
    <n v="122"/>
    <d v="2012-02-17T00:00:00"/>
    <d v="2012-01-13T00:00:00"/>
    <n v="1320"/>
    <d v="2012-01-16T00:00:00"/>
    <n v="1320"/>
    <m/>
    <d v="2012-01-13T00:00:00"/>
    <n v="1320"/>
    <d v="2012-02-14T00:00:00"/>
    <d v="2012-01-10T00:00:00"/>
    <n v="1320"/>
    <n v="1320"/>
    <x v="24"/>
    <d v="2012-02-17T00:00:00"/>
    <m/>
    <n v="9321662615"/>
    <n v="10"/>
    <s v="SUDU8695747"/>
    <s v="MONTE SARMIENTO 202E"/>
    <m/>
    <s v="YANTIAN"/>
    <s v="SP-OVERCAP/"/>
    <m/>
    <s v="TWEETY LEUNG"/>
    <s v="FO9"/>
    <s v="BEVERAGE                      "/>
    <s v="CONFIRMED"/>
    <n v="1"/>
    <n v="2"/>
    <d v="2012-01-13T00:00:00"/>
    <s v="KITCHEN ELECTRICS             "/>
    <s v="BREAKFAST &amp; BREVAGE PREP      "/>
    <x v="1"/>
    <x v="1"/>
    <x v="11"/>
    <s v="SP-OVERCAP"/>
    <n v="-3"/>
    <n v="-3"/>
    <x v="9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40/000002"/>
    <n v="1370149351"/>
    <n v="20"/>
    <x v="2"/>
    <x v="2"/>
    <s v="R1"/>
    <n v="8000033212"/>
    <n v="27"/>
    <s v="FG1115ME       "/>
    <s v="FG1115ME FCM HELIORA COMFORT BLK MX               "/>
    <s v="S"/>
    <d v="2012-01-17T00:00:00"/>
    <m/>
    <s v="X"/>
    <x v="57"/>
    <n v="8.14"/>
    <n v="122"/>
    <d v="2012-02-25T00:00:00"/>
    <d v="2012-01-21T00:00:00"/>
    <n v="1320"/>
    <d v="2012-01-16T00:00:00"/>
    <n v="1320"/>
    <m/>
    <d v="2012-01-15T00:00:00"/>
    <n v="1320"/>
    <d v="2012-02-14T00:00:00"/>
    <d v="2012-01-10T00:00:00"/>
    <n v="1320"/>
    <n v="1320"/>
    <x v="24"/>
    <d v="2012-02-17T00:00:00"/>
    <m/>
    <n v="9321662615"/>
    <n v="20"/>
    <s v="SUDU8695747"/>
    <s v="MONTE SARMIENTO 202E"/>
    <m/>
    <s v="YANTIAN"/>
    <s v="SP-OVERCAP/"/>
    <m/>
    <s v="TWEETY LEUNG"/>
    <s v="FO9"/>
    <s v="BEVERAGE                      "/>
    <s v="CONFIRMED"/>
    <n v="1"/>
    <n v="2"/>
    <d v="2012-01-13T00:00:00"/>
    <s v="KITCHEN ELECTRICS             "/>
    <s v="BREAKFAST &amp; BREVAGE PREP      "/>
    <x v="1"/>
    <x v="1"/>
    <x v="11"/>
    <s v="SP-OVERCAP"/>
    <n v="-3"/>
    <n v="-3"/>
    <x v="9"/>
    <n v="1"/>
    <x v="0"/>
    <x v="0"/>
    <x v="0"/>
    <n v="0"/>
    <n v="1"/>
    <n v="0"/>
    <n v="0"/>
    <n v="0"/>
    <n v="1"/>
    <x v="0"/>
    <x v="0"/>
    <x v="0"/>
    <x v="0"/>
  </r>
  <r>
    <s v="Shipment"/>
    <n v="99001900"/>
    <s v="GROUPE SEB VENEZUELA SA                           "/>
    <n v="99001900"/>
    <x v="34"/>
    <s v="22574/039749"/>
    <n v="1370149572"/>
    <n v="10"/>
    <x v="2"/>
    <x v="2"/>
    <s v="R1"/>
    <n v="8000031581"/>
    <n v="27"/>
    <s v="FG3206CO       "/>
    <s v="FG3206CO FCM CAFE CITY GLASS JUG 5-7 C            "/>
    <s v="S"/>
    <d v="2012-01-05T00:00:00"/>
    <m/>
    <s v="X"/>
    <x v="57"/>
    <n v="5.0999999999999996"/>
    <n v="6"/>
    <d v="2012-02-24T00:00:00"/>
    <d v="2012-01-06T00:00:00"/>
    <n v="2640"/>
    <d v="2012-01-04T00:00:00"/>
    <n v="2640"/>
    <m/>
    <d v="2012-01-06T00:00:00"/>
    <n v="2640"/>
    <d v="2012-02-20T00:00:00"/>
    <d v="2012-01-02T00:00:00"/>
    <n v="2640"/>
    <n v="2640"/>
    <x v="3"/>
    <d v="2012-02-20T00:00:00"/>
    <m/>
    <n v="9321662616"/>
    <n v="10"/>
    <s v="MSKU6656774"/>
    <s v="CARSTEN MAERSK 1203/"/>
    <m/>
    <s v="SHENZHEN"/>
    <s v="SP-OVERCAP/"/>
    <m/>
    <s v="THOMAS HO"/>
    <s v="FO9"/>
    <s v="BEVERAGE                      "/>
    <s v="CONFIRMED"/>
    <n v="1"/>
    <n v="1"/>
    <d v="2012-01-02T00:00:00"/>
    <s v="KITCHEN ELECTRICS             "/>
    <s v="BREAKFAST &amp; BREVAGE PREP      "/>
    <x v="1"/>
    <x v="1"/>
    <x v="11"/>
    <s v="SP-OVERCAP"/>
    <n v="-3"/>
    <n v="-3"/>
    <x v="9"/>
    <n v="1"/>
    <x v="0"/>
    <x v="1"/>
    <x v="0"/>
    <n v="0"/>
    <n v="1"/>
    <n v="0"/>
    <n v="0"/>
    <n v="0"/>
    <n v="1"/>
    <x v="0"/>
    <x v="0"/>
    <x v="0"/>
    <x v="0"/>
  </r>
  <r>
    <s v="Shipment"/>
    <n v="99001900"/>
    <s v="GROUPE SEB VENEZUELA SA                           "/>
    <n v="99001900"/>
    <x v="34"/>
    <s v="22581/039759"/>
    <n v="1370149575"/>
    <n v="10"/>
    <x v="2"/>
    <x v="2"/>
    <s v="R1"/>
    <n v="1500634576"/>
    <n v="27"/>
    <n v="634576"/>
    <s v="CM220850 FCM PRINCIPIO GRD_CAFE 15C CO            "/>
    <s v="S"/>
    <d v="2012-01-05T00:00:00"/>
    <m/>
    <s v="X"/>
    <x v="57"/>
    <n v="8.0500000000000007"/>
    <n v="9"/>
    <d v="2012-02-24T00:00:00"/>
    <d v="2012-01-06T00:00:00"/>
    <n v="1332"/>
    <d v="2012-01-04T00:00:00"/>
    <n v="1332"/>
    <m/>
    <d v="2012-01-06T00:00:00"/>
    <n v="1332"/>
    <d v="2012-02-20T00:00:00"/>
    <d v="2012-01-02T00:00:00"/>
    <n v="1332"/>
    <n v="1332"/>
    <x v="3"/>
    <d v="2012-02-20T00:00:00"/>
    <m/>
    <n v="9321662617"/>
    <n v="10"/>
    <s v="MSKU6656774"/>
    <s v="CARSTEN MAERSK 1203/"/>
    <m/>
    <s v="YANTIAN"/>
    <s v="SP-OVERCAP/"/>
    <m/>
    <s v="THOMAS HO"/>
    <s v="FO9"/>
    <s v="BEVERAGE                      "/>
    <s v="CONFIRMED"/>
    <n v="1"/>
    <n v="1"/>
    <d v="2012-01-02T00:00:00"/>
    <s v="KITCHEN ELECTRICS             "/>
    <s v="BREAKFAST &amp; BREVAGE PREP      "/>
    <x v="1"/>
    <x v="1"/>
    <x v="11"/>
    <s v="SP-OVERCAP"/>
    <n v="-3"/>
    <n v="-3"/>
    <x v="9"/>
    <n v="1"/>
    <x v="0"/>
    <x v="1"/>
    <x v="0"/>
    <n v="0"/>
    <n v="1"/>
    <n v="0"/>
    <n v="0"/>
    <n v="0"/>
    <n v="1"/>
    <x v="0"/>
    <x v="0"/>
    <x v="0"/>
    <x v="0"/>
  </r>
  <r>
    <s v="Shipment"/>
    <n v="99001900"/>
    <s v="GROUPE SEB VENEZUELA SA                           "/>
    <n v="99001900"/>
    <x v="34"/>
    <s v="22580/039758"/>
    <n v="1370149579"/>
    <n v="10"/>
    <x v="2"/>
    <x v="2"/>
    <s v="R1"/>
    <n v="1500634568"/>
    <n v="27"/>
    <n v="634568"/>
    <s v="CM501850 FCM ACCESSIMO 6C 110V BLK CO             "/>
    <s v="S"/>
    <d v="2012-01-11T00:00:00"/>
    <m/>
    <s v="X"/>
    <x v="57"/>
    <n v="6.24"/>
    <n v="7"/>
    <d v="2012-02-24T00:00:00"/>
    <d v="2012-01-06T00:00:00"/>
    <n v="2250"/>
    <d v="2012-01-06T00:00:00"/>
    <n v="2250"/>
    <m/>
    <d v="2011-12-30T00:00:00"/>
    <n v="2250"/>
    <d v="2012-02-27T00:00:00"/>
    <d v="2012-01-09T00:00:00"/>
    <n v="2250"/>
    <n v="2250"/>
    <x v="0"/>
    <d v="2012-02-27T00:00:00"/>
    <m/>
    <n v="9321662618"/>
    <n v="10"/>
    <s v="MRKU8221697"/>
    <s v="MAERSK SANA 1203/"/>
    <m/>
    <s v="YANTIAN"/>
    <s v="SAILING-SCHED-UPDATE/"/>
    <m/>
    <s v="THOMAS HO"/>
    <s v="FO9"/>
    <s v="BEVERAGE                      "/>
    <s v="CONFIRMED"/>
    <n v="1"/>
    <n v="2"/>
    <d v="2012-01-09T00:00:00"/>
    <s v="KITCHEN ELECTRICS             "/>
    <s v="BREAKFAST &amp; BREVAGE PREP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46/000001"/>
    <n v="1370149997"/>
    <n v="10"/>
    <x v="2"/>
    <x v="2"/>
    <s v="R1"/>
    <n v="8000032511"/>
    <n v="27"/>
    <s v="FG110550       "/>
    <s v="FG110550 FCM MLX CM823 10/15C BLK/STAIN           "/>
    <s v="S"/>
    <d v="2012-01-28T00:00:00"/>
    <m/>
    <s v="X"/>
    <x v="57"/>
    <n v="8.3670000000000009"/>
    <n v="125"/>
    <d v="2012-02-25T00:00:00"/>
    <d v="2012-01-21T00:00:00"/>
    <n v="1332"/>
    <d v="2012-01-21T00:00:00"/>
    <n v="1332"/>
    <m/>
    <d v="2012-01-14T00:00:00"/>
    <n v="1332"/>
    <d v="2012-02-21T00:00:00"/>
    <d v="2012-01-17T00:00:00"/>
    <n v="1332"/>
    <n v="1332"/>
    <x v="14"/>
    <d v="2012-02-24T00:00:00"/>
    <m/>
    <n v="9321662619"/>
    <n v="10"/>
    <s v="SUDU8724300"/>
    <s v="MONTE VERDE 203E/"/>
    <m/>
    <s v="SHENZHEN"/>
    <s v="SP-OVERCAP/"/>
    <m/>
    <s v="TWEETY LEUNG"/>
    <s v="FO9"/>
    <s v="BEVERAGE                      "/>
    <s v="CONFIRMED"/>
    <n v="1"/>
    <n v="3"/>
    <d v="2012-01-20T00:00:00"/>
    <s v="KITCHEN ELECTRICS             "/>
    <s v="BREAKFAST &amp; BREVAGE PREP      "/>
    <x v="1"/>
    <x v="1"/>
    <x v="11"/>
    <s v="SP-OVERCAP"/>
    <n v="-3"/>
    <n v="-3"/>
    <x v="9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9904/000010"/>
    <n v="1370150051"/>
    <n v="10"/>
    <x v="2"/>
    <x v="2"/>
    <s v="R1"/>
    <n v="8000032025"/>
    <n v="27"/>
    <s v="FG110510       "/>
    <s v="FG110510 FCM CM823 10/15C BLK/SS EUR              "/>
    <s v="S"/>
    <d v="2012-01-13T00:00:00"/>
    <m/>
    <s v="X"/>
    <x v="57"/>
    <n v="8.26"/>
    <n v="9"/>
    <d v="2012-02-13T00:00:00"/>
    <d v="2012-02-12T00:00:00"/>
    <n v="1332"/>
    <d v="2012-01-18T00:00:00"/>
    <n v="1332"/>
    <m/>
    <d v="2012-02-07T00:00:00"/>
    <n v="1332"/>
    <d v="2012-01-13T00:00:00"/>
    <d v="2012-01-12T00:00:00"/>
    <n v="1332"/>
    <n v="1332"/>
    <x v="10"/>
    <d v="2012-01-13T00:00:00"/>
    <m/>
    <n v="9321662620"/>
    <n v="10"/>
    <m/>
    <m/>
    <m/>
    <s v="SHENZHEN"/>
    <s v="SP-OVERCAP/"/>
    <m/>
    <s v="ZANDRA LAM"/>
    <s v="FO9"/>
    <s v="BEVERAGE                      "/>
    <s v="CONFIRMED"/>
    <n v="1"/>
    <n v="2"/>
    <d v="2012-01-12T00:00:00"/>
    <s v="KITCHEN ELECTRICS             "/>
    <s v="BREAKFAST &amp; BREVAGE PREP      "/>
    <x v="1"/>
    <x v="1"/>
    <x v="11"/>
    <s v="SP-OVERCAP"/>
    <n v="-3"/>
    <n v="-3"/>
    <x v="9"/>
    <n v="1"/>
    <x v="0"/>
    <x v="0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2418/000010"/>
    <n v="1370149586"/>
    <n v="10"/>
    <x v="42"/>
    <x v="42"/>
    <s v="N1"/>
    <n v="2100059178"/>
    <n v="50"/>
    <s v="GC306012       "/>
    <s v="GC306012 GRIL UC 600 COMFORT A12 TEF EUR          "/>
    <s v="S"/>
    <d v="2012-01-12T00:00:00"/>
    <m/>
    <s v="X"/>
    <x v="57"/>
    <n v="31.41"/>
    <n v="27"/>
    <d v="2012-02-20T00:00:00"/>
    <d v="2012-01-16T00:00:00"/>
    <n v="840"/>
    <d v="2012-01-16T00:00:00"/>
    <n v="840"/>
    <m/>
    <d v="2012-01-16T00:00:00"/>
    <n v="840"/>
    <d v="2012-02-20T00:00:00"/>
    <d v="2012-01-16T00:00:00"/>
    <n v="840"/>
    <n v="840"/>
    <x v="10"/>
    <d v="2012-02-16T00:00:00"/>
    <m/>
    <n v="9321662622"/>
    <n v="10"/>
    <s v="MOAU0468999"/>
    <s v="MOL MISSION/006W"/>
    <m/>
    <s v="YANTIAN"/>
    <m/>
    <m/>
    <s v="AGNES NUNES"/>
    <s v="FO9"/>
    <s v="ELECTRICAL COOKING            "/>
    <s v="CONFIRMED"/>
    <n v="1"/>
    <n v="2"/>
    <d v="2012-01-12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290"/>
    <n v="1370149992"/>
    <n v="290"/>
    <x v="42"/>
    <x v="42"/>
    <s v="N1"/>
    <n v="2100062462"/>
    <n v="50"/>
    <s v="GR306012       "/>
    <s v="GR306012 GRILL UC600 A12 COMFORT ROWENTA          "/>
    <s v="S"/>
    <d v="2012-01-18T00:00:00"/>
    <m/>
    <s v="X"/>
    <x v="57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2010"/>
    <x v="21"/>
    <d v="2012-02-15T00:00:00"/>
    <m/>
    <n v="9321662624"/>
    <n v="10"/>
    <s v="OOLU8252264"/>
    <s v="APL HAMBURG/015W"/>
    <m/>
    <s v="YANTIAN"/>
    <m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290"/>
    <n v="1370149992"/>
    <n v="290"/>
    <x v="42"/>
    <x v="42"/>
    <s v="N1"/>
    <n v="2100062462"/>
    <n v="50"/>
    <s v="GR306012       "/>
    <s v="GR306012 GRILL UC600 A12 COMFORT ROWENTA          "/>
    <s v="S"/>
    <d v="2012-01-18T00:00:00"/>
    <m/>
    <s v="X"/>
    <x v="57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1890"/>
    <x v="21"/>
    <d v="2012-02-15T00:00:00"/>
    <m/>
    <n v="9321662624"/>
    <n v="10"/>
    <s v="TCNU7039334"/>
    <s v="APL HAMBURG/015W"/>
    <m/>
    <s v="YANTIAN"/>
    <m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290"/>
    <n v="1370149992"/>
    <n v="290"/>
    <x v="42"/>
    <x v="42"/>
    <s v="N1"/>
    <n v="2100062462"/>
    <n v="50"/>
    <s v="GR306012       "/>
    <s v="GR306012 GRILL UC600 A12 COMFORT ROWENTA          "/>
    <s v="S"/>
    <d v="2012-01-18T00:00:00"/>
    <m/>
    <s v="X"/>
    <x v="57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2010"/>
    <x v="21"/>
    <d v="2012-02-15T00:00:00"/>
    <m/>
    <n v="9321662624"/>
    <n v="10"/>
    <s v="TCLU5564634"/>
    <s v="APL HAMBURG/015W"/>
    <m/>
    <s v="YANTIAN"/>
    <m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290"/>
    <n v="1370149992"/>
    <n v="290"/>
    <x v="42"/>
    <x v="42"/>
    <s v="N1"/>
    <n v="2100062462"/>
    <n v="50"/>
    <s v="GR306012       "/>
    <s v="GR306012 GRILL UC600 A12 COMFORT ROWENTA          "/>
    <s v="S"/>
    <d v="2012-01-18T00:00:00"/>
    <m/>
    <s v="X"/>
    <x v="57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2010"/>
    <x v="21"/>
    <d v="2012-02-15T00:00:00"/>
    <m/>
    <n v="9321662624"/>
    <n v="10"/>
    <s v="TCNU8707525"/>
    <s v="APL HAMBURG/015W"/>
    <m/>
    <s v="YANTIAN"/>
    <m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290"/>
    <n v="1370149992"/>
    <n v="290"/>
    <x v="42"/>
    <x v="42"/>
    <s v="N1"/>
    <n v="2100062462"/>
    <n v="50"/>
    <s v="GR306012       "/>
    <s v="GR306012 GRILL UC600 A12 COMFORT ROWENTA          "/>
    <s v="S"/>
    <d v="2012-01-18T00:00:00"/>
    <m/>
    <s v="X"/>
    <x v="57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2010"/>
    <x v="21"/>
    <d v="2012-02-15T00:00:00"/>
    <m/>
    <n v="9321662624"/>
    <n v="10"/>
    <s v="OOLU8244119"/>
    <s v="APL HAMBURG/015W"/>
    <m/>
    <s v="YANTIAN"/>
    <m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290"/>
    <n v="1370149992"/>
    <n v="290"/>
    <x v="42"/>
    <x v="42"/>
    <s v="N1"/>
    <n v="2100062462"/>
    <n v="50"/>
    <s v="GR306012       "/>
    <s v="GR306012 GRILL UC600 A12 COMFORT ROWENTA          "/>
    <s v="S"/>
    <d v="2012-01-18T00:00:00"/>
    <m/>
    <s v="X"/>
    <x v="57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2010"/>
    <x v="21"/>
    <d v="2012-02-15T00:00:00"/>
    <m/>
    <n v="9321662624"/>
    <n v="10"/>
    <s v="OOLU8375470"/>
    <s v="APL HAMBURG/015W"/>
    <m/>
    <s v="YANTIAN"/>
    <m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290"/>
    <n v="1370149992"/>
    <n v="290"/>
    <x v="42"/>
    <x v="42"/>
    <s v="N1"/>
    <n v="2100062462"/>
    <n v="50"/>
    <s v="GR306012       "/>
    <s v="GR306012 GRILL UC600 A12 COMFORT ROWENTA          "/>
    <s v="S"/>
    <d v="2012-01-18T00:00:00"/>
    <m/>
    <s v="X"/>
    <x v="57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2010"/>
    <x v="21"/>
    <d v="2012-02-15T00:00:00"/>
    <m/>
    <n v="9321662624"/>
    <n v="10"/>
    <s v="OOLU9344468"/>
    <s v="APL HAMBURG/015W"/>
    <m/>
    <s v="YANTIAN"/>
    <m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290"/>
    <n v="1370149992"/>
    <n v="290"/>
    <x v="42"/>
    <x v="42"/>
    <s v="N1"/>
    <n v="2100062462"/>
    <n v="50"/>
    <s v="GR306012       "/>
    <s v="GR306012 GRILL UC600 A12 COMFORT ROWENTA          "/>
    <s v="S"/>
    <d v="2012-01-18T00:00:00"/>
    <m/>
    <s v="X"/>
    <x v="57"/>
    <n v="31.41"/>
    <n v="14"/>
    <d v="2012-02-13T00:00:00"/>
    <d v="2012-01-16T00:00:00"/>
    <n v="15960"/>
    <d v="2012-01-16T00:00:00"/>
    <n v="15960"/>
    <m/>
    <d v="2012-01-16T00:00:00"/>
    <n v="35820"/>
    <d v="2012-02-13T00:00:00"/>
    <d v="2012-01-16T00:00:00"/>
    <n v="15960"/>
    <n v="2010"/>
    <x v="21"/>
    <d v="2012-02-15T00:00:00"/>
    <m/>
    <n v="9321662624"/>
    <n v="10"/>
    <s v="OOLU8281869"/>
    <s v="APL HAMBURG/015W"/>
    <m/>
    <s v="YANTIAN"/>
    <m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1742/000010"/>
    <n v="1370150123"/>
    <n v="10"/>
    <x v="42"/>
    <x v="42"/>
    <s v="N1"/>
    <n v="2100059181"/>
    <n v="50"/>
    <s v="GC305012       "/>
    <s v="GC305012 GRIL UC 600 A12 CLASSIC TEF EUR          "/>
    <s v="S"/>
    <d v="2012-01-05T00:00:00"/>
    <m/>
    <s v="X"/>
    <x v="57"/>
    <n v="24.71"/>
    <n v="21153"/>
    <d v="2012-02-10T00:00:00"/>
    <d v="2012-01-06T00:00:00"/>
    <n v="1740"/>
    <d v="2012-01-06T00:00:00"/>
    <n v="1740"/>
    <m/>
    <d v="2012-01-06T00:00:00"/>
    <n v="1740"/>
    <d v="2012-02-10T00:00:00"/>
    <d v="2012-01-06T00:00:00"/>
    <n v="1740"/>
    <n v="1740"/>
    <x v="16"/>
    <d v="2012-02-07T00:00:00"/>
    <m/>
    <n v="9321662625"/>
    <n v="10"/>
    <s v="APZU4663124"/>
    <s v="H.VANCOUVER/007W"/>
    <m/>
    <s v="YANTIAN"/>
    <m/>
    <m/>
    <s v="JASON FAN"/>
    <s v="FO9"/>
    <s v="ELECTRICAL COOKING            "/>
    <s v="CONFIRMED"/>
    <n v="1"/>
    <n v="1"/>
    <d v="2012-01-03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44/000010"/>
    <n v="1370149794"/>
    <n v="10"/>
    <x v="42"/>
    <x v="42"/>
    <s v="N1"/>
    <n v="2100058891"/>
    <n v="50"/>
    <s v="GC205012       "/>
    <s v="GC205012 MINUTE GRILL A12 TEFAL                   "/>
    <s v="S"/>
    <d v="2012-01-06T00:00:00"/>
    <m/>
    <s v="X"/>
    <x v="57"/>
    <n v="20.99"/>
    <n v="5440"/>
    <d v="2012-02-09T00:00:00"/>
    <d v="2012-01-05T00:00:00"/>
    <n v="1026"/>
    <d v="2012-01-05T00:00:00"/>
    <n v="1026"/>
    <m/>
    <d v="2012-01-05T00:00:00"/>
    <n v="1026"/>
    <d v="2012-02-09T00:00:00"/>
    <d v="2012-01-05T00:00:00"/>
    <n v="1026"/>
    <n v="1026"/>
    <x v="2"/>
    <d v="2012-02-08T00:00:00"/>
    <m/>
    <n v="9321662627"/>
    <n v="10"/>
    <s v="MRKU8208925"/>
    <s v="MAERSK LIMA/152W"/>
    <m/>
    <s v="YANTIAN"/>
    <m/>
    <m/>
    <s v="KENUS WONG"/>
    <s v="FO9"/>
    <s v="ELECTRICAL COOKING            "/>
    <s v="CONFIRMED"/>
    <n v="1"/>
    <n v="1"/>
    <d v="2012-01-04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120"/>
    <n v="1370149992"/>
    <n v="120"/>
    <x v="42"/>
    <x v="42"/>
    <s v="N1"/>
    <n v="2100063795"/>
    <n v="50"/>
    <s v="GC206015       "/>
    <s v="GC206015 GRIL MINUTE GRILL A12 ROW IT             "/>
    <s v="S"/>
    <d v="2012-01-17T00:00:00"/>
    <m/>
    <s v="X"/>
    <x v="57"/>
    <n v="20.99"/>
    <n v="14"/>
    <d v="2012-02-13T00:00:00"/>
    <d v="2012-01-16T00:00:00"/>
    <n v="1026"/>
    <d v="2012-01-16T00:00:00"/>
    <n v="1026"/>
    <m/>
    <d v="2012-01-16T00:00:00"/>
    <n v="1026"/>
    <d v="2012-02-13T00:00:00"/>
    <d v="2012-01-16T00:00:00"/>
    <n v="1026"/>
    <n v="1026"/>
    <x v="19"/>
    <d v="2012-02-14T00:00:00"/>
    <m/>
    <n v="9321662628"/>
    <n v="10"/>
    <s v="HJCU4959948"/>
    <s v="HANJIN BASEL/0063W"/>
    <m/>
    <s v="YANTIAN"/>
    <m/>
    <m/>
    <s v="JASON FAN"/>
    <s v="FO9"/>
    <s v="ELECTRICAL COOKING            "/>
    <s v="CONFIRMED"/>
    <n v="1"/>
    <n v="3"/>
    <d v="2012-01-17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7531/000010"/>
    <n v="1370149326"/>
    <n v="10"/>
    <x v="21"/>
    <x v="21"/>
    <s v="A7"/>
    <n v="8700800515"/>
    <n v="235"/>
    <n v="59917"/>
    <s v="59917 MEASURING CUP SET                           "/>
    <s v="S"/>
    <d v="2012-01-17T00:00:00"/>
    <m/>
    <s v="X"/>
    <x v="57"/>
    <n v="16.100000000000001"/>
    <n v="19"/>
    <d v="2012-03-22T00:00:00"/>
    <d v="2012-02-16T00:00:00"/>
    <n v="1008"/>
    <d v="2012-01-18T00:00:00"/>
    <n v="1008"/>
    <m/>
    <d v="2012-02-16T00:00:00"/>
    <n v="1008"/>
    <d v="2012-02-22T00:00:00"/>
    <d v="2012-01-18T00:00:00"/>
    <n v="1008"/>
    <n v="1008"/>
    <x v="8"/>
    <d v="2012-02-20T00:00:00"/>
    <m/>
    <n v="9321662629"/>
    <n v="10"/>
    <s v="KKFU7125902"/>
    <s v="MOL PARAMOUNT 039A/"/>
    <m/>
    <s v="YANTIAN"/>
    <s v="C-LCL-SHIPMENT/"/>
    <m/>
    <s v="TWEETY LEU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1900"/>
    <s v="GROUPE SEB VENEZUELA SA                           "/>
    <n v="99001900"/>
    <x v="34"/>
    <s v="22571/039745"/>
    <n v="1370149569"/>
    <n v="10"/>
    <x v="70"/>
    <x v="70"/>
    <s v="N3"/>
    <n v="1500635116"/>
    <n v="39"/>
    <n v="635116"/>
    <s v="RK150850 RC COOLTOUCH 8C NO SWITCH BLK C          "/>
    <s v="S"/>
    <d v="2012-01-05T00:00:00"/>
    <m/>
    <s v="X"/>
    <x v="57"/>
    <n v="9.2899999999999991"/>
    <n v="12"/>
    <d v="2012-02-24T00:00:00"/>
    <d v="2012-01-06T00:00:00"/>
    <n v="1168"/>
    <d v="2012-01-06T00:00:00"/>
    <n v="1168"/>
    <m/>
    <d v="2012-01-06T00:00:00"/>
    <n v="1168"/>
    <d v="2012-02-24T00:00:00"/>
    <d v="2012-01-06T00:00:00"/>
    <n v="1168"/>
    <n v="1168"/>
    <x v="3"/>
    <d v="2012-02-20T00:00:00"/>
    <m/>
    <n v="9321662630"/>
    <n v="10"/>
    <s v="POCU1120701"/>
    <s v="CARSTEN MAERSK 1203/"/>
    <m/>
    <s v="YANTIAN"/>
    <m/>
    <m/>
    <s v="THOMAS HO"/>
    <s v="FO9"/>
    <s v="ELECTRICAL COOKING            "/>
    <s v="CONFIRMED"/>
    <n v="1"/>
    <n v="1"/>
    <d v="2012-01-02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900"/>
    <s v="GROUPE SEB VENEZUELA SA                           "/>
    <n v="99001900"/>
    <x v="34"/>
    <s v="22571/039746"/>
    <n v="1370149569"/>
    <n v="20"/>
    <x v="70"/>
    <x v="70"/>
    <s v="N3"/>
    <n v="1500635120"/>
    <n v="39"/>
    <n v="635120"/>
    <s v="RK155850 RC COOLTOUCH 10C NO SWITCH BLK           "/>
    <s v="S"/>
    <d v="2012-01-05T00:00:00"/>
    <m/>
    <s v="X"/>
    <x v="57"/>
    <n v="10.32"/>
    <n v="12"/>
    <d v="2012-02-24T00:00:00"/>
    <d v="2012-01-06T00:00:00"/>
    <n v="948"/>
    <d v="2012-01-06T00:00:00"/>
    <n v="948"/>
    <m/>
    <d v="2012-01-06T00:00:00"/>
    <n v="948"/>
    <d v="2012-02-24T00:00:00"/>
    <d v="2012-01-06T00:00:00"/>
    <n v="948"/>
    <n v="948"/>
    <x v="3"/>
    <d v="2012-02-20T00:00:00"/>
    <m/>
    <n v="9321662630"/>
    <n v="20"/>
    <s v="POCU1120701"/>
    <s v="CARSTEN MAERSK 1203/"/>
    <m/>
    <s v="YANTIAN"/>
    <m/>
    <m/>
    <s v="THOMAS HO"/>
    <s v="FO9"/>
    <s v="ELECTRICAL COOKING            "/>
    <s v="CONFIRMED"/>
    <n v="1"/>
    <n v="1"/>
    <d v="2012-01-02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87/000010"/>
    <n v="1370149825"/>
    <n v="10"/>
    <x v="57"/>
    <x v="57"/>
    <s v="P1"/>
    <n v="1500833646"/>
    <n v="105"/>
    <n v="833646"/>
    <s v="JU500188 JUI JUICE MACHINE WHT CE                 "/>
    <s v="S"/>
    <d v="2012-01-10T00:00:00"/>
    <m/>
    <s v="X"/>
    <x v="57"/>
    <n v="25.06"/>
    <n v="6160"/>
    <d v="2012-02-09T00:00:00"/>
    <d v="2012-01-05T00:00:00"/>
    <n v="510"/>
    <d v="2012-01-05T00:00:00"/>
    <n v="510"/>
    <m/>
    <d v="2012-01-12T00:00:00"/>
    <n v="510"/>
    <d v="2012-02-16T00:00:00"/>
    <d v="2012-01-12T00:00:00"/>
    <n v="510"/>
    <n v="510"/>
    <x v="23"/>
    <d v="2012-02-12T00:00:00"/>
    <m/>
    <n v="9321662631"/>
    <n v="10"/>
    <s v="MSKU3521986"/>
    <s v="CMA CGM RAVEL/1202"/>
    <m/>
    <s v="YANTIAN"/>
    <m/>
    <m/>
    <s v="KENUS WONG"/>
    <s v="FO9"/>
    <s v="FOOD PREPARATION              "/>
    <s v="CONFIRMED"/>
    <n v="1"/>
    <n v="1"/>
    <d v="2012-01-08T00:00:00"/>
    <s v="KITCHEN ELECTRICS             "/>
    <s v="FOOD PREPARATION              "/>
    <x v="7"/>
    <x v="3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0945/000010"/>
    <n v="1370150048"/>
    <n v="10"/>
    <x v="57"/>
    <x v="57"/>
    <s v="P1"/>
    <n v="1500833662"/>
    <n v="105"/>
    <n v="833662"/>
    <s v="JU500160 JUI JUICE MACHINE WHT MO                 "/>
    <s v="S"/>
    <d v="2012-01-18T00:00:00"/>
    <m/>
    <s v="X"/>
    <x v="57"/>
    <n v="24.92"/>
    <n v="29"/>
    <d v="2012-01-18T00:00:00"/>
    <d v="2012-01-17T00:00:00"/>
    <n v="1020"/>
    <d v="2012-01-17T00:00:00"/>
    <n v="1020"/>
    <m/>
    <d v="2012-01-24T00:00:00"/>
    <n v="1020"/>
    <d v="2012-01-25T00:00:00"/>
    <d v="2012-01-24T00:00:00"/>
    <n v="1020"/>
    <n v="1020"/>
    <x v="19"/>
    <d v="2012-01-18T00:00:00"/>
    <m/>
    <n v="9321662632"/>
    <n v="10"/>
    <s v="BY TRUCK"/>
    <s v="BY TRUCK"/>
    <m/>
    <s v="YANTIAN"/>
    <m/>
    <m/>
    <s v="ZANDRA LAM"/>
    <s v="FO9"/>
    <s v="FOOD PREPARATION              "/>
    <s v="CONFIRMED"/>
    <n v="1"/>
    <n v="3"/>
    <d v="2012-01-17T00:00:00"/>
    <s v="KITCHEN ELECTRICS             "/>
    <s v="FOOD PREPARATION              "/>
    <x v="7"/>
    <x v="3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0946/000010"/>
    <n v="1370150064"/>
    <n v="10"/>
    <x v="57"/>
    <x v="57"/>
    <s v="P1"/>
    <n v="1500833651"/>
    <n v="105"/>
    <n v="833651"/>
    <s v="JU500161 JUI JUICE MACHINE WHT SA                 "/>
    <s v="S"/>
    <d v="2012-01-18T00:00:00"/>
    <m/>
    <s v="X"/>
    <x v="57"/>
    <n v="25.47"/>
    <n v="29"/>
    <d v="2012-01-19T00:00:00"/>
    <d v="2012-01-18T00:00:00"/>
    <n v="510"/>
    <d v="2012-01-18T00:00:00"/>
    <n v="510"/>
    <m/>
    <d v="2012-01-25T00:00:00"/>
    <n v="510"/>
    <d v="2012-01-26T00:00:00"/>
    <d v="2012-01-25T00:00:00"/>
    <n v="510"/>
    <n v="510"/>
    <x v="19"/>
    <d v="2012-01-18T00:00:00"/>
    <m/>
    <n v="9321662633"/>
    <n v="10"/>
    <s v="BY TRUCK"/>
    <s v="BY TRUCK"/>
    <m/>
    <s v="YANTIAN"/>
    <m/>
    <m/>
    <s v="ZANDRA LAM"/>
    <s v="FO9"/>
    <s v="FOOD PREPARATION              "/>
    <s v="CONFIRMED"/>
    <n v="1"/>
    <n v="3"/>
    <d v="2012-01-17T00:00:00"/>
    <s v="KITCHEN ELECTRICS             "/>
    <s v="FOOD PREPARATION              "/>
    <x v="7"/>
    <x v="3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0257/000010"/>
    <n v="1370150116"/>
    <n v="10"/>
    <x v="62"/>
    <x v="62"/>
    <s v="R1"/>
    <n v="8000032434"/>
    <n v="55"/>
    <s v="BY104010       "/>
    <s v="BY104010 KET PRINCIPIO 1 BIS MLX FR               "/>
    <s v="S"/>
    <d v="2012-01-19T00:00:00"/>
    <m/>
    <s v="X"/>
    <x v="57"/>
    <n v="7.3"/>
    <n v="6"/>
    <d v="2012-02-17T00:00:00"/>
    <d v="2012-01-13T00:00:00"/>
    <n v="6912"/>
    <d v="2012-01-13T00:00:00"/>
    <n v="6912"/>
    <m/>
    <d v="2012-01-13T00:00:00"/>
    <n v="6912"/>
    <d v="2012-02-17T00:00:00"/>
    <d v="2012-01-13T00:00:00"/>
    <n v="6912"/>
    <n v="6912"/>
    <x v="21"/>
    <d v="2012-02-22T00:00:00"/>
    <m/>
    <n v="9321662634"/>
    <n v="10"/>
    <s v="PONU1350930"/>
    <s v="GJERTRUD MAERSK 121W"/>
    <m/>
    <s v="YANTIAN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0255/000010"/>
    <n v="1370150127"/>
    <n v="10"/>
    <x v="62"/>
    <x v="62"/>
    <s v="R1"/>
    <n v="1500634619"/>
    <n v="55"/>
    <n v="634619"/>
    <s v="BY104530 KET PRINCIPIO 1BIS 1.7L RED EUR          "/>
    <s v="S"/>
    <d v="2012-01-27T00:00:00"/>
    <m/>
    <s v="X"/>
    <x v="57"/>
    <n v="7.66"/>
    <n v="7"/>
    <d v="2012-02-17T00:00:00"/>
    <d v="2012-01-13T00:00:00"/>
    <n v="3456"/>
    <d v="2012-01-13T00:00:00"/>
    <n v="3456"/>
    <m/>
    <d v="2012-01-13T00:00:00"/>
    <n v="3456"/>
    <d v="2012-02-24T00:00:00"/>
    <d v="2012-01-20T00:00:00"/>
    <n v="3456"/>
    <n v="3456"/>
    <x v="14"/>
    <d v="2012-02-24T00:00:00"/>
    <m/>
    <n v="9321662635"/>
    <n v="10"/>
    <s v="PONU1269772"/>
    <s v="MAERSK EINDHOVEN"/>
    <m/>
    <s v="YANTIAN"/>
    <s v="SP-INSP-FAILED/"/>
    <m/>
    <s v="JASON FAN"/>
    <s v="FO9"/>
    <s v="BEVERAGE                      "/>
    <s v="CONFIRMED"/>
    <n v="1"/>
    <n v="3"/>
    <d v="2012-01-20T00:00:00"/>
    <s v="KITCHEN ELECTRICS             "/>
    <s v="BREAKFAST &amp; BREVAGE PREP      "/>
    <x v="2"/>
    <x v="1"/>
    <x v="12"/>
    <s v="SP-INSP-FAILED"/>
    <n v="1"/>
    <n v="1"/>
    <x v="12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319/000010"/>
    <n v="1370149191"/>
    <n v="10"/>
    <x v="3"/>
    <x v="3"/>
    <s v="R1"/>
    <n v="8000032851"/>
    <n v="27"/>
    <s v="CM415530       "/>
    <s v="CM415530 COFFEE MAKER 10/15T GLASS JUG            "/>
    <s v="S"/>
    <d v="2012-01-12T00:00:00"/>
    <m/>
    <s v="X"/>
    <x v="57"/>
    <n v="15.04"/>
    <n v="527"/>
    <d v="2012-02-24T00:00:00"/>
    <d v="2012-01-06T00:00:00"/>
    <n v="716"/>
    <d v="2012-01-06T00:00:00"/>
    <n v="716"/>
    <m/>
    <d v="2012-01-06T00:00:00"/>
    <n v="716"/>
    <d v="2012-02-24T00:00:00"/>
    <d v="2012-01-06T00:00:00"/>
    <n v="716"/>
    <n v="716"/>
    <x v="10"/>
    <d v="2012-03-01T00:00:00"/>
    <m/>
    <n v="9321662636"/>
    <n v="10"/>
    <s v="TCLU2358603"/>
    <s v="NYK ORPHEUS/18W52"/>
    <m/>
    <s v="YANTIAN"/>
    <m/>
    <m/>
    <s v="KENUS WONG"/>
    <s v="FO9"/>
    <s v="BEVERAGE                      "/>
    <s v="CONFIRMED"/>
    <n v="1"/>
    <n v="2"/>
    <d v="2012-01-12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2414/000010"/>
    <n v="1370149592"/>
    <n v="10"/>
    <x v="3"/>
    <x v="3"/>
    <s v="R1"/>
    <n v="1500635428"/>
    <n v="27"/>
    <n v="635428"/>
    <s v="CM430D31 FCM NEW EXPRESS 10/15C MET EUR           "/>
    <s v="S"/>
    <d v="2012-01-20T00:00:00"/>
    <m/>
    <s v="X"/>
    <x v="57"/>
    <n v="15.49"/>
    <n v="13"/>
    <d v="2012-02-20T00:00:00"/>
    <d v="2012-01-16T00:00:00"/>
    <n v="724"/>
    <d v="2012-01-16T00:00:00"/>
    <n v="724"/>
    <m/>
    <d v="2012-01-16T00:00:00"/>
    <n v="724"/>
    <d v="2012-02-20T00:00:00"/>
    <d v="2012-01-16T00:00:00"/>
    <n v="724"/>
    <n v="724"/>
    <x v="14"/>
    <d v="2012-02-24T00:00:00"/>
    <m/>
    <n v="9321662638"/>
    <n v="10"/>
    <s v="MOAU6776860"/>
    <s v="MOL MATRIX/010W"/>
    <m/>
    <s v="YANTIAN"/>
    <m/>
    <m/>
    <s v="AGNES NUNES"/>
    <s v="FO9"/>
    <s v="BEVERAGE                      "/>
    <s v="CONFIRMED"/>
    <n v="1"/>
    <n v="3"/>
    <d v="2012-01-20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2419/000010"/>
    <n v="1370149593"/>
    <n v="10"/>
    <x v="3"/>
    <x v="3"/>
    <s v="R1"/>
    <n v="8000032166"/>
    <n v="27"/>
    <s v="CI115510       "/>
    <s v="CI115510 COFFEE MAKER 8/12C SSTEEL THERM          "/>
    <s v="S"/>
    <d v="2012-01-20T00:00:00"/>
    <m/>
    <s v="X"/>
    <x v="57"/>
    <n v="21.81"/>
    <n v="18"/>
    <d v="2012-02-20T00:00:00"/>
    <d v="2012-01-16T00:00:00"/>
    <n v="1508"/>
    <d v="2012-01-19T00:00:00"/>
    <n v="1508"/>
    <m/>
    <d v="2012-01-16T00:00:00"/>
    <n v="1508"/>
    <d v="2012-02-23T00:00:00"/>
    <d v="2012-01-19T00:00:00"/>
    <n v="1508"/>
    <n v="1508"/>
    <x v="22"/>
    <d v="2012-02-23T00:00:00"/>
    <m/>
    <n v="9321662639"/>
    <n v="10"/>
    <s v="APZU4369784"/>
    <s v="MOL MATRIX/010W"/>
    <m/>
    <s v="YANTIAN"/>
    <m/>
    <m/>
    <s v="AGNES NUNES"/>
    <s v="FO9"/>
    <s v="BEVERAGE                      "/>
    <s v="CONFIRMED"/>
    <n v="1"/>
    <n v="3"/>
    <d v="2012-01-19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2050/000010"/>
    <n v="1370150112"/>
    <n v="10"/>
    <x v="65"/>
    <x v="65"/>
    <s v="R1"/>
    <n v="8000032576"/>
    <n v="55"/>
    <s v="KO300541       "/>
    <s v="KO300541 KET AQUA 1.5L BLK/SILV EUR               "/>
    <s v="S"/>
    <d v="2012-01-21T00:00:00"/>
    <m/>
    <s v="X"/>
    <x v="57"/>
    <n v="10.24"/>
    <n v="9"/>
    <d v="2012-02-10T00:00:00"/>
    <d v="2012-01-06T00:00:00"/>
    <n v="6176"/>
    <d v="2012-01-06T00:00:00"/>
    <n v="6176"/>
    <m/>
    <d v="2012-01-06T00:00:00"/>
    <n v="6176"/>
    <d v="2012-02-24T00:00:00"/>
    <d v="2012-01-20T00:00:00"/>
    <n v="6176"/>
    <n v="6176"/>
    <x v="26"/>
    <d v="2012-02-25T00:00:00"/>
    <m/>
    <n v="9321662641"/>
    <n v="10"/>
    <s v="PONU1259650"/>
    <s v="MAERSK EINDHOVEN/120"/>
    <m/>
    <s v="YANTIAN"/>
    <s v="SP-PROD-ISSUE/"/>
    <m/>
    <s v="JASON FAN"/>
    <s v="FO9"/>
    <s v="BEVERAGE                      "/>
    <s v="CONFIRMED"/>
    <n v="1"/>
    <n v="3"/>
    <d v="2012-01-21T00:00:00"/>
    <s v="KITCHEN ELECTRICS             "/>
    <s v="BREAKFAST &amp; BREVAGE PREP      "/>
    <x v="1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9073/000110"/>
    <n v="1370149103"/>
    <n v="110"/>
    <x v="17"/>
    <x v="17"/>
    <s v="L4"/>
    <n v="1830003077"/>
    <n v="5"/>
    <s v="CV4930F0       "/>
    <s v="CV4930F0 POWERLINE HAIR DRYER                     "/>
    <s v="S"/>
    <d v="2012-01-06T00:00:00"/>
    <m/>
    <s v="X"/>
    <x v="57"/>
    <n v="8.2799999999999994"/>
    <n v="17"/>
    <d v="2012-02-06T00:00:00"/>
    <d v="2012-01-09T00:00:00"/>
    <n v="6000"/>
    <d v="2012-01-09T00:00:00"/>
    <n v="6000"/>
    <m/>
    <d v="2012-01-09T00:00:00"/>
    <n v="6000"/>
    <d v="2012-01-31T00:00:00"/>
    <d v="2012-01-03T00:00:00"/>
    <n v="6000"/>
    <n v="6000"/>
    <x v="2"/>
    <d v="2012-02-01T00:00:00"/>
    <m/>
    <n v="9321662646"/>
    <n v="10"/>
    <s v="GETU5937928"/>
    <s v="CHINA EXPRESS/08W52"/>
    <m/>
    <s v="YANTIAN"/>
    <s v="CONS-SHIPT/"/>
    <m/>
    <s v="JASON FAN"/>
    <s v="FO9"/>
    <s v="PERSONAL CARE                 "/>
    <s v="CONFIRMED"/>
    <n v="1"/>
    <n v="1"/>
    <d v="2012-01-04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156/000010"/>
    <n v="1370149356"/>
    <n v="10"/>
    <x v="17"/>
    <x v="17"/>
    <s v="L4"/>
    <n v="1830003080"/>
    <n v="131"/>
    <s v="SF3012F4       "/>
    <s v="SF3012F4 ECO ELITE STRAIGHTENER                   "/>
    <s v="S"/>
    <d v="2012-01-06T00:00:00"/>
    <m/>
    <s v="X"/>
    <x v="57"/>
    <n v="7.42"/>
    <n v="14901"/>
    <d v="2012-02-02T00:00:00"/>
    <d v="2011-12-29T00:00:00"/>
    <n v="3000"/>
    <d v="2012-01-01T00:00:00"/>
    <n v="3000"/>
    <m/>
    <d v="2011-12-29T00:00:00"/>
    <n v="3000"/>
    <d v="2012-02-05T00:00:00"/>
    <d v="2012-01-01T00:00:00"/>
    <n v="3000"/>
    <n v="3000"/>
    <x v="13"/>
    <d v="2012-02-05T00:00:00"/>
    <m/>
    <n v="9321662647"/>
    <n v="10"/>
    <s v="MSKU6817267"/>
    <s v="CMA CGM NERVAL/811W"/>
    <m/>
    <s v="YANTIAN"/>
    <s v="CONS-SHIPT/"/>
    <m/>
    <s v="KENUS WONG"/>
    <s v="FO9"/>
    <s v="PERSONAL CARE                 "/>
    <s v="CONFIRMED"/>
    <n v="1"/>
    <n v="52"/>
    <d v="2012-01-01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150/000010"/>
    <n v="1370149366"/>
    <n v="10"/>
    <x v="17"/>
    <x v="17"/>
    <s v="L4"/>
    <n v="1830003834"/>
    <n v="175"/>
    <s v="CF8212F0       "/>
    <s v="CF8212F0 HAIR BRUSH 1200W                         "/>
    <s v="S"/>
    <d v="2012-01-06T00:00:00"/>
    <m/>
    <s v="X"/>
    <x v="57"/>
    <n v="8.36"/>
    <n v="17209"/>
    <d v="2012-02-02T00:00:00"/>
    <d v="2011-12-29T00:00:00"/>
    <n v="3000"/>
    <d v="2012-01-01T00:00:00"/>
    <n v="3000"/>
    <m/>
    <d v="2011-12-29T00:00:00"/>
    <n v="3000"/>
    <d v="2012-02-05T00:00:00"/>
    <d v="2012-01-01T00:00:00"/>
    <n v="3000"/>
    <n v="3000"/>
    <x v="13"/>
    <d v="2012-02-05T00:00:00"/>
    <m/>
    <n v="9321662648"/>
    <n v="10"/>
    <s v="INBU5333235"/>
    <s v="CMA CGM NERVAL/811W"/>
    <m/>
    <s v="HONG KONG"/>
    <s v="CONS-SHIPT/"/>
    <m/>
    <s v="KENUS WONG"/>
    <s v="FO9"/>
    <s v="PERSONAL CARE                 "/>
    <s v="CONFIRMED"/>
    <n v="1"/>
    <n v="52"/>
    <d v="2012-01-01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160/000010"/>
    <n v="1370149367"/>
    <n v="10"/>
    <x v="17"/>
    <x v="17"/>
    <s v="L4"/>
    <n v="1830003098"/>
    <n v="5"/>
    <s v="CV4942F0       "/>
    <s v="CV4942F0 POWERLINE HAIR DRYER                     "/>
    <s v="S"/>
    <d v="2012-01-06T00:00:00"/>
    <m/>
    <s v="X"/>
    <x v="57"/>
    <n v="6.5"/>
    <n v="14178"/>
    <d v="2012-02-02T00:00:00"/>
    <d v="2011-12-29T00:00:00"/>
    <n v="3000"/>
    <d v="2012-01-01T00:00:00"/>
    <n v="3000"/>
    <m/>
    <d v="2011-12-29T00:00:00"/>
    <n v="3000"/>
    <d v="2012-02-05T00:00:00"/>
    <d v="2012-01-01T00:00:00"/>
    <n v="3000"/>
    <n v="3000"/>
    <x v="13"/>
    <d v="2012-02-05T00:00:00"/>
    <m/>
    <n v="9321662649"/>
    <n v="10"/>
    <s v="INBU5333235"/>
    <s v="CMA CGM NERVAL/811W"/>
    <m/>
    <s v="YANTIAN"/>
    <s v="CONS-SHIPT/"/>
    <m/>
    <s v="KENUS WONG"/>
    <s v="FO9"/>
    <s v="PERSONAL CARE                 "/>
    <s v="CONFIRMED"/>
    <n v="1"/>
    <n v="52"/>
    <d v="2012-01-01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161/000010"/>
    <n v="1370149368"/>
    <n v="10"/>
    <x v="17"/>
    <x v="17"/>
    <s v="L4"/>
    <n v="1830003099"/>
    <n v="5"/>
    <s v="CV4952F0       "/>
    <s v="CV4952F0 POWERLINE HAIR DRYER                     "/>
    <s v="S"/>
    <d v="2012-01-06T00:00:00"/>
    <m/>
    <s v="X"/>
    <x v="57"/>
    <n v="7.07"/>
    <n v="14745"/>
    <d v="2012-02-02T00:00:00"/>
    <d v="2011-12-29T00:00:00"/>
    <n v="3000"/>
    <d v="2012-01-01T00:00:00"/>
    <n v="3000"/>
    <m/>
    <d v="2011-12-29T00:00:00"/>
    <n v="3000"/>
    <d v="2012-02-05T00:00:00"/>
    <d v="2012-01-01T00:00:00"/>
    <n v="3000"/>
    <n v="3000"/>
    <x v="13"/>
    <d v="2012-02-05T00:00:00"/>
    <m/>
    <n v="9321662650"/>
    <n v="10"/>
    <s v="MSKU6817267"/>
    <s v="CMA CGM NERVAL/811W"/>
    <m/>
    <s v="YANTIAN"/>
    <s v="CONS-SHIPT/"/>
    <m/>
    <s v="KENUS WONG"/>
    <s v="FO9"/>
    <s v="PERSONAL CARE                 "/>
    <s v="CONFIRMED"/>
    <n v="1"/>
    <n v="52"/>
    <d v="2012-01-01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9251/000010"/>
    <n v="1370149464"/>
    <n v="10"/>
    <x v="17"/>
    <x v="17"/>
    <s v="L4"/>
    <n v="1830002558"/>
    <n v="5"/>
    <s v="CV4412F0       "/>
    <s v="CV4412F0 HAIR DRYER HAIR STUDIO                   "/>
    <s v="S"/>
    <d v="2012-01-06T00:00:00"/>
    <m/>
    <s v="X"/>
    <x v="57"/>
    <n v="8.27"/>
    <n v="294"/>
    <d v="2012-02-17T00:00:00"/>
    <d v="2011-12-30T00:00:00"/>
    <n v="4500"/>
    <d v="2011-12-30T00:00:00"/>
    <n v="4500"/>
    <m/>
    <d v="2011-12-30T00:00:00"/>
    <n v="4500"/>
    <d v="2012-02-21T00:00:00"/>
    <d v="2012-01-03T00:00:00"/>
    <n v="4500"/>
    <n v="4500"/>
    <x v="16"/>
    <d v="2012-02-21T00:00:00"/>
    <m/>
    <n v="9321662651"/>
    <n v="10"/>
    <s v="DFSU6446400"/>
    <s v="NYK VESTA/28W51"/>
    <m/>
    <s v="YANTIAN"/>
    <s v="CONS-SHIPT/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3"/>
    <x v="2"/>
    <x v="10"/>
    <s v="CONS-SHIPT"/>
    <n v="-3"/>
    <n v="-3"/>
    <x v="8"/>
    <n v="2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2424/000010"/>
    <n v="1370149584"/>
    <n v="10"/>
    <x v="17"/>
    <x v="17"/>
    <s v="L4"/>
    <n v="1830003835"/>
    <n v="5"/>
    <s v="CV8652E0       "/>
    <s v="CV8652E0 INFINIPRO HAIR DRYER                     "/>
    <s v="S"/>
    <d v="2012-01-14T00:00:00"/>
    <m/>
    <s v="X"/>
    <x v="57"/>
    <n v="11.86"/>
    <n v="10"/>
    <d v="2012-02-13T00:00:00"/>
    <d v="2012-01-09T00:00:00"/>
    <n v="3000"/>
    <d v="2012-01-09T00:00:00"/>
    <n v="3000"/>
    <m/>
    <d v="2012-01-09T00:00:00"/>
    <n v="3000"/>
    <d v="2012-02-16T00:00:00"/>
    <d v="2012-01-12T00:00:00"/>
    <n v="3000"/>
    <n v="3000"/>
    <x v="10"/>
    <d v="2012-02-16T00:00:00"/>
    <m/>
    <n v="9321662652"/>
    <n v="10"/>
    <s v="MOAU0619565"/>
    <s v="MOL MISSION/006W"/>
    <m/>
    <s v="HONG KONG"/>
    <m/>
    <m/>
    <s v="AGNES NUNES"/>
    <s v="FO9"/>
    <s v="PERSONAL CARE                 "/>
    <s v="CONFIRMED"/>
    <n v="1"/>
    <n v="2"/>
    <d v="2012-01-12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159/000010"/>
    <n v="1370149360"/>
    <n v="10"/>
    <x v="17"/>
    <x v="17"/>
    <s v="L4"/>
    <n v="1830003077"/>
    <n v="5"/>
    <s v="CV4930F0       "/>
    <s v="CV4930F0 POWERLINE HAIR DRYER                     "/>
    <s v="S"/>
    <d v="2012-01-06T00:00:00"/>
    <m/>
    <s v="X"/>
    <x v="57"/>
    <n v="8.2799999999999994"/>
    <n v="16876"/>
    <d v="2012-02-02T00:00:00"/>
    <d v="2011-12-29T00:00:00"/>
    <n v="3000"/>
    <d v="2012-01-01T00:00:00"/>
    <n v="3000"/>
    <m/>
    <d v="2011-12-29T00:00:00"/>
    <n v="3000"/>
    <d v="2012-02-05T00:00:00"/>
    <d v="2012-01-01T00:00:00"/>
    <n v="3000"/>
    <n v="3000"/>
    <x v="13"/>
    <d v="2012-02-05T00:00:00"/>
    <m/>
    <n v="9321662654"/>
    <n v="10"/>
    <s v="INBU5333235"/>
    <s v="CMA CGM NERVAL/811W"/>
    <m/>
    <s v="YANTIAN"/>
    <s v="CONS-SHIPT/"/>
    <m/>
    <s v="KENUS WONG"/>
    <s v="FO9"/>
    <s v="PERSONAL CARE                 "/>
    <s v="CONFIRMED"/>
    <n v="1"/>
    <n v="52"/>
    <d v="2012-01-01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622/000010"/>
    <n v="1370149808"/>
    <n v="10"/>
    <x v="17"/>
    <x v="17"/>
    <s v="L4"/>
    <n v="1830003099"/>
    <n v="5"/>
    <s v="CV4952F0       "/>
    <s v="CV4952F0 POWERLINE HAIR DRYER                     "/>
    <s v="S"/>
    <d v="2012-01-16T00:00:00"/>
    <m/>
    <s v="X"/>
    <x v="57"/>
    <n v="7.07"/>
    <n v="1782"/>
    <d v="2012-02-16T00:00:00"/>
    <d v="2012-01-12T00:00:00"/>
    <n v="3000"/>
    <d v="2012-01-13T00:00:00"/>
    <n v="3000"/>
    <m/>
    <d v="2012-01-12T00:00:00"/>
    <n v="3000"/>
    <d v="2012-02-18T00:00:00"/>
    <d v="2012-01-14T00:00:00"/>
    <n v="3000"/>
    <n v="3000"/>
    <x v="9"/>
    <d v="2012-02-18T00:00:00"/>
    <m/>
    <n v="9321662656"/>
    <n v="10"/>
    <s v="POCU7004925"/>
    <s v="CMA CGM BALZAC/1202"/>
    <m/>
    <s v="YANTIAN"/>
    <s v="CONS-SHIPT/"/>
    <m/>
    <s v="KENUS WONG"/>
    <s v="FO9"/>
    <s v="PERSONAL CARE                 "/>
    <s v="CONFIRMED"/>
    <n v="1"/>
    <n v="2"/>
    <d v="2012-01-14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732/000010"/>
    <n v="1370149827"/>
    <n v="10"/>
    <x v="17"/>
    <x v="17"/>
    <s v="L4"/>
    <n v="1830003664"/>
    <n v="131"/>
    <s v="SF1022F0       "/>
    <s v="SF1022F0 ECO ODM STRAIGHTENER COMPACT LI          "/>
    <s v="S"/>
    <d v="2012-01-16T00:00:00"/>
    <m/>
    <s v="X"/>
    <x v="57"/>
    <n v="5.75"/>
    <n v="1430"/>
    <d v="2012-02-09T00:00:00"/>
    <d v="2012-01-05T00:00:00"/>
    <n v="3000"/>
    <d v="2012-01-13T00:00:00"/>
    <n v="3000"/>
    <m/>
    <d v="2012-01-05T00:00:00"/>
    <n v="3000"/>
    <d v="2012-02-18T00:00:00"/>
    <d v="2012-01-14T00:00:00"/>
    <n v="3000"/>
    <n v="3000"/>
    <x v="9"/>
    <d v="2012-02-18T00:00:00"/>
    <m/>
    <n v="9321662658"/>
    <n v="10"/>
    <s v="POCU7004925"/>
    <s v="CMA CGM BALZAC/1202"/>
    <m/>
    <s v="HONG KONG"/>
    <s v="CONS-SHIPT/"/>
    <m/>
    <s v="KENUS WONG"/>
    <s v="FO9"/>
    <s v="PERSONAL CARE                 "/>
    <s v="CONFIRMED"/>
    <n v="1"/>
    <n v="2"/>
    <d v="2012-01-14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040"/>
    <n v="1370149992"/>
    <n v="40"/>
    <x v="17"/>
    <x v="17"/>
    <s v="L4"/>
    <n v="1830003835"/>
    <n v="5"/>
    <s v="CV8652E0       "/>
    <s v="CV8652E0 INFINIPRO HAIR DRYER                     "/>
    <s v="S"/>
    <d v="2012-01-19T00:00:00"/>
    <m/>
    <s v="X"/>
    <x v="57"/>
    <n v="11.86"/>
    <n v="14"/>
    <d v="2012-02-13T00:00:00"/>
    <d v="2012-01-16T00:00:00"/>
    <n v="3000"/>
    <d v="2012-01-16T00:00:00"/>
    <n v="3000"/>
    <m/>
    <d v="2012-01-16T00:00:00"/>
    <n v="3000"/>
    <d v="2012-02-14T00:00:00"/>
    <d v="2012-01-17T00:00:00"/>
    <n v="3000"/>
    <n v="3000"/>
    <x v="19"/>
    <d v="2012-02-14T00:00:00"/>
    <m/>
    <n v="9321662659"/>
    <n v="10"/>
    <s v="OOLU7663208"/>
    <s v="APL HAMBURG"/>
    <m/>
    <s v="HONG KONG"/>
    <m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170"/>
    <n v="1370149992"/>
    <n v="170"/>
    <x v="17"/>
    <x v="17"/>
    <s v="L4"/>
    <n v="1830003751"/>
    <n v="5"/>
    <s v="CV8655E0       "/>
    <s v="CV8655E0 HAIR DRYER AC MOTOR INIFINIPRO           "/>
    <s v="S"/>
    <d v="2012-01-16T00:00:00"/>
    <m/>
    <s v="X"/>
    <x v="57"/>
    <n v="13.17"/>
    <n v="14"/>
    <d v="2012-02-13T00:00:00"/>
    <d v="2012-01-16T00:00:00"/>
    <n v="15000"/>
    <d v="2012-01-16T00:00:00"/>
    <n v="15000"/>
    <m/>
    <d v="2012-01-16T00:00:00"/>
    <n v="15000"/>
    <d v="2012-02-09T00:00:00"/>
    <d v="2012-01-12T00:00:00"/>
    <n v="15000"/>
    <n v="7500"/>
    <x v="24"/>
    <d v="2012-02-10T00:00:00"/>
    <m/>
    <n v="9321662659"/>
    <n v="20"/>
    <s v="CLHU9026918"/>
    <s v="BUSAN EXPRESS/004W"/>
    <m/>
    <s v="HONG KONG"/>
    <s v="CONS-SHIPT/"/>
    <m/>
    <s v="JASON FAN"/>
    <s v="FO9"/>
    <s v="PERSONAL CARE                 "/>
    <s v="CONFIRMED"/>
    <n v="1"/>
    <n v="2"/>
    <d v="2012-01-13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170"/>
    <n v="1370149992"/>
    <n v="170"/>
    <x v="17"/>
    <x v="17"/>
    <s v="L4"/>
    <n v="1830003751"/>
    <n v="5"/>
    <s v="CV8655E0       "/>
    <s v="CV8655E0 HAIR DRYER AC MOTOR INIFINIPRO           "/>
    <s v="S"/>
    <d v="2012-01-16T00:00:00"/>
    <m/>
    <s v="X"/>
    <x v="57"/>
    <n v="13.17"/>
    <n v="14"/>
    <d v="2012-02-13T00:00:00"/>
    <d v="2012-01-16T00:00:00"/>
    <n v="15000"/>
    <d v="2012-01-16T00:00:00"/>
    <n v="15000"/>
    <m/>
    <d v="2012-01-16T00:00:00"/>
    <n v="15000"/>
    <d v="2012-02-09T00:00:00"/>
    <d v="2012-01-12T00:00:00"/>
    <n v="15000"/>
    <n v="7500"/>
    <x v="24"/>
    <d v="2012-02-10T00:00:00"/>
    <m/>
    <n v="9321662659"/>
    <n v="20"/>
    <s v="TGHU9649127"/>
    <s v="BUSAN EXPRESS/004W"/>
    <m/>
    <s v="HONG KONG"/>
    <s v="CONS-SHIPT/"/>
    <m/>
    <s v="JASON FAN"/>
    <s v="FO9"/>
    <s v="PERSONAL CARE                 "/>
    <s v="CONFIRMED"/>
    <n v="1"/>
    <n v="2"/>
    <d v="2012-01-13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180"/>
    <n v="1370149992"/>
    <n v="180"/>
    <x v="17"/>
    <x v="17"/>
    <s v="L4"/>
    <n v="1830003219"/>
    <n v="131"/>
    <s v="SF4412E4       "/>
    <s v="SF4412E4 LISS &amp; CURL STRAIGHTENER                 "/>
    <s v="S"/>
    <d v="2012-01-19T00:00:00"/>
    <m/>
    <s v="X"/>
    <x v="57"/>
    <n v="10.85"/>
    <n v="14"/>
    <d v="2012-02-13T00:00:00"/>
    <d v="2012-01-16T00:00:00"/>
    <n v="3000"/>
    <d v="2012-01-16T00:00:00"/>
    <n v="3000"/>
    <m/>
    <d v="2012-01-16T00:00:00"/>
    <n v="3000"/>
    <d v="2012-02-14T00:00:00"/>
    <d v="2012-01-17T00:00:00"/>
    <n v="3000"/>
    <n v="3000"/>
    <x v="19"/>
    <d v="2012-02-14T00:00:00"/>
    <m/>
    <n v="9321662659"/>
    <n v="30"/>
    <s v="OOLU7663208"/>
    <s v="APL HAMBURG"/>
    <m/>
    <s v="YANTIAN"/>
    <m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240"/>
    <n v="1370149992"/>
    <n v="240"/>
    <x v="17"/>
    <x v="17"/>
    <s v="L4"/>
    <n v="1830003098"/>
    <n v="5"/>
    <s v="CV4942F0       "/>
    <s v="CV4942F0 POWERLINE HAIR DRYER                     "/>
    <s v="S"/>
    <d v="2012-01-17T00:00:00"/>
    <m/>
    <s v="X"/>
    <x v="57"/>
    <n v="6.5"/>
    <n v="14"/>
    <d v="2012-02-13T00:00:00"/>
    <d v="2012-01-16T00:00:00"/>
    <n v="3000"/>
    <d v="2012-01-16T00:00:00"/>
    <n v="3000"/>
    <m/>
    <d v="2012-01-16T00:00:00"/>
    <n v="3000"/>
    <d v="2012-02-14T00:00:00"/>
    <d v="2012-01-17T00:00:00"/>
    <n v="3000"/>
    <n v="3000"/>
    <x v="19"/>
    <d v="2012-02-14T00:00:00"/>
    <m/>
    <n v="9321662659"/>
    <n v="40"/>
    <s v="SESU6028790"/>
    <s v="HANJIN BASEL/0063W"/>
    <m/>
    <s v="YANTIAN"/>
    <m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2031/000010"/>
    <n v="1370150095"/>
    <n v="10"/>
    <x v="17"/>
    <x v="17"/>
    <s v="L4"/>
    <n v="1830003786"/>
    <n v="5"/>
    <s v="CV8652C0       "/>
    <s v="CV8652C0 INFINIPRO HAIR DRYER                     "/>
    <s v="S"/>
    <d v="2012-01-09T00:00:00"/>
    <m/>
    <s v="X"/>
    <x v="57"/>
    <n v="11.69"/>
    <n v="10"/>
    <d v="2012-02-10T00:00:00"/>
    <d v="2012-01-06T00:00:00"/>
    <n v="3000"/>
    <d v="2012-01-06T00:00:00"/>
    <n v="3000"/>
    <m/>
    <d v="2012-01-06T00:00:00"/>
    <n v="3000"/>
    <d v="2012-02-10T00:00:00"/>
    <d v="2012-01-06T00:00:00"/>
    <n v="3000"/>
    <n v="3000"/>
    <x v="7"/>
    <d v="2012-02-10T00:00:00"/>
    <m/>
    <n v="9321662660"/>
    <n v="10"/>
    <s v="MSKU6858902"/>
    <s v="MAERSK ESSEN/1202"/>
    <m/>
    <s v="HONG KONG"/>
    <m/>
    <m/>
    <s v="JASON FAN"/>
    <s v="FO9"/>
    <s v="PERSONAL CARE                 "/>
    <s v="CONFIRMED"/>
    <n v="1"/>
    <n v="1"/>
    <d v="2012-01-06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2176/000010"/>
    <n v="1370149491"/>
    <n v="10"/>
    <x v="14"/>
    <x v="14"/>
    <s v="J2"/>
    <n v="1110019443"/>
    <n v="1"/>
    <s v="               "/>
    <s v="DX1250F1 STEAM IRON                               "/>
    <s v="S"/>
    <d v="2012-01-10T00:00:00"/>
    <m/>
    <s v="X"/>
    <x v="57"/>
    <n v="9.23"/>
    <n v="7"/>
    <d v="2012-02-13T00:00:00"/>
    <d v="2012-01-09T00:00:00"/>
    <n v="3450"/>
    <d v="2012-01-09T00:00:00"/>
    <n v="3450"/>
    <m/>
    <d v="2012-01-07T00:00:00"/>
    <n v="3450"/>
    <d v="2012-02-11T00:00:00"/>
    <d v="2012-01-07T00:00:00"/>
    <n v="3450"/>
    <n v="3450"/>
    <x v="0"/>
    <d v="2012-02-13T00:00:00"/>
    <m/>
    <n v="9321662661"/>
    <n v="10"/>
    <s v="APZU3951342"/>
    <s v="MOL COMPETENCE/021W"/>
    <m/>
    <s v="NINGBO"/>
    <m/>
    <m/>
    <s v="AGNES NUNES"/>
    <s v="FO9"/>
    <s v="LINEN CARE                    "/>
    <s v="CONFIRMED"/>
    <n v="1"/>
    <n v="2"/>
    <d v="2012-01-09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900"/>
    <s v="GROUPE SEB VENEZUELA SA                           "/>
    <n v="99001900"/>
    <x v="34"/>
    <s v="22578/039756"/>
    <n v="1370149577"/>
    <n v="10"/>
    <x v="14"/>
    <x v="14"/>
    <s v="J4"/>
    <n v="1830003707"/>
    <n v="1"/>
    <s v="IM1150I0       "/>
    <s v="IM1150I0 STEAM IRON CALORE 2                      "/>
    <s v="S"/>
    <d v="2012-02-02T00:00:00"/>
    <m/>
    <s v="X"/>
    <x v="57"/>
    <n v="4.6900000000000004"/>
    <n v="5"/>
    <d v="2012-02-24T00:00:00"/>
    <d v="2012-01-06T00:00:00"/>
    <n v="5394"/>
    <d v="2012-01-20T00:00:00"/>
    <n v="5376"/>
    <m/>
    <m/>
    <m/>
    <d v="2012-03-10T00:00:00"/>
    <d v="2012-01-21T00:00:00"/>
    <n v="5376"/>
    <n v="5376"/>
    <x v="26"/>
    <d v="2012-03-10T00:00:00"/>
    <m/>
    <n v="9321662662"/>
    <n v="10"/>
    <s v="FCIU4456112"/>
    <s v="CSAV LONGQUIMAY 821E"/>
    <m/>
    <s v="NINGBO"/>
    <s v="C-PULLIN-CONF/SP-OVERCAP/"/>
    <m/>
    <s v="THOMAS HO"/>
    <s v="FO9"/>
    <s v="LINEN CARE                    "/>
    <s v="CONFIRMED"/>
    <n v="1"/>
    <n v="3"/>
    <d v="2012-01-21T00:00:00"/>
    <s v="LINEN PERS HOME CARE          "/>
    <s v="LINEN CARE                    "/>
    <x v="6"/>
    <x v="2"/>
    <x v="11"/>
    <s v="SP-OVERCAP"/>
    <n v="-3"/>
    <n v="-3"/>
    <x v="9"/>
    <n v="2"/>
    <x v="0"/>
    <x v="0"/>
    <x v="0"/>
    <n v="0"/>
    <n v="0"/>
    <n v="1"/>
    <n v="0"/>
    <n v="0"/>
    <n v="1"/>
    <x v="0"/>
    <x v="0"/>
    <x v="1"/>
    <x v="1"/>
  </r>
  <r>
    <s v="Shipment"/>
    <n v="99001900"/>
    <s v="GROUPE SEB VENEZUELA SA                           "/>
    <n v="99001900"/>
    <x v="34"/>
    <s v="22578/039755"/>
    <n v="1370149577"/>
    <n v="20"/>
    <x v="14"/>
    <x v="14"/>
    <s v="J4"/>
    <n v="1830003706"/>
    <n v="1"/>
    <s v="IM1140I0       "/>
    <s v="IM1140I0 STEAM IRON CALORE 1                      "/>
    <s v="S"/>
    <d v="2012-01-10T00:00:00"/>
    <m/>
    <s v="X"/>
    <x v="57"/>
    <n v="4.6900000000000004"/>
    <n v="5"/>
    <d v="2012-02-24T00:00:00"/>
    <d v="2012-01-06T00:00:00"/>
    <n v="5394"/>
    <d v="2012-01-06T00:00:00"/>
    <n v="5394"/>
    <m/>
    <m/>
    <m/>
    <d v="2012-02-25T00:00:00"/>
    <d v="2012-01-07T00:00:00"/>
    <n v="5394"/>
    <n v="5394"/>
    <x v="12"/>
    <d v="2012-02-25T00:00:00"/>
    <m/>
    <n v="9321662662"/>
    <n v="20"/>
    <s v="ECMU1451140"/>
    <s v="CSCL MELBOURNE PP817"/>
    <m/>
    <s v="NINGBO"/>
    <m/>
    <m/>
    <s v="THOMAS HO"/>
    <s v="FO9"/>
    <s v="LINEN CARE                    "/>
    <s v="CONFIRMED"/>
    <n v="1"/>
    <n v="1"/>
    <d v="2012-01-07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0"/>
    <n v="1"/>
    <n v="0"/>
    <n v="0"/>
    <n v="1"/>
    <x v="0"/>
    <x v="0"/>
    <x v="1"/>
    <x v="1"/>
  </r>
  <r>
    <s v="Shipment"/>
    <n v="99005220"/>
    <s v="GROUPE SEB ARGENTINA SA                           "/>
    <n v="99005200"/>
    <x v="33"/>
    <s v="989/000001"/>
    <n v="1370149680"/>
    <n v="10"/>
    <x v="14"/>
    <x v="14"/>
    <s v="J2"/>
    <n v="1110030388"/>
    <n v="64"/>
    <s v="               "/>
    <s v="DR5050A1 STEAM BRUSH                              "/>
    <s v="S"/>
    <d v="2012-02-02T00:00:00"/>
    <m/>
    <s v="X"/>
    <x v="57"/>
    <n v="11.04"/>
    <n v="13"/>
    <d v="2012-02-15T00:00:00"/>
    <d v="2012-01-04T00:00:00"/>
    <n v="5040"/>
    <d v="2012-01-04T00:00:00"/>
    <n v="5040"/>
    <m/>
    <d v="2012-01-01T00:00:00"/>
    <n v="5040"/>
    <d v="2012-03-04T00:00:00"/>
    <d v="2012-01-22T00:00:00"/>
    <n v="5040"/>
    <n v="5040"/>
    <x v="1"/>
    <d v="2012-03-05T00:00:00"/>
    <m/>
    <n v="9321662663"/>
    <n v="10"/>
    <s v="SUDU7391138"/>
    <s v="MAERSK LA PAZ 203W/"/>
    <m/>
    <s v="NINGBO"/>
    <s v="SP-MTL/docs received on 1-Feb"/>
    <m/>
    <s v="THOMAS HO"/>
    <s v="FO9"/>
    <s v="LINEN CARE                    "/>
    <s v="CONFIRMED"/>
    <n v="1"/>
    <n v="4"/>
    <d v="2012-01-23T00:00:00"/>
    <s v="LINEN PERS HOME CARE          "/>
    <s v="LINEN CARE                    "/>
    <x v="6"/>
    <x v="2"/>
    <x v="9"/>
    <s v="SP-MTL"/>
    <n v="1"/>
    <n v="1"/>
    <x v="10"/>
    <n v="2"/>
    <x v="0"/>
    <x v="0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9146/000010"/>
    <n v="1370149990"/>
    <n v="10"/>
    <x v="14"/>
    <x v="14"/>
    <s v="J4"/>
    <n v="1830002966"/>
    <n v="1"/>
    <s v="FV2048E0*      "/>
    <s v="FV2048E0 STEAM IRON PRINCIPIO 48                  "/>
    <s v="S"/>
    <d v="2012-01-17T00:00:00"/>
    <m/>
    <s v="X"/>
    <x v="57"/>
    <n v="8.58"/>
    <n v="7"/>
    <d v="2012-02-13T00:00:00"/>
    <d v="2012-01-16T00:00:00"/>
    <n v="4602"/>
    <d v="2012-01-16T00:00:00"/>
    <n v="4602"/>
    <m/>
    <d v="2012-01-17T00:00:00"/>
    <n v="4602"/>
    <d v="2012-02-11T00:00:00"/>
    <d v="2012-01-14T00:00:00"/>
    <n v="4602"/>
    <n v="4602"/>
    <x v="11"/>
    <d v="2012-02-12T00:00:00"/>
    <m/>
    <n v="9321662665"/>
    <n v="10"/>
    <s v="UESU4140478"/>
    <s v="APL HAMBURG/015W"/>
    <m/>
    <s v="NINGBO"/>
    <m/>
    <m/>
    <s v="JASON FAN"/>
    <s v="FO9"/>
    <s v="LINEN CARE                    "/>
    <s v="CONFIRMED"/>
    <n v="1"/>
    <n v="2"/>
    <d v="2012-01-15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010"/>
    <n v="1370149992"/>
    <n v="10"/>
    <x v="14"/>
    <x v="14"/>
    <s v="J2"/>
    <n v="1110019443"/>
    <n v="1"/>
    <s v="               "/>
    <s v="DX1250F1 STEAM IRON                               "/>
    <s v="S"/>
    <d v="2012-01-17T00:00:00"/>
    <m/>
    <s v="X"/>
    <x v="57"/>
    <n v="9.23"/>
    <n v="14"/>
    <d v="2012-02-13T00:00:00"/>
    <d v="2012-01-16T00:00:00"/>
    <n v="3450"/>
    <d v="2012-01-16T00:00:00"/>
    <n v="3450"/>
    <m/>
    <d v="2012-01-17T00:00:00"/>
    <n v="3450"/>
    <d v="2012-02-11T00:00:00"/>
    <d v="2012-01-14T00:00:00"/>
    <n v="3450"/>
    <n v="3450"/>
    <x v="11"/>
    <d v="2012-02-12T00:00:00"/>
    <m/>
    <n v="9321662666"/>
    <n v="10"/>
    <s v="UESU4140478"/>
    <s v="APL HAMBURG/015W"/>
    <m/>
    <s v="NINGBO"/>
    <m/>
    <m/>
    <s v="JASON FAN"/>
    <s v="FO9"/>
    <s v="LINEN CARE                    "/>
    <s v="CONFIRMED"/>
    <n v="1"/>
    <n v="2"/>
    <d v="2012-01-15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47/000001"/>
    <n v="1370149998"/>
    <n v="10"/>
    <x v="14"/>
    <x v="14"/>
    <s v="J4"/>
    <n v="1830003769"/>
    <n v="1"/>
    <s v="IM3156X0       "/>
    <s v="IM3156X0 STEAM IRON MAESTRO 56                    "/>
    <s v="S"/>
    <d v="2012-01-19T00:00:00"/>
    <m/>
    <s v="X"/>
    <x v="57"/>
    <n v="10.42"/>
    <n v="148"/>
    <d v="2012-02-25T00:00:00"/>
    <d v="2012-01-21T00:00:00"/>
    <n v="3000"/>
    <d v="2012-01-21T00:00:00"/>
    <n v="3000"/>
    <m/>
    <d v="2012-01-19T00:00:00"/>
    <n v="3000"/>
    <d v="2012-02-21T00:00:00"/>
    <d v="2012-01-17T00:00:00"/>
    <n v="3000"/>
    <n v="3000"/>
    <x v="21"/>
    <d v="2012-02-22T00:00:00"/>
    <m/>
    <n v="9321662667"/>
    <n v="10"/>
    <s v="SUDU4984103"/>
    <s v="MONTE SARMIENTO 202E"/>
    <m/>
    <s v="NINGBO"/>
    <m/>
    <m/>
    <s v="TWEETY LEUNG"/>
    <s v="FO9"/>
    <s v="LINEN CARE                    "/>
    <s v="CONFIRMED"/>
    <n v="1"/>
    <n v="3"/>
    <d v="2012-01-18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719/000010"/>
    <n v="1370149790"/>
    <n v="10"/>
    <x v="6"/>
    <x v="6"/>
    <s v="N3"/>
    <n v="1500573944"/>
    <n v="116"/>
    <n v="573944"/>
    <s v="OW502030 BREADMAKER XXL RELIFT EAST EURO          "/>
    <s v="S"/>
    <d v="2012-01-09T00:00:00"/>
    <m/>
    <s v="X"/>
    <x v="57"/>
    <n v="37.770000000000003"/>
    <n v="9608"/>
    <d v="2012-02-09T00:00:00"/>
    <d v="2012-01-05T00:00:00"/>
    <n v="2012"/>
    <d v="2012-01-05T00:00:00"/>
    <n v="2012"/>
    <m/>
    <d v="2012-01-09T00:00:00"/>
    <n v="2012"/>
    <d v="2012-02-07T00:00:00"/>
    <d v="2012-01-03T00:00:00"/>
    <n v="2012"/>
    <n v="1006"/>
    <x v="6"/>
    <d v="2012-02-09T00:00:00"/>
    <m/>
    <n v="9321662668"/>
    <n v="10"/>
    <s v="MRKU2144314"/>
    <s v="BO YUN 938/2012"/>
    <m/>
    <s v="ZHUHAI"/>
    <m/>
    <m/>
    <s v="KENUS WONG"/>
    <s v="FO9"/>
    <s v="ELECTRICAL COOKING            "/>
    <s v="CONFIRMED"/>
    <n v="1"/>
    <n v="1"/>
    <d v="2012-01-05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719/000010"/>
    <n v="1370149790"/>
    <n v="10"/>
    <x v="6"/>
    <x v="6"/>
    <s v="N3"/>
    <n v="1500573944"/>
    <n v="116"/>
    <n v="573944"/>
    <s v="OW502030 BREADMAKER XXL RELIFT EAST EURO          "/>
    <s v="S"/>
    <d v="2012-01-07T00:00:00"/>
    <m/>
    <s v="X"/>
    <x v="57"/>
    <n v="37.770000000000003"/>
    <n v="9608"/>
    <d v="2012-02-09T00:00:00"/>
    <d v="2012-01-05T00:00:00"/>
    <n v="2012"/>
    <d v="2012-01-05T00:00:00"/>
    <n v="2012"/>
    <m/>
    <d v="2012-01-09T00:00:00"/>
    <n v="2012"/>
    <d v="2012-02-07T00:00:00"/>
    <d v="2012-01-03T00:00:00"/>
    <n v="2012"/>
    <n v="1006"/>
    <x v="6"/>
    <d v="2012-02-09T00:00:00"/>
    <m/>
    <n v="9321662668"/>
    <n v="10"/>
    <s v="MSKU9461020"/>
    <s v="BO YUN 938/2012"/>
    <m/>
    <s v="ZHUHAI"/>
    <m/>
    <m/>
    <s v="KENUS WONG"/>
    <s v="FO9"/>
    <s v="ELECTRICAL COOKING            "/>
    <s v="CONFIRMED"/>
    <n v="1"/>
    <n v="1"/>
    <d v="2012-01-05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721/000010"/>
    <n v="1370149812"/>
    <n v="10"/>
    <x v="6"/>
    <x v="6"/>
    <s v="N3"/>
    <n v="1500573945"/>
    <n v="116"/>
    <n v="573945"/>
    <s v="OW502330 BM XXL BAGUETTE RELIFT PL EAST           "/>
    <s v="S"/>
    <d v="2012-01-16T00:00:00"/>
    <m/>
    <s v="X"/>
    <x v="57"/>
    <n v="48.09"/>
    <n v="12162"/>
    <d v="2012-02-09T00:00:00"/>
    <d v="2012-01-05T00:00:00"/>
    <n v="870"/>
    <d v="2012-01-05T00:00:00"/>
    <n v="870"/>
    <m/>
    <d v="2012-01-12T00:00:00"/>
    <n v="870"/>
    <d v="2012-02-09T00:00:00"/>
    <d v="2012-01-05T00:00:00"/>
    <n v="870"/>
    <n v="870"/>
    <x v="5"/>
    <d v="2012-02-14T00:00:00"/>
    <m/>
    <n v="9321662669"/>
    <n v="10"/>
    <s v="SEAU7884381"/>
    <s v="XIE HANG 968/2022"/>
    <m/>
    <s v="ZHUHAI"/>
    <m/>
    <m/>
    <s v="KENUS WONG"/>
    <s v="FO9"/>
    <s v="ELECTRICAL COOKING            "/>
    <s v="CONFIRMED"/>
    <n v="1"/>
    <n v="2"/>
    <d v="2012-01-10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1730/000010"/>
    <n v="1370150129"/>
    <n v="10"/>
    <x v="6"/>
    <x v="6"/>
    <s v="N3"/>
    <n v="1500577900"/>
    <n v="53"/>
    <n v="577900"/>
    <s v="OF240100 OVEN DELICE GRILL 18L WHT FR             "/>
    <s v="S"/>
    <d v="2012-01-10T00:00:00"/>
    <m/>
    <s v="X"/>
    <x v="57"/>
    <n v="33.22"/>
    <n v="29"/>
    <d v="2012-02-10T00:00:00"/>
    <d v="2012-01-06T00:00:00"/>
    <n v="600"/>
    <d v="2012-01-06T00:00:00"/>
    <n v="600"/>
    <m/>
    <d v="2012-01-06T00:00:00"/>
    <n v="600"/>
    <d v="2012-02-10T00:00:00"/>
    <d v="2012-01-06T00:00:00"/>
    <n v="600"/>
    <n v="600"/>
    <x v="7"/>
    <d v="2012-02-10T00:00:00"/>
    <m/>
    <n v="9321662672"/>
    <n v="10"/>
    <s v="OOLU7845326"/>
    <s v="ZHONG HANG 930/***"/>
    <m/>
    <s v="ZHUHAI"/>
    <m/>
    <m/>
    <s v="JASON FAN"/>
    <s v="FO9"/>
    <s v="ELECTRICAL COOKING            "/>
    <s v="CONFIRMED"/>
    <n v="1"/>
    <n v="1"/>
    <d v="2012-01-06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2413/000010"/>
    <n v="1370149597"/>
    <n v="10"/>
    <x v="43"/>
    <x v="43"/>
    <s v="R1"/>
    <n v="1500635427"/>
    <n v="55"/>
    <n v="635427"/>
    <s v="KI210036 KET EXPRESS 1.5L SS BLK EUR              "/>
    <s v="S"/>
    <d v="2012-01-18T00:00:00"/>
    <m/>
    <s v="X"/>
    <x v="57"/>
    <n v="14.46"/>
    <n v="12"/>
    <d v="2012-02-20T00:00:00"/>
    <d v="2012-01-16T00:00:00"/>
    <n v="2100"/>
    <d v="2012-01-16T00:00:00"/>
    <n v="2100"/>
    <m/>
    <d v="2012-01-09T00:00:00"/>
    <n v="2100"/>
    <d v="2012-02-20T00:00:00"/>
    <d v="2012-01-16T00:00:00"/>
    <n v="2100"/>
    <n v="2100"/>
    <x v="8"/>
    <d v="2012-02-20T00:00:00"/>
    <m/>
    <n v="9321662673"/>
    <n v="10"/>
    <s v="MOAU6773855"/>
    <s v="HYUNDAI BRAVE/023W"/>
    <m/>
    <s v="SHENZHEN"/>
    <m/>
    <m/>
    <s v="AGNES NUNES"/>
    <s v="FO9"/>
    <s v="BEVERAGE                      "/>
    <s v="CONFIRMED"/>
    <n v="1"/>
    <n v="3"/>
    <d v="2012-01-16T00:00:00"/>
    <s v="KITCHEN ELECTRICS             "/>
    <s v="BREAKFAST &amp; BREVAGE PREP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725/000010"/>
    <n v="1370149836"/>
    <n v="10"/>
    <x v="43"/>
    <x v="43"/>
    <s v="N3"/>
    <n v="1500576660"/>
    <n v="116"/>
    <n v="576660"/>
    <s v="OW110131 BMK HOME BREAD PROMO 900G WHT P          "/>
    <s v="S"/>
    <d v="2012-01-29T00:00:00"/>
    <m/>
    <s v="X"/>
    <x v="57"/>
    <n v="33.01"/>
    <n v="8131"/>
    <d v="2012-02-09T00:00:00"/>
    <d v="2012-01-05T00:00:00"/>
    <n v="2434"/>
    <d v="2012-01-05T00:00:00"/>
    <n v="2434"/>
    <m/>
    <d v="2012-02-24T00:00:00"/>
    <n v="2434"/>
    <d v="2012-03-01T00:00:00"/>
    <d v="2012-01-26T00:00:00"/>
    <n v="2434"/>
    <n v="1217"/>
    <x v="15"/>
    <d v="2012-03-01T00:00:00"/>
    <m/>
    <n v="9321662674"/>
    <n v="10"/>
    <s v="PONU1277680"/>
    <s v="SAFMARINE NIMBA/1203"/>
    <m/>
    <s v="YANTIAN"/>
    <s v="SP-MTL/SP-NO-FORECAST/FORWARDER-PROB/SP-HOLIDAY/"/>
    <m/>
    <s v="KENUS WONG"/>
    <s v="FO9"/>
    <s v="ELECTRICAL COOKING            "/>
    <s v="CONFIRMED"/>
    <n v="1"/>
    <n v="4"/>
    <d v="2012-01-26T00:00:00"/>
    <s v="KITCHEN ELECTRICS             "/>
    <s v="ELECTRICAL COOKING            "/>
    <x v="1"/>
    <x v="1"/>
    <x v="9"/>
    <s v="SP-NO-FORECAST"/>
    <n v="1"/>
    <n v="-3"/>
    <x v="15"/>
    <n v="4"/>
    <x v="0"/>
    <x v="0"/>
    <x v="0"/>
    <n v="1"/>
    <n v="0"/>
    <n v="0"/>
    <n v="0"/>
    <n v="0"/>
    <n v="0"/>
    <x v="0"/>
    <x v="1"/>
    <x v="1"/>
    <x v="0"/>
  </r>
  <r>
    <s v="Shipment"/>
    <n v="99002901"/>
    <s v="GROUPE SEB CENTRAL EUROPE KFT.                    "/>
    <n v="99002901"/>
    <x v="29"/>
    <s v="4500262725/000010"/>
    <n v="1370149836"/>
    <n v="10"/>
    <x v="43"/>
    <x v="43"/>
    <s v="N3"/>
    <n v="1500576660"/>
    <n v="116"/>
    <n v="576660"/>
    <s v="OW110131 BMK HOME BREAD PROMO 900G WHT P          "/>
    <s v="S"/>
    <d v="2012-01-29T00:00:00"/>
    <m/>
    <s v="X"/>
    <x v="57"/>
    <n v="33.01"/>
    <n v="8131"/>
    <d v="2012-02-09T00:00:00"/>
    <d v="2012-01-05T00:00:00"/>
    <n v="2434"/>
    <d v="2012-01-05T00:00:00"/>
    <n v="2434"/>
    <m/>
    <d v="2012-02-24T00:00:00"/>
    <n v="2434"/>
    <d v="2012-03-01T00:00:00"/>
    <d v="2012-01-26T00:00:00"/>
    <n v="2434"/>
    <n v="1217"/>
    <x v="15"/>
    <d v="2012-03-01T00:00:00"/>
    <m/>
    <n v="9321662674"/>
    <n v="10"/>
    <s v="PONU1318244"/>
    <s v="SAFMARINE NIMBA/1203"/>
    <m/>
    <s v="YANTIAN"/>
    <s v="SP-MTL/SP-NO-FORECAST/FORWARDER-PROB/SP-HOLIDAY/"/>
    <m/>
    <s v="KENUS WONG"/>
    <s v="FO9"/>
    <s v="ELECTRICAL COOKING            "/>
    <s v="CONFIRMED"/>
    <n v="1"/>
    <n v="4"/>
    <d v="2012-01-26T00:00:00"/>
    <s v="KITCHEN ELECTRICS             "/>
    <s v="ELECTRICAL COOKING            "/>
    <x v="1"/>
    <x v="1"/>
    <x v="9"/>
    <s v="SP-NO-FORECAST"/>
    <n v="1"/>
    <n v="-3"/>
    <x v="15"/>
    <n v="4"/>
    <x v="0"/>
    <x v="0"/>
    <x v="0"/>
    <n v="1"/>
    <n v="0"/>
    <n v="0"/>
    <n v="0"/>
    <n v="0"/>
    <n v="0"/>
    <x v="0"/>
    <x v="1"/>
    <x v="1"/>
    <x v="0"/>
  </r>
  <r>
    <s v="Shipment"/>
    <n v="99003800"/>
    <s v="GROUPE SEB POLSKA SP. ZO.O                        "/>
    <n v="99003800"/>
    <x v="20"/>
    <s v="4500262692/000010"/>
    <n v="1370149843"/>
    <n v="10"/>
    <x v="43"/>
    <x v="43"/>
    <s v="R1"/>
    <n v="1500635410"/>
    <n v="55"/>
    <n v="635410"/>
    <s v="KI210035 KET EXPRESS 1.5L SS BLK CIS              "/>
    <s v="S"/>
    <d v="2012-01-20T00:00:00"/>
    <m/>
    <s v="X"/>
    <x v="57"/>
    <n v="14.46"/>
    <n v="57"/>
    <d v="2012-03-05T00:00:00"/>
    <d v="2012-01-23T00:00:00"/>
    <n v="2100"/>
    <d v="2012-01-23T00:00:00"/>
    <n v="2100"/>
    <m/>
    <d v="2012-01-19T00:00:00"/>
    <n v="2100"/>
    <d v="2012-03-01T00:00:00"/>
    <d v="2012-01-19T00:00:00"/>
    <n v="2100"/>
    <n v="2100"/>
    <x v="21"/>
    <d v="2012-02-29T00:00:00"/>
    <m/>
    <n v="9321662675"/>
    <n v="10"/>
    <s v="MRKU8230507"/>
    <s v="EMMA MAERSK 1202/"/>
    <m/>
    <s v="SHENZHEN"/>
    <s v="FOB"/>
    <m/>
    <s v="KENUS WONG"/>
    <s v="FO9"/>
    <s v="BEVERAGE                      "/>
    <s v="CONFIRMED"/>
    <n v="1"/>
    <n v="3"/>
    <d v="2012-01-18T00:00:00"/>
    <s v="KITCHEN ELECTRICS             "/>
    <s v="BREAKFAST &amp; BREVAGE PREP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2013/000010"/>
    <n v="1370150093"/>
    <n v="10"/>
    <x v="43"/>
    <x v="43"/>
    <s v="R1"/>
    <n v="1500635047"/>
    <n v="55"/>
    <n v="635047"/>
    <s v="KI210033 KET EXPRESS 1.5L SS BLK EUR              "/>
    <s v="S"/>
    <d v="2012-01-06T00:00:00"/>
    <m/>
    <s v="X"/>
    <x v="57"/>
    <n v="14.46"/>
    <n v="12"/>
    <d v="2012-02-10T00:00:00"/>
    <d v="2012-01-06T00:00:00"/>
    <n v="4396"/>
    <d v="2012-01-06T00:00:00"/>
    <n v="4396"/>
    <m/>
    <d v="2012-01-03T00:00:00"/>
    <n v="4396"/>
    <d v="2012-02-07T00:00:00"/>
    <d v="2012-01-03T00:00:00"/>
    <n v="4396"/>
    <n v="4396"/>
    <x v="16"/>
    <d v="2012-02-07T00:00:00"/>
    <m/>
    <n v="9321662676"/>
    <n v="10"/>
    <s v="APZU4581896"/>
    <s v="HYUNDAI VANCOUVER/00"/>
    <m/>
    <s v="SHENZHEN"/>
    <s v="C-PULLIN-CONF/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2186/000010"/>
    <n v="1370149493"/>
    <n v="10"/>
    <x v="44"/>
    <x v="44"/>
    <s v="P1"/>
    <n v="1500814133"/>
    <n v="106"/>
    <n v="814133"/>
    <s v="HT410133 HMX PREPLINE 450W WHT EUR                "/>
    <s v="S"/>
    <d v="2012-01-04T00:00:00"/>
    <m/>
    <s v="X"/>
    <x v="57"/>
    <n v="10.81"/>
    <n v="9476"/>
    <d v="2012-02-06T00:00:00"/>
    <d v="2012-01-02T00:00:00"/>
    <n v="6258"/>
    <d v="2012-01-06T00:00:00"/>
    <n v="6258"/>
    <m/>
    <d v="2012-01-12T00:00:00"/>
    <n v="7326"/>
    <d v="2012-02-16T00:00:00"/>
    <d v="2012-01-12T00:00:00"/>
    <n v="6258"/>
    <n v="5190"/>
    <x v="13"/>
    <d v="2012-02-05T00:00:00"/>
    <m/>
    <n v="9321662678"/>
    <n v="10"/>
    <s v="CAXU3344235"/>
    <s v="HYUNDAI SPLENDOR/016"/>
    <m/>
    <s v="YANTIAN"/>
    <s v="CONS-SHIPT/"/>
    <m/>
    <s v="AGNES NUNES"/>
    <s v="FO9"/>
    <s v="FOOD PREPARATION              "/>
    <s v="CONFIRMED"/>
    <n v="1"/>
    <n v="52"/>
    <d v="2012-01-01T00:00:00"/>
    <s v="KITCHEN ELECTRICS             "/>
    <s v="FOOD PREPARATION              "/>
    <x v="2"/>
    <x v="1"/>
    <x v="10"/>
    <s v="CONS-SHIPT"/>
    <n v="-3"/>
    <n v="-3"/>
    <x v="8"/>
    <n v="1"/>
    <x v="0"/>
    <x v="1"/>
    <x v="1"/>
    <n v="1"/>
    <n v="0"/>
    <n v="1"/>
    <n v="0"/>
    <n v="0"/>
    <n v="1"/>
    <x v="0"/>
    <x v="0"/>
    <x v="1"/>
    <x v="1"/>
  </r>
  <r>
    <s v="Shipment"/>
    <n v="99007325"/>
    <s v="Spedition Hendricks GmbH &amp; Co.KG                  "/>
    <n v="99007300"/>
    <x v="17"/>
    <s v="4500262186/000010"/>
    <n v="1370149493"/>
    <n v="10"/>
    <x v="44"/>
    <x v="44"/>
    <s v="P1"/>
    <n v="1500814133"/>
    <n v="106"/>
    <n v="814133"/>
    <s v="HT410133 HMX PREPLINE 450W WHT EUR                "/>
    <s v="S"/>
    <d v="2012-01-12T00:00:00"/>
    <m/>
    <s v="X"/>
    <x v="57"/>
    <n v="10.81"/>
    <n v="9476"/>
    <d v="2012-02-06T00:00:00"/>
    <d v="2012-01-02T00:00:00"/>
    <n v="6258"/>
    <d v="2012-01-06T00:00:00"/>
    <n v="6258"/>
    <m/>
    <d v="2012-01-12T00:00:00"/>
    <n v="7326"/>
    <d v="2012-02-16T00:00:00"/>
    <d v="2012-01-12T00:00:00"/>
    <n v="6258"/>
    <n v="1068"/>
    <x v="10"/>
    <d v="2012-02-16T00:00:00"/>
    <m/>
    <n v="9321662678"/>
    <n v="10"/>
    <s v="MOFU5880470"/>
    <s v="MOL MISSION/006W"/>
    <m/>
    <s v="YANTIAN"/>
    <s v="CONS-SHIPT/"/>
    <m/>
    <s v="AGNES NUNES"/>
    <s v="FO9"/>
    <s v="FOOD PREPARATION              "/>
    <s v="CONFIRMED"/>
    <n v="1"/>
    <n v="2"/>
    <d v="2012-01-12T00:00:00"/>
    <s v="KITCHEN ELECTRICS             "/>
    <s v="FOOD PREPARATION              "/>
    <x v="2"/>
    <x v="1"/>
    <x v="10"/>
    <s v="CONS-SHIPT"/>
    <n v="-3"/>
    <n v="-3"/>
    <x v="8"/>
    <n v="1"/>
    <x v="0"/>
    <x v="0"/>
    <x v="1"/>
    <n v="1"/>
    <n v="0"/>
    <n v="1"/>
    <n v="0"/>
    <n v="0"/>
    <n v="1"/>
    <x v="0"/>
    <x v="0"/>
    <x v="1"/>
    <x v="1"/>
  </r>
  <r>
    <s v="Shipment"/>
    <n v="99002901"/>
    <s v="GROUPE SEB CENTRAL EUROPE KFT.                    "/>
    <n v="99002901"/>
    <x v="29"/>
    <s v="4500262705/000010"/>
    <n v="1370149811"/>
    <n v="10"/>
    <x v="44"/>
    <x v="44"/>
    <s v="P1"/>
    <n v="1500814284"/>
    <n v="106"/>
    <n v="814284"/>
    <s v="HM411184 HMX PREPLINE 450W BLC EE                 "/>
    <s v="S"/>
    <d v="2012-01-21T00:00:00"/>
    <m/>
    <s v="X"/>
    <x v="57"/>
    <n v="12.72"/>
    <n v="3233"/>
    <d v="2012-02-09T00:00:00"/>
    <d v="2012-01-05T00:00:00"/>
    <n v="1002"/>
    <d v="2012-01-19T00:00:00"/>
    <n v="1002"/>
    <m/>
    <d v="2012-01-05T00:00:00"/>
    <n v="1002"/>
    <d v="2012-02-23T00:00:00"/>
    <d v="2012-01-19T00:00:00"/>
    <n v="1002"/>
    <n v="1002"/>
    <x v="26"/>
    <d v="2012-02-25T00:00:00"/>
    <m/>
    <n v="9321662682"/>
    <n v="10"/>
    <s v="MSKU6018403"/>
    <s v="MAERSK EINDHOVEN/120"/>
    <m/>
    <s v="YANTIAN"/>
    <s v="CONS-SHIPT/"/>
    <m/>
    <s v="KENUS WONG"/>
    <s v="FO9"/>
    <s v="FOOD PREPARATION              "/>
    <s v="CONFIRMED"/>
    <n v="1"/>
    <n v="3"/>
    <d v="2012-01-21T00:00:00"/>
    <s v="KITCHEN ELECTRICS             "/>
    <s v="FOOD PREPARATION              "/>
    <x v="2"/>
    <x v="1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702/000010"/>
    <n v="1370149826"/>
    <n v="10"/>
    <x v="44"/>
    <x v="44"/>
    <s v="P1"/>
    <n v="1500814185"/>
    <n v="106"/>
    <n v="814185"/>
    <s v="HM41013E HMX PREPLINE 450W WHT/GRE EE             "/>
    <s v="S"/>
    <d v="2012-01-21T00:00:00"/>
    <m/>
    <s v="X"/>
    <x v="57"/>
    <n v="10.78"/>
    <n v="2864"/>
    <d v="2012-02-09T00:00:00"/>
    <d v="2012-01-05T00:00:00"/>
    <n v="1002"/>
    <d v="2012-01-19T00:00:00"/>
    <n v="1002"/>
    <m/>
    <d v="2012-01-05T00:00:00"/>
    <n v="1002"/>
    <d v="2012-02-23T00:00:00"/>
    <d v="2012-01-19T00:00:00"/>
    <n v="1002"/>
    <n v="1002"/>
    <x v="26"/>
    <d v="2012-02-25T00:00:00"/>
    <m/>
    <n v="9321662683"/>
    <n v="10"/>
    <s v="MSKU6018403"/>
    <s v="MAERSK EINDHOVEN/120"/>
    <m/>
    <s v="YANTIAN"/>
    <s v="CONS-SHIPT/"/>
    <m/>
    <s v="KENUS WONG"/>
    <s v="FO9"/>
    <s v="FOOD PREPARATION              "/>
    <s v="CONFIRMED"/>
    <n v="1"/>
    <n v="3"/>
    <d v="2012-01-21T00:00:00"/>
    <s v="KITCHEN ELECTRICS             "/>
    <s v="FOOD PREPARATION              "/>
    <x v="2"/>
    <x v="1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2819/000010"/>
    <n v="1370149862"/>
    <n v="10"/>
    <x v="44"/>
    <x v="44"/>
    <s v="P1"/>
    <n v="1500817311"/>
    <n v="25"/>
    <n v="817311"/>
    <s v="GVD241 KNF SECANTO2 WHT DE                        "/>
    <s v="S"/>
    <d v="2012-01-04T00:00:00"/>
    <m/>
    <s v="X"/>
    <x v="57"/>
    <n v="9.23"/>
    <n v="8164"/>
    <d v="2012-02-06T00:00:00"/>
    <d v="2012-01-02T00:00:00"/>
    <n v="1002"/>
    <d v="2012-01-02T00:00:00"/>
    <n v="1002"/>
    <m/>
    <d v="2012-01-02T00:00:00"/>
    <n v="1002"/>
    <d v="2012-02-06T00:00:00"/>
    <d v="2012-01-02T00:00:00"/>
    <n v="1002"/>
    <n v="1002"/>
    <x v="13"/>
    <d v="2012-02-05T00:00:00"/>
    <m/>
    <n v="9321662684"/>
    <n v="10"/>
    <s v="CAXU3344235"/>
    <s v="HYUNDAI SPLENDOR/016"/>
    <m/>
    <s v="SHENZHEN"/>
    <m/>
    <m/>
    <s v="AGNES NUNES"/>
    <s v="FO9"/>
    <s v="FOOD PREPARATION              "/>
    <s v="CONFIRMED"/>
    <n v="1"/>
    <n v="52"/>
    <d v="2012-01-01T00:00:00"/>
    <s v="KITCHEN ELECTRICS             "/>
    <s v="FOOD PREPARATION  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4/000050"/>
    <n v="1370149991"/>
    <n v="50"/>
    <x v="44"/>
    <x v="44"/>
    <s v="P1"/>
    <n v="1500814132"/>
    <n v="106"/>
    <n v="814132"/>
    <s v="HM410131 HMX PREP'LINE 450W WHT/GRE IT            "/>
    <s v="S"/>
    <d v="2012-01-17T00:00:00"/>
    <m/>
    <s v="X"/>
    <x v="57"/>
    <n v="10.78"/>
    <n v="7"/>
    <d v="2012-02-13T00:00:00"/>
    <d v="2012-01-16T00:00:00"/>
    <n v="2004"/>
    <d v="2012-01-16T00:00:00"/>
    <n v="2004"/>
    <m/>
    <d v="2012-01-16T00:00:00"/>
    <n v="2004"/>
    <d v="2012-02-13T00:00:00"/>
    <d v="2012-01-16T00:00:00"/>
    <n v="2004"/>
    <n v="2004"/>
    <x v="19"/>
    <d v="2012-02-14T00:00:00"/>
    <m/>
    <n v="9321662685"/>
    <n v="10"/>
    <s v="HJCU4959948"/>
    <s v="HANJIN BASEL/0063W"/>
    <m/>
    <s v="YANTIAN"/>
    <m/>
    <m/>
    <s v="JASON FAN"/>
    <s v="FO9"/>
    <s v="FOOD PREPARATION              "/>
    <s v="CONFIRMED"/>
    <n v="1"/>
    <n v="3"/>
    <d v="2012-01-17T00:00:00"/>
    <s v="KITCHEN ELECTRICS             "/>
    <s v="FOOD PREPARATION  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0541/000010"/>
    <n v="1370150010"/>
    <n v="10"/>
    <x v="44"/>
    <x v="44"/>
    <s v="P1"/>
    <n v="1500831890"/>
    <n v="105"/>
    <n v="831890"/>
    <s v="ZE812D3E JUI SIMPLY INVENT DUO BLK RU             "/>
    <s v="S"/>
    <d v="2012-01-09T00:00:00"/>
    <m/>
    <s v="X"/>
    <x v="57"/>
    <n v="44.58"/>
    <n v="1637"/>
    <d v="2012-02-21T00:00:00"/>
    <d v="2012-01-03T00:00:00"/>
    <n v="1076"/>
    <d v="2012-01-03T00:00:00"/>
    <n v="1076"/>
    <m/>
    <d v="2012-01-03T00:00:00"/>
    <n v="1076"/>
    <d v="2012-02-21T00:00:00"/>
    <d v="2012-01-03T00:00:00"/>
    <n v="1076"/>
    <n v="1076"/>
    <x v="16"/>
    <d v="2012-02-21T00:00:00"/>
    <m/>
    <n v="9321662686"/>
    <n v="10"/>
    <s v="OOLU8143263"/>
    <s v="NYK VESTA/28W51"/>
    <m/>
    <s v="YANTIAN"/>
    <s v="TP ISSUE"/>
    <m/>
    <s v="KENUS WONG"/>
    <s v="FO9"/>
    <s v="FOOD PREPARATION              "/>
    <s v="CONFIRMED"/>
    <n v="1"/>
    <n v="1"/>
    <d v="2012-01-03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0539/000010"/>
    <n v="1370150020"/>
    <n v="10"/>
    <x v="44"/>
    <x v="44"/>
    <s v="P1"/>
    <n v="1500831387"/>
    <n v="105"/>
    <n v="831387"/>
    <s v="ZN35013E JUI ELEA WHT/CAS RU                      "/>
    <s v="S"/>
    <d v="2012-01-13T00:00:00"/>
    <m/>
    <s v="X"/>
    <x v="57"/>
    <n v="17.829999999999998"/>
    <n v="636"/>
    <d v="2012-02-27T00:00:00"/>
    <d v="2012-01-09T00:00:00"/>
    <n v="2200"/>
    <d v="2012-01-09T00:00:00"/>
    <n v="2200"/>
    <m/>
    <d v="2012-01-09T00:00:00"/>
    <n v="2200"/>
    <d v="2012-02-29T00:00:00"/>
    <d v="2012-01-11T00:00:00"/>
    <n v="2200"/>
    <n v="2200"/>
    <x v="10"/>
    <d v="2012-03-01T00:00:00"/>
    <m/>
    <n v="9321662687"/>
    <n v="10"/>
    <s v="CAIU8597532"/>
    <s v="NYK ORPHEUS/18W52"/>
    <m/>
    <s v="YANTIAN"/>
    <s v="SAILING-SCHED-UPDATE/"/>
    <m/>
    <s v="KENUS WONG"/>
    <s v="FO9"/>
    <s v="FOOD PREPARATION              "/>
    <s v="CONFIRMED"/>
    <n v="1"/>
    <n v="2"/>
    <d v="2012-01-12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0537/000010"/>
    <n v="1370150026"/>
    <n v="10"/>
    <x v="44"/>
    <x v="44"/>
    <s v="P1"/>
    <n v="1500831387"/>
    <n v="105"/>
    <n v="831387"/>
    <s v="ZN35013E JUI ELEA WHT/CAS RU                      "/>
    <s v="S"/>
    <d v="2012-01-09T00:00:00"/>
    <m/>
    <s v="X"/>
    <x v="57"/>
    <n v="17.829999999999998"/>
    <n v="636"/>
    <d v="2012-02-22T00:00:00"/>
    <d v="2012-01-04T00:00:00"/>
    <n v="1056"/>
    <d v="2012-01-04T00:00:00"/>
    <n v="1056"/>
    <m/>
    <d v="2012-01-04T00:00:00"/>
    <n v="1056"/>
    <d v="2012-02-23T00:00:00"/>
    <d v="2012-01-05T00:00:00"/>
    <n v="1056"/>
    <n v="1056"/>
    <x v="6"/>
    <d v="2012-02-23T00:00:00"/>
    <m/>
    <n v="9321662688"/>
    <n v="10"/>
    <s v="TCLU8651331"/>
    <s v="MOL MAXIM/010W"/>
    <m/>
    <s v="YANTIAN"/>
    <s v="SAILING-SCHED-UPDATE/"/>
    <m/>
    <s v="KENUS WONG"/>
    <s v="FO9"/>
    <s v="FOOD PREPARATION              "/>
    <s v="CONFIRMED"/>
    <n v="1"/>
    <n v="1"/>
    <d v="2012-01-05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1900"/>
    <s v="GROUPE SEB VENEZUELA SA                           "/>
    <n v="99001900"/>
    <x v="34"/>
    <s v="22573/039748"/>
    <n v="1370149571"/>
    <n v="10"/>
    <x v="24"/>
    <x v="24"/>
    <s v="N1"/>
    <n v="2100057491"/>
    <n v="52"/>
    <s v="SM155282       "/>
    <s v="SM155282 SANDWICH ULTRACOMPACT BLACKINOX          "/>
    <s v="S"/>
    <d v="2012-01-10T00:00:00"/>
    <m/>
    <s v="X"/>
    <x v="57"/>
    <n v="7.61"/>
    <n v="8"/>
    <d v="2012-02-24T00:00:00"/>
    <d v="2012-01-06T00:00:00"/>
    <n v="2940"/>
    <d v="2012-01-06T00:00:00"/>
    <n v="2940"/>
    <m/>
    <d v="2012-01-04T00:00:00"/>
    <n v="2940"/>
    <d v="2012-02-25T00:00:00"/>
    <d v="2012-01-07T00:00:00"/>
    <n v="2940"/>
    <n v="2940"/>
    <x v="12"/>
    <d v="2012-02-25T00:00:00"/>
    <m/>
    <n v="9321662692"/>
    <n v="10"/>
    <s v="GESU1402740"/>
    <s v="CSCL MELBOURNE PP817"/>
    <m/>
    <s v="NINGBO"/>
    <m/>
    <m/>
    <s v="THOMAS HO"/>
    <s v="FO9"/>
    <s v="ELECTRICAL COOKING            "/>
    <s v="CONFIRMED"/>
    <n v="1"/>
    <n v="1"/>
    <d v="2012-01-07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2323/000010"/>
    <n v="1370149587"/>
    <n v="10"/>
    <x v="32"/>
    <x v="32"/>
    <s v="R1"/>
    <n v="1500578142"/>
    <n v="23"/>
    <n v="578142"/>
    <s v="TL600830 TOAS TOAST N'GRILL BLK EUR               "/>
    <s v="S"/>
    <d v="2012-01-12T00:00:00"/>
    <m/>
    <s v="X"/>
    <x v="57"/>
    <n v="25.94"/>
    <n v="23"/>
    <d v="2012-02-16T00:00:00"/>
    <d v="2012-01-12T00:00:00"/>
    <n v="1990"/>
    <d v="2012-01-12T00:00:00"/>
    <n v="1990"/>
    <m/>
    <d v="2012-01-12T00:00:00"/>
    <n v="1990"/>
    <d v="2012-02-16T00:00:00"/>
    <d v="2012-01-12T00:00:00"/>
    <n v="1990"/>
    <n v="1990"/>
    <x v="0"/>
    <d v="2012-02-13T00:00:00"/>
    <m/>
    <n v="9321662695"/>
    <n v="10"/>
    <s v="TCNU7187898"/>
    <s v="HYUNDAI FORCE/017W"/>
    <m/>
    <s v="YANTIAN"/>
    <m/>
    <m/>
    <s v="AGNES NUNES"/>
    <s v="FO9"/>
    <s v="BEVERAGE                      "/>
    <s v="CONFIRMED"/>
    <n v="1"/>
    <n v="2"/>
    <d v="2012-01-09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200"/>
    <s v="TEFAL SAS                                         "/>
    <n v="99001200"/>
    <x v="31"/>
    <s v="9321661845/000020"/>
    <n v="1370149989"/>
    <n v="20"/>
    <x v="48"/>
    <x v="48"/>
    <s v="A3"/>
    <n v="2100057731"/>
    <n v="232"/>
    <s v="K0050412       "/>
    <s v="K0050412 PEELER STD NEW INTENS GAD BLACK          "/>
    <s v="S"/>
    <d v="2012-01-19T00:00:00"/>
    <m/>
    <s v="X"/>
    <x v="57"/>
    <n v="1.2"/>
    <n v="1"/>
    <d v="2012-02-10T00:00:00"/>
    <d v="2012-01-06T00:00:00"/>
    <n v="3700"/>
    <d v="2012-01-17T00:00:00"/>
    <n v="3700"/>
    <m/>
    <m/>
    <m/>
    <d v="2012-02-21T00:00:00"/>
    <d v="2012-01-17T00:00:00"/>
    <n v="3700"/>
    <n v="3700"/>
    <x v="21"/>
    <d v="2012-02-22T00:00:00"/>
    <m/>
    <n v="9321662696"/>
    <n v="20"/>
    <s v="TRLU4821470"/>
    <s v="APL HAMBURG/015W"/>
    <m/>
    <s v="SHENZHEN"/>
    <s v="CONS-SHIPT/"/>
    <m/>
    <s v="JASON FAN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0"/>
    <n v="1"/>
    <n v="0"/>
    <n v="0"/>
    <n v="1"/>
    <x v="0"/>
    <x v="0"/>
    <x v="1"/>
    <x v="1"/>
  </r>
  <r>
    <s v="Shipment"/>
    <n v="99001200"/>
    <s v="TEFAL SAS                                         "/>
    <n v="99001200"/>
    <x v="31"/>
    <s v="9321661845/000030"/>
    <n v="1370149989"/>
    <n v="30"/>
    <x v="48"/>
    <x v="48"/>
    <s v="A3"/>
    <n v="2100057732"/>
    <n v="232"/>
    <s v="K0050512       "/>
    <s v="K0050512 WHISK STD NEW INTENS GAD BLACK/          "/>
    <s v="S"/>
    <d v="2012-01-19T00:00:00"/>
    <m/>
    <s v="X"/>
    <x v="57"/>
    <n v="1.7030000000000001"/>
    <n v="1"/>
    <d v="2012-02-10T00:00:00"/>
    <d v="2012-01-06T00:00:00"/>
    <n v="3040"/>
    <d v="2012-01-17T00:00:00"/>
    <n v="3040"/>
    <m/>
    <m/>
    <m/>
    <d v="2012-02-21T00:00:00"/>
    <d v="2012-01-17T00:00:00"/>
    <n v="3040"/>
    <n v="3040"/>
    <x v="21"/>
    <d v="2012-02-22T00:00:00"/>
    <m/>
    <n v="9321662696"/>
    <n v="30"/>
    <s v="TRLU4821470"/>
    <s v="APL HAMBURG/015W"/>
    <m/>
    <s v="SHENZHEN"/>
    <s v="CONS-SHIPT/"/>
    <m/>
    <s v="JASON FAN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0"/>
    <n v="1"/>
    <n v="0"/>
    <n v="0"/>
    <n v="1"/>
    <x v="0"/>
    <x v="0"/>
    <x v="1"/>
    <x v="1"/>
  </r>
  <r>
    <s v="Shipment"/>
    <n v="99003600"/>
    <s v="GROUPE SEB ISTANBUL EV ALETLERI                   "/>
    <n v="99003600"/>
    <x v="13"/>
    <s v="4500262153/000010"/>
    <n v="1370149355"/>
    <n v="10"/>
    <x v="60"/>
    <x v="60"/>
    <s v="L4"/>
    <n v="1830003869"/>
    <n v="175"/>
    <s v="CF3332F0       "/>
    <s v="CF3332F0 CURLING TONG                             "/>
    <s v="S"/>
    <d v="2012-01-05T00:00:00"/>
    <m/>
    <s v="X"/>
    <x v="57"/>
    <n v="5.85"/>
    <n v="12711"/>
    <d v="2012-02-02T00:00:00"/>
    <d v="2011-12-29T00:00:00"/>
    <n v="3000"/>
    <d v="2012-01-03T00:00:00"/>
    <n v="3000"/>
    <m/>
    <d v="2011-12-30T00:00:00"/>
    <n v="3000"/>
    <d v="2012-02-03T00:00:00"/>
    <d v="2011-12-30T00:00:00"/>
    <n v="3000"/>
    <n v="3000"/>
    <x v="3"/>
    <d v="2012-02-06T00:00:00"/>
    <m/>
    <n v="9321662697"/>
    <n v="10"/>
    <s v="MRKU0089558"/>
    <s v="NEDLLOYD DRAKE/1202"/>
    <m/>
    <s v="NINGBO"/>
    <m/>
    <m/>
    <s v="KENUS WONG"/>
    <s v="FO9"/>
    <s v="PERSONAL CARE                 "/>
    <s v="CONFIRMED"/>
    <n v="1"/>
    <n v="1"/>
    <d v="2012-01-02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151/000010"/>
    <n v="1370149357"/>
    <n v="10"/>
    <x v="60"/>
    <x v="60"/>
    <s v="L4"/>
    <n v="1830003864"/>
    <n v="175"/>
    <s v="CF3312F0       "/>
    <s v="CF3312F0 CURLING TONG                             "/>
    <s v="S"/>
    <d v="2012-01-05T00:00:00"/>
    <m/>
    <s v="X"/>
    <x v="57"/>
    <n v="5.65"/>
    <n v="12261"/>
    <d v="2012-02-02T00:00:00"/>
    <d v="2011-12-29T00:00:00"/>
    <n v="3000"/>
    <d v="2012-01-03T00:00:00"/>
    <n v="3000"/>
    <m/>
    <d v="2011-12-30T00:00:00"/>
    <n v="3000"/>
    <d v="2012-02-03T00:00:00"/>
    <d v="2011-12-30T00:00:00"/>
    <n v="3000"/>
    <n v="3000"/>
    <x v="3"/>
    <d v="2012-02-06T00:00:00"/>
    <m/>
    <n v="9321662698"/>
    <n v="10"/>
    <s v="MRKU0089558"/>
    <s v="NEDLLOYD DRAKE/1202"/>
    <m/>
    <s v="NINGBO"/>
    <m/>
    <m/>
    <s v="KENUS WONG"/>
    <s v="FO9"/>
    <s v="PERSONAL CARE                 "/>
    <s v="CONFIRMED"/>
    <n v="1"/>
    <n v="1"/>
    <d v="2012-01-02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152/000010"/>
    <n v="1370149365"/>
    <n v="10"/>
    <x v="60"/>
    <x v="60"/>
    <s v="L4"/>
    <n v="1830003867"/>
    <n v="175"/>
    <s v="CF3345F0       "/>
    <s v="CF3345F0 CONIC CURLING TONG                       "/>
    <s v="S"/>
    <d v="2012-01-05T00:00:00"/>
    <m/>
    <s v="X"/>
    <x v="57"/>
    <n v="10.47"/>
    <n v="22704"/>
    <d v="2012-02-02T00:00:00"/>
    <d v="2011-12-29T00:00:00"/>
    <n v="3000"/>
    <d v="2012-01-03T00:00:00"/>
    <n v="3000"/>
    <m/>
    <d v="2011-12-30T00:00:00"/>
    <n v="3000"/>
    <d v="2012-02-03T00:00:00"/>
    <d v="2011-12-30T00:00:00"/>
    <n v="3000"/>
    <n v="3000"/>
    <x v="3"/>
    <d v="2012-02-06T00:00:00"/>
    <m/>
    <n v="9321662699"/>
    <n v="10"/>
    <s v="MRKU0089558"/>
    <s v="NEDLLOYD DRAKE/1202"/>
    <m/>
    <s v="NINGBO"/>
    <m/>
    <m/>
    <s v="KENUS WONG"/>
    <s v="FO9"/>
    <s v="PERSONAL CARE                 "/>
    <s v="CONFIRMED"/>
    <n v="1"/>
    <n v="1"/>
    <d v="2012-01-02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1796/000010"/>
    <n v="1370150001"/>
    <n v="10"/>
    <x v="60"/>
    <x v="60"/>
    <s v="L4"/>
    <n v="1830003726"/>
    <n v="5"/>
    <s v="CV3620F0       "/>
    <s v="CV3620F0 CHARMING HAIR DRYER IONIC                "/>
    <s v="S"/>
    <d v="2012-01-11T00:00:00"/>
    <m/>
    <s v="X"/>
    <x v="57"/>
    <n v="6.04"/>
    <n v="222"/>
    <d v="2012-02-27T00:00:00"/>
    <d v="2012-01-09T00:00:00"/>
    <n v="3000"/>
    <d v="2012-01-09T00:00:00"/>
    <n v="3000"/>
    <m/>
    <d v="2012-01-07T00:00:00"/>
    <n v="3000"/>
    <d v="2012-02-25T00:00:00"/>
    <d v="2012-01-07T00:00:00"/>
    <n v="3000"/>
    <n v="3000"/>
    <x v="0"/>
    <d v="2012-02-27T00:00:00"/>
    <m/>
    <n v="9321662702"/>
    <n v="10"/>
    <s v="APZU4264274"/>
    <s v="MOL COMPETENCE/021W"/>
    <m/>
    <s v="NINGBO"/>
    <m/>
    <m/>
    <s v="KENUS WONG"/>
    <s v="FO9"/>
    <s v="PERSONAL CARE                 "/>
    <s v="CONFIRMED"/>
    <n v="1"/>
    <n v="2"/>
    <d v="2012-01-09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1853/000010"/>
    <n v="1370150025"/>
    <n v="10"/>
    <x v="60"/>
    <x v="60"/>
    <s v="L4"/>
    <n v="1830003934"/>
    <n v="175"/>
    <s v="CF3910F0       "/>
    <s v="CF3910F0 HAIR BRUSH CURL RELEASE                  "/>
    <s v="S"/>
    <d v="2012-01-11T00:00:00"/>
    <m/>
    <s v="X"/>
    <x v="57"/>
    <n v="5.71"/>
    <n v="210"/>
    <d v="2012-02-20T00:00:00"/>
    <d v="2012-01-02T00:00:00"/>
    <n v="6000"/>
    <d v="2012-01-02T00:00:00"/>
    <n v="6000"/>
    <m/>
    <d v="2012-01-05T00:00:00"/>
    <n v="6000"/>
    <d v="2012-02-25T00:00:00"/>
    <d v="2012-01-07T00:00:00"/>
    <n v="6000"/>
    <n v="6000"/>
    <x v="0"/>
    <d v="2012-02-27T00:00:00"/>
    <m/>
    <n v="9321662703"/>
    <n v="10"/>
    <s v="APZU4264274"/>
    <s v="MOL COMPETENCE/021W"/>
    <m/>
    <s v="NINGBO"/>
    <m/>
    <m/>
    <s v="KENUS WONG"/>
    <s v="FO9"/>
    <s v="PERSONAL CARE                 "/>
    <s v="CONFIRMED"/>
    <n v="1"/>
    <n v="2"/>
    <d v="2012-01-09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1783/000010"/>
    <n v="1370150133"/>
    <n v="10"/>
    <x v="60"/>
    <x v="60"/>
    <s v="L4"/>
    <n v="1830003863"/>
    <n v="175"/>
    <s v="CF3312C0       "/>
    <s v="CF3312C0 CURLING TONG                             "/>
    <s v="S"/>
    <d v="2012-02-02T00:00:00"/>
    <m/>
    <s v="X"/>
    <x v="57"/>
    <n v="5.65"/>
    <n v="5"/>
    <d v="2012-02-10T00:00:00"/>
    <d v="2012-01-06T00:00:00"/>
    <n v="3000"/>
    <d v="2012-01-18T00:00:00"/>
    <n v="3000"/>
    <m/>
    <d v="2012-01-04T00:00:00"/>
    <n v="3000"/>
    <d v="2012-02-22T00:00:00"/>
    <d v="2012-01-18T00:00:00"/>
    <n v="3000"/>
    <n v="3000"/>
    <x v="21"/>
    <d v="2012-02-22T00:00:00"/>
    <m/>
    <n v="9321662704"/>
    <n v="10"/>
    <s v="ECMU4070235"/>
    <s v="CMA CGM FIDELIO FM42"/>
    <m/>
    <s v="NINGBO"/>
    <s v="CONS-SHIPT"/>
    <m/>
    <s v="JASON FAN"/>
    <s v="FO9"/>
    <s v="PERSONAL CARE                 "/>
    <s v="CONFIRMED"/>
    <n v="1"/>
    <n v="3"/>
    <d v="2012-01-18T00:00:00"/>
    <s v="LINEN PERS HOME CARE          "/>
    <s v="PERSONAL CARE                 "/>
    <x v="6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1/000020"/>
    <n v="1370149100"/>
    <n v="20"/>
    <x v="23"/>
    <x v="23"/>
    <s v="J1"/>
    <n v="2820401001"/>
    <n v="1"/>
    <s v="DW4010D1       "/>
    <s v="DW4010D1 STEAM IRON                               "/>
    <s v="S"/>
    <d v="2012-01-12T00:00:00"/>
    <m/>
    <s v="X"/>
    <x v="57"/>
    <n v="16.141300000000001"/>
    <n v="5"/>
    <d v="2012-02-06T00:00:00"/>
    <d v="2012-01-09T00:00:00"/>
    <n v="3270"/>
    <d v="2012-01-09T00:00:00"/>
    <n v="3270"/>
    <m/>
    <d v="2012-01-04T00:00:00"/>
    <n v="3270"/>
    <d v="2012-02-09T00:00:00"/>
    <d v="2012-01-12T00:00:00"/>
    <n v="3270"/>
    <n v="3270"/>
    <x v="5"/>
    <d v="2012-02-07T00:00:00"/>
    <m/>
    <n v="9321662705"/>
    <n v="10"/>
    <s v="TCLU4281310"/>
    <s v="BUSAN EXPRESS/04W01"/>
    <m/>
    <s v="SHANGHAI"/>
    <m/>
    <m/>
    <s v="JASON FAN"/>
    <s v="FO9"/>
    <s v="LINEN CARE                    "/>
    <s v="CONFIRMED"/>
    <n v="1"/>
    <n v="2"/>
    <d v="2012-01-10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42/000001"/>
    <n v="1370149350"/>
    <n v="10"/>
    <x v="23"/>
    <x v="23"/>
    <s v="J3"/>
    <n v="2820344020"/>
    <n v="1"/>
    <s v="FV3440X0       "/>
    <s v="FV3440X0 STEAM IRON ULTRAGLIDE 3 FTK              "/>
    <s v="S"/>
    <d v="2012-01-28T00:00:00"/>
    <m/>
    <s v="X"/>
    <x v="57"/>
    <n v="14.2014"/>
    <n v="208"/>
    <d v="2012-02-25T00:00:00"/>
    <d v="2012-01-21T00:00:00"/>
    <n v="2808"/>
    <d v="2012-01-21T00:00:00"/>
    <n v="2808"/>
    <m/>
    <d v="2012-01-21T00:00:00"/>
    <n v="2808"/>
    <d v="2012-02-25T00:00:00"/>
    <d v="2012-01-21T00:00:00"/>
    <n v="2808"/>
    <n v="2808"/>
    <x v="14"/>
    <d v="2012-02-24T00:00:00"/>
    <m/>
    <n v="9321662707"/>
    <n v="10"/>
    <s v="CLHU4431076"/>
    <s v="PETROHUE 1202E/"/>
    <m/>
    <s v="SHANGHAI"/>
    <m/>
    <m/>
    <s v="TWEETY LEUNG"/>
    <s v="FO9"/>
    <s v="LINEN CARE                    "/>
    <s v="CONFIRMED"/>
    <n v="1"/>
    <n v="3"/>
    <d v="2012-01-20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57247/000010"/>
    <n v="1370149138"/>
    <n v="10"/>
    <x v="23"/>
    <x v="23"/>
    <s v="J3"/>
    <n v="2820212020"/>
    <n v="1"/>
    <s v="FV2120E0       "/>
    <s v="FV2120E0 STEAM IRON PRIMA 20 FTE                  "/>
    <s v="S"/>
    <d v="2012-01-04T00:00:00"/>
    <m/>
    <s v="X"/>
    <x v="57"/>
    <n v="11.891299999999999"/>
    <n v="412"/>
    <d v="2012-02-24T00:00:00"/>
    <d v="2012-01-06T00:00:00"/>
    <n v="3414"/>
    <d v="2012-01-06T00:00:00"/>
    <n v="3414"/>
    <m/>
    <d v="2012-01-07T00:00:00"/>
    <n v="3414"/>
    <d v="2012-02-25T00:00:00"/>
    <d v="2012-01-07T00:00:00"/>
    <n v="3414"/>
    <n v="3414"/>
    <x v="3"/>
    <d v="2012-02-20T00:00:00"/>
    <m/>
    <n v="9321662709"/>
    <n v="10"/>
    <s v="TGHU5017615"/>
    <s v="BUDAPEST EXPRESS/11W"/>
    <m/>
    <s v="SHANGHAI"/>
    <s v="TP ISSUE"/>
    <m/>
    <s v="KENUS WONG"/>
    <s v="FO9"/>
    <s v="LINEN CARE                    "/>
    <s v="CONFIRMED"/>
    <n v="1"/>
    <n v="1"/>
    <d v="2012-01-02T00:00:00"/>
    <s v="LINEN PERS HOME CARE          "/>
    <s v="LINEN CARE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5600"/>
    <s v="GROUPE SEB CHILE                                  "/>
    <n v="99005600"/>
    <x v="32"/>
    <s v="862/000001"/>
    <n v="1370149852"/>
    <n v="10"/>
    <x v="23"/>
    <x v="23"/>
    <s v="J3"/>
    <n v="2820253030"/>
    <n v="1"/>
    <s v="IM2530V0       "/>
    <s v="IM2530V0 STEAM IRON PRIMAGLISS 3 FTK              "/>
    <s v="S"/>
    <d v="2012-01-10T00:00:00"/>
    <m/>
    <s v="X"/>
    <x v="57"/>
    <n v="14.1464"/>
    <n v="16"/>
    <d v="2012-02-05T00:00:00"/>
    <d v="2011-12-25T00:00:00"/>
    <n v="3414"/>
    <d v="2012-01-07T00:00:00"/>
    <n v="5148"/>
    <m/>
    <d v="2011-12-31T00:00:00"/>
    <n v="2574"/>
    <d v="2012-02-18T00:00:00"/>
    <d v="2012-01-07T00:00:00"/>
    <n v="5148"/>
    <n v="5148"/>
    <x v="7"/>
    <d v="2012-02-17T00:00:00"/>
    <m/>
    <n v="9321662715"/>
    <n v="10"/>
    <s v="UXXU4270614"/>
    <s v="CARSTEN MAERSK 1203/"/>
    <m/>
    <s v="SHANGHAI"/>
    <s v="C-POST-CONF (WK52 POSTPONEMENT)"/>
    <m/>
    <s v="THOMAS HO"/>
    <s v="FO9"/>
    <s v="LINEN CARE                    "/>
    <s v="CONFIRMED"/>
    <n v="1"/>
    <n v="1"/>
    <d v="2012-01-06T00:00:00"/>
    <s v="LINEN PERS HOME CARE          "/>
    <s v="LINEN CARE                    "/>
    <x v="0"/>
    <x v="0"/>
    <x v="1"/>
    <m/>
    <n v="0"/>
    <n v="0"/>
    <x v="1"/>
    <n v="1"/>
    <x v="0"/>
    <x v="0"/>
    <x v="1"/>
    <n v="0"/>
    <n v="1"/>
    <n v="0"/>
    <n v="0"/>
    <n v="0"/>
    <n v="1"/>
    <x v="0"/>
    <x v="0"/>
    <x v="0"/>
    <x v="0"/>
  </r>
  <r>
    <s v="Shipment"/>
    <n v="99005600"/>
    <s v="GROUPE SEB CHILE                                  "/>
    <n v="99005600"/>
    <x v="32"/>
    <s v="863/000001"/>
    <n v="1370149853"/>
    <n v="10"/>
    <x v="23"/>
    <x v="23"/>
    <s v="J3"/>
    <n v="2820444070"/>
    <n v="1"/>
    <s v="IM4440V0       "/>
    <s v="IM4440V0 STEAM IRON ULTRAGLIDE EASYCORD           "/>
    <s v="S"/>
    <d v="2012-01-10T00:00:00"/>
    <m/>
    <s v="X"/>
    <x v="57"/>
    <n v="15.260899999999999"/>
    <n v="17"/>
    <d v="2012-02-05T00:00:00"/>
    <d v="2011-12-25T00:00:00"/>
    <n v="4752"/>
    <d v="2012-01-07T00:00:00"/>
    <n v="4752"/>
    <m/>
    <d v="2011-12-31T00:00:00"/>
    <n v="4752"/>
    <d v="2012-02-18T00:00:00"/>
    <d v="2012-01-07T00:00:00"/>
    <n v="4752"/>
    <n v="4752"/>
    <x v="7"/>
    <d v="2012-02-17T00:00:00"/>
    <m/>
    <n v="9321662716"/>
    <n v="10"/>
    <s v="MRKU0359170"/>
    <s v="CARSTEN MAERSK 1203/"/>
    <m/>
    <s v="SHANGHAI"/>
    <s v="C-POST-CONF (WK52 POSTPONEMENT)"/>
    <m/>
    <s v="THOMAS HO"/>
    <s v="FO9"/>
    <s v="LINEN CARE                    "/>
    <s v="CONFIRMED"/>
    <n v="1"/>
    <n v="1"/>
    <d v="2012-01-06T00:00:00"/>
    <s v="LINEN PERS HOME CARE          "/>
    <s v="LINEN CARE                    "/>
    <x v="0"/>
    <x v="0"/>
    <x v="1"/>
    <m/>
    <n v="0"/>
    <n v="0"/>
    <x v="1"/>
    <n v="1"/>
    <x v="0"/>
    <x v="0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0545/000010"/>
    <n v="1370150000"/>
    <n v="10"/>
    <x v="23"/>
    <x v="23"/>
    <s v="N4"/>
    <n v="2820101630"/>
    <n v="32"/>
    <n v="633018"/>
    <s v="VC101630 STMC INVENT 3B SS DE                     "/>
    <s v="S"/>
    <d v="2012-01-10T00:00:00"/>
    <m/>
    <s v="X"/>
    <x v="57"/>
    <n v="24.133700000000001"/>
    <n v="834"/>
    <d v="2012-02-24T00:00:00"/>
    <d v="2012-01-06T00:00:00"/>
    <n v="2268"/>
    <d v="2012-01-06T00:00:00"/>
    <n v="2268"/>
    <m/>
    <d v="2012-01-06T00:00:00"/>
    <n v="2268"/>
    <d v="2012-02-24T00:00:00"/>
    <d v="2012-01-06T00:00:00"/>
    <n v="2268"/>
    <n v="2268"/>
    <x v="0"/>
    <d v="2012-02-27T00:00:00"/>
    <m/>
    <n v="9321662718"/>
    <n v="10"/>
    <s v="OOLU7367612"/>
    <s v="OOCL NETHERLANDS/23W"/>
    <m/>
    <s v="SHANGHAI"/>
    <m/>
    <m/>
    <s v="KENUS WONG"/>
    <s v="FO9"/>
    <s v="ELECTRICAL COOKING            "/>
    <s v="CONFIRMED"/>
    <n v="1"/>
    <n v="2"/>
    <d v="2012-01-09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0543/000010"/>
    <n v="1370150011"/>
    <n v="10"/>
    <x v="23"/>
    <x v="23"/>
    <s v="N4"/>
    <n v="2802102300"/>
    <n v="32"/>
    <s v="VC100230       "/>
    <s v="VC100230 STMC ULTRA COMPACT PL 2B                 "/>
    <s v="S"/>
    <d v="2012-01-04T00:00:00"/>
    <m/>
    <s v="X"/>
    <x v="57"/>
    <n v="18.578800000000001"/>
    <n v="642"/>
    <d v="2012-02-22T00:00:00"/>
    <d v="2012-01-04T00:00:00"/>
    <n v="2520"/>
    <d v="2012-01-04T00:00:00"/>
    <n v="2520"/>
    <m/>
    <d v="2012-01-04T00:00:00"/>
    <n v="2520"/>
    <d v="2012-02-22T00:00:00"/>
    <d v="2012-01-04T00:00:00"/>
    <n v="2520"/>
    <n v="2520"/>
    <x v="3"/>
    <d v="2012-02-20T00:00:00"/>
    <m/>
    <n v="9321662719"/>
    <n v="10"/>
    <s v="OOLU9344909"/>
    <s v="BUDAPEST EXPRESS/11W"/>
    <m/>
    <s v="SHANGHAI"/>
    <s v="TP ISSUE"/>
    <m/>
    <s v="KENUS WONG"/>
    <s v="FO9"/>
    <s v="ELECTRICAL COOKING            "/>
    <s v="CONFIRMED"/>
    <n v="1"/>
    <n v="1"/>
    <d v="2012-01-02T00:00:00"/>
    <s v="KITCHEN ELECTRICS             "/>
    <s v="ELECTRICAL COOKING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0542/000010"/>
    <n v="1370150013"/>
    <n v="10"/>
    <x v="23"/>
    <x v="23"/>
    <s v="N4"/>
    <n v="2802102300"/>
    <n v="32"/>
    <s v="VC100230       "/>
    <s v="VC100230 STMC ULTRA COMPACT PL 2B                 "/>
    <s v="S"/>
    <d v="2012-01-04T00:00:00"/>
    <m/>
    <s v="X"/>
    <x v="57"/>
    <n v="18.578800000000001"/>
    <n v="642"/>
    <d v="2012-02-20T00:00:00"/>
    <d v="2012-01-02T00:00:00"/>
    <n v="2520"/>
    <d v="2012-01-02T00:00:00"/>
    <n v="2520"/>
    <m/>
    <d v="2012-01-02T00:00:00"/>
    <n v="2520"/>
    <d v="2012-02-20T00:00:00"/>
    <d v="2012-01-02T00:00:00"/>
    <n v="2520"/>
    <n v="2520"/>
    <x v="3"/>
    <d v="2012-02-20T00:00:00"/>
    <m/>
    <n v="9321662720"/>
    <n v="10"/>
    <s v="OOLU8234379"/>
    <s v="BUDAPEST EXPRESS/11W"/>
    <m/>
    <s v="SHANGHAI"/>
    <s v="TP ISSUE"/>
    <m/>
    <s v="KENUS WONG"/>
    <s v="FO9"/>
    <s v="ELECTRICAL COOKING            "/>
    <s v="CONFIRMED"/>
    <n v="1"/>
    <n v="1"/>
    <d v="2012-01-02T00:00:00"/>
    <s v="KITCHEN ELECTRICS             "/>
    <s v="ELECTRICAL COOKING            "/>
    <x v="0"/>
    <x v="0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0566/000010"/>
    <n v="1370150021"/>
    <n v="10"/>
    <x v="23"/>
    <x v="23"/>
    <s v="J3"/>
    <n v="2820232010"/>
    <n v="1"/>
    <s v="FV2320E0       "/>
    <s v="FV2320E0 STEAM IRON PRIMA 3  PTFE  FTK            "/>
    <s v="S"/>
    <d v="2012-01-04T00:00:00"/>
    <m/>
    <s v="X"/>
    <x v="57"/>
    <n v="12.628399999999999"/>
    <n v="438"/>
    <d v="2012-02-19T00:00:00"/>
    <d v="2012-01-01T00:00:00"/>
    <n v="2574"/>
    <d v="2012-01-01T00:00:00"/>
    <n v="2574"/>
    <m/>
    <d v="2012-01-07T00:00:00"/>
    <n v="2574"/>
    <d v="2012-02-25T00:00:00"/>
    <d v="2012-01-07T00:00:00"/>
    <n v="2574"/>
    <n v="2574"/>
    <x v="3"/>
    <d v="2012-02-20T00:00:00"/>
    <m/>
    <n v="9321662721"/>
    <n v="10"/>
    <s v="TGHU5017615"/>
    <s v="BUDAPEST EXPRESS/11W"/>
    <m/>
    <s v="SHANGHAI"/>
    <s v="TP ISSUE"/>
    <m/>
    <s v="KENUS WONG"/>
    <s v="FO9"/>
    <s v="LINEN CARE                    "/>
    <s v="CONFIRMED"/>
    <n v="1"/>
    <n v="1"/>
    <d v="2012-01-02T00:00:00"/>
    <s v="LINEN PERS HOME CARE          "/>
    <s v="LINEN CARE                    "/>
    <x v="0"/>
    <x v="0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1746/000010"/>
    <n v="1370150130"/>
    <n v="10"/>
    <x v="23"/>
    <x v="23"/>
    <s v="N4"/>
    <n v="2820400300"/>
    <n v="32"/>
    <s v="VS400300       "/>
    <s v="VS400300 STMC VITACUISINE COMPACT 3B FR           "/>
    <s v="S"/>
    <d v="2012-01-10T00:00:00"/>
    <m/>
    <s v="X"/>
    <x v="57"/>
    <n v="40.107300000000002"/>
    <n v="34"/>
    <d v="2012-01-13T00:00:00"/>
    <d v="2011-12-09T00:00:00"/>
    <n v="1332"/>
    <d v="2011-12-09T00:00:00"/>
    <n v="1332"/>
    <m/>
    <d v="2011-12-09T00:00:00"/>
    <n v="1332"/>
    <d v="2012-02-14T00:00:00"/>
    <d v="2012-01-10T00:00:00"/>
    <n v="1332"/>
    <n v="1332"/>
    <x v="5"/>
    <d v="2012-02-14T00:00:00"/>
    <m/>
    <n v="9321662724"/>
    <n v="10"/>
    <s v="MFTU4114060"/>
    <s v="CMA CGM AMERIGO VESP"/>
    <m/>
    <s v="SHANGHAI"/>
    <s v="SP-QLY"/>
    <m/>
    <s v="JASON FAN"/>
    <s v="FO9"/>
    <s v="ELECTRICAL COOKING            "/>
    <s v="CONFIRMED"/>
    <n v="1"/>
    <n v="2"/>
    <d v="2012-01-10T00:00:00"/>
    <s v="KITCHEN ELECTRICS             "/>
    <s v="ELECTRICAL COOKING            "/>
    <x v="0"/>
    <x v="0"/>
    <x v="13"/>
    <s v="SP-QLY"/>
    <n v="1"/>
    <n v="1"/>
    <x v="13"/>
    <n v="1"/>
    <x v="0"/>
    <x v="0"/>
    <x v="1"/>
    <n v="0"/>
    <n v="0"/>
    <n v="0"/>
    <n v="0"/>
    <n v="0"/>
    <n v="0"/>
    <x v="1"/>
    <x v="0"/>
    <x v="1"/>
    <x v="0"/>
  </r>
  <r>
    <s v="Shipment"/>
    <n v="99003500"/>
    <s v="G.S.E.B. MEXICANA  S.A. DE C.V.                   "/>
    <n v="99003500"/>
    <x v="19"/>
    <s v="37350945/000001"/>
    <n v="1370149349"/>
    <n v="10"/>
    <x v="0"/>
    <x v="0"/>
    <s v="A1"/>
    <n v="7114000285"/>
    <n v="253"/>
    <n v="114000285"/>
    <s v="YL223LA 6QT PRESSURE COOKER                       "/>
    <s v="S"/>
    <d v="2012-01-19T00:00:00"/>
    <m/>
    <s v="X"/>
    <x v="57"/>
    <n v="13.526400000000001"/>
    <n v="185"/>
    <d v="2012-02-25T00:00:00"/>
    <d v="2012-01-21T00:00:00"/>
    <n v="1000"/>
    <d v="2012-01-19T00:00:00"/>
    <n v="1000"/>
    <m/>
    <d v="2012-01-19T00:00:00"/>
    <n v="1000"/>
    <d v="2012-02-23T00:00:00"/>
    <d v="2012-01-19T00:00:00"/>
    <n v="1000"/>
    <n v="1000"/>
    <x v="21"/>
    <d v="2012-02-22T00:00:00"/>
    <m/>
    <n v="9321662725"/>
    <n v="10"/>
    <s v="SUDU6996850"/>
    <s v="MONTE SARMIENTO 202E"/>
    <m/>
    <s v="NINGBO"/>
    <s v="CONS-SHIPT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2375/000010"/>
    <n v="1370149581"/>
    <n v="10"/>
    <x v="0"/>
    <x v="0"/>
    <s v="A1"/>
    <n v="2100060711"/>
    <n v="205"/>
    <n v="116000748"/>
    <s v="E909S414 SET 4P+LID STR PRO TOUCH UNCOAT          "/>
    <s v="S"/>
    <d v="2012-01-30T00:00:00"/>
    <m/>
    <s v="X"/>
    <x v="57"/>
    <n v="63.229700000000001"/>
    <n v="47"/>
    <d v="2012-02-09T00:00:00"/>
    <d v="2012-01-05T00:00:00"/>
    <n v="1000"/>
    <d v="2012-01-27T00:00:00"/>
    <n v="1000"/>
    <m/>
    <d v="2012-01-27T00:00:00"/>
    <n v="1000"/>
    <d v="2012-03-02T00:00:00"/>
    <d v="2012-01-27T00:00:00"/>
    <n v="1000"/>
    <n v="1000"/>
    <x v="4"/>
    <d v="2012-02-26T00:00:00"/>
    <m/>
    <n v="9321662726"/>
    <n v="10"/>
    <s v="PONU1273601"/>
    <s v="MAERSK SURABAYA/1202"/>
    <m/>
    <s v="NINGBO"/>
    <s v="SP-OVERCAP/"/>
    <m/>
    <s v="AGNES NUNES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007300"/>
    <s v="GROUPE SEB DEUTSCHLAND                            "/>
    <n v="99007300"/>
    <x v="17"/>
    <s v="4500262346/000010"/>
    <n v="1370149596"/>
    <n v="10"/>
    <x v="0"/>
    <x v="0"/>
    <s v="A1"/>
    <n v="2100063369"/>
    <n v="207"/>
    <n v="115003037"/>
    <s v="H1150414 FP24 FLAVOUR TP3 BLACK TEFAL FC          "/>
    <s v="S"/>
    <d v="2012-01-17T00:00:00"/>
    <m/>
    <s v="X"/>
    <x v="57"/>
    <n v="8.8114000000000008"/>
    <n v="7"/>
    <d v="2012-02-09T00:00:00"/>
    <d v="2012-01-05T00:00:00"/>
    <n v="1000"/>
    <d v="2012-01-14T00:00:00"/>
    <n v="1000"/>
    <m/>
    <d v="2012-01-14T00:00:00"/>
    <n v="1000"/>
    <d v="2012-02-18T00:00:00"/>
    <d v="2012-01-14T00:00:00"/>
    <n v="1000"/>
    <n v="1000"/>
    <x v="11"/>
    <d v="2012-02-19T00:00:00"/>
    <m/>
    <n v="9321662727"/>
    <n v="10"/>
    <s v="APZU4725674"/>
    <s v="MOL CHARISMA/009W"/>
    <m/>
    <s v="NINGBO"/>
    <s v="SP-OVERCAP/"/>
    <m/>
    <s v="AGNES NUNES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1"/>
    <s v="SP-OVERCAP"/>
    <n v="-3"/>
    <n v="-3"/>
    <x v="9"/>
    <n v="1"/>
    <x v="0"/>
    <x v="0"/>
    <x v="0"/>
    <n v="1"/>
    <n v="0"/>
    <n v="1"/>
    <n v="0"/>
    <n v="0"/>
    <n v="1"/>
    <x v="0"/>
    <x v="0"/>
    <x v="1"/>
    <x v="1"/>
  </r>
  <r>
    <s v="Shipment"/>
    <n v="99003800"/>
    <s v="GROUPE SEB POLSKA SP. ZO.O                        "/>
    <n v="99003800"/>
    <x v="20"/>
    <s v="4500262674/000010"/>
    <n v="1370149842"/>
    <n v="10"/>
    <x v="0"/>
    <x v="0"/>
    <s v="A1"/>
    <n v="2100066552"/>
    <n v="205"/>
    <n v="115003346"/>
    <s v="A6000654 FP28 FUNDAMENTAL UNCOATED RIV T          "/>
    <s v="S"/>
    <d v="2012-02-02T00:00:00"/>
    <m/>
    <s v="X"/>
    <x v="57"/>
    <n v="8.9085000000000001"/>
    <n v="28"/>
    <d v="2012-03-12T00:00:00"/>
    <d v="2012-01-30T00:00:00"/>
    <n v="1002"/>
    <d v="2012-01-19T00:00:00"/>
    <n v="1002"/>
    <m/>
    <d v="2012-01-26T00:00:00"/>
    <n v="1002"/>
    <d v="2012-03-01T00:00:00"/>
    <d v="2012-01-19T00:00:00"/>
    <n v="1002"/>
    <n v="1002"/>
    <x v="4"/>
    <d v="2012-03-04T00:00:00"/>
    <m/>
    <n v="9321662738"/>
    <n v="10"/>
    <s v="MRKU0629316"/>
    <s v="EUGEN MAERSK 1202/"/>
    <m/>
    <s v="NINGBO"/>
    <s v="C-PULLIN-CONF/docs received on 1-Feb"/>
    <m/>
    <s v="KENUS WO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2765/000010"/>
    <n v="1370149845"/>
    <n v="10"/>
    <x v="0"/>
    <x v="0"/>
    <s v="A2"/>
    <n v="7114000215"/>
    <n v="254"/>
    <n v="114000215"/>
    <s v="P2500732 P.COOKER SLIDE SECURE 5 6QT SI           "/>
    <s v="S"/>
    <d v="2012-02-02T00:00:00"/>
    <m/>
    <s v="X"/>
    <x v="57"/>
    <n v="28.703099999999999"/>
    <n v="89"/>
    <d v="2012-03-05T00:00:00"/>
    <d v="2012-01-23T00:00:00"/>
    <n v="850"/>
    <d v="2012-01-23T00:00:00"/>
    <n v="850"/>
    <m/>
    <d v="2012-01-19T00:00:00"/>
    <n v="850"/>
    <d v="2012-03-01T00:00:00"/>
    <d v="2012-01-19T00:00:00"/>
    <n v="850"/>
    <n v="850"/>
    <x v="4"/>
    <d v="2012-03-04T00:00:00"/>
    <m/>
    <n v="9321662739"/>
    <n v="10"/>
    <s v="MRKU0629316"/>
    <s v="EUGEN MAERSK 1202/"/>
    <m/>
    <s v="NINGBO"/>
    <s v="docs received on 1-Feb"/>
    <m/>
    <s v="KENUS WO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2671/000010"/>
    <n v="1370149849"/>
    <n v="10"/>
    <x v="0"/>
    <x v="0"/>
    <s v="A1"/>
    <n v="2100066550"/>
    <n v="205"/>
    <n v="115003344"/>
    <s v="A6000454 FP24 FUNDAMENTAL UNCOATED RIV T          "/>
    <s v="S"/>
    <d v="2012-02-02T00:00:00"/>
    <m/>
    <s v="X"/>
    <x v="57"/>
    <n v="6.9241000000000001"/>
    <n v="21"/>
    <d v="2012-03-12T00:00:00"/>
    <d v="2012-01-30T00:00:00"/>
    <n v="1002"/>
    <d v="2012-01-19T00:00:00"/>
    <n v="1002"/>
    <m/>
    <d v="2012-01-26T00:00:00"/>
    <n v="1002"/>
    <d v="2012-03-01T00:00:00"/>
    <d v="2012-01-19T00:00:00"/>
    <n v="1002"/>
    <n v="1002"/>
    <x v="4"/>
    <d v="2012-03-04T00:00:00"/>
    <m/>
    <n v="9321662740"/>
    <n v="10"/>
    <s v="MRKU0629316"/>
    <s v="EUGEN MAERSK 1202/"/>
    <m/>
    <s v="NINGBO"/>
    <s v="C-PULLIN-CONF/docs received on 1-Feb"/>
    <m/>
    <s v="KENUS WONG"/>
    <s v="FO9"/>
    <s v="COOKWARE                      "/>
    <s v="CONFIRMED"/>
    <n v="1"/>
    <n v="3"/>
    <d v="2012-01-22T00:00:00"/>
    <s v="COOKWARE                      "/>
    <s v="COOKWARE                      "/>
    <x v="0"/>
    <x v="0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41/000001"/>
    <n v="1370149347"/>
    <n v="10"/>
    <x v="22"/>
    <x v="22"/>
    <s v="N4"/>
    <n v="7211000439"/>
    <n v="177"/>
    <n v="211000439"/>
    <s v="FR404653 FRY FILTRA PRO I&amp;D 3L ENA S/S M          "/>
    <s v="S"/>
    <d v="2012-01-31T00:00:00"/>
    <m/>
    <s v="X"/>
    <x v="57"/>
    <n v="35.124000000000002"/>
    <n v="478"/>
    <d v="2012-02-25T00:00:00"/>
    <d v="2012-01-21T00:00:00"/>
    <n v="588"/>
    <d v="2012-01-21T00:00:00"/>
    <n v="588"/>
    <m/>
    <d v="2012-01-19T00:00:00"/>
    <n v="588"/>
    <d v="2012-02-27T00:00:00"/>
    <d v="2012-01-23T00:00:00"/>
    <n v="588"/>
    <n v="588"/>
    <x v="1"/>
    <d v="2012-02-27T00:00:00"/>
    <m/>
    <n v="9321662741"/>
    <n v="10"/>
    <s v="SUDU3969980"/>
    <s v="MONTE VERDE VOY 203E"/>
    <m/>
    <s v="NINGBO"/>
    <m/>
    <m/>
    <s v="TWEETY LEUNG"/>
    <s v="FO9"/>
    <s v="ELECTRICAL COOKING            "/>
    <s v="CONFIRMED"/>
    <n v="1"/>
    <n v="4"/>
    <d v="2012-01-23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2241/000010"/>
    <n v="1370149486"/>
    <n v="10"/>
    <x v="22"/>
    <x v="22"/>
    <s v="R2"/>
    <n v="7211000396"/>
    <n v="55"/>
    <n v="211000396"/>
    <s v="KO29913E KET EXPRESS 1.5L WHT/GRG RU              "/>
    <s v="S"/>
    <d v="2012-01-18T00:00:00"/>
    <m/>
    <s v="X"/>
    <x v="57"/>
    <n v="11.8011"/>
    <n v="38"/>
    <d v="2012-03-02T00:00:00"/>
    <d v="2012-01-20T00:00:00"/>
    <n v="2580"/>
    <d v="2012-01-20T00:00:00"/>
    <n v="2580"/>
    <m/>
    <d v="2012-01-13T00:00:00"/>
    <n v="2580"/>
    <d v="2012-02-24T00:00:00"/>
    <d v="2012-01-13T00:00:00"/>
    <n v="2580"/>
    <n v="2580"/>
    <x v="9"/>
    <d v="2012-02-25T00:00:00"/>
    <m/>
    <n v="9321662745"/>
    <n v="10"/>
    <s v="MRKU0677654"/>
    <s v="EMMA MAERSK 1202/"/>
    <m/>
    <s v="NINGBO"/>
    <m/>
    <m/>
    <s v="KENUS WONG"/>
    <s v="FO9"/>
    <s v="BEVERAGE                      "/>
    <s v="CONFIRMED"/>
    <n v="1"/>
    <n v="2"/>
    <d v="2012-01-14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2242/000010"/>
    <n v="1370149487"/>
    <n v="10"/>
    <x v="22"/>
    <x v="22"/>
    <s v="R2"/>
    <n v="7211000396"/>
    <n v="55"/>
    <n v="211000396"/>
    <s v="KO29913E KET EXPRESS 1.5L WHT/GRG RU              "/>
    <s v="S"/>
    <d v="2012-01-18T00:00:00"/>
    <m/>
    <s v="X"/>
    <x v="57"/>
    <n v="11.8011"/>
    <n v="38"/>
    <d v="2012-03-12T00:00:00"/>
    <d v="2012-01-30T00:00:00"/>
    <n v="2580"/>
    <d v="2012-01-13T00:00:00"/>
    <n v="2580"/>
    <m/>
    <d v="2012-01-13T00:00:00"/>
    <n v="2580"/>
    <d v="2012-02-24T00:00:00"/>
    <d v="2012-01-13T00:00:00"/>
    <n v="2580"/>
    <n v="2580"/>
    <x v="9"/>
    <d v="2012-02-25T00:00:00"/>
    <m/>
    <n v="9321662746"/>
    <n v="10"/>
    <s v="MRKU0677654"/>
    <s v="EMMA MAERSK 1202/"/>
    <m/>
    <s v="NINGBO"/>
    <s v="C-PULLIN-CONF/"/>
    <m/>
    <s v="KENUS WONG"/>
    <s v="FO9"/>
    <s v="BEVERAGE                      "/>
    <s v="CONFIRMED"/>
    <n v="1"/>
    <n v="2"/>
    <d v="2012-01-14T00:00:00"/>
    <s v="KITCHEN ELECTRICS             "/>
    <s v="BREAKFAST &amp; BREVAGE PREP      "/>
    <x v="0"/>
    <x v="0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7300"/>
    <s v="GROUPE SEB DEUTSCHLAND                            "/>
    <n v="99007300"/>
    <x v="17"/>
    <s v="4500262233/000010"/>
    <n v="1370149495"/>
    <n v="10"/>
    <x v="22"/>
    <x v="22"/>
    <s v="R2"/>
    <n v="7211000918"/>
    <n v="55"/>
    <n v="211000918"/>
    <s v="BF512530 KET PRINCIPIO 1.2L BLK NE                "/>
    <s v="S"/>
    <d v="2012-01-19T00:00:00"/>
    <m/>
    <s v="X"/>
    <x v="57"/>
    <n v="12.371499999999999"/>
    <n v="10"/>
    <d v="2012-02-08T00:00:00"/>
    <d v="2012-01-04T00:00:00"/>
    <n v="3240"/>
    <d v="2011-12-23T00:00:00"/>
    <n v="3240"/>
    <m/>
    <d v="2011-12-30T00:00:00"/>
    <n v="3240"/>
    <d v="2012-02-14T00:00:00"/>
    <d v="2012-01-10T00:00:00"/>
    <n v="3240"/>
    <n v="3240"/>
    <x v="11"/>
    <d v="2012-02-19T00:00:00"/>
    <m/>
    <n v="9321662747"/>
    <n v="10"/>
    <s v="AMFU3056202"/>
    <s v="MOL CHARISMA/009W"/>
    <m/>
    <s v="NINGBO"/>
    <s v="SP-TOOLING/"/>
    <m/>
    <s v="AGNES NUNES"/>
    <s v="FO9"/>
    <s v="BEVERAGE                      "/>
    <s v="CONFIRMED"/>
    <n v="1"/>
    <n v="2"/>
    <d v="2012-01-15T00:00:00"/>
    <s v="KITCHEN ELECTRICS             "/>
    <s v="BREAKFAST &amp; BREVAGE PREP      "/>
    <x v="0"/>
    <x v="0"/>
    <x v="15"/>
    <s v="SP-TOOLING"/>
    <n v="1"/>
    <n v="1"/>
    <x v="21"/>
    <n v="1"/>
    <x v="0"/>
    <x v="0"/>
    <x v="0"/>
    <n v="0"/>
    <n v="0"/>
    <n v="0"/>
    <n v="0"/>
    <n v="0"/>
    <n v="0"/>
    <x v="1"/>
    <x v="0"/>
    <x v="1"/>
    <x v="0"/>
  </r>
  <r>
    <s v="Shipment"/>
    <n v="99007300"/>
    <s v="GROUPE SEB DEUTSCHLAND                            "/>
    <n v="99007300"/>
    <x v="17"/>
    <s v="4500262343/000010"/>
    <n v="1370149589"/>
    <n v="10"/>
    <x v="22"/>
    <x v="22"/>
    <s v="N4"/>
    <n v="1500633303"/>
    <n v="177"/>
    <n v="633303"/>
    <s v="FF100130 MAXI FRY AT/DE                           "/>
    <s v="S"/>
    <d v="2012-01-10T00:00:00"/>
    <m/>
    <s v="X"/>
    <x v="57"/>
    <n v="22.235199999999999"/>
    <n v="18"/>
    <d v="2012-02-13T00:00:00"/>
    <d v="2012-01-09T00:00:00"/>
    <n v="1582"/>
    <d v="2012-01-09T00:00:00"/>
    <n v="1582"/>
    <m/>
    <d v="2012-01-07T00:00:00"/>
    <n v="1582"/>
    <d v="2012-02-11T00:00:00"/>
    <d v="2012-01-07T00:00:00"/>
    <n v="1582"/>
    <n v="1582"/>
    <x v="12"/>
    <d v="2012-02-11T00:00:00"/>
    <m/>
    <n v="9321662749"/>
    <n v="10"/>
    <s v="SEAU7837420"/>
    <s v="MAERSK SOFIA/1202"/>
    <m/>
    <s v="NINGBO"/>
    <m/>
    <m/>
    <s v="AGNES NUNES"/>
    <s v="FO9"/>
    <s v="ELECTRICAL COOKING            "/>
    <s v="CONFIRMED"/>
    <n v="1"/>
    <n v="1"/>
    <d v="2012-01-07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2412/000010"/>
    <n v="1370149594"/>
    <n v="10"/>
    <x v="22"/>
    <x v="22"/>
    <s v="N4"/>
    <n v="1500633303"/>
    <n v="177"/>
    <n v="633303"/>
    <s v="FF100130 MAXI FRY AT/DE                           "/>
    <s v="S"/>
    <d v="2012-01-17T00:00:00"/>
    <m/>
    <s v="X"/>
    <x v="57"/>
    <n v="22.235199999999999"/>
    <n v="18"/>
    <d v="2012-02-20T00:00:00"/>
    <d v="2012-01-16T00:00:00"/>
    <n v="1582"/>
    <d v="2012-01-16T00:00:00"/>
    <n v="1582"/>
    <m/>
    <d v="2012-01-14T00:00:00"/>
    <n v="1582"/>
    <d v="2012-02-18T00:00:00"/>
    <d v="2012-01-14T00:00:00"/>
    <n v="1582"/>
    <n v="1582"/>
    <x v="9"/>
    <d v="2012-02-18T00:00:00"/>
    <m/>
    <n v="9321662750"/>
    <n v="10"/>
    <s v="MRKU0008160"/>
    <s v="SUSAN MAERSK/1202"/>
    <m/>
    <s v="NINGBO"/>
    <m/>
    <m/>
    <s v="AGNES NUNES"/>
    <s v="FO9"/>
    <s v="ELECTRICAL COOKING            "/>
    <s v="CONFIRMED"/>
    <n v="1"/>
    <n v="2"/>
    <d v="2012-01-14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2426/000010"/>
    <n v="1370149599"/>
    <n v="10"/>
    <x v="22"/>
    <x v="22"/>
    <s v="N4"/>
    <n v="7211000568"/>
    <n v="177"/>
    <n v="211000568"/>
    <s v="AF102430 FRY UNO FB SS MLX EUR                    "/>
    <s v="S"/>
    <d v="2012-01-10T00:00:00"/>
    <m/>
    <s v="X"/>
    <x v="57"/>
    <n v="20.114100000000001"/>
    <n v="16"/>
    <d v="2012-02-13T00:00:00"/>
    <d v="2012-01-09T00:00:00"/>
    <n v="810"/>
    <d v="2012-01-09T00:00:00"/>
    <n v="810"/>
    <m/>
    <d v="2012-01-07T00:00:00"/>
    <n v="810"/>
    <d v="2012-02-11T00:00:00"/>
    <d v="2012-01-07T00:00:00"/>
    <n v="810"/>
    <n v="810"/>
    <x v="0"/>
    <d v="2012-02-13T00:00:00"/>
    <m/>
    <n v="9321662751"/>
    <n v="10"/>
    <s v="APZU3220688"/>
    <s v="MOL COMPETENCE/021W"/>
    <m/>
    <s v="NINGBO"/>
    <m/>
    <m/>
    <s v="AGNES NUNES"/>
    <s v="FO9"/>
    <s v="ELECTRICAL COOKING            "/>
    <s v="CONFIRMED"/>
    <n v="1"/>
    <n v="2"/>
    <d v="2012-01-09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727/000010"/>
    <n v="1370149789"/>
    <n v="10"/>
    <x v="22"/>
    <x v="22"/>
    <s v="N4"/>
    <n v="7211000445"/>
    <n v="116"/>
    <n v="211000445"/>
    <s v="OW310131 BDM UNO 1KG WHT/RED GSCE/PL              "/>
    <s v="S"/>
    <d v="2012-01-05T00:00:00"/>
    <m/>
    <s v="X"/>
    <x v="57"/>
    <n v="42.152700000000003"/>
    <n v="9538210"/>
    <d v="2012-02-09T00:00:00"/>
    <d v="2012-01-05T00:00:00"/>
    <n v="1056"/>
    <d v="2012-01-05T00:00:00"/>
    <n v="1056"/>
    <m/>
    <d v="2012-01-03T00:00:00"/>
    <n v="1056"/>
    <d v="2012-02-05T00:00:00"/>
    <d v="2012-01-01T00:00:00"/>
    <n v="1056"/>
    <n v="1056"/>
    <x v="13"/>
    <d v="2012-02-05T00:00:00"/>
    <m/>
    <n v="9321662752"/>
    <n v="10"/>
    <s v="MAEU6212370"/>
    <s v="MAERSK ESSEN/1202"/>
    <m/>
    <s v="NINGBO"/>
    <m/>
    <m/>
    <s v="KENUS WONG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774/000010"/>
    <n v="1370149831"/>
    <n v="10"/>
    <x v="22"/>
    <x v="22"/>
    <s v="R2"/>
    <n v="7211000766"/>
    <n v="55"/>
    <n v="211000766"/>
    <s v="BY530531 KET SUBITO 1.7L SS WINE RED EE           "/>
    <s v="S"/>
    <d v="2012-01-05T00:00:00"/>
    <m/>
    <s v="X"/>
    <x v="57"/>
    <n v="17.2575"/>
    <n v="3872370"/>
    <d v="2012-02-09T00:00:00"/>
    <d v="2012-01-05T00:00:00"/>
    <n v="2400"/>
    <d v="2011-12-27T00:00:00"/>
    <n v="2400"/>
    <m/>
    <d v="2012-01-03T00:00:00"/>
    <n v="2400"/>
    <d v="2012-02-07T00:00:00"/>
    <d v="2012-01-03T00:00:00"/>
    <n v="2400"/>
    <n v="2400"/>
    <x v="2"/>
    <d v="2012-02-08T00:00:00"/>
    <m/>
    <n v="9321662755"/>
    <n v="10"/>
    <s v="GESU1393859"/>
    <s v="MAERSK SANTANA/1202"/>
    <m/>
    <s v="NINGBO"/>
    <m/>
    <m/>
    <s v="KENUS WONG"/>
    <s v="FO9"/>
    <s v="BEVERAGE                      "/>
    <s v="CONFIRMED"/>
    <n v="1"/>
    <n v="1"/>
    <d v="2012-01-04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0"/>
    <n v="0"/>
    <n v="0"/>
    <n v="0"/>
    <n v="0"/>
    <x v="1"/>
    <x v="0"/>
    <x v="1"/>
    <x v="0"/>
  </r>
  <r>
    <s v="Shipment"/>
    <n v="99002102"/>
    <s v="GROUPE SEB ITALIA S.p.a                           "/>
    <n v="99002102"/>
    <x v="14"/>
    <s v="4600079154/000030"/>
    <n v="1370149991"/>
    <n v="30"/>
    <x v="22"/>
    <x v="22"/>
    <s v="P3"/>
    <n v="7211000452"/>
    <n v="36"/>
    <n v="211000452"/>
    <s v="LM300141 BLD FACICLIC WHT EUR                     "/>
    <s v="S"/>
    <d v="2012-01-10T00:00:00"/>
    <m/>
    <s v="X"/>
    <x v="57"/>
    <n v="14.2753"/>
    <n v="7"/>
    <d v="2012-02-13T00:00:00"/>
    <d v="2012-01-16T00:00:00"/>
    <n v="1407"/>
    <d v="2012-01-16T00:00:00"/>
    <n v="1407"/>
    <m/>
    <d v="2012-01-10T00:00:00"/>
    <n v="1407"/>
    <d v="2012-02-07T00:00:00"/>
    <d v="2012-01-10T00:00:00"/>
    <n v="1407"/>
    <n v="1407"/>
    <x v="0"/>
    <d v="2012-02-06T00:00:00"/>
    <m/>
    <n v="9321662757"/>
    <n v="10"/>
    <s v="UACU3433228"/>
    <s v="XIN FU ZHOU/1202W"/>
    <m/>
    <s v="NINGBO"/>
    <m/>
    <m/>
    <s v="JASON FAN"/>
    <s v="FO9"/>
    <s v="FOOD PREPARATION              "/>
    <s v="CONFIRMED"/>
    <n v="1"/>
    <n v="2"/>
    <d v="2012-01-09T00:00:00"/>
    <s v="KITCHEN ELECTRICS             "/>
    <s v="FOOD PREPARATION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4/000060"/>
    <n v="1370149991"/>
    <n v="60"/>
    <x v="22"/>
    <x v="22"/>
    <s v="N4"/>
    <n v="7211000325"/>
    <n v="177"/>
    <n v="211000325"/>
    <s v="FR404630 FRY FILTRA PRO I&amp;D 3L ENA S/S E          "/>
    <s v="S"/>
    <d v="2012-01-18T00:00:00"/>
    <m/>
    <s v="X"/>
    <x v="57"/>
    <n v="33.273000000000003"/>
    <n v="7"/>
    <d v="2012-02-13T00:00:00"/>
    <d v="2012-01-16T00:00:00"/>
    <n v="588"/>
    <d v="2012-01-16T00:00:00"/>
    <n v="588"/>
    <m/>
    <d v="2012-01-14T00:00:00"/>
    <n v="1176"/>
    <d v="2012-02-11T00:00:00"/>
    <d v="2012-01-14T00:00:00"/>
    <n v="588"/>
    <n v="588"/>
    <x v="19"/>
    <d v="2012-02-14T00:00:00"/>
    <m/>
    <n v="9321662757"/>
    <n v="20"/>
    <s v="UACU3434564"/>
    <s v="XIN LIAN YUN GANG/12"/>
    <m/>
    <s v="NINGBO"/>
    <m/>
    <m/>
    <s v="JASON FAN"/>
    <s v="FO9"/>
    <s v="ELECTRICAL COOKING            "/>
    <s v="CONFIRMED"/>
    <n v="1"/>
    <n v="3"/>
    <d v="2012-01-17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1815/000010"/>
    <n v="1370150004"/>
    <n v="10"/>
    <x v="22"/>
    <x v="22"/>
    <s v="R2"/>
    <n v="7211000396"/>
    <n v="55"/>
    <n v="211000396"/>
    <s v="KO29913E KET EXPRESS 1.5L WHT/GRG RU              "/>
    <s v="S"/>
    <d v="2012-01-06T00:00:00"/>
    <m/>
    <s v="X"/>
    <x v="57"/>
    <n v="11.8011"/>
    <n v="383"/>
    <d v="2012-02-27T00:00:00"/>
    <d v="2012-01-09T00:00:00"/>
    <n v="2580"/>
    <d v="2012-01-09T00:00:00"/>
    <n v="2580"/>
    <m/>
    <d v="2012-01-05T00:00:00"/>
    <n v="2580"/>
    <d v="2012-02-23T00:00:00"/>
    <d v="2012-01-05T00:00:00"/>
    <n v="2580"/>
    <n v="2580"/>
    <x v="6"/>
    <d v="2012-02-23T00:00:00"/>
    <m/>
    <n v="9321662758"/>
    <n v="10"/>
    <s v="TTNU4434425"/>
    <s v="GRETE MAERSK/121W"/>
    <m/>
    <s v="NINGBO"/>
    <m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1836/000010"/>
    <n v="1370150005"/>
    <n v="10"/>
    <x v="22"/>
    <x v="22"/>
    <s v="R2"/>
    <n v="7211000368"/>
    <n v="55"/>
    <n v="211000368"/>
    <s v="BF263E3E KET VIT.ECO 1.7L DIAM MET RU             "/>
    <s v="S"/>
    <d v="2012-01-10T00:00:00"/>
    <m/>
    <s v="X"/>
    <x v="57"/>
    <n v="11.934699999999999"/>
    <n v="387"/>
    <d v="2012-02-27T00:00:00"/>
    <d v="2012-01-09T00:00:00"/>
    <n v="4500"/>
    <d v="2012-01-09T00:00:00"/>
    <n v="4500"/>
    <m/>
    <d v="2012-01-07T00:00:00"/>
    <n v="4500"/>
    <d v="2012-02-25T00:00:00"/>
    <d v="2012-01-07T00:00:00"/>
    <n v="4500"/>
    <n v="4500"/>
    <x v="0"/>
    <d v="2012-02-27T00:00:00"/>
    <m/>
    <n v="9321662759"/>
    <n v="10"/>
    <s v="APZU4526646"/>
    <s v="MOL COMPETENCE/021W"/>
    <m/>
    <s v="NINGBO"/>
    <m/>
    <m/>
    <s v="KENUS WONG"/>
    <s v="FO9"/>
    <s v="BEVERAGE                      "/>
    <s v="CONFIRMED"/>
    <n v="1"/>
    <n v="2"/>
    <d v="2012-01-09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1819/000010"/>
    <n v="1370150008"/>
    <n v="10"/>
    <x v="22"/>
    <x v="22"/>
    <s v="R2"/>
    <n v="7211000664"/>
    <n v="55"/>
    <n v="211000664"/>
    <s v="KI110D32 KET PERFORMA 1.7L SS/BLK EE              "/>
    <s v="S"/>
    <d v="2012-01-18T00:00:00"/>
    <m/>
    <s v="X"/>
    <x v="57"/>
    <n v="20.0718"/>
    <n v="651"/>
    <d v="2012-02-24T00:00:00"/>
    <d v="2012-01-06T00:00:00"/>
    <n v="8280"/>
    <d v="2012-01-06T00:00:00"/>
    <n v="8280"/>
    <m/>
    <d v="2012-01-05T00:00:00"/>
    <n v="8280"/>
    <d v="2012-03-01T00:00:00"/>
    <d v="2012-01-12T00:00:00"/>
    <n v="8280"/>
    <n v="4140"/>
    <x v="10"/>
    <d v="2012-03-01T00:00:00"/>
    <m/>
    <n v="9321662760"/>
    <n v="10"/>
    <s v="TTNU4662174"/>
    <s v="GJERTRUD MAERSK/121W"/>
    <m/>
    <s v="NINGBO"/>
    <m/>
    <m/>
    <s v="KENUS WONG"/>
    <s v="FO9"/>
    <s v="BEVERAGE                      "/>
    <s v="CONFIRMED"/>
    <n v="1"/>
    <n v="2"/>
    <d v="2012-01-12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1819/000010"/>
    <n v="1370150008"/>
    <n v="10"/>
    <x v="22"/>
    <x v="22"/>
    <s v="R2"/>
    <n v="7211000664"/>
    <n v="55"/>
    <n v="211000664"/>
    <s v="KI110D32 KET PERFORMA 1.7L SS/BLK EE              "/>
    <s v="S"/>
    <d v="2012-01-18T00:00:00"/>
    <m/>
    <s v="X"/>
    <x v="57"/>
    <n v="20.0718"/>
    <n v="651"/>
    <d v="2012-02-24T00:00:00"/>
    <d v="2012-01-06T00:00:00"/>
    <n v="8280"/>
    <d v="2012-01-06T00:00:00"/>
    <n v="8280"/>
    <m/>
    <d v="2012-01-05T00:00:00"/>
    <n v="8280"/>
    <d v="2012-03-01T00:00:00"/>
    <d v="2012-01-12T00:00:00"/>
    <n v="8280"/>
    <n v="4140"/>
    <x v="10"/>
    <d v="2012-03-01T00:00:00"/>
    <m/>
    <n v="9321662760"/>
    <n v="10"/>
    <s v="MSKU6395834"/>
    <s v="GJERTRUD MAERSK/121W"/>
    <m/>
    <s v="NINGBO"/>
    <m/>
    <m/>
    <s v="KENUS WONG"/>
    <s v="FO9"/>
    <s v="BEVERAGE                      "/>
    <s v="CONFIRMED"/>
    <n v="1"/>
    <n v="2"/>
    <d v="2012-01-12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1822/000010"/>
    <n v="1370150009"/>
    <n v="10"/>
    <x v="22"/>
    <x v="22"/>
    <s v="R2"/>
    <n v="7211000365"/>
    <n v="55"/>
    <n v="211000365"/>
    <s v="BF26373E KET VIT.ECO 1.7L DIAM XER RU             "/>
    <s v="S"/>
    <d v="2012-01-06T00:00:00"/>
    <m/>
    <s v="X"/>
    <x v="57"/>
    <n v="11.759499999999999"/>
    <n v="381"/>
    <d v="2012-02-25T00:00:00"/>
    <d v="2012-01-07T00:00:00"/>
    <n v="2220"/>
    <d v="2012-01-07T00:00:00"/>
    <n v="2220"/>
    <m/>
    <d v="2012-01-05T00:00:00"/>
    <n v="2220"/>
    <d v="2012-02-23T00:00:00"/>
    <d v="2012-01-05T00:00:00"/>
    <n v="2220"/>
    <n v="2220"/>
    <x v="6"/>
    <d v="2012-02-23T00:00:00"/>
    <m/>
    <n v="9321662761"/>
    <n v="10"/>
    <s v="MSKU6259822"/>
    <s v="GRETE MAERSK/121W"/>
    <m/>
    <s v="NINGBO"/>
    <m/>
    <m/>
    <s v="KENUS WONG"/>
    <s v="FO9"/>
    <s v="BEVERAGE                      "/>
    <s v="CONFIRMED"/>
    <n v="1"/>
    <n v="1"/>
    <d v="2012-01-05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1797/000010"/>
    <n v="1370150017"/>
    <n v="10"/>
    <x v="22"/>
    <x v="22"/>
    <s v="R2"/>
    <n v="7211000367"/>
    <n v="55"/>
    <n v="211000367"/>
    <s v="BF263A3E KET VIT.ECO 1.7L DIAM RED RU             "/>
    <s v="S"/>
    <d v="2012-01-10T00:00:00"/>
    <m/>
    <s v="X"/>
    <x v="57"/>
    <n v="11.965"/>
    <n v="388"/>
    <d v="2012-02-27T00:00:00"/>
    <d v="2012-01-09T00:00:00"/>
    <n v="2220"/>
    <d v="2012-01-09T00:00:00"/>
    <n v="2220"/>
    <m/>
    <d v="2012-01-07T00:00:00"/>
    <n v="2220"/>
    <d v="2012-02-25T00:00:00"/>
    <d v="2012-01-07T00:00:00"/>
    <n v="2220"/>
    <n v="2220"/>
    <x v="0"/>
    <d v="2012-02-27T00:00:00"/>
    <m/>
    <n v="9321662763"/>
    <n v="10"/>
    <s v="TTNU5791303"/>
    <s v="MOL COMPETENCE/021W"/>
    <m/>
    <s v="NINGBO"/>
    <m/>
    <m/>
    <s v="KENUS WONG"/>
    <s v="FO9"/>
    <s v="BEVERAGE                      "/>
    <s v="CONFIRMED"/>
    <n v="1"/>
    <n v="2"/>
    <d v="2012-01-09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0583/000010"/>
    <n v="1370150023"/>
    <n v="10"/>
    <x v="22"/>
    <x v="22"/>
    <s v="R2"/>
    <n v="7211000364"/>
    <n v="55"/>
    <n v="211000364"/>
    <s v="BF26313E KET VIT.ECO 1.7L DIAM WHT RU             "/>
    <s v="S"/>
    <d v="2012-01-10T00:00:00"/>
    <m/>
    <s v="X"/>
    <x v="57"/>
    <n v="11.823600000000001"/>
    <n v="383"/>
    <d v="2012-02-27T00:00:00"/>
    <d v="2012-01-09T00:00:00"/>
    <n v="2220"/>
    <d v="2012-01-09T00:00:00"/>
    <n v="2220"/>
    <m/>
    <d v="2012-01-07T00:00:00"/>
    <n v="2220"/>
    <d v="2012-02-25T00:00:00"/>
    <d v="2012-01-07T00:00:00"/>
    <n v="2220"/>
    <n v="2220"/>
    <x v="0"/>
    <d v="2012-02-27T00:00:00"/>
    <m/>
    <n v="9321662764"/>
    <n v="10"/>
    <s v="TTNU5791303"/>
    <s v="MOL COMPETENCE/021W"/>
    <m/>
    <s v="NINGBO"/>
    <m/>
    <m/>
    <s v="KENUS WONG"/>
    <s v="FO9"/>
    <s v="BEVERAGE                      "/>
    <s v="CONFIRMED"/>
    <n v="1"/>
    <n v="2"/>
    <d v="2012-01-09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0916/000010"/>
    <n v="1370150085"/>
    <n v="10"/>
    <x v="22"/>
    <x v="22"/>
    <s v="R2"/>
    <n v="7211000677"/>
    <n v="55"/>
    <n v="211000677"/>
    <s v="BY530D30 KET SUBITO II 1.7L SS/BLK EUR            "/>
    <s v="S"/>
    <d v="2012-01-09T00:00:00"/>
    <m/>
    <s v="X"/>
    <x v="57"/>
    <n v="15.294"/>
    <n v="12"/>
    <d v="2012-02-10T00:00:00"/>
    <d v="2012-01-06T00:00:00"/>
    <n v="5364"/>
    <d v="2012-01-06T00:00:00"/>
    <n v="5364"/>
    <m/>
    <d v="2012-01-04T00:00:00"/>
    <n v="5364"/>
    <d v="2012-02-08T00:00:00"/>
    <d v="2012-01-04T00:00:00"/>
    <n v="5364"/>
    <n v="5364"/>
    <x v="6"/>
    <d v="2012-02-09T00:00:00"/>
    <m/>
    <n v="9321662768"/>
    <n v="10"/>
    <s v="TEXU7048936"/>
    <s v="CMA CGM GEMINI FM422"/>
    <m/>
    <s v="NINGBO"/>
    <m/>
    <m/>
    <s v="JASON FAN"/>
    <s v="FO9"/>
    <s v="BEVERAGE                      "/>
    <s v="CONFIRMED"/>
    <n v="1"/>
    <n v="1"/>
    <d v="2012-01-05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2044/000010"/>
    <n v="1370150113"/>
    <n v="10"/>
    <x v="22"/>
    <x v="22"/>
    <s v="R2"/>
    <n v="7211000877"/>
    <n v="55"/>
    <n v="211000877"/>
    <s v="BF812830 KET ULTRA COMPACT 0.8L BLK FR            "/>
    <s v="S"/>
    <d v="2012-01-09T00:00:00"/>
    <m/>
    <s v="X"/>
    <x v="57"/>
    <n v="12.138400000000001"/>
    <n v="9"/>
    <d v="2012-02-10T00:00:00"/>
    <d v="2012-01-06T00:00:00"/>
    <n v="2700"/>
    <d v="2012-01-05T00:00:00"/>
    <n v="2700"/>
    <m/>
    <d v="2012-01-06T00:00:00"/>
    <n v="2700"/>
    <d v="2012-02-08T00:00:00"/>
    <d v="2012-01-04T00:00:00"/>
    <n v="2700"/>
    <n v="2700"/>
    <x v="6"/>
    <d v="2012-02-09T00:00:00"/>
    <m/>
    <n v="9321662771"/>
    <n v="10"/>
    <s v="INBU5064732"/>
    <s v="GRETE MAERSK 121W/"/>
    <m/>
    <s v="NINGBO"/>
    <m/>
    <m/>
    <s v="JASON FAN"/>
    <s v="FO9"/>
    <s v="BEVERAGE                      "/>
    <s v="CONFIRMED"/>
    <n v="1"/>
    <n v="1"/>
    <d v="2012-01-05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1766/000010"/>
    <n v="1370150119"/>
    <n v="10"/>
    <x v="22"/>
    <x v="22"/>
    <s v="N4"/>
    <n v="7211000568"/>
    <n v="177"/>
    <n v="211000568"/>
    <s v="AF102430 FRY UNO FB SS MLX EUR                    "/>
    <s v="S"/>
    <d v="2012-01-07T00:00:00"/>
    <m/>
    <s v="X"/>
    <x v="57"/>
    <n v="20.114100000000001"/>
    <n v="16"/>
    <d v="2012-02-10T00:00:00"/>
    <d v="2012-01-06T00:00:00"/>
    <n v="810"/>
    <d v="2012-01-06T00:00:00"/>
    <n v="810"/>
    <m/>
    <d v="2011-12-31T00:00:00"/>
    <n v="810"/>
    <d v="2012-02-05T00:00:00"/>
    <d v="2012-01-01T00:00:00"/>
    <n v="810"/>
    <n v="810"/>
    <x v="13"/>
    <d v="2012-02-05T00:00:00"/>
    <m/>
    <n v="9321662772"/>
    <n v="10"/>
    <s v="POCU1124517"/>
    <s v="MAERSK ESSEN 1202/"/>
    <m/>
    <s v="NINGBO"/>
    <s v="LATE DOC FROM FORWARDER"/>
    <m/>
    <s v="JASON FAN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1772/000010"/>
    <n v="1370150088"/>
    <n v="10"/>
    <x v="30"/>
    <x v="30"/>
    <s v="N2"/>
    <n v="7211000865"/>
    <n v="50"/>
    <n v="211000865"/>
    <s v="CB540812 PLA I THERMOSP BLK EUR                   "/>
    <s v="S"/>
    <d v="2012-01-11T00:00:00"/>
    <m/>
    <s v="X"/>
    <x v="57"/>
    <n v="24.914400000000001"/>
    <n v="20"/>
    <d v="2012-02-10T00:00:00"/>
    <d v="2012-01-06T00:00:00"/>
    <n v="1992"/>
    <d v="2012-01-06T00:00:00"/>
    <n v="1992"/>
    <m/>
    <d v="2012-01-08T00:00:00"/>
    <n v="1992"/>
    <d v="2012-02-12T00:00:00"/>
    <d v="2012-01-08T00:00:00"/>
    <n v="1992"/>
    <n v="1992"/>
    <x v="23"/>
    <d v="2012-02-12T00:00:00"/>
    <m/>
    <n v="9321662773"/>
    <n v="10"/>
    <s v="MSKU0083572"/>
    <s v="CMA CGM AMERIGO VESP"/>
    <m/>
    <s v="NINGBO"/>
    <m/>
    <m/>
    <s v="JASON FAN"/>
    <s v="FO9"/>
    <s v="ELECTRICAL COOKING            "/>
    <s v="CONFIRMED"/>
    <n v="1"/>
    <n v="1"/>
    <d v="2012-01-08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1765/000010"/>
    <n v="1370150138"/>
    <n v="10"/>
    <x v="30"/>
    <x v="30"/>
    <s v="N2"/>
    <n v="2100051056"/>
    <n v="50"/>
    <n v="211000518"/>
    <s v="CB522013 PLANCHA 2000W  I THERMOS ES/PT           "/>
    <s v="S"/>
    <d v="2012-01-07T00:00:00"/>
    <m/>
    <s v="X"/>
    <x v="57"/>
    <n v="22.723700000000001"/>
    <n v="19"/>
    <d v="2012-02-10T00:00:00"/>
    <d v="2012-01-06T00:00:00"/>
    <n v="1992"/>
    <d v="2012-01-06T00:00:00"/>
    <n v="1992"/>
    <m/>
    <d v="2012-01-08T00:00:00"/>
    <n v="1992"/>
    <d v="2012-02-05T00:00:00"/>
    <d v="2012-01-01T00:00:00"/>
    <n v="1992"/>
    <n v="1992"/>
    <x v="13"/>
    <d v="2012-02-05T00:00:00"/>
    <m/>
    <n v="9321662774"/>
    <n v="10"/>
    <s v="MRKU2636119"/>
    <s v="MAERSK ESSEN 1202/"/>
    <m/>
    <s v="NINGBO"/>
    <s v="LATE DOC FROM FORWARDER"/>
    <m/>
    <s v="JASON FAN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18/000001"/>
    <n v="1370147591"/>
    <n v="10"/>
    <x v="0"/>
    <x v="0"/>
    <s v="A1"/>
    <n v="2100059344"/>
    <n v="201"/>
    <n v="116000665"/>
    <s v="C180SC64 PLATINUM TNS BLACK SET 12PC TS           "/>
    <s v="S"/>
    <d v="2012-01-11T00:00:00"/>
    <m/>
    <s v="X"/>
    <x v="57"/>
    <n v="37.334499999999998"/>
    <n v="510"/>
    <d v="2012-01-30T00:00:00"/>
    <d v="2011-12-26T00:00:00"/>
    <n v="1000"/>
    <d v="2012-01-12T00:00:00"/>
    <n v="1000"/>
    <m/>
    <d v="2012-01-12T00:00:00"/>
    <n v="1000"/>
    <d v="2012-02-16T00:00:00"/>
    <d v="2012-01-12T00:00:00"/>
    <n v="1000"/>
    <n v="1000"/>
    <x v="0"/>
    <d v="2012-02-13T00:00:00"/>
    <m/>
    <n v="9321662808"/>
    <n v="10"/>
    <s v="SUDU4984973"/>
    <s v="MONTE ROSA 201E/"/>
    <m/>
    <s v="NINGBO"/>
    <s v="SP-OVERCAP/"/>
    <m/>
    <s v="TWEETY LEUNG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2501"/>
    <s v="GROUPE SEB NEDERLAND BV                           "/>
    <n v="99002501"/>
    <x v="30"/>
    <s v="9321650919/000010"/>
    <n v="1370147556"/>
    <n v="10"/>
    <x v="0"/>
    <x v="0"/>
    <s v="A1"/>
    <n v="2100060483"/>
    <n v="205"/>
    <n v="116000727"/>
    <s v="C900S414 SET 4P+LID SO COOK SS POLI IND           "/>
    <s v="S"/>
    <d v="2012-01-07T00:00:00"/>
    <m/>
    <s v="X"/>
    <x v="57"/>
    <n v="39.206200000000003"/>
    <n v="29"/>
    <d v="2012-02-02T00:00:00"/>
    <d v="2012-01-05T00:00:00"/>
    <n v="570"/>
    <d v="2012-01-05T00:00:00"/>
    <n v="570"/>
    <m/>
    <d v="2012-01-05T00:00:00"/>
    <n v="570"/>
    <d v="2012-02-02T00:00:00"/>
    <d v="2012-01-05T00:00:00"/>
    <n v="570"/>
    <n v="570"/>
    <x v="2"/>
    <d v="2012-02-01T00:00:00"/>
    <m/>
    <n v="9321662810"/>
    <n v="10"/>
    <s v="NYKU3567023"/>
    <s v="OOCL LONDON 010W/"/>
    <m/>
    <s v="NINGBO"/>
    <m/>
    <m/>
    <s v="KENUS WONG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2820/000010"/>
    <n v="1370149858"/>
    <n v="10"/>
    <x v="49"/>
    <x v="49"/>
    <s v="R1"/>
    <n v="1500572110"/>
    <n v="23"/>
    <n v="572110"/>
    <s v="F1511530 TOAS 2T BLK BW DE                        "/>
    <s v="S"/>
    <d v="2012-01-10T00:00:00"/>
    <m/>
    <s v="X"/>
    <x v="57"/>
    <n v="8.35"/>
    <n v="7"/>
    <d v="2012-02-06T00:00:00"/>
    <d v="2012-01-02T00:00:00"/>
    <n v="1854"/>
    <d v="2012-01-02T00:00:00"/>
    <n v="1854"/>
    <m/>
    <d v="2012-01-09T00:00:00"/>
    <n v="1854"/>
    <d v="2012-02-13T00:00:00"/>
    <d v="2012-01-09T00:00:00"/>
    <n v="1854"/>
    <n v="1854"/>
    <x v="0"/>
    <d v="2012-02-13T00:00:00"/>
    <m/>
    <n v="9321662811"/>
    <n v="10"/>
    <s v="MOFU5810067"/>
    <s v="HYUNDAI FORCE/017W"/>
    <m/>
    <s v="YANTIAN"/>
    <m/>
    <m/>
    <s v="AGNES NUNES"/>
    <s v="FO9"/>
    <s v="BEVERAGE                      "/>
    <s v="CONFIRMED"/>
    <n v="1"/>
    <n v="2"/>
    <d v="2012-01-09T00:00:00"/>
    <s v="KITCHEN ELECTRICS             "/>
    <s v="BREAKFAST &amp; BREVAGE PREP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807/000004"/>
    <n v="1370149994"/>
    <n v="40"/>
    <x v="48"/>
    <x v="48"/>
    <s v="A3"/>
    <n v="2100062742"/>
    <n v="235"/>
    <s v="K0200294       "/>
    <s v="K0200294 LADLE STD CHUTNEY ACCES SILIC T          "/>
    <s v="S"/>
    <d v="2012-01-19T00:00:00"/>
    <m/>
    <s v="X"/>
    <x v="57"/>
    <n v="2.54"/>
    <n v="12"/>
    <d v="2012-01-23T00:00:00"/>
    <d v="2012-01-09T00:00:00"/>
    <n v="3040"/>
    <d v="2012-01-20T00:00:00"/>
    <n v="3040"/>
    <m/>
    <d v="2012-01-09T00:00:00"/>
    <n v="3040"/>
    <d v="2012-02-03T00:00:00"/>
    <d v="2012-01-20T00:00:00"/>
    <n v="3040"/>
    <n v="3040"/>
    <x v="14"/>
    <d v="2012-02-03T00:00:00"/>
    <m/>
    <n v="9321662812"/>
    <n v="10"/>
    <s v="TCKU2596517"/>
    <s v="MOL EMPIRE"/>
    <m/>
    <s v="HONG KONG"/>
    <s v="CONS-SHIPT/"/>
    <m/>
    <s v="DOROTHEA LING"/>
    <s v="FO9"/>
    <s v="COOKWARE                      "/>
    <s v="CONFIRMED"/>
    <n v="1"/>
    <n v="3"/>
    <d v="2012-01-20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2037/000010"/>
    <n v="1370149379"/>
    <n v="10"/>
    <x v="8"/>
    <x v="8"/>
    <s v="R1"/>
    <n v="8000033526"/>
    <n v="103"/>
    <s v="VB5100NE       "/>
    <s v="VB5100NE BTD  B95 BLK EUR                         "/>
    <s v="S"/>
    <d v="2012-01-04T00:00:00"/>
    <m/>
    <s v="X"/>
    <x v="57"/>
    <n v="91.27"/>
    <n v="92718"/>
    <d v="2012-02-02T00:00:00"/>
    <d v="2011-12-29T00:00:00"/>
    <n v="340"/>
    <d v="2011-12-29T00:00:00"/>
    <n v="340"/>
    <m/>
    <d v="2011-12-29T00:00:00"/>
    <n v="340"/>
    <d v="2012-02-06T00:00:00"/>
    <d v="2012-01-02T00:00:00"/>
    <n v="340"/>
    <n v="340"/>
    <x v="13"/>
    <d v="2012-02-05T00:00:00"/>
    <m/>
    <n v="9321662899"/>
    <n v="10"/>
    <s v="MOAU0744546"/>
    <s v="HYUNDAI SPLENDOR/016"/>
    <m/>
    <s v="YANTIAN"/>
    <m/>
    <m/>
    <s v="AGNES NUNES"/>
    <s v="FO9"/>
    <s v="BEVERAGE                      "/>
    <s v="CONFIRMED"/>
    <n v="1"/>
    <n v="52"/>
    <d v="2012-01-01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86/000010"/>
    <n v="1370149107"/>
    <n v="10"/>
    <x v="61"/>
    <x v="61"/>
    <s v="L2"/>
    <n v="2100062640"/>
    <n v="54"/>
    <s v="PP1000V0       "/>
    <s v="PP1000V0 BATHROOM SCALES PREMISS WHITE T          "/>
    <s v="S"/>
    <d v="2012-01-10T00:00:00"/>
    <m/>
    <s v="X"/>
    <x v="57"/>
    <n v="5.0999999999999996"/>
    <n v="4"/>
    <d v="2012-02-03T00:00:00"/>
    <d v="2012-01-06T00:00:00"/>
    <n v="1560"/>
    <d v="2012-01-06T00:00:00"/>
    <n v="1560"/>
    <m/>
    <d v="2012-01-06T00:00:00"/>
    <n v="1560"/>
    <d v="2012-02-03T00:00:00"/>
    <d v="2012-01-06T00:00:00"/>
    <n v="1560"/>
    <n v="1560"/>
    <x v="23"/>
    <d v="2012-02-05T00:00:00"/>
    <m/>
    <n v="9321662900"/>
    <n v="10"/>
    <s v="UACU3511845"/>
    <s v="XIN FU ZHOU/1202W"/>
    <m/>
    <s v="SHANGHAI"/>
    <m/>
    <m/>
    <s v="JASON FAN"/>
    <s v="FO9"/>
    <s v="PERSONAL CARE                 "/>
    <s v="CONFIRMED"/>
    <n v="1"/>
    <n v="1"/>
    <d v="2012-01-08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600"/>
    <s v="GROUPE SEB CHILE                                  "/>
    <n v="99005600"/>
    <x v="32"/>
    <s v="858/000001"/>
    <n v="1370149681"/>
    <n v="10"/>
    <x v="41"/>
    <x v="41"/>
    <s v="A3"/>
    <n v="2100066330"/>
    <n v="232"/>
    <s v="L9945064       "/>
    <s v="L9945064 SET PLAS BOWL+LID+GRAT ING3 T-F          "/>
    <s v="S"/>
    <d v="2012-01-17T00:00:00"/>
    <m/>
    <s v="X"/>
    <x v="57"/>
    <n v="6.3834"/>
    <n v="7"/>
    <d v="2012-02-14T00:00:00"/>
    <d v="2012-01-03T00:00:00"/>
    <n v="1602"/>
    <d v="2012-01-14T00:00:00"/>
    <n v="3078"/>
    <m/>
    <d v="2012-01-10T00:00:00"/>
    <n v="3078"/>
    <d v="2012-02-25T00:00:00"/>
    <d v="2012-01-14T00:00:00"/>
    <n v="3078"/>
    <n v="3078"/>
    <x v="24"/>
    <d v="2012-02-24T00:00:00"/>
    <m/>
    <n v="9321662983"/>
    <n v="10"/>
    <s v="BHCU3104511"/>
    <s v="XIN NAN SHA 327E/"/>
    <m/>
    <s v="YANTIAN"/>
    <s v="BU-ETD-TEMP/"/>
    <m/>
    <s v="THOMAS HO"/>
    <s v="FO9"/>
    <s v="COOKWARE                      "/>
    <s v="CONFIRMED"/>
    <n v="1"/>
    <n v="2"/>
    <d v="2012-01-13T00:00:00"/>
    <s v="COOKWARE                      "/>
    <s v="COOKWARE                      "/>
    <x v="1"/>
    <x v="1"/>
    <x v="4"/>
    <s v="BU-ETD-TEMP"/>
    <n v="-3"/>
    <n v="-3"/>
    <x v="3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0356/000010"/>
    <n v="1370150109"/>
    <n v="10"/>
    <x v="52"/>
    <x v="52"/>
    <s v="P1"/>
    <n v="1500816820"/>
    <n v="107"/>
    <n v="816820"/>
    <s v="HB713101 HBL PREP'LINE 700W WHT FR                "/>
    <s v="S"/>
    <d v="2012-01-16T00:00:00"/>
    <m/>
    <s v="X"/>
    <x v="57"/>
    <n v="17.899999999999999"/>
    <n v="16"/>
    <d v="2012-02-07T00:00:00"/>
    <d v="2012-01-03T00:00:00"/>
    <n v="3060"/>
    <d v="2012-01-03T00:00:00"/>
    <n v="3060"/>
    <m/>
    <d v="2012-01-10T00:00:00"/>
    <n v="3060"/>
    <d v="2012-02-17T00:00:00"/>
    <d v="2012-01-13T00:00:00"/>
    <n v="3060"/>
    <n v="3060"/>
    <x v="9"/>
    <d v="2012-02-18T00:00:00"/>
    <m/>
    <n v="9321662993"/>
    <n v="10"/>
    <s v="MRKU3274462"/>
    <s v="CMA CGM A VESPUCCI/1"/>
    <m/>
    <s v="YANTIAN"/>
    <s v="SP-PROD-ISSUE/"/>
    <m/>
    <s v="JASON FAN"/>
    <s v="FO9"/>
    <s v="FOOD PREPARATION              "/>
    <s v="CONFIRMED"/>
    <n v="1"/>
    <n v="2"/>
    <d v="2012-01-14T00:00:00"/>
    <s v="KITCHEN ELECTRICS             "/>
    <s v="FOOD PREPARATION              "/>
    <x v="1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60256/000010"/>
    <n v="1370150092"/>
    <n v="10"/>
    <x v="62"/>
    <x v="62"/>
    <s v="R1"/>
    <n v="8000032434"/>
    <n v="55"/>
    <s v="BY104010       "/>
    <s v="BY104010 KET PRINCIPIO 1 BIS MLX FR               "/>
    <s v="S"/>
    <d v="2012-01-17T00:00:00"/>
    <m/>
    <s v="X"/>
    <x v="58"/>
    <n v="7.3"/>
    <n v="6"/>
    <d v="2012-02-08T00:00:00"/>
    <d v="2012-01-04T00:00:00"/>
    <n v="6912"/>
    <d v="2012-01-04T00:00:00"/>
    <n v="6912"/>
    <m/>
    <d v="2012-01-11T00:00:00"/>
    <n v="6912"/>
    <d v="2012-02-11T00:00:00"/>
    <d v="2012-01-07T00:00:00"/>
    <n v="6912"/>
    <n v="6912"/>
    <x v="17"/>
    <d v="2012-02-15T00:00:00"/>
    <m/>
    <n v="9321663365"/>
    <n v="10"/>
    <s v="MSKU6649836"/>
    <s v="GRETE MAERSK 121W/"/>
    <m/>
    <s v="YANTIAN"/>
    <m/>
    <m/>
    <s v="JASON FAN"/>
    <s v="FO9"/>
    <s v="BEVERAGE                      "/>
    <s v="CONFIRMED"/>
    <n v="1"/>
    <n v="2"/>
    <d v="2012-01-11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9242/000010"/>
    <n v="1370150103"/>
    <n v="10"/>
    <x v="22"/>
    <x v="22"/>
    <s v="N4"/>
    <n v="7211000344"/>
    <n v="177"/>
    <n v="211000344"/>
    <s v="FR404800 FRY FILTRA PRO I&amp;D 4L STAIN FR           "/>
    <s v="S"/>
    <d v="2012-01-07T00:00:00"/>
    <m/>
    <s v="X"/>
    <x v="58"/>
    <n v="37.351700000000001"/>
    <n v="29"/>
    <d v="2012-02-08T00:00:00"/>
    <d v="2012-01-04T00:00:00"/>
    <n v="1152"/>
    <d v="2012-01-04T00:00:00"/>
    <n v="1152"/>
    <m/>
    <d v="2012-01-01T00:00:00"/>
    <n v="1152"/>
    <d v="2012-02-05T00:00:00"/>
    <d v="2012-01-01T00:00:00"/>
    <n v="1152"/>
    <n v="1152"/>
    <x v="13"/>
    <d v="2012-02-05T00:00:00"/>
    <m/>
    <n v="9321663366"/>
    <n v="10"/>
    <s v="MSKU6588812"/>
    <s v="MAERSK ESSEN 1202/"/>
    <m/>
    <s v="NINGBO"/>
    <s v="LATE DOC FROM FORWARDER"/>
    <m/>
    <s v="JASON FAN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9240/000010"/>
    <n v="1370150089"/>
    <n v="10"/>
    <x v="22"/>
    <x v="22"/>
    <s v="N4"/>
    <n v="7211000344"/>
    <n v="177"/>
    <n v="211000344"/>
    <s v="FR404800 FRY FILTRA PRO I&amp;D 4L STAIN FR           "/>
    <s v="S"/>
    <d v="2012-01-07T00:00:00"/>
    <m/>
    <s v="X"/>
    <x v="58"/>
    <n v="37.351700000000001"/>
    <n v="29"/>
    <d v="2012-02-08T00:00:00"/>
    <d v="2012-01-04T00:00:00"/>
    <n v="1152"/>
    <d v="2012-01-04T00:00:00"/>
    <n v="1152"/>
    <m/>
    <d v="2012-01-01T00:00:00"/>
    <n v="1152"/>
    <d v="2012-02-05T00:00:00"/>
    <d v="2012-01-01T00:00:00"/>
    <n v="1152"/>
    <n v="1152"/>
    <x v="13"/>
    <d v="2012-02-05T00:00:00"/>
    <m/>
    <n v="9321663367"/>
    <n v="10"/>
    <s v="MSKU6079380"/>
    <s v="MAERSK ESSEN 1202/"/>
    <m/>
    <s v="NINGBO"/>
    <s v="LATE DOC FROM FORWARDER"/>
    <m/>
    <s v="JASON FAN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5600"/>
    <s v="GROUPE SEB CHILE                                  "/>
    <n v="99005600"/>
    <x v="32"/>
    <s v="860/000001"/>
    <n v="1370149851"/>
    <n v="10"/>
    <x v="2"/>
    <x v="2"/>
    <s v="R1"/>
    <n v="1500635466"/>
    <n v="27"/>
    <n v="635466"/>
    <s v="FG2115CL FCM CAPRIO 10/15C BLK CL                 "/>
    <s v="S"/>
    <d v="2012-01-18T00:00:00"/>
    <m/>
    <s v="X"/>
    <x v="58"/>
    <n v="10.119999999999999"/>
    <n v="12"/>
    <d v="2012-02-15T00:00:00"/>
    <d v="2012-01-04T00:00:00"/>
    <n v="1134"/>
    <d v="2012-01-04T00:00:00"/>
    <n v="1134"/>
    <m/>
    <d v="2011-12-29T00:00:00"/>
    <n v="1134"/>
    <d v="2012-02-28T00:00:00"/>
    <d v="2012-01-17T00:00:00"/>
    <n v="1134"/>
    <n v="1134"/>
    <x v="9"/>
    <d v="2012-02-25T00:00:00"/>
    <m/>
    <n v="9321663368"/>
    <n v="10"/>
    <s v="SUDU1854106"/>
    <s v="MAERSK LETICIA 150W/"/>
    <m/>
    <s v="YANTIAN"/>
    <s v="SP-PROD-ISSUE/TP MISSING"/>
    <m/>
    <s v="THOMAS HO"/>
    <s v="FO9"/>
    <s v="BEVERAGE                      "/>
    <s v="CONFIRMED"/>
    <n v="1"/>
    <n v="2"/>
    <d v="2012-01-14T00:00:00"/>
    <s v="KITCHEN ELECTRICS             "/>
    <s v="BREAKFAST &amp; BREVAGE PREP      "/>
    <x v="1"/>
    <x v="1"/>
    <x v="1"/>
    <m/>
    <n v="0"/>
    <n v="0"/>
    <x v="1"/>
    <n v="2"/>
    <x v="0"/>
    <x v="0"/>
    <x v="0"/>
    <n v="0"/>
    <n v="0"/>
    <n v="0"/>
    <n v="0"/>
    <n v="0"/>
    <n v="0"/>
    <x v="1"/>
    <x v="0"/>
    <x v="1"/>
    <x v="0"/>
  </r>
  <r>
    <s v="Shipment"/>
    <n v="99005600"/>
    <s v="GROUPE SEB CHILE                                  "/>
    <n v="99005600"/>
    <x v="32"/>
    <s v="866/000001"/>
    <n v="1370149855"/>
    <n v="10"/>
    <x v="60"/>
    <x v="60"/>
    <s v="L4"/>
    <n v="1830003886"/>
    <n v="5"/>
    <s v="CV3502V0       "/>
    <s v="CV3502V0 NOMAD HAIR DRYER                         "/>
    <s v="S"/>
    <d v="2012-01-10T00:00:00"/>
    <m/>
    <s v="X"/>
    <x v="58"/>
    <n v="4.91"/>
    <n v="6"/>
    <d v="2012-02-15T00:00:00"/>
    <d v="2012-01-04T00:00:00"/>
    <n v="3000"/>
    <d v="2012-01-04T00:00:00"/>
    <n v="3000"/>
    <m/>
    <d v="2012-01-04T00:00:00"/>
    <n v="3000"/>
    <d v="2012-02-15T00:00:00"/>
    <d v="2012-01-04T00:00:00"/>
    <n v="3000"/>
    <n v="3000"/>
    <x v="2"/>
    <d v="2012-02-15T00:00:00"/>
    <m/>
    <n v="9321663369"/>
    <n v="10"/>
    <s v="CCLU4707415"/>
    <s v="XIANG WANG 3036E/"/>
    <m/>
    <s v="NINGBO"/>
    <m/>
    <m/>
    <s v="THOMAS HO"/>
    <s v="FO9"/>
    <s v="PERSONAL CARE                 "/>
    <s v="CONFIRMED"/>
    <n v="1"/>
    <n v="1"/>
    <d v="2012-01-04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600"/>
    <s v="GROUPE SEB CHILE                                  "/>
    <n v="99005600"/>
    <x v="32"/>
    <s v="865/000001"/>
    <n v="1370149856"/>
    <n v="10"/>
    <x v="18"/>
    <x v="18"/>
    <s v="M5"/>
    <n v="2210016543"/>
    <n v="161"/>
    <s v="RO3463Y1       "/>
    <s v="RO3463Y1 VAC CLEANERCOMPACTEO CYCLONIC            "/>
    <s v="S"/>
    <d v="2012-01-10T00:00:00"/>
    <m/>
    <s v="X"/>
    <x v="58"/>
    <n v="32.56"/>
    <n v="38"/>
    <d v="2012-02-15T00:00:00"/>
    <d v="2012-01-04T00:00:00"/>
    <n v="730"/>
    <d v="2012-01-04T00:00:00"/>
    <n v="730"/>
    <m/>
    <d v="2012-01-04T00:00:00"/>
    <n v="730"/>
    <d v="2012-02-17T00:00:00"/>
    <d v="2012-01-06T00:00:00"/>
    <n v="730"/>
    <n v="730"/>
    <x v="7"/>
    <d v="2012-02-17T00:00:00"/>
    <m/>
    <n v="9321663370"/>
    <n v="10"/>
    <s v="MSKU5936343"/>
    <s v="CARSTEN MAERSK 1203/"/>
    <m/>
    <s v="SHANGHAI"/>
    <m/>
    <m/>
    <s v="THOMAS HO"/>
    <s v="FO9"/>
    <s v="HOME CLEANING                 "/>
    <s v="CONFIRMED"/>
    <n v="1"/>
    <n v="1"/>
    <d v="2012-01-06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5600"/>
    <s v="GROUPE SEB CHILE                                  "/>
    <n v="99005600"/>
    <x v="32"/>
    <s v="859/000001"/>
    <n v="1370149854"/>
    <n v="10"/>
    <x v="62"/>
    <x v="62"/>
    <s v="R1"/>
    <n v="1500635031"/>
    <n v="55"/>
    <n v="635031"/>
    <s v="BY104850 KET PRINCIPIO 1 BIS BLK 1.7L CL          "/>
    <s v="S"/>
    <d v="2012-01-16T00:00:00"/>
    <m/>
    <s v="X"/>
    <x v="58"/>
    <n v="7.5"/>
    <n v="9"/>
    <d v="2012-02-15T00:00:00"/>
    <d v="2012-01-04T00:00:00"/>
    <n v="3456"/>
    <d v="2012-01-04T00:00:00"/>
    <n v="3456"/>
    <m/>
    <d v="2012-01-04T00:00:00"/>
    <n v="3456"/>
    <d v="2012-02-15T00:00:00"/>
    <d v="2012-01-04T00:00:00"/>
    <n v="3456"/>
    <n v="3456"/>
    <x v="12"/>
    <d v="2012-02-18T00:00:00"/>
    <m/>
    <n v="9321663372"/>
    <n v="10"/>
    <s v="SUDU7539251"/>
    <s v="XING HANG 328 339B/"/>
    <m/>
    <s v="YANTIAN"/>
    <m/>
    <m/>
    <s v="THOMAS HO"/>
    <s v="FO9"/>
    <s v="BEVERAGE                      "/>
    <s v="CONFIRMED"/>
    <n v="1"/>
    <n v="1"/>
    <d v="2012-01-0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1570/000010"/>
    <n v="1370150041"/>
    <n v="10"/>
    <x v="26"/>
    <x v="26"/>
    <s v="P1"/>
    <n v="1500831593"/>
    <n v="105"/>
    <n v="831593"/>
    <s v="JU581131 JUI EASY FRUIT 700W PLAST WHT G          "/>
    <s v="S"/>
    <d v="2012-01-09T00:00:00"/>
    <m/>
    <s v="X"/>
    <x v="59"/>
    <n v="28.13"/>
    <n v="33"/>
    <d v="2012-01-05T00:00:00"/>
    <d v="2012-01-04T00:00:00"/>
    <n v="1164"/>
    <d v="2012-01-04T00:00:00"/>
    <n v="1164"/>
    <m/>
    <d v="2012-02-10T00:00:00"/>
    <n v="1164"/>
    <d v="2012-01-05T00:00:00"/>
    <d v="2012-01-04T00:00:00"/>
    <n v="1164"/>
    <n v="1164"/>
    <x v="2"/>
    <d v="2012-01-05T00:00:00"/>
    <m/>
    <n v="9321663469"/>
    <n v="10"/>
    <s v="BY TRUCK"/>
    <s v="BY TRUCK"/>
    <m/>
    <s v="YANTIAN"/>
    <s v="SP-BOTTLENECK/UNLOAD DEC26"/>
    <m/>
    <s v="ZANDRA LAM"/>
    <s v="FO9"/>
    <s v="FOOD PREPARATION              "/>
    <s v="CONFIRMED"/>
    <n v="1"/>
    <n v="1"/>
    <d v="2012-01-04T00:00:00"/>
    <s v="KITCHEN ELECTRICS             "/>
    <s v="FOOD PREPARATION              "/>
    <x v="1"/>
    <x v="1"/>
    <x v="6"/>
    <s v="SP-BOTTLENECK"/>
    <n v="1"/>
    <n v="1"/>
    <x v="16"/>
    <n v="2"/>
    <x v="0"/>
    <x v="1"/>
    <x v="1"/>
    <n v="1"/>
    <n v="0"/>
    <n v="1"/>
    <n v="0"/>
    <n v="0"/>
    <n v="1"/>
    <x v="0"/>
    <x v="0"/>
    <x v="1"/>
    <x v="1"/>
  </r>
  <r>
    <s v="Shipment"/>
    <n v="99103498"/>
    <s v="GSE/DSV BLP WAREHOUSE YANTIAN                     "/>
    <n v="99005151"/>
    <x v="18"/>
    <s v="9321661566/000010"/>
    <n v="1370150054"/>
    <n v="10"/>
    <x v="26"/>
    <x v="26"/>
    <s v="P1"/>
    <n v="1500831590"/>
    <n v="105"/>
    <n v="831590"/>
    <s v="JU585G31 JUI EASY FRUIT 700W RED/SS EUR           "/>
    <s v="S"/>
    <d v="2012-02-01T00:00:00"/>
    <m/>
    <s v="X"/>
    <x v="59"/>
    <n v="35.020000000000003"/>
    <n v="41"/>
    <d v="2012-01-18T00:00:00"/>
    <d v="2012-01-17T00:00:00"/>
    <n v="1164"/>
    <d v="2012-01-17T00:00:00"/>
    <n v="1164"/>
    <m/>
    <d v="2012-02-20T00:00:00"/>
    <n v="1164"/>
    <d v="2012-02-01T00:00:00"/>
    <d v="2012-01-31T00:00:00"/>
    <n v="1164"/>
    <n v="1164"/>
    <x v="20"/>
    <d v="2012-02-01T00:00:00"/>
    <m/>
    <n v="9321663470"/>
    <n v="10"/>
    <m/>
    <m/>
    <m/>
    <s v="YANTIAN"/>
    <s v="SP-PROD-ISSUE/SP-BOTTLENECK/"/>
    <m/>
    <s v="ZANDRA LAM"/>
    <s v="FO9"/>
    <s v="FOOD PREPARATION              "/>
    <s v="CONFIRMED"/>
    <n v="1"/>
    <n v="5"/>
    <d v="2012-01-31T00:00:00"/>
    <s v="KITCHEN ELECTRICS             "/>
    <s v="FOOD PREPARATION              "/>
    <x v="1"/>
    <x v="1"/>
    <x v="6"/>
    <s v="SP-BOTTLENECK"/>
    <n v="1"/>
    <n v="1"/>
    <x v="16"/>
    <n v="2"/>
    <x v="0"/>
    <x v="0"/>
    <x v="0"/>
    <n v="1"/>
    <n v="0"/>
    <n v="0"/>
    <n v="0"/>
    <n v="0"/>
    <n v="0"/>
    <x v="0"/>
    <x v="1"/>
    <x v="1"/>
    <x v="0"/>
  </r>
  <r>
    <s v="Shipment"/>
    <n v="99103498"/>
    <s v="GSE/DSV BLP WAREHOUSE YANTIAN                     "/>
    <n v="99005151"/>
    <x v="18"/>
    <s v="9321660957/000010"/>
    <n v="1370150060"/>
    <n v="10"/>
    <x v="26"/>
    <x v="26"/>
    <s v="P1"/>
    <n v="1500831372"/>
    <n v="105"/>
    <n v="831372"/>
    <s v="JU320172 JUI JU320 WHT/RED FR                     "/>
    <s v="S"/>
    <d v="2012-01-18T00:00:00"/>
    <m/>
    <s v="X"/>
    <x v="59"/>
    <n v="16.05"/>
    <n v="19"/>
    <d v="2012-02-09T00:00:00"/>
    <d v="2012-02-08T00:00:00"/>
    <n v="1628"/>
    <d v="2012-01-17T00:00:00"/>
    <n v="1628"/>
    <m/>
    <d v="2012-02-13T00:00:00"/>
    <n v="1628"/>
    <d v="2012-01-18T00:00:00"/>
    <d v="2012-01-17T00:00:00"/>
    <n v="1628"/>
    <n v="1628"/>
    <x v="19"/>
    <d v="2012-01-18T00:00:00"/>
    <m/>
    <n v="9321663472"/>
    <n v="10"/>
    <s v="BY TRUCK"/>
    <s v="BY TRUCK"/>
    <m/>
    <s v="SHENZHEN"/>
    <s v="C-PULLIN-CONF/UNLOAD JAN17"/>
    <m/>
    <s v="ZANDRA LAM"/>
    <s v="FO9"/>
    <s v="FOOD PREPARATION              "/>
    <s v="CONFIRMED"/>
    <n v="1"/>
    <n v="3"/>
    <d v="2012-01-17T00:00:00"/>
    <s v="KITCHEN ELECTRICS             "/>
    <s v="FOOD PREPARATION              "/>
    <x v="1"/>
    <x v="1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0949/000010"/>
    <n v="1370150062"/>
    <n v="10"/>
    <x v="52"/>
    <x v="52"/>
    <s v="P1"/>
    <n v="1500813267"/>
    <n v="104"/>
    <n v="813267"/>
    <s v="AR100G61 CFG 180W METAL RED SA                    "/>
    <s v="S"/>
    <d v="2012-01-17T00:00:00"/>
    <m/>
    <s v="X"/>
    <x v="59"/>
    <n v="11.01"/>
    <n v="13"/>
    <d v="2012-01-19T00:00:00"/>
    <d v="2012-01-18T00:00:00"/>
    <n v="3162"/>
    <d v="2012-01-18T00:00:00"/>
    <n v="3162"/>
    <m/>
    <d v="2012-01-18T00:00:00"/>
    <n v="3162"/>
    <d v="2012-01-15T00:00:00"/>
    <d v="2012-01-14T00:00:00"/>
    <n v="3162"/>
    <n v="3162"/>
    <x v="9"/>
    <d v="2012-01-15T00:00:00"/>
    <m/>
    <n v="9321663475"/>
    <n v="10"/>
    <s v="BY TRUCK"/>
    <s v="BY TRUCK"/>
    <m/>
    <s v="YANTIAN"/>
    <s v="SAILING-SCHED-UPDATE/"/>
    <m/>
    <s v="ZANDRA LAM"/>
    <s v="FO9"/>
    <s v="FOOD PREPARATION              "/>
    <s v="CONFIRMED"/>
    <n v="1"/>
    <n v="2"/>
    <d v="2012-01-14T00:00:00"/>
    <s v="KITCHEN ELECTRICS             "/>
    <s v="FOOD PREPARATION              "/>
    <x v="1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0948/000010"/>
    <n v="1370150063"/>
    <n v="10"/>
    <x v="22"/>
    <x v="22"/>
    <s v="P3"/>
    <n v="7211000598"/>
    <n v="36"/>
    <n v="211000598"/>
    <s v="LM2211BM BLD UNO 1.25L 1 ACC WHT MO               "/>
    <s v="S"/>
    <d v="2012-01-31T00:00:00"/>
    <m/>
    <s v="X"/>
    <x v="59"/>
    <n v="13.0976"/>
    <n v="14"/>
    <d v="2012-01-26T00:00:00"/>
    <d v="2012-01-12T00:00:00"/>
    <n v="1407"/>
    <d v="2012-01-05T00:00:00"/>
    <n v="1407"/>
    <m/>
    <d v="2012-01-13T00:00:00"/>
    <n v="1407"/>
    <d v="2012-01-20T00:00:00"/>
    <d v="2012-01-06T00:00:00"/>
    <n v="1407"/>
    <n v="1407"/>
    <x v="7"/>
    <d v="2012-01-20T00:00:00"/>
    <m/>
    <n v="9321663477"/>
    <n v="10"/>
    <s v="CCLU4457126"/>
    <s v="CSCL NINGBO V-0098S"/>
    <m/>
    <s v="NINGBO"/>
    <s v="CONS-SHIP/SHIP + ETD JAN05"/>
    <m/>
    <s v="ZANDRA LAM"/>
    <s v="FO9"/>
    <s v="FOOD PREPARATION              "/>
    <s v="CONFIRMED"/>
    <n v="1"/>
    <n v="1"/>
    <d v="2012-01-06T00:00:00"/>
    <s v="KITCHEN ELECTRICS             "/>
    <s v="FOOD PREPARATION              "/>
    <x v="0"/>
    <x v="0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56693/000010"/>
    <n v="1370148909"/>
    <n v="10"/>
    <x v="11"/>
    <x v="11"/>
    <s v="J4"/>
    <n v="1830003315"/>
    <n v="1"/>
    <s v="IM1230E0       "/>
    <s v="IM1230E0 STEAM IRON INICIO 30                     "/>
    <s v="S"/>
    <d v="2012-01-17T00:00:00"/>
    <m/>
    <s v="X"/>
    <x v="59"/>
    <n v="7.98"/>
    <n v="8"/>
    <d v="2012-01-16T00:00:00"/>
    <d v="2012-01-13T00:00:00"/>
    <n v="4320"/>
    <d v="2012-01-13T00:00:00"/>
    <n v="4320"/>
    <m/>
    <d v="2012-01-13T00:00:00"/>
    <n v="4320"/>
    <d v="2012-01-16T00:00:00"/>
    <d v="2012-01-13T00:00:00"/>
    <n v="4320"/>
    <n v="4320"/>
    <x v="24"/>
    <d v="2012-01-16T00:00:00"/>
    <m/>
    <n v="9321663478"/>
    <n v="10"/>
    <m/>
    <m/>
    <m/>
    <s v="XIAMEN"/>
    <m/>
    <m/>
    <s v="ZANDRA LAM"/>
    <s v="FO9"/>
    <s v="LINEN CARE                    "/>
    <s v="CONFIRMED"/>
    <n v="1"/>
    <n v="2"/>
    <d v="2012-01-13T00:00:00"/>
    <s v="LINEN PERS HOME CARE          "/>
    <s v="LINEN CARE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1578/000010"/>
    <n v="1370150042"/>
    <n v="10"/>
    <x v="26"/>
    <x v="26"/>
    <s v="P1"/>
    <n v="1500831598"/>
    <n v="105"/>
    <n v="831598"/>
    <s v="JU585G61 JUI EASY FRUIT 700W RED/SS SA            "/>
    <s v="S"/>
    <d v="2012-01-12T00:00:00"/>
    <m/>
    <s v="X"/>
    <x v="59"/>
    <n v="35.369999999999997"/>
    <n v="41"/>
    <d v="2012-01-05T00:00:00"/>
    <d v="2012-01-04T00:00:00"/>
    <n v="1164"/>
    <d v="2012-01-04T00:00:00"/>
    <n v="1164"/>
    <m/>
    <d v="2012-02-10T00:00:00"/>
    <n v="1164"/>
    <d v="2012-01-05T00:00:00"/>
    <d v="2012-01-04T00:00:00"/>
    <n v="1164"/>
    <n v="1164"/>
    <x v="5"/>
    <d v="2012-01-11T00:00:00"/>
    <m/>
    <n v="9321663479"/>
    <n v="10"/>
    <s v="BY TRUCK"/>
    <s v="BY TRUCK"/>
    <m/>
    <s v="YANTIAN"/>
    <s v="SP-BOTTLENECK/UNLOAD JAN10"/>
    <m/>
    <s v="ZANDRA LAM"/>
    <s v="FO9"/>
    <s v="FOOD PREPARATION              "/>
    <s v="CONFIRMED"/>
    <n v="1"/>
    <n v="2"/>
    <d v="2012-01-10T00:00:00"/>
    <s v="KITCHEN ELECTRICS             "/>
    <s v="FOOD PREPARATION              "/>
    <x v="1"/>
    <x v="1"/>
    <x v="6"/>
    <s v="SP-BOTTLENECK"/>
    <n v="1"/>
    <n v="1"/>
    <x v="16"/>
    <n v="2"/>
    <x v="0"/>
    <x v="1"/>
    <x v="1"/>
    <n v="1"/>
    <n v="0"/>
    <n v="1"/>
    <n v="0"/>
    <n v="0"/>
    <n v="1"/>
    <x v="0"/>
    <x v="0"/>
    <x v="1"/>
    <x v="1"/>
  </r>
  <r>
    <s v="Shipment"/>
    <n v="99003700"/>
    <s v="SEB ASIA LTD                                      "/>
    <n v="99003700"/>
    <x v="7"/>
    <s v="SAS-10-326/HKG/"/>
    <n v="1370150556"/>
    <n v="30"/>
    <x v="30"/>
    <x v="30"/>
    <s v="N4"/>
    <n v="7211000643"/>
    <n v="39"/>
    <n v="211000643"/>
    <s v="RK704E70 RC FUZZY 8C LOGIC LCD SS HK              "/>
    <s v="S"/>
    <d v="2012-01-05T00:00:00"/>
    <m/>
    <s v="X"/>
    <x v="59"/>
    <n v="43.453800000000001"/>
    <n v="25"/>
    <d v="2011-12-23T00:00:00"/>
    <d v="2011-12-23T00:00:00"/>
    <n v="500"/>
    <d v="2012-01-04T00:00:00"/>
    <n v="500"/>
    <m/>
    <d v="2012-01-11T00:00:00"/>
    <n v="500"/>
    <d v="2012-01-04T00:00:00"/>
    <d v="2012-01-04T00:00:00"/>
    <n v="500"/>
    <n v="500"/>
    <x v="2"/>
    <d v="2012-01-04T00:00:00"/>
    <m/>
    <n v="9321663488"/>
    <n v="30"/>
    <s v="OOLU1365680"/>
    <s v="OOCL CANADA"/>
    <m/>
    <s v="NINGBO"/>
    <s v="C-PULL IN CONF/SP-OVERCAP"/>
    <m/>
    <s v="THOMAS HO"/>
    <s v="FO9"/>
    <s v="ELECTRICAL COOKING            "/>
    <s v="CONFIRMED"/>
    <n v="1"/>
    <n v="1"/>
    <d v="2012-01-04T00:00:00"/>
    <s v="KITCHEN ELECTRICS             "/>
    <s v="ELECTRICAL COOKING            "/>
    <x v="0"/>
    <x v="0"/>
    <x v="11"/>
    <s v="SP-OVERCAP"/>
    <n v="-3"/>
    <n v="-3"/>
    <x v="9"/>
    <n v="2"/>
    <x v="0"/>
    <x v="0"/>
    <x v="1"/>
    <n v="1"/>
    <n v="0"/>
    <n v="1"/>
    <n v="0"/>
    <n v="0"/>
    <n v="1"/>
    <x v="0"/>
    <x v="0"/>
    <x v="1"/>
    <x v="1"/>
  </r>
  <r>
    <s v="Shipment"/>
    <n v="99002901"/>
    <s v="GROUPE SEB CENTRAL EUROPE KFT.                    "/>
    <n v="99002901"/>
    <x v="29"/>
    <s v="4500261651/000010"/>
    <n v="1370148646"/>
    <n v="10"/>
    <x v="17"/>
    <x v="17"/>
    <s v="L4"/>
    <n v="1830003077"/>
    <n v="5"/>
    <s v="CV4930F0       "/>
    <s v="CV4930F0 POWERLINE HAIR DRYER                     "/>
    <s v="S"/>
    <d v="2012-01-16T00:00:00"/>
    <m/>
    <s v="X"/>
    <x v="59"/>
    <n v="8.2799999999999994"/>
    <n v="2039"/>
    <d v="2012-02-10T00:00:00"/>
    <d v="2012-01-06T00:00:00"/>
    <n v="3000"/>
    <d v="2012-01-06T00:00:00"/>
    <n v="3000"/>
    <m/>
    <d v="2012-01-13T00:00:00"/>
    <n v="3000"/>
    <d v="2012-02-18T00:00:00"/>
    <d v="2012-01-14T00:00:00"/>
    <n v="3000"/>
    <n v="3000"/>
    <x v="9"/>
    <d v="2012-02-18T00:00:00"/>
    <m/>
    <n v="9321663492"/>
    <n v="10"/>
    <s v="POCU7004925"/>
    <s v="CMA CGM BALZAC/1202"/>
    <m/>
    <s v="YANTIAN"/>
    <s v="SAILING-SCHED-UPDATE/ CONS-SHIPT/SP-NO-FORECAST/"/>
    <m/>
    <s v="KENUS WONG"/>
    <s v="FO9"/>
    <s v="PERSONAL CARE                 "/>
    <s v="CONFIRMED"/>
    <n v="1"/>
    <n v="2"/>
    <d v="2012-01-14T00:00:00"/>
    <s v="LINEN PERS HOME CARE          "/>
    <s v="PERSONAL CARE                 "/>
    <x v="3"/>
    <x v="2"/>
    <x v="14"/>
    <s v="SP-NO-FORECAST"/>
    <n v="-3"/>
    <n v="-3"/>
    <x v="15"/>
    <n v="3"/>
    <x v="0"/>
    <x v="0"/>
    <x v="0"/>
    <n v="0"/>
    <n v="0"/>
    <n v="0"/>
    <n v="0"/>
    <n v="0"/>
    <n v="0"/>
    <x v="1"/>
    <x v="0"/>
    <x v="1"/>
    <x v="0"/>
  </r>
  <r>
    <s v="Shipment"/>
    <n v="99002901"/>
    <s v="GROUPE SEB CENTRAL EUROPE KFT.                    "/>
    <n v="99002901"/>
    <x v="29"/>
    <s v="4500262624/000010"/>
    <n v="1370149837"/>
    <n v="10"/>
    <x v="17"/>
    <x v="17"/>
    <s v="L4"/>
    <n v="1830003898"/>
    <n v="5"/>
    <s v="CV8655D0       "/>
    <s v="CV8655D0 HAIR DRYER AC MOTOR INIFINIPRO           "/>
    <s v="S"/>
    <d v="2012-01-21T00:00:00"/>
    <m/>
    <s v="X"/>
    <x v="59"/>
    <n v="13.22"/>
    <n v="3407"/>
    <d v="2012-02-10T00:00:00"/>
    <d v="2012-01-06T00:00:00"/>
    <n v="1000"/>
    <d v="2012-01-19T00:00:00"/>
    <n v="1000"/>
    <m/>
    <m/>
    <m/>
    <d v="2012-02-25T00:00:00"/>
    <d v="2012-01-21T00:00:00"/>
    <n v="1000"/>
    <n v="500"/>
    <x v="26"/>
    <d v="2012-02-25T00:00:00"/>
    <m/>
    <n v="9321663494"/>
    <n v="10"/>
    <s v="MSKU6018403"/>
    <s v="MAERSK EINDHOVEN/120"/>
    <m/>
    <s v="HONG KONG"/>
    <s v="CONS-SHIPT/CONS-SHIPT/SP-NO-FORECAST/"/>
    <m/>
    <s v="KENUS WONG"/>
    <s v="FO9"/>
    <s v="PERSONAL CARE                 "/>
    <s v="CONFIRMED"/>
    <n v="1"/>
    <n v="3"/>
    <d v="2012-01-21T00:00:00"/>
    <s v="LINEN PERS HOME CARE          "/>
    <s v="PERSONAL CARE                 "/>
    <x v="3"/>
    <x v="2"/>
    <x v="10"/>
    <s v="CONS-SHIPT"/>
    <n v="-3"/>
    <n v="-3"/>
    <x v="8"/>
    <n v="3"/>
    <x v="0"/>
    <x v="0"/>
    <x v="0"/>
    <n v="0"/>
    <n v="0"/>
    <n v="1"/>
    <n v="0"/>
    <n v="0"/>
    <n v="1"/>
    <x v="0"/>
    <x v="0"/>
    <x v="1"/>
    <x v="1"/>
  </r>
  <r>
    <s v="Shipment"/>
    <n v="99002901"/>
    <s v="GROUPE SEB CENTRAL EUROPE KFT.                    "/>
    <n v="99002901"/>
    <x v="29"/>
    <s v="4500262624/000010"/>
    <n v="1370149837"/>
    <n v="10"/>
    <x v="17"/>
    <x v="17"/>
    <s v="L4"/>
    <n v="1830003898"/>
    <n v="5"/>
    <s v="CV8655D0       "/>
    <s v="CV8655D0 HAIR DRYER AC MOTOR INIFINIPRO           "/>
    <s v="S"/>
    <d v="2012-01-16T00:00:00"/>
    <m/>
    <s v="X"/>
    <x v="59"/>
    <n v="13.22"/>
    <n v="3407"/>
    <d v="2012-02-10T00:00:00"/>
    <d v="2012-01-06T00:00:00"/>
    <n v="1000"/>
    <d v="2012-01-19T00:00:00"/>
    <n v="1000"/>
    <m/>
    <m/>
    <m/>
    <d v="2012-02-25T00:00:00"/>
    <d v="2012-01-21T00:00:00"/>
    <n v="1000"/>
    <n v="500"/>
    <x v="9"/>
    <d v="2012-02-18T00:00:00"/>
    <m/>
    <n v="9321663494"/>
    <n v="10"/>
    <s v="POCU7004925"/>
    <s v="CMA CGM BALZAC/1202"/>
    <m/>
    <s v="HONG KONG"/>
    <s v="CONS-SHIPT/CONS-SHIPT/SP-NO-FORECAST/"/>
    <m/>
    <s v="KENUS WONG"/>
    <s v="FO9"/>
    <s v="PERSONAL CARE                 "/>
    <s v="CONFIRMED"/>
    <n v="1"/>
    <n v="2"/>
    <d v="2012-01-14T00:00:00"/>
    <s v="LINEN PERS HOME CARE          "/>
    <s v="PERSONAL CARE                 "/>
    <x v="3"/>
    <x v="2"/>
    <x v="10"/>
    <s v="CONS-SHIPT"/>
    <n v="-3"/>
    <n v="-3"/>
    <x v="8"/>
    <n v="3"/>
    <x v="0"/>
    <x v="0"/>
    <x v="0"/>
    <n v="0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61802/000010"/>
    <n v="1370150015"/>
    <n v="10"/>
    <x v="61"/>
    <x v="61"/>
    <s v="L2"/>
    <n v="2100062621"/>
    <n v="54"/>
    <s v="PP1201V0       "/>
    <s v="PP1201V0 BATHROOM SCALES PREMIO LILAC TE          "/>
    <s v="S"/>
    <d v="2012-01-04T00:00:00"/>
    <m/>
    <s v="X"/>
    <x v="59"/>
    <n v="7.13"/>
    <n v="264"/>
    <d v="2012-02-27T00:00:00"/>
    <d v="2012-01-09T00:00:00"/>
    <n v="1000"/>
    <d v="2011-12-30T00:00:00"/>
    <n v="1000"/>
    <m/>
    <d v="2012-01-09T00:00:00"/>
    <n v="1000"/>
    <d v="2012-02-17T00:00:00"/>
    <d v="2011-12-30T00:00:00"/>
    <n v="1000"/>
    <n v="1000"/>
    <x v="16"/>
    <d v="2012-02-21T00:00:00"/>
    <m/>
    <n v="9321663592"/>
    <n v="10"/>
    <s v="FCIU8796321"/>
    <s v="APL RUSSIA/020W"/>
    <m/>
    <s v="SHANGHAI"/>
    <s v="CONS-SHIPT/TP ISSUE"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6"/>
    <x v="2"/>
    <x v="10"/>
    <s v="CONS-SHIPT"/>
    <n v="-3"/>
    <n v="-3"/>
    <x v="8"/>
    <n v="2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694/000010"/>
    <n v="1370149250"/>
    <n v="10"/>
    <x v="8"/>
    <x v="8"/>
    <s v="L4"/>
    <n v="1830003199"/>
    <n v="175"/>
    <s v="CF8222C4       "/>
    <s v="CF8222C4 HAIR BRUSH 1000W                         "/>
    <s v="S"/>
    <d v="2012-01-10T00:00:00"/>
    <m/>
    <s v="X"/>
    <x v="59"/>
    <n v="11.99"/>
    <n v="10"/>
    <d v="2012-02-10T00:00:00"/>
    <d v="2012-01-06T00:00:00"/>
    <n v="1002"/>
    <d v="2012-01-06T00:00:00"/>
    <n v="1002"/>
    <m/>
    <d v="2012-01-06T00:00:00"/>
    <n v="1002"/>
    <d v="2012-02-10T00:00:00"/>
    <d v="2012-01-06T00:00:00"/>
    <n v="1002"/>
    <n v="1002"/>
    <x v="2"/>
    <d v="2012-02-08T00:00:00"/>
    <m/>
    <n v="9321663783"/>
    <n v="10"/>
    <s v="PONU1836984"/>
    <s v="MAREN MAERSK"/>
    <m/>
    <s v="SHEKOU"/>
    <m/>
    <m/>
    <s v="JASON FAN"/>
    <s v="FO9"/>
    <s v="PERSONAL CARE                 "/>
    <s v="CONFIRMED"/>
    <n v="1"/>
    <n v="1"/>
    <d v="2012-01-04T00:00:00"/>
    <s v="LINEN PERS HOME CARE          "/>
    <s v="PERSONAL CARE   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2061/000010"/>
    <n v="1370150105"/>
    <n v="10"/>
    <x v="33"/>
    <x v="33"/>
    <s v="R1"/>
    <n v="8000033613"/>
    <n v="27"/>
    <s v="KM505510       "/>
    <s v="KM505510 FCM PRECISION BLK EUR                    "/>
    <s v="S"/>
    <d v="2012-01-10T00:00:00"/>
    <m/>
    <s v="X"/>
    <x v="59"/>
    <n v="26.71"/>
    <n v="23"/>
    <d v="2012-02-10T00:00:00"/>
    <d v="2012-01-06T00:00:00"/>
    <n v="1056"/>
    <d v="2012-01-06T00:00:00"/>
    <n v="1056"/>
    <m/>
    <d v="2012-01-06T00:00:00"/>
    <n v="1056"/>
    <d v="2012-02-10T00:00:00"/>
    <d v="2012-01-06T00:00:00"/>
    <n v="1056"/>
    <n v="1056"/>
    <x v="7"/>
    <d v="2012-02-10T00:00:00"/>
    <m/>
    <n v="9321663807"/>
    <n v="10"/>
    <s v="UESU4153325"/>
    <s v="MAERSK ESSEN 1202/"/>
    <m/>
    <s v="YANTIAN"/>
    <m/>
    <m/>
    <s v="JASON FAN"/>
    <s v="FO9"/>
    <s v="BEVERAGE                      "/>
    <s v="CONFIRMED"/>
    <n v="1"/>
    <n v="1"/>
    <d v="2012-01-06T00:00:00"/>
    <s v="KITCHEN ELECTRICS             "/>
    <s v="BREAKFAST &amp; BREVAGE PREP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1169/000010"/>
    <n v="1370150390"/>
    <n v="10"/>
    <x v="58"/>
    <x v="58"/>
    <s v="A3"/>
    <n v="2100043520"/>
    <n v="231"/>
    <n v="68206"/>
    <s v="68206 COMM SPRINGFORM PAN 12 CUP LT GRAY          "/>
    <s v="S"/>
    <d v="2012-01-19T00:00:00"/>
    <m/>
    <s v="X"/>
    <x v="57"/>
    <n v="2.2999999999999998"/>
    <n v="3"/>
    <d v="2012-02-20T00:00:00"/>
    <d v="2012-01-16T00:00:00"/>
    <n v="1000"/>
    <d v="2012-01-16T00:00:00"/>
    <n v="1200"/>
    <m/>
    <d v="2012-01-16T00:00:00"/>
    <n v="1302"/>
    <d v="2012-02-20T00:00:00"/>
    <d v="2012-01-16T00:00:00"/>
    <n v="1200"/>
    <n v="1200"/>
    <x v="19"/>
    <d v="2012-02-21T00:00:00"/>
    <m/>
    <n v="9321664647"/>
    <n v="10"/>
    <s v="HLXU6426145"/>
    <s v="NYK NEBULA 25E02/"/>
    <m/>
    <s v="YANTIAN"/>
    <s v="CONS-SHIPT/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1167/000010"/>
    <n v="1370150226"/>
    <n v="10"/>
    <x v="58"/>
    <x v="58"/>
    <s v="A3"/>
    <n v="2100043517"/>
    <n v="231"/>
    <n v="68203"/>
    <s v="68203 COMM LOAF PAN LT GRAY (6)                   "/>
    <s v="S"/>
    <d v="2012-01-19T00:00:00"/>
    <m/>
    <s v="X"/>
    <x v="57"/>
    <n v="1.58"/>
    <n v="2"/>
    <d v="2012-03-01T00:00:00"/>
    <d v="2012-01-26T00:00:00"/>
    <n v="1000"/>
    <d v="2012-01-16T00:00:00"/>
    <n v="1200"/>
    <m/>
    <d v="2012-02-02T00:00:00"/>
    <n v="1000"/>
    <d v="2012-02-20T00:00:00"/>
    <d v="2012-01-16T00:00:00"/>
    <n v="1200"/>
    <n v="1200"/>
    <x v="19"/>
    <d v="2012-02-21T00:00:00"/>
    <m/>
    <n v="9321664648"/>
    <n v="10"/>
    <s v="HLXU6426145"/>
    <s v="NYK NEBULA 25E02/"/>
    <m/>
    <s v="YANTIAN"/>
    <s v="CONS-SHIPT/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42/000010"/>
    <n v="1370148300"/>
    <n v="10"/>
    <x v="58"/>
    <x v="58"/>
    <s v="A3"/>
    <n v="2100066690"/>
    <n v="231"/>
    <s v="J0875664       "/>
    <s v="J0875664 OBLONG CAKE 23X36 STEEL COMM GR          "/>
    <s v="S"/>
    <d v="2012-01-19T00:00:00"/>
    <m/>
    <s v="X"/>
    <x v="52"/>
    <n v="1.75"/>
    <n v="3"/>
    <d v="2012-02-05T00:00:00"/>
    <d v="2012-01-01T00:00:00"/>
    <n v="1000"/>
    <d v="2012-01-16T00:00:00"/>
    <n v="1200"/>
    <m/>
    <d v="2012-01-16T00:00:00"/>
    <n v="1302"/>
    <d v="2012-02-20T00:00:00"/>
    <d v="2012-01-16T00:00:00"/>
    <n v="1200"/>
    <n v="1200"/>
    <x v="19"/>
    <d v="2012-02-21T00:00:00"/>
    <m/>
    <n v="9321664649"/>
    <n v="10"/>
    <s v="HLXU6426145"/>
    <s v="NYK NEBULA 25E02/"/>
    <m/>
    <s v="YANTIAN"/>
    <s v="CONS-SHIPT/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141/000010"/>
    <n v="1370148172"/>
    <n v="10"/>
    <x v="58"/>
    <x v="58"/>
    <s v="A3"/>
    <n v="2100066688"/>
    <n v="231"/>
    <s v="J0875064       "/>
    <s v="J0875064 12 MUFFINS 35X27 STEEL COMM GRE          "/>
    <s v="S"/>
    <d v="2012-01-19T00:00:00"/>
    <m/>
    <s v="X"/>
    <x v="52"/>
    <n v="2.08"/>
    <n v="3"/>
    <d v="2012-02-05T00:00:00"/>
    <d v="2012-01-01T00:00:00"/>
    <n v="1000"/>
    <d v="2012-01-16T00:00:00"/>
    <n v="1200"/>
    <m/>
    <d v="2012-01-16T00:00:00"/>
    <n v="1302"/>
    <d v="2012-02-20T00:00:00"/>
    <d v="2012-01-16T00:00:00"/>
    <n v="1200"/>
    <n v="1200"/>
    <x v="19"/>
    <d v="2012-02-21T00:00:00"/>
    <m/>
    <n v="9321664650"/>
    <n v="10"/>
    <s v="HLXU6426145"/>
    <s v="NYK NEBULA 25E02/"/>
    <m/>
    <s v="YANTIAN"/>
    <s v="CONS-SHIPT/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138/000010"/>
    <n v="1370148174"/>
    <n v="10"/>
    <x v="58"/>
    <x v="58"/>
    <s v="A3"/>
    <n v="2100066693"/>
    <n v="231"/>
    <s v="J0875364       "/>
    <s v="J0875364 LOAF PAN 24X14 STEEL COMM GREY           "/>
    <s v="S"/>
    <d v="2012-01-19T00:00:00"/>
    <m/>
    <s v="X"/>
    <x v="52"/>
    <n v="1.0900000000000001"/>
    <n v="2"/>
    <d v="2012-02-05T00:00:00"/>
    <d v="2012-01-01T00:00:00"/>
    <n v="1000"/>
    <d v="2012-01-16T00:00:00"/>
    <n v="1200"/>
    <m/>
    <d v="2012-01-16T00:00:00"/>
    <n v="1302"/>
    <d v="2012-02-20T00:00:00"/>
    <d v="2012-01-16T00:00:00"/>
    <n v="1200"/>
    <n v="1200"/>
    <x v="19"/>
    <d v="2012-02-21T00:00:00"/>
    <m/>
    <n v="9321664651"/>
    <n v="10"/>
    <s v="HLXU6426145"/>
    <s v="NYK NEBULA 25E02/"/>
    <m/>
    <s v="YANTIAN"/>
    <s v="CONS-SHIPT/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140/000010"/>
    <n v="1370148109"/>
    <n v="10"/>
    <x v="58"/>
    <x v="58"/>
    <s v="A3"/>
    <n v="2100066689"/>
    <n v="231"/>
    <s v="J0875264       "/>
    <s v="J0875264 SQUARE CAKE 23X23 STEEL COMM GR          "/>
    <s v="S"/>
    <d v="2012-01-19T00:00:00"/>
    <m/>
    <s v="X"/>
    <x v="52"/>
    <n v="1.1499999999999999"/>
    <n v="2"/>
    <d v="2012-02-05T00:00:00"/>
    <d v="2012-01-01T00:00:00"/>
    <n v="1000"/>
    <d v="2012-01-16T00:00:00"/>
    <n v="1200"/>
    <m/>
    <d v="2012-01-16T00:00:00"/>
    <n v="1302"/>
    <d v="2012-02-20T00:00:00"/>
    <d v="2012-01-16T00:00:00"/>
    <n v="1200"/>
    <n v="1200"/>
    <x v="19"/>
    <d v="2012-02-21T00:00:00"/>
    <m/>
    <n v="9321664652"/>
    <n v="10"/>
    <s v="HLXU6426145"/>
    <s v="NYK NEBULA 25E02/"/>
    <m/>
    <s v="YANTIAN"/>
    <s v="CONS-SHIPT/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151/000010"/>
    <n v="1370148110"/>
    <n v="10"/>
    <x v="58"/>
    <x v="58"/>
    <s v="A3"/>
    <n v="2100066696"/>
    <n v="231"/>
    <s v="J0871064       "/>
    <s v="J0871064 PIZZA 40 STEEL COMMERC GREY T-F          "/>
    <s v="S"/>
    <d v="2012-01-19T00:00:00"/>
    <m/>
    <s v="X"/>
    <x v="52"/>
    <n v="1.94"/>
    <n v="3"/>
    <d v="2012-02-05T00:00:00"/>
    <d v="2012-01-01T00:00:00"/>
    <n v="1000"/>
    <d v="2012-01-16T00:00:00"/>
    <n v="1200"/>
    <m/>
    <d v="2012-01-16T00:00:00"/>
    <n v="1302"/>
    <d v="2012-02-20T00:00:00"/>
    <d v="2012-01-16T00:00:00"/>
    <n v="1200"/>
    <n v="1200"/>
    <x v="19"/>
    <d v="2012-02-21T00:00:00"/>
    <m/>
    <n v="9321664654"/>
    <n v="10"/>
    <s v="HLXU6426145"/>
    <s v="NYK NEBULA 25E02/"/>
    <m/>
    <s v="YANTIAN"/>
    <s v="CONS-SHIPT/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53009/000010"/>
    <n v="1370148229"/>
    <n v="10"/>
    <x v="58"/>
    <x v="58"/>
    <s v="A3"/>
    <n v="2100055077"/>
    <n v="231"/>
    <s v="J0965664       "/>
    <s v="J0965664 SOFT GRIP NS CAKE PAN 14&quot;X9&quot;             "/>
    <s v="S"/>
    <d v="2012-01-19T00:00:00"/>
    <m/>
    <s v="X"/>
    <x v="52"/>
    <n v="2.93"/>
    <n v="4"/>
    <d v="2012-02-12T00:00:00"/>
    <d v="2012-01-08T00:00:00"/>
    <n v="1302"/>
    <d v="2012-01-16T00:00:00"/>
    <n v="1200"/>
    <m/>
    <d v="2012-01-16T00:00:00"/>
    <n v="1304"/>
    <d v="2012-02-20T00:00:00"/>
    <d v="2012-01-16T00:00:00"/>
    <n v="1200"/>
    <n v="1200"/>
    <x v="19"/>
    <d v="2012-02-21T00:00:00"/>
    <m/>
    <n v="9321664655"/>
    <n v="10"/>
    <s v="HLXU6426145"/>
    <s v="NYK NEBULA 25E02/"/>
    <m/>
    <s v="YANTIAN"/>
    <s v="CONS-SHIPT/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1"/>
    <n v="0"/>
    <n v="1"/>
    <n v="0"/>
    <n v="0"/>
    <n v="1"/>
    <x v="0"/>
    <x v="0"/>
    <x v="1"/>
    <x v="1"/>
  </r>
  <r>
    <s v="Shipment"/>
    <n v="99003203"/>
    <s v="CANADIAN TIRE CORPORATION LTD                     "/>
    <n v="99003200"/>
    <x v="27"/>
    <s v="22584/039762"/>
    <n v="1370150779"/>
    <n v="10"/>
    <x v="0"/>
    <x v="0"/>
    <s v="A1"/>
    <n v="2100059672"/>
    <n v="201"/>
    <n v="115002630"/>
    <s v="A8048254 STP30+LID J STR N/S BLACK TH3 M          "/>
    <s v="S"/>
    <d v="2012-02-01T00:00:00"/>
    <m/>
    <s v="X"/>
    <x v="60"/>
    <n v="10.126899999999999"/>
    <n v="11"/>
    <d v="2012-01-03T00:00:00"/>
    <d v="2012-01-03T00:00:00"/>
    <n v="3024"/>
    <d v="2012-01-17T00:00:00"/>
    <n v="3024"/>
    <m/>
    <d v="2012-01-03T00:00:00"/>
    <n v="3024"/>
    <d v="2012-01-23T00:00:00"/>
    <d v="2012-01-23T00:00:00"/>
    <n v="3024"/>
    <n v="3024"/>
    <x v="1"/>
    <d v="2012-01-23T00:00:00"/>
    <m/>
    <n v="9321664663"/>
    <n v="10"/>
    <s v="EGHU1024925"/>
    <s v="EVER URSULA"/>
    <m/>
    <s v="NINGBO"/>
    <s v="C-POST-CONF/"/>
    <m/>
    <s v="TWEETY LEUNG"/>
    <s v="FO9"/>
    <s v="COOKWARE                      "/>
    <s v="CONFIRMED"/>
    <n v="1"/>
    <n v="4"/>
    <d v="2012-01-23T00:00:00"/>
    <s v="COOKWARE                      "/>
    <s v="COOKWARE                      "/>
    <x v="0"/>
    <x v="0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83/039761"/>
    <n v="1370150746"/>
    <n v="10"/>
    <x v="37"/>
    <x v="37"/>
    <s v="N3"/>
    <n v="1500632019"/>
    <n v="177"/>
    <n v="632019"/>
    <s v="FR701350 EZ CLEAN  INOX &amp; DESIGN                  "/>
    <s v="S"/>
    <d v="2012-01-06T00:00:00"/>
    <m/>
    <s v="X"/>
    <x v="60"/>
    <n v="38.79"/>
    <n v="47"/>
    <d v="2012-02-10T00:00:00"/>
    <d v="2012-01-13T00:00:00"/>
    <n v="4400"/>
    <d v="2012-01-07T00:00:00"/>
    <n v="4400"/>
    <m/>
    <d v="2011-12-31T00:00:00"/>
    <n v="4400"/>
    <d v="2012-01-29T00:00:00"/>
    <d v="2012-01-01T00:00:00"/>
    <n v="4400"/>
    <n v="1100"/>
    <x v="2"/>
    <d v="2012-02-01T00:00:00"/>
    <m/>
    <n v="9321664664"/>
    <n v="10"/>
    <s v="OOLU8650545"/>
    <s v="ZIM CHICAGO/10E/"/>
    <m/>
    <s v="SHENZHEN"/>
    <s v="C-POST-CONF( JAN 01 TO 07 2012)"/>
    <m/>
    <s v="TWEETY LEUNG"/>
    <s v="FO9"/>
    <s v="ELECTRICAL COOKING            "/>
    <s v="CONFIRMED"/>
    <n v="1"/>
    <n v="1"/>
    <d v="2012-01-04T00:00:00"/>
    <s v="KITCHEN ELECTRICS             "/>
    <s v="ELECTRICAL COOKING            "/>
    <x v="1"/>
    <x v="1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3221"/>
    <s v="GROUPE SEB CANADA INC                             "/>
    <n v="99003200"/>
    <x v="27"/>
    <s v="22583/039761"/>
    <n v="1370150746"/>
    <n v="10"/>
    <x v="37"/>
    <x v="37"/>
    <s v="N3"/>
    <n v="1500632019"/>
    <n v="177"/>
    <n v="632019"/>
    <s v="FR701350 EZ CLEAN  INOX &amp; DESIGN                  "/>
    <s v="S"/>
    <d v="2012-01-06T00:00:00"/>
    <m/>
    <s v="X"/>
    <x v="60"/>
    <n v="38.79"/>
    <n v="47"/>
    <d v="2012-02-10T00:00:00"/>
    <d v="2012-01-13T00:00:00"/>
    <n v="4400"/>
    <d v="2012-01-07T00:00:00"/>
    <n v="4400"/>
    <m/>
    <d v="2011-12-31T00:00:00"/>
    <n v="4400"/>
    <d v="2012-01-29T00:00:00"/>
    <d v="2012-01-01T00:00:00"/>
    <n v="4400"/>
    <n v="1100"/>
    <x v="2"/>
    <d v="2012-02-01T00:00:00"/>
    <m/>
    <n v="9321664664"/>
    <n v="10"/>
    <s v="OOLU8747772"/>
    <s v="ZIM CHICAGO/10E/"/>
    <m/>
    <s v="SHENZHEN"/>
    <s v="C-POST-CONF( JAN 01 TO 07 2012)"/>
    <m/>
    <s v="TWEETY LEUNG"/>
    <s v="FO9"/>
    <s v="ELECTRICAL COOKING            "/>
    <s v="CONFIRMED"/>
    <n v="1"/>
    <n v="1"/>
    <d v="2012-01-04T00:00:00"/>
    <s v="KITCHEN ELECTRICS             "/>
    <s v="ELECTRICAL COOKING            "/>
    <x v="1"/>
    <x v="1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3221"/>
    <s v="GROUPE SEB CANADA INC                             "/>
    <n v="99003200"/>
    <x v="27"/>
    <s v="22583/039761"/>
    <n v="1370150746"/>
    <n v="10"/>
    <x v="37"/>
    <x v="37"/>
    <s v="N3"/>
    <n v="1500632019"/>
    <n v="177"/>
    <n v="632019"/>
    <s v="FR701350 EZ CLEAN  INOX &amp; DESIGN                  "/>
    <s v="S"/>
    <d v="2012-01-06T00:00:00"/>
    <m/>
    <s v="X"/>
    <x v="60"/>
    <n v="38.79"/>
    <n v="47"/>
    <d v="2012-02-10T00:00:00"/>
    <d v="2012-01-13T00:00:00"/>
    <n v="4400"/>
    <d v="2012-01-07T00:00:00"/>
    <n v="4400"/>
    <m/>
    <d v="2011-12-31T00:00:00"/>
    <n v="4400"/>
    <d v="2012-01-29T00:00:00"/>
    <d v="2012-01-01T00:00:00"/>
    <n v="4400"/>
    <n v="1100"/>
    <x v="2"/>
    <d v="2012-02-01T00:00:00"/>
    <m/>
    <n v="9321664664"/>
    <n v="10"/>
    <s v="TGHU7177818"/>
    <s v="ZIM CHICAGO/10E/"/>
    <m/>
    <s v="SHENZHEN"/>
    <s v="C-POST-CONF( JAN 01 TO 07 2012)"/>
    <m/>
    <s v="TWEETY LEUNG"/>
    <s v="FO9"/>
    <s v="ELECTRICAL COOKING            "/>
    <s v="CONFIRMED"/>
    <n v="1"/>
    <n v="1"/>
    <d v="2012-01-04T00:00:00"/>
    <s v="KITCHEN ELECTRICS             "/>
    <s v="ELECTRICAL COOKING            "/>
    <x v="1"/>
    <x v="1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3221"/>
    <s v="GROUPE SEB CANADA INC                             "/>
    <n v="99003200"/>
    <x v="27"/>
    <s v="22583/039761"/>
    <n v="1370150746"/>
    <n v="10"/>
    <x v="37"/>
    <x v="37"/>
    <s v="N3"/>
    <n v="1500632019"/>
    <n v="177"/>
    <n v="632019"/>
    <s v="FR701350 EZ CLEAN  INOX &amp; DESIGN                  "/>
    <s v="S"/>
    <d v="2012-01-06T00:00:00"/>
    <m/>
    <s v="X"/>
    <x v="60"/>
    <n v="38.79"/>
    <n v="47"/>
    <d v="2012-02-10T00:00:00"/>
    <d v="2012-01-13T00:00:00"/>
    <n v="4400"/>
    <d v="2012-01-07T00:00:00"/>
    <n v="4400"/>
    <m/>
    <d v="2011-12-31T00:00:00"/>
    <n v="4400"/>
    <d v="2012-01-29T00:00:00"/>
    <d v="2012-01-01T00:00:00"/>
    <n v="4400"/>
    <n v="1100"/>
    <x v="2"/>
    <d v="2012-02-01T00:00:00"/>
    <m/>
    <n v="9321664664"/>
    <n v="10"/>
    <s v="OOLU8199175"/>
    <s v="ZIM CHICAGO/10E/"/>
    <m/>
    <s v="SHENZHEN"/>
    <s v="C-POST-CONF( JAN 01 TO 07 2012)"/>
    <m/>
    <s v="TWEETY LEUNG"/>
    <s v="FO9"/>
    <s v="ELECTRICAL COOKING            "/>
    <s v="CONFIRMED"/>
    <n v="1"/>
    <n v="1"/>
    <d v="2012-01-04T00:00:00"/>
    <s v="KITCHEN ELECTRICS             "/>
    <s v="ELECTRICAL COOKING            "/>
    <x v="1"/>
    <x v="1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7605/000010"/>
    <n v="1370149314"/>
    <n v="10"/>
    <x v="70"/>
    <x v="70"/>
    <s v="N3"/>
    <n v="1500635111"/>
    <n v="39"/>
    <n v="635111"/>
    <s v="MK151100 RC INICIO 2 8C SWITCH WHT FR             "/>
    <s v="S"/>
    <d v="2012-01-05T00:00:00"/>
    <m/>
    <s v="X"/>
    <x v="60"/>
    <n v="9.98"/>
    <n v="9036"/>
    <d v="2012-02-10T00:00:00"/>
    <d v="2012-01-06T00:00:00"/>
    <n v="2344"/>
    <d v="2012-01-06T00:00:00"/>
    <n v="2344"/>
    <m/>
    <d v="2012-01-06T00:00:00"/>
    <n v="2344"/>
    <d v="2012-02-10T00:00:00"/>
    <d v="2012-01-06T00:00:00"/>
    <n v="2344"/>
    <n v="2344"/>
    <x v="16"/>
    <d v="2012-02-07T00:00:00"/>
    <m/>
    <n v="9321664763"/>
    <n v="10"/>
    <s v="TRLU6458554"/>
    <s v="H.VANCOUVER/007W"/>
    <m/>
    <s v="YANTIAN"/>
    <m/>
    <m/>
    <s v="JASON FAN"/>
    <s v="FO9"/>
    <s v="ELECTRICAL COOKING            "/>
    <s v="CONFIRMED"/>
    <n v="1"/>
    <n v="1"/>
    <d v="2012-01-03T00:00:00"/>
    <s v="KITCHEN ELECTRICS             "/>
    <s v="ELECTRICAL COOKING      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061/000010"/>
    <n v="1370148256"/>
    <n v="10"/>
    <x v="25"/>
    <x v="25"/>
    <s v="R9"/>
    <n v="1500577006"/>
    <n v="23"/>
    <n v="577006"/>
    <s v="TL680250 TOASTER DIGITAL BLACK 2LS                "/>
    <s v="S"/>
    <d v="2012-01-05T00:00:00"/>
    <m/>
    <s v="X"/>
    <x v="52"/>
    <n v="15.02"/>
    <n v="17043"/>
    <d v="2012-01-30T00:00:00"/>
    <d v="2011-12-26T00:00:00"/>
    <n v="1608"/>
    <d v="2012-01-02T00:00:00"/>
    <n v="1608"/>
    <m/>
    <d v="2011-12-26T00:00:00"/>
    <n v="1608"/>
    <d v="2012-02-06T00:00:00"/>
    <d v="2012-01-02T00:00:00"/>
    <n v="1608"/>
    <n v="1608"/>
    <x v="3"/>
    <d v="2012-02-06T00:00:00"/>
    <m/>
    <n v="9321664817"/>
    <n v="10"/>
    <s v="GATU0564170"/>
    <s v="NYK REMUS 16E52/"/>
    <m/>
    <s v="YANTIAN"/>
    <s v="C-POST-CONF(from wk52 to wk 01) NYK REMUS 16E52 02/01/12 28/01/12"/>
    <m/>
    <s v="TWEETY LEUNG"/>
    <s v="FO9"/>
    <s v="BEVERAGE                      "/>
    <s v="CONFIRMED"/>
    <n v="1"/>
    <n v="1"/>
    <d v="2012-01-02T00:00:00"/>
    <s v="KITCHEN ELECTRICS             "/>
    <s v="BREAKFAST &amp; BREVAGE PREP      "/>
    <x v="4"/>
    <x v="1"/>
    <x v="1"/>
    <m/>
    <n v="0"/>
    <n v="0"/>
    <x v="1"/>
    <n v="5"/>
    <x v="0"/>
    <x v="1"/>
    <x v="1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2995/000010"/>
    <n v="1370150444"/>
    <n v="10"/>
    <x v="0"/>
    <x v="0"/>
    <s v="A1"/>
    <n v="2100052535"/>
    <n v="201"/>
    <n v="115001776"/>
    <s v="A8373362 STP26LID BANQUET EASY CARE BLAC          "/>
    <s v="S"/>
    <d v="2012-01-19T00:00:00"/>
    <m/>
    <s v="X"/>
    <x v="61"/>
    <n v="7.7161999999999997"/>
    <n v="8"/>
    <d v="2012-02-20T00:00:00"/>
    <d v="2012-02-06T00:00:00"/>
    <n v="1000"/>
    <d v="2012-01-05T00:00:00"/>
    <n v="1000"/>
    <m/>
    <d v="2012-01-13T00:00:00"/>
    <n v="1000"/>
    <d v="2012-01-19T00:00:00"/>
    <d v="2012-01-05T00:00:00"/>
    <n v="1000"/>
    <n v="1000"/>
    <x v="12"/>
    <d v="2012-01-21T00:00:00"/>
    <m/>
    <n v="9321665714"/>
    <n v="10"/>
    <s v="GESU5844328"/>
    <s v="HATSU COURAGE /0078W"/>
    <m/>
    <s v="NINGBO"/>
    <s v="SP-HOLIDAY/"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2222"/>
    <s v="GROUPE SEB NORDIC A/S                             "/>
    <n v="99002200"/>
    <x v="5"/>
    <s v="4500261983/000010"/>
    <n v="1370148967"/>
    <n v="10"/>
    <x v="61"/>
    <x v="61"/>
    <s v="L2"/>
    <n v="2100062639"/>
    <n v="54"/>
    <s v="PP1001V0       "/>
    <s v="PP1001V0 BATHROOM SCALES PREMISS BLACK T          "/>
    <s v="S"/>
    <d v="2012-01-17T00:00:00"/>
    <m/>
    <s v="X"/>
    <x v="61"/>
    <n v="5.0999999999999996"/>
    <n v="33"/>
    <d v="2012-02-12T00:00:00"/>
    <d v="2012-01-08T00:00:00"/>
    <n v="2502"/>
    <d v="2012-01-08T00:00:00"/>
    <n v="2502"/>
    <m/>
    <d v="2012-01-15T00:00:00"/>
    <n v="2502"/>
    <d v="2012-02-19T00:00:00"/>
    <d v="2012-01-15T00:00:00"/>
    <n v="2502"/>
    <n v="2502"/>
    <x v="11"/>
    <d v="2012-02-19T00:00:00"/>
    <m/>
    <n v="9321665730"/>
    <n v="10"/>
    <s v="CMAU1230105"/>
    <s v="CMA CGM HYDRA/FL816W"/>
    <m/>
    <s v="SHANGHAI"/>
    <m/>
    <m/>
    <s v="KENUS WONG"/>
    <s v="FO9"/>
    <s v="PERSONAL CARE                 "/>
    <s v="CONFIRMED"/>
    <n v="1"/>
    <n v="2"/>
    <d v="2012-01-15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1983/000020"/>
    <n v="1370148967"/>
    <n v="20"/>
    <x v="61"/>
    <x v="61"/>
    <s v="L2"/>
    <n v="2100062640"/>
    <n v="54"/>
    <s v="PP1000V0       "/>
    <s v="PP1000V0 BATHROOM SCALES PREMISS WHITE T          "/>
    <s v="S"/>
    <d v="2012-01-17T00:00:00"/>
    <m/>
    <s v="X"/>
    <x v="61"/>
    <n v="5.0999999999999996"/>
    <n v="33"/>
    <d v="2012-02-12T00:00:00"/>
    <d v="2012-01-08T00:00:00"/>
    <n v="2502"/>
    <d v="2012-01-08T00:00:00"/>
    <n v="2502"/>
    <m/>
    <d v="2012-01-15T00:00:00"/>
    <n v="2502"/>
    <d v="2012-02-19T00:00:00"/>
    <d v="2012-01-15T00:00:00"/>
    <n v="2502"/>
    <n v="2502"/>
    <x v="11"/>
    <d v="2012-02-19T00:00:00"/>
    <m/>
    <n v="9321665730"/>
    <n v="20"/>
    <s v="CMAU1230105"/>
    <s v="CMA CGM HYDRA/FL816W"/>
    <m/>
    <s v="SHANGHAI"/>
    <m/>
    <m/>
    <s v="KENUS WONG"/>
    <s v="FO9"/>
    <s v="PERSONAL CARE                 "/>
    <s v="CONFIRMED"/>
    <n v="1"/>
    <n v="2"/>
    <d v="2012-01-15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3050/000010"/>
    <n v="1370150940"/>
    <n v="10"/>
    <x v="58"/>
    <x v="58"/>
    <s v="A3"/>
    <n v="2100065467"/>
    <n v="231"/>
    <s v="J0895344       "/>
    <s v="J0895344 JO VIRTUOSO LOAF PAN 12X25 GREY          "/>
    <s v="S"/>
    <d v="2012-01-18T00:00:00"/>
    <m/>
    <s v="X"/>
    <x v="61"/>
    <n v="1.72"/>
    <n v="13"/>
    <d v="2012-02-12T00:00:00"/>
    <d v="2012-01-08T00:00:00"/>
    <n v="2000"/>
    <d v="2012-01-16T00:00:00"/>
    <n v="2000"/>
    <m/>
    <d v="2012-01-13T00:00:00"/>
    <n v="2000"/>
    <d v="2012-02-17T00:00:00"/>
    <d v="2012-01-13T00:00:00"/>
    <n v="2000"/>
    <n v="2000"/>
    <x v="8"/>
    <d v="2012-02-20T00:00:00"/>
    <m/>
    <n v="9321665889"/>
    <n v="10"/>
    <s v="CRXU3013627"/>
    <s v="HANJIN NETHERLANDS/0"/>
    <m/>
    <s v="YANTIAN"/>
    <s v="C-LCL-SHIPT"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5276/000010"/>
    <n v="1370150851"/>
    <n v="10"/>
    <x v="0"/>
    <x v="0"/>
    <s v="A4"/>
    <n v="8701004109"/>
    <n v="209"/>
    <n v="115002669"/>
    <s v="59943 - SS LASAGNA PAN WITH NEW BOX               "/>
    <s v="S"/>
    <d v="2012-01-10T00:00:00"/>
    <m/>
    <s v="X"/>
    <x v="62"/>
    <n v="22.935199999999998"/>
    <n v="24"/>
    <d v="2012-02-07T00:00:00"/>
    <d v="2012-01-03T00:00:00"/>
    <n v="4000"/>
    <d v="2012-01-03T00:00:00"/>
    <n v="4000"/>
    <m/>
    <d v="2012-01-02T00:00:00"/>
    <n v="4000"/>
    <d v="2012-02-10T00:00:00"/>
    <d v="2012-01-06T00:00:00"/>
    <n v="4000"/>
    <n v="1200"/>
    <x v="12"/>
    <d v="2012-02-11T00:00:00"/>
    <m/>
    <n v="9321666157"/>
    <n v="10"/>
    <s v="FCIU2484769"/>
    <s v="NYK METEOR/24E01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5276/000010"/>
    <n v="1370150851"/>
    <n v="10"/>
    <x v="0"/>
    <x v="0"/>
    <s v="A4"/>
    <n v="8701004109"/>
    <n v="209"/>
    <n v="115002669"/>
    <s v="59943 - SS LASAGNA PAN WITH NEW BOX               "/>
    <s v="S"/>
    <d v="2012-01-10T00:00:00"/>
    <m/>
    <s v="X"/>
    <x v="62"/>
    <n v="22.935199999999998"/>
    <n v="24"/>
    <d v="2012-02-07T00:00:00"/>
    <d v="2012-01-03T00:00:00"/>
    <n v="4000"/>
    <d v="2012-01-03T00:00:00"/>
    <n v="4000"/>
    <m/>
    <d v="2012-01-02T00:00:00"/>
    <n v="4000"/>
    <d v="2012-02-10T00:00:00"/>
    <d v="2012-01-06T00:00:00"/>
    <n v="4000"/>
    <n v="2800"/>
    <x v="12"/>
    <d v="2012-02-11T00:00:00"/>
    <m/>
    <n v="9321666157"/>
    <n v="10"/>
    <s v="TTNU4721390"/>
    <s v="NYK METEOR/24E01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30/HKG/"/>
    <n v="1370151105"/>
    <n v="10"/>
    <x v="8"/>
    <x v="8"/>
    <s v="L4"/>
    <n v="1830003587"/>
    <n v="131"/>
    <s v="SF6150G0       "/>
    <s v="SF6150G0 RIBBON CURL STRAIGHTENER                 "/>
    <s v="S"/>
    <d v="2012-01-26T00:00:00"/>
    <m/>
    <s v="X"/>
    <x v="62"/>
    <n v="14.83"/>
    <n v="16"/>
    <d v="2012-01-10T00:00:00"/>
    <d v="2012-01-10T00:00:00"/>
    <n v="1002"/>
    <d v="2012-01-10T00:00:00"/>
    <n v="1002"/>
    <m/>
    <d v="2012-01-13T00:00:00"/>
    <n v="1002"/>
    <d v="2012-01-20T00:00:00"/>
    <d v="2012-01-20T00:00:00"/>
    <n v="1002"/>
    <n v="1002"/>
    <x v="22"/>
    <d v="2012-01-19T00:00:00"/>
    <m/>
    <n v="9321666166"/>
    <n v="10"/>
    <s v="TRUCK"/>
    <s v="LOCAL DELIVERY"/>
    <m/>
    <s v="YANTIAN"/>
    <s v="SP-TOOLING/"/>
    <m/>
    <s v="THOMAS HO"/>
    <s v="FO9"/>
    <s v="PERSONAL CARE                 "/>
    <s v="CONFIRMED"/>
    <n v="1"/>
    <n v="3"/>
    <d v="2012-01-19T00:00:00"/>
    <s v="LINEN PERS HOME CARE          "/>
    <s v="PERSONAL CARE                 "/>
    <x v="4"/>
    <x v="1"/>
    <x v="15"/>
    <s v="SP-TOOLING"/>
    <n v="1"/>
    <n v="1"/>
    <x v="21"/>
    <n v="1"/>
    <x v="0"/>
    <x v="0"/>
    <x v="0"/>
    <n v="0"/>
    <n v="0"/>
    <n v="0"/>
    <n v="0"/>
    <n v="0"/>
    <n v="0"/>
    <x v="1"/>
    <x v="0"/>
    <x v="1"/>
    <x v="0"/>
  </r>
  <r>
    <s v="Shipment"/>
    <n v="99003700"/>
    <s v="SEB ASIA LTD                                      "/>
    <n v="99003700"/>
    <x v="7"/>
    <s v="SAS-10-331/HKG/"/>
    <n v="1370151104"/>
    <n v="10"/>
    <x v="17"/>
    <x v="17"/>
    <s v="L4"/>
    <n v="1830003425"/>
    <n v="131"/>
    <s v="SF3012G0       "/>
    <s v="SF3012G0 ECO STRAIGHTENER ELITE TBC               "/>
    <s v="S"/>
    <d v="2012-01-13T00:00:00"/>
    <m/>
    <s v="X"/>
    <x v="62"/>
    <n v="7.17"/>
    <n v="8"/>
    <d v="2012-01-10T00:00:00"/>
    <d v="2012-01-10T00:00:00"/>
    <n v="1002"/>
    <d v="2012-01-10T00:00:00"/>
    <n v="1002"/>
    <m/>
    <d v="2012-01-10T00:00:00"/>
    <n v="1002"/>
    <d v="2012-01-10T00:00:00"/>
    <d v="2012-01-10T00:00:00"/>
    <n v="1002"/>
    <n v="1002"/>
    <x v="7"/>
    <d v="2012-01-06T00:00:00"/>
    <m/>
    <n v="9321666167"/>
    <n v="10"/>
    <s v="TRUCK"/>
    <s v="LOCAL DELIVERY"/>
    <m/>
    <s v="YANTIAN"/>
    <m/>
    <m/>
    <s v="THOMAS HO"/>
    <s v="FO9"/>
    <s v="PERSONAL CARE                 "/>
    <s v="CONFIRMED"/>
    <n v="1"/>
    <n v="1"/>
    <d v="2012-01-06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467/000010"/>
    <n v="1370150274"/>
    <n v="10"/>
    <x v="14"/>
    <x v="14"/>
    <s v="J2"/>
    <n v="1110019212"/>
    <n v="64"/>
    <s v="               "/>
    <s v="IS1430U1 GARMENT STEAMER PRO COMPACT              "/>
    <s v="S"/>
    <d v="2012-01-10T00:00:00"/>
    <m/>
    <s v="X"/>
    <x v="62"/>
    <n v="15.57"/>
    <n v="17"/>
    <d v="2012-02-10T00:00:00"/>
    <d v="2012-01-06T00:00:00"/>
    <n v="1000"/>
    <d v="2012-01-06T00:00:00"/>
    <n v="1000"/>
    <m/>
    <d v="2012-01-06T00:00:00"/>
    <n v="1000"/>
    <d v="2012-02-10T00:00:00"/>
    <d v="2012-01-06T00:00:00"/>
    <n v="1000"/>
    <n v="1000"/>
    <x v="12"/>
    <d v="2012-02-11T00:00:00"/>
    <m/>
    <n v="9321666176"/>
    <n v="10"/>
    <s v="AMFU8681007"/>
    <s v="ARTHUR MAERSK/553S"/>
    <m/>
    <s v="NINGBO"/>
    <m/>
    <m/>
    <s v="TWEETY LEUNG"/>
    <s v="FO9"/>
    <s v="LINEN CARE                    "/>
    <s v="CONFIRMED"/>
    <n v="1"/>
    <n v="1"/>
    <d v="2012-01-07T00:00:00"/>
    <s v="LINEN PERS HOME CARE          "/>
    <s v="LINEN CARE   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5949/000010"/>
    <n v="1370151036"/>
    <n v="10"/>
    <x v="0"/>
    <x v="0"/>
    <s v="A2"/>
    <n v="7114000252"/>
    <n v="254"/>
    <n v="114000252"/>
    <s v="P2500736 SECURE 5 6QT AE                          "/>
    <s v="S"/>
    <d v="2012-01-18T00:00:00"/>
    <m/>
    <s v="X"/>
    <x v="62"/>
    <n v="28.470500000000001"/>
    <n v="28"/>
    <d v="2012-01-16T00:00:00"/>
    <d v="2012-01-02T00:00:00"/>
    <n v="850"/>
    <d v="2012-01-02T00:00:00"/>
    <n v="850"/>
    <m/>
    <d v="2012-01-04T00:00:00"/>
    <n v="850"/>
    <d v="2012-01-18T00:00:00"/>
    <d v="2012-01-04T00:00:00"/>
    <n v="850"/>
    <n v="850"/>
    <x v="12"/>
    <d v="2012-01-21T00:00:00"/>
    <m/>
    <n v="9321666343"/>
    <n v="10"/>
    <s v="CCLU6952480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5953/000010"/>
    <n v="1370151037"/>
    <n v="10"/>
    <x v="0"/>
    <x v="0"/>
    <s v="A2"/>
    <n v="7114000252"/>
    <n v="254"/>
    <n v="114000252"/>
    <s v="P2500736 SECURE 5 6QT AE                          "/>
    <s v="S"/>
    <d v="2012-01-18T00:00:00"/>
    <m/>
    <s v="X"/>
    <x v="62"/>
    <n v="28.470500000000001"/>
    <n v="28"/>
    <d v="2012-01-23T00:00:00"/>
    <d v="2012-01-09T00:00:00"/>
    <n v="850"/>
    <d v="2012-01-09T00:00:00"/>
    <n v="850"/>
    <m/>
    <d v="2012-01-04T00:00:00"/>
    <n v="850"/>
    <d v="2012-01-18T00:00:00"/>
    <d v="2012-01-04T00:00:00"/>
    <n v="850"/>
    <n v="850"/>
    <x v="12"/>
    <d v="2012-01-21T00:00:00"/>
    <m/>
    <n v="9321666344"/>
    <n v="10"/>
    <s v="CCLU6952480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5955/000010"/>
    <n v="1370151038"/>
    <n v="10"/>
    <x v="0"/>
    <x v="0"/>
    <s v="A2"/>
    <n v="7114000252"/>
    <n v="254"/>
    <n v="114000252"/>
    <s v="P2500736 SECURE 5 6QT AE                          "/>
    <s v="S"/>
    <d v="2012-01-31T00:00:00"/>
    <m/>
    <s v="X"/>
    <x v="62"/>
    <n v="28.470500000000001"/>
    <n v="28"/>
    <d v="2012-01-23T00:00:00"/>
    <d v="2012-01-09T00:00:00"/>
    <n v="850"/>
    <d v="2012-01-09T00:00:00"/>
    <n v="850"/>
    <m/>
    <d v="2012-01-04T00:00:00"/>
    <n v="850"/>
    <d v="2012-01-18T00:00:00"/>
    <d v="2012-01-04T00:00:00"/>
    <n v="850"/>
    <n v="522"/>
    <x v="12"/>
    <d v="2012-01-21T00:00:00"/>
    <m/>
    <n v="9321666346"/>
    <n v="10"/>
    <s v="CCLU7322757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5955/000010"/>
    <n v="1370151038"/>
    <n v="10"/>
    <x v="0"/>
    <x v="0"/>
    <s v="A2"/>
    <n v="7114000252"/>
    <n v="254"/>
    <n v="114000252"/>
    <s v="P2500736 SECURE 5 6QT AE                          "/>
    <s v="S"/>
    <d v="2012-01-18T00:00:00"/>
    <m/>
    <s v="X"/>
    <x v="62"/>
    <n v="28.470500000000001"/>
    <n v="28"/>
    <d v="2012-01-23T00:00:00"/>
    <d v="2012-01-09T00:00:00"/>
    <n v="850"/>
    <d v="2012-01-09T00:00:00"/>
    <n v="850"/>
    <m/>
    <d v="2012-01-04T00:00:00"/>
    <n v="850"/>
    <d v="2012-01-18T00:00:00"/>
    <d v="2012-01-04T00:00:00"/>
    <n v="850"/>
    <n v="328"/>
    <x v="12"/>
    <d v="2012-01-21T00:00:00"/>
    <m/>
    <n v="9321666346"/>
    <n v="10"/>
    <s v="CCLU6952480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5940/000010"/>
    <n v="1370151019"/>
    <n v="10"/>
    <x v="0"/>
    <x v="0"/>
    <s v="A2"/>
    <n v="7114000253"/>
    <n v="254"/>
    <n v="114000253"/>
    <s v="P2500836 SECURE 5 7QT AE                          "/>
    <s v="S"/>
    <d v="2012-01-31T00:00:00"/>
    <m/>
    <s v="X"/>
    <x v="62"/>
    <n v="30.664000000000001"/>
    <n v="30"/>
    <d v="2012-01-23T00:00:00"/>
    <d v="2012-01-09T00:00:00"/>
    <n v="1000"/>
    <d v="2012-01-09T00:00:00"/>
    <n v="1000"/>
    <m/>
    <d v="2012-01-04T00:00:00"/>
    <n v="1000"/>
    <d v="2012-01-18T00:00:00"/>
    <d v="2012-01-04T00:00:00"/>
    <n v="1000"/>
    <n v="1000"/>
    <x v="12"/>
    <d v="2012-01-21T00:00:00"/>
    <m/>
    <n v="9321666348"/>
    <n v="10"/>
    <s v="CCLU7322757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3156/000010"/>
    <n v="1370150785"/>
    <n v="10"/>
    <x v="55"/>
    <x v="55"/>
    <s v="P1"/>
    <n v="1500853531"/>
    <n v="25"/>
    <n v="853531"/>
    <s v="853531 HAND CAN OPENER PREP LINE                  "/>
    <s v="S"/>
    <d v="2012-02-01T00:00:00"/>
    <m/>
    <s v="X"/>
    <x v="63"/>
    <n v="5.3"/>
    <n v="5"/>
    <d v="2012-02-15T00:00:00"/>
    <d v="2012-01-11T00:00:00"/>
    <n v="3744"/>
    <d v="2012-01-11T00:00:00"/>
    <n v="3744"/>
    <m/>
    <d v="2012-02-17T00:00:00"/>
    <n v="3744"/>
    <d v="2012-03-01T00:00:00"/>
    <d v="2012-01-26T00:00:00"/>
    <n v="3744"/>
    <n v="3744"/>
    <x v="14"/>
    <d v="2012-02-24T00:00:00"/>
    <m/>
    <n v="9321666814"/>
    <n v="10"/>
    <s v="APHU6853413"/>
    <s v="MOL MATRIX/010W"/>
    <m/>
    <s v="YANTIAN"/>
    <s v="SP-HOLIDAY/SP-BOTTLENECK/"/>
    <m/>
    <s v="AGNES NUNES"/>
    <s v="FO9"/>
    <s v="FOOD PREPARATION              "/>
    <s v="CONFIRMED"/>
    <n v="1"/>
    <n v="3"/>
    <d v="2012-01-20T00:00:00"/>
    <s v="KITCHEN ELECTRICS             "/>
    <s v="FOOD PREPARATION              "/>
    <x v="4"/>
    <x v="1"/>
    <x v="6"/>
    <s v="SP-HOLIDAY"/>
    <n v="1"/>
    <n v="-3"/>
    <x v="6"/>
    <n v="2"/>
    <x v="0"/>
    <x v="0"/>
    <x v="0"/>
    <n v="1"/>
    <n v="0"/>
    <n v="0"/>
    <n v="0"/>
    <n v="0"/>
    <n v="0"/>
    <x v="0"/>
    <x v="1"/>
    <x v="1"/>
    <x v="0"/>
  </r>
  <r>
    <s v="Shipment"/>
    <n v="99006103"/>
    <s v="SAS GROUPE SEB FRANCE                             "/>
    <n v="99006100"/>
    <x v="3"/>
    <s v="9321666664/000010"/>
    <n v="1370151297"/>
    <n v="10"/>
    <x v="55"/>
    <x v="55"/>
    <s v="P4"/>
    <n v="8000034159"/>
    <n v="77"/>
    <s v="QA401GB1       "/>
    <s v="QA401GB1 KTM MC GOURMET JUI/MMC RED EUR           "/>
    <s v="S"/>
    <d v="2012-01-18T00:00:00"/>
    <m/>
    <s v="X"/>
    <x v="63"/>
    <n v="87.67"/>
    <n v="76"/>
    <d v="2012-02-17T00:00:00"/>
    <d v="2012-01-13T00:00:00"/>
    <n v="588"/>
    <d v="2012-01-13T00:00:00"/>
    <n v="588"/>
    <m/>
    <d v="2012-01-20T00:00:00"/>
    <n v="588"/>
    <d v="2012-02-21T00:00:00"/>
    <d v="2012-01-17T00:00:00"/>
    <n v="588"/>
    <n v="588"/>
    <x v="19"/>
    <d v="2012-02-21T00:00:00"/>
    <m/>
    <n v="9321666816"/>
    <n v="10"/>
    <s v="TRLU6218110"/>
    <s v="APL DHAKA/002W"/>
    <m/>
    <s v="YANTIAN"/>
    <m/>
    <m/>
    <s v="JASON FAN"/>
    <s v="FO9"/>
    <s v="FOOD PREPARATION              "/>
    <s v="CONFIRMED"/>
    <n v="1"/>
    <n v="3"/>
    <d v="2012-01-17T00:00:00"/>
    <s v="KITCHEN ELECTRICS             "/>
    <s v="FOOD PREPARATION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804"/>
    <s v="ALMAVIVA S.A. USUARIO COMERCIAL                   "/>
    <n v="99001800"/>
    <x v="26"/>
    <s v="22556/039723"/>
    <n v="1370149097"/>
    <n v="10"/>
    <x v="16"/>
    <x v="16"/>
    <s v="L4"/>
    <n v="1830003883"/>
    <n v="5"/>
    <s v="CV7413I0       "/>
    <s v="CV7413I0 PRO RESPECT HAIR DRYER                   "/>
    <s v="S"/>
    <d v="2012-01-16T00:00:00"/>
    <m/>
    <s v="X"/>
    <x v="63"/>
    <n v="13.51"/>
    <n v="17"/>
    <d v="2012-04-03T00:00:00"/>
    <d v="2012-02-28T00:00:00"/>
    <n v="3000"/>
    <d v="2012-01-17T00:00:00"/>
    <n v="3000"/>
    <m/>
    <d v="2012-01-18T00:00:00"/>
    <n v="3000"/>
    <d v="2012-02-22T00:00:00"/>
    <d v="2012-01-18T00:00:00"/>
    <n v="3000"/>
    <n v="3000"/>
    <x v="0"/>
    <d v="2012-02-13T00:00:00"/>
    <m/>
    <n v="9321666817"/>
    <n v="10"/>
    <s v="MSKU2321788"/>
    <s v="MAERSK SANA 1203/"/>
    <m/>
    <s v="YANTIAN"/>
    <s v="SAILING-SCHED-UPDATE / SP-HOLIDAY"/>
    <m/>
    <s v="THOMAS HO"/>
    <s v="FO9"/>
    <s v="PERSONAL CARE                 "/>
    <s v="CONFIRMED"/>
    <n v="1"/>
    <n v="2"/>
    <d v="2012-01-09T00:00:00"/>
    <s v="LINEN PERS HOME CARE          "/>
    <s v="PERSONAL CARE                 "/>
    <x v="3"/>
    <x v="2"/>
    <x v="1"/>
    <m/>
    <n v="0"/>
    <n v="0"/>
    <x v="1"/>
    <n v="2"/>
    <x v="0"/>
    <x v="0"/>
    <x v="0"/>
    <n v="1"/>
    <n v="0"/>
    <n v="0"/>
    <n v="0"/>
    <n v="0"/>
    <n v="0"/>
    <x v="0"/>
    <x v="1"/>
    <x v="1"/>
    <x v="0"/>
  </r>
  <r>
    <s v="Shipment"/>
    <n v="99102353"/>
    <s v="THE BRANCH OF ZAO &quot;GROUPE SEB                     "/>
    <n v="99004801"/>
    <x v="1"/>
    <s v="9321665771/000010"/>
    <n v="1370151014"/>
    <n v="10"/>
    <x v="16"/>
    <x v="16"/>
    <s v="L4"/>
    <n v="1830003069"/>
    <n v="5"/>
    <s v="CV1215F0       "/>
    <s v="CV1215F0 SIGN COLLECTIN HAIR DRYER (PROM          "/>
    <s v="S"/>
    <d v="2012-01-19T00:00:00"/>
    <m/>
    <s v="X"/>
    <x v="63"/>
    <n v="4.43"/>
    <n v="160"/>
    <d v="2012-02-29T00:00:00"/>
    <d v="2012-01-11T00:00:00"/>
    <n v="3000"/>
    <d v="2012-01-18T00:00:00"/>
    <n v="3000"/>
    <m/>
    <d v="2012-01-12T00:00:00"/>
    <n v="3000"/>
    <d v="2012-03-10T00:00:00"/>
    <d v="2012-01-21T00:00:00"/>
    <n v="3000"/>
    <n v="1000"/>
    <x v="21"/>
    <d v="2012-03-07T00:00:00"/>
    <m/>
    <n v="9321666818"/>
    <n v="10"/>
    <s v="TGHU2325492"/>
    <s v="OOCL CALIFORNIA/29W0"/>
    <m/>
    <s v="SHENZHEN"/>
    <s v="CONS-SHIPT/"/>
    <m/>
    <s v="KENUS WONG"/>
    <s v="FO9"/>
    <s v="PERSONAL CARE                 "/>
    <s v="CONFIRMED"/>
    <n v="1"/>
    <n v="3"/>
    <d v="2012-01-18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5771/000010"/>
    <n v="1370151014"/>
    <n v="10"/>
    <x v="16"/>
    <x v="16"/>
    <s v="L4"/>
    <n v="1830003069"/>
    <n v="5"/>
    <s v="CV1215F0       "/>
    <s v="CV1215F0 SIGN COLLECTIN HAIR DRYER (PROM          "/>
    <s v="S"/>
    <d v="2012-01-29T00:00:00"/>
    <m/>
    <s v="X"/>
    <x v="63"/>
    <n v="4.43"/>
    <n v="160"/>
    <d v="2012-02-29T00:00:00"/>
    <d v="2012-01-11T00:00:00"/>
    <n v="3000"/>
    <d v="2012-01-18T00:00:00"/>
    <n v="3000"/>
    <m/>
    <d v="2012-01-12T00:00:00"/>
    <n v="3000"/>
    <d v="2012-03-10T00:00:00"/>
    <d v="2012-01-21T00:00:00"/>
    <n v="3000"/>
    <n v="2000"/>
    <x v="4"/>
    <d v="2012-03-11T00:00:00"/>
    <m/>
    <n v="9321666818"/>
    <n v="10"/>
    <s v="TGHU4857088"/>
    <s v="MOL CHARISMA/009W"/>
    <m/>
    <s v="SHENZHEN"/>
    <s v="CONS-SHIPT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486/000010"/>
    <n v="1370151247"/>
    <n v="10"/>
    <x v="33"/>
    <x v="33"/>
    <s v="R1"/>
    <n v="8000033614"/>
    <n v="27"/>
    <s v="KM506510       "/>
    <s v="KM506510 FCM PRECISION SS EUR                     "/>
    <s v="S"/>
    <d v="2012-01-10T00:00:00"/>
    <m/>
    <s v="X"/>
    <x v="63"/>
    <n v="31.94"/>
    <n v="28"/>
    <d v="2012-02-17T00:00:00"/>
    <d v="2012-01-13T00:00:00"/>
    <n v="1056"/>
    <d v="2012-01-06T00:00:00"/>
    <n v="1056"/>
    <m/>
    <d v="2012-01-13T00:00:00"/>
    <n v="1056"/>
    <d v="2012-02-10T00:00:00"/>
    <d v="2012-01-06T00:00:00"/>
    <n v="1056"/>
    <n v="1056"/>
    <x v="7"/>
    <d v="2012-02-10T00:00:00"/>
    <m/>
    <n v="9321666822"/>
    <n v="10"/>
    <s v="UESU4153325"/>
    <s v="MAERSK ESSEN 1202/"/>
    <m/>
    <s v="YANTIAN"/>
    <s v="CONS-SHIPT/"/>
    <m/>
    <s v="JASON FAN"/>
    <s v="FO9"/>
    <s v="BEVERAGE                      "/>
    <s v="CONFIRMED"/>
    <n v="1"/>
    <n v="1"/>
    <d v="2012-01-06T00:00:00"/>
    <s v="KITCHEN ELECTRICS             "/>
    <s v="BREAKFAST &amp; BREVAGE PREP      "/>
    <x v="1"/>
    <x v="1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285/000010"/>
    <n v="1370151276"/>
    <n v="10"/>
    <x v="33"/>
    <x v="33"/>
    <s v="N3"/>
    <n v="1500577905"/>
    <n v="53"/>
    <n v="577905"/>
    <s v="OF275800 OVEN DELICE TURBO HR 30L BLK FR          "/>
    <s v="S"/>
    <d v="2012-01-16T00:00:00"/>
    <m/>
    <s v="X"/>
    <x v="63"/>
    <n v="78.16"/>
    <n v="68"/>
    <d v="2012-02-17T00:00:00"/>
    <d v="2012-01-13T00:00:00"/>
    <n v="515"/>
    <d v="2012-01-13T00:00:00"/>
    <n v="515"/>
    <m/>
    <d v="2012-01-13T00:00:00"/>
    <n v="515"/>
    <d v="2012-02-17T00:00:00"/>
    <d v="2012-01-13T00:00:00"/>
    <n v="515"/>
    <n v="515"/>
    <x v="10"/>
    <d v="2012-02-16T00:00:00"/>
    <m/>
    <n v="9321666823"/>
    <n v="10"/>
    <s v="TCLU8545772"/>
    <s v="NYK ORPHEUS 18W52/"/>
    <m/>
    <s v="YANTIAN"/>
    <m/>
    <m/>
    <s v="JASON FAN"/>
    <s v="FO9"/>
    <s v="ELECTRICAL COOKING            "/>
    <s v="CONFIRMED"/>
    <n v="1"/>
    <n v="2"/>
    <d v="2012-01-12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260"/>
    <n v="1370149992"/>
    <n v="260"/>
    <x v="8"/>
    <x v="8"/>
    <s v="K9"/>
    <n v="8000033965"/>
    <n v="38"/>
    <s v="KP100610       "/>
    <s v="KP100610 NDG PICCOLO RED EUR                      "/>
    <s v="S"/>
    <d v="2012-01-17T00:00:00"/>
    <m/>
    <s v="X"/>
    <x v="63"/>
    <n v="33.79"/>
    <n v="14"/>
    <d v="2012-02-13T00:00:00"/>
    <d v="2012-01-16T00:00:00"/>
    <n v="2160"/>
    <d v="2012-01-16T00:00:00"/>
    <n v="2160"/>
    <m/>
    <d v="2012-01-13T00:00:00"/>
    <n v="2160"/>
    <d v="2012-02-10T00:00:00"/>
    <d v="2012-01-13T00:00:00"/>
    <n v="2160"/>
    <n v="2160"/>
    <x v="24"/>
    <d v="2012-02-10T00:00:00"/>
    <m/>
    <n v="9321666824"/>
    <n v="10"/>
    <s v="OOLU7462625"/>
    <s v="BUSAN EXPRESS/04W01"/>
    <m/>
    <s v="YANTIAN"/>
    <m/>
    <m/>
    <s v="JASON FAN"/>
    <s v="FO9"/>
    <s v="BEVERAGE                      "/>
    <s v="CONFIRMED"/>
    <n v="1"/>
    <n v="2"/>
    <d v="2012-01-13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270"/>
    <n v="1370149992"/>
    <n v="270"/>
    <x v="8"/>
    <x v="8"/>
    <s v="K9"/>
    <n v="8000033943"/>
    <n v="30"/>
    <s v="XN200310       "/>
    <s v="XN200310 NES ESSENZA MANUAL BLK EUR               "/>
    <s v="S"/>
    <d v="2012-01-17T00:00:00"/>
    <m/>
    <s v="X"/>
    <x v="63"/>
    <n v="40.79"/>
    <n v="14"/>
    <d v="2012-02-13T00:00:00"/>
    <d v="2012-01-16T00:00:00"/>
    <n v="2380"/>
    <d v="2012-01-16T00:00:00"/>
    <n v="2380"/>
    <m/>
    <d v="2012-01-13T00:00:00"/>
    <n v="4760"/>
    <d v="2012-02-09T00:00:00"/>
    <d v="2012-01-12T00:00:00"/>
    <n v="2380"/>
    <n v="2380"/>
    <x v="24"/>
    <d v="2012-02-10T00:00:00"/>
    <m/>
    <n v="9321666824"/>
    <n v="20"/>
    <s v="TGHU9806910"/>
    <s v="BUSAN EXPRESS/04W01"/>
    <m/>
    <s v="YANTIAN"/>
    <m/>
    <m/>
    <s v="JASON FAN"/>
    <s v="FO9"/>
    <s v="BEVERAGE                      "/>
    <s v="CONFIRMED"/>
    <n v="1"/>
    <n v="2"/>
    <d v="2012-01-13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280"/>
    <n v="1370149992"/>
    <n v="280"/>
    <x v="8"/>
    <x v="8"/>
    <s v="K9"/>
    <n v="8000033943"/>
    <n v="30"/>
    <s v="XN200310       "/>
    <s v="XN200310 NES ESSENZA MANUAL BLK EUR               "/>
    <s v="S"/>
    <d v="2012-01-19T00:00:00"/>
    <m/>
    <s v="X"/>
    <x v="63"/>
    <n v="40.79"/>
    <n v="14"/>
    <d v="2012-02-15T00:00:00"/>
    <d v="2012-01-18T00:00:00"/>
    <n v="2380"/>
    <d v="2012-01-18T00:00:00"/>
    <n v="2380"/>
    <m/>
    <d v="2012-01-20T00:00:00"/>
    <n v="4760"/>
    <d v="2012-02-14T00:00:00"/>
    <d v="2012-01-17T00:00:00"/>
    <n v="2380"/>
    <n v="2380"/>
    <x v="19"/>
    <d v="2012-02-14T00:00:00"/>
    <m/>
    <n v="9321666824"/>
    <n v="30"/>
    <s v="OOLU8457201"/>
    <s v="APL HAMBURG"/>
    <m/>
    <s v="YANTIAN"/>
    <m/>
    <m/>
    <s v="JASON FAN"/>
    <s v="FO9"/>
    <s v="BEVERAGE                      "/>
    <s v="CONFIRMED"/>
    <n v="1"/>
    <n v="3"/>
    <d v="2012-01-17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929/000010"/>
    <n v="1370150189"/>
    <n v="10"/>
    <x v="8"/>
    <x v="8"/>
    <s v="K9"/>
    <n v="8000034490"/>
    <n v="38"/>
    <s v="KP1506E2       "/>
    <s v="KP1506E2 NDG GENIO RED CE                         "/>
    <s v="S"/>
    <d v="2012-01-16T00:00:00"/>
    <m/>
    <s v="X"/>
    <x v="63"/>
    <n v="53.59"/>
    <n v="13006"/>
    <d v="2012-02-09T00:00:00"/>
    <d v="2012-01-05T00:00:00"/>
    <n v="2160"/>
    <d v="2012-01-14T00:00:00"/>
    <n v="2160"/>
    <m/>
    <d v="2012-01-06T00:00:00"/>
    <n v="2160"/>
    <d v="2012-02-18T00:00:00"/>
    <d v="2012-01-14T00:00:00"/>
    <n v="2160"/>
    <n v="2160"/>
    <x v="9"/>
    <d v="2012-02-18T00:00:00"/>
    <m/>
    <n v="9321666825"/>
    <n v="10"/>
    <s v="PONU1253375"/>
    <s v="CMA CGM BALZAC/1202"/>
    <m/>
    <s v="YANTIAN"/>
    <s v="C-ETD-TEMP/"/>
    <m/>
    <s v="KENUS WONG"/>
    <s v="FO9"/>
    <s v="BEVERAGE                      "/>
    <s v="CONFIRMED"/>
    <n v="1"/>
    <n v="2"/>
    <d v="2012-01-14T00:00:00"/>
    <s v="KITCHEN ELECTRICS             "/>
    <s v="BREAKFAST &amp; BREVAGE PREP      "/>
    <x v="4"/>
    <x v="1"/>
    <x v="16"/>
    <s v="C-ETD-TEMP"/>
    <n v="-3"/>
    <n v="-3"/>
    <x v="7"/>
    <n v="1"/>
    <x v="0"/>
    <x v="0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2825/000010"/>
    <n v="1370149859"/>
    <n v="10"/>
    <x v="8"/>
    <x v="8"/>
    <s v="K9"/>
    <n v="8000033697"/>
    <n v="38"/>
    <s v="KP500210       "/>
    <s v="KP500210 NDG CIRCOLO PEARLY EUR                   "/>
    <s v="S"/>
    <d v="2012-01-06T00:00:00"/>
    <m/>
    <s v="X"/>
    <x v="63"/>
    <n v="50.38"/>
    <n v="42"/>
    <d v="2012-02-06T00:00:00"/>
    <d v="2012-01-02T00:00:00"/>
    <n v="1240"/>
    <d v="2012-01-02T00:00:00"/>
    <n v="1240"/>
    <m/>
    <d v="2012-01-02T00:00:00"/>
    <n v="1240"/>
    <d v="2012-02-05T00:00:00"/>
    <d v="2012-01-01T00:00:00"/>
    <n v="1240"/>
    <n v="1240"/>
    <x v="6"/>
    <d v="2012-02-09T00:00:00"/>
    <m/>
    <n v="9321666826"/>
    <n v="10"/>
    <s v="FSCU4683835"/>
    <s v="MOL MAXIM/010W"/>
    <m/>
    <s v="YANTIAN"/>
    <m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2822/000010"/>
    <n v="1370149860"/>
    <n v="10"/>
    <x v="8"/>
    <x v="8"/>
    <s v="K9"/>
    <n v="8000033706"/>
    <n v="38"/>
    <s v="KP500010       "/>
    <s v="KP500010 NDG CIRCOLO ANTH EUR                     "/>
    <s v="S"/>
    <d v="2012-01-06T00:00:00"/>
    <m/>
    <s v="X"/>
    <x v="63"/>
    <n v="50.22"/>
    <n v="42"/>
    <d v="2012-02-06T00:00:00"/>
    <d v="2012-01-02T00:00:00"/>
    <n v="1240"/>
    <d v="2012-01-02T00:00:00"/>
    <n v="1240"/>
    <m/>
    <d v="2012-01-02T00:00:00"/>
    <n v="1240"/>
    <d v="2012-02-05T00:00:00"/>
    <d v="2012-01-01T00:00:00"/>
    <n v="1240"/>
    <n v="1240"/>
    <x v="6"/>
    <d v="2012-02-09T00:00:00"/>
    <m/>
    <n v="9321666827"/>
    <n v="10"/>
    <s v="APZU4286289"/>
    <s v="MOL MAXIM/010W"/>
    <m/>
    <s v="YANTIAN"/>
    <m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2084/000010"/>
    <n v="1370150122"/>
    <n v="10"/>
    <x v="8"/>
    <x v="8"/>
    <s v="K9"/>
    <n v="8000033706"/>
    <n v="38"/>
    <s v="KP500010       "/>
    <s v="KP500010 NDG CIRCOLO ANTH EUR                     "/>
    <s v="S"/>
    <d v="2012-01-06T00:00:00"/>
    <m/>
    <s v="X"/>
    <x v="63"/>
    <n v="50.22"/>
    <n v="42"/>
    <d v="2012-02-03T00:00:00"/>
    <d v="2011-12-30T00:00:00"/>
    <n v="1240"/>
    <d v="2011-12-30T00:00:00"/>
    <n v="1240"/>
    <m/>
    <d v="2011-12-30T00:00:00"/>
    <n v="1240"/>
    <d v="2012-01-27T00:00:00"/>
    <d v="2011-12-23T00:00:00"/>
    <n v="1240"/>
    <n v="1240"/>
    <x v="16"/>
    <d v="2012-02-07T00:00:00"/>
    <m/>
    <n v="9321666828"/>
    <n v="10"/>
    <s v="TRLU6379516"/>
    <s v="NYK VESTA 28W51/"/>
    <m/>
    <s v="YANTIAN"/>
    <m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9234/000010"/>
    <n v="1370150131"/>
    <n v="10"/>
    <x v="8"/>
    <x v="8"/>
    <s v="K9"/>
    <n v="8000033723"/>
    <n v="38"/>
    <s v="KP210011B      "/>
    <s v="KP210011 NDG MELODY 2 BLK EUR                     "/>
    <s v="S"/>
    <d v="2012-01-06T00:00:00"/>
    <m/>
    <s v="X"/>
    <x v="63"/>
    <n v="44.13"/>
    <n v="37"/>
    <d v="2012-02-03T00:00:00"/>
    <d v="2011-12-30T00:00:00"/>
    <n v="2480"/>
    <d v="2011-12-30T00:00:00"/>
    <n v="2480"/>
    <m/>
    <d v="2011-12-30T00:00:00"/>
    <n v="2480"/>
    <d v="2012-01-27T00:00:00"/>
    <d v="2011-12-23T00:00:00"/>
    <n v="2480"/>
    <n v="1240"/>
    <x v="16"/>
    <d v="2012-02-07T00:00:00"/>
    <m/>
    <n v="9321666829"/>
    <n v="10"/>
    <s v="NYKU6483754"/>
    <s v="NYK VESTA 28W51/"/>
    <m/>
    <s v="YANTIAN"/>
    <m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9234/000010"/>
    <n v="1370150131"/>
    <n v="10"/>
    <x v="8"/>
    <x v="8"/>
    <s v="K9"/>
    <n v="8000033723"/>
    <n v="38"/>
    <s v="KP210011B      "/>
    <s v="KP210011 NDG MELODY 2 BLK EUR                     "/>
    <s v="S"/>
    <d v="2012-01-09T00:00:00"/>
    <m/>
    <s v="X"/>
    <x v="63"/>
    <n v="44.13"/>
    <n v="37"/>
    <d v="2012-02-03T00:00:00"/>
    <d v="2011-12-30T00:00:00"/>
    <n v="2480"/>
    <d v="2011-12-30T00:00:00"/>
    <n v="2480"/>
    <m/>
    <d v="2011-12-30T00:00:00"/>
    <n v="2480"/>
    <d v="2012-01-27T00:00:00"/>
    <d v="2011-12-23T00:00:00"/>
    <n v="2480"/>
    <n v="1240"/>
    <x v="16"/>
    <d v="2012-02-07T00:00:00"/>
    <m/>
    <n v="9321666829"/>
    <n v="10"/>
    <s v="TRLU6178194"/>
    <s v="NYK VESTA 28W51/"/>
    <m/>
    <s v="YANTIAN"/>
    <m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0263/000010"/>
    <n v="1370150098"/>
    <n v="10"/>
    <x v="8"/>
    <x v="8"/>
    <s v="K9"/>
    <n v="8000034358"/>
    <n v="38"/>
    <s v="KP100010       "/>
    <s v="KP100010 NDG PICCOLO BLK EUR                      "/>
    <s v="S"/>
    <d v="2012-01-20T00:00:00"/>
    <m/>
    <s v="X"/>
    <x v="63"/>
    <n v="33.79"/>
    <n v="28"/>
    <d v="2012-02-10T00:00:00"/>
    <d v="2012-01-06T00:00:00"/>
    <n v="2160"/>
    <d v="2012-01-06T00:00:00"/>
    <n v="2160"/>
    <m/>
    <d v="2012-01-02T00:00:00"/>
    <n v="2160"/>
    <d v="2012-02-06T00:00:00"/>
    <d v="2012-01-02T00:00:00"/>
    <n v="2160"/>
    <n v="2160"/>
    <x v="21"/>
    <d v="2012-02-22T00:00:00"/>
    <m/>
    <n v="9321666830"/>
    <n v="10"/>
    <s v="MAEU6229183"/>
    <s v="GJERTRUD MAERSK 121W"/>
    <m/>
    <s v="YANTIAN"/>
    <s v="C-SHORTL/T/"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2"/>
    <x v="0"/>
    <x v="0"/>
    <x v="1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60264/000010"/>
    <n v="1370150104"/>
    <n v="10"/>
    <x v="8"/>
    <x v="8"/>
    <s v="K9"/>
    <n v="8000034358"/>
    <n v="38"/>
    <s v="KP100010       "/>
    <s v="KP100010 NDG PICCOLO BLK EUR                      "/>
    <s v="S"/>
    <d v="2012-02-03T00:00:00"/>
    <m/>
    <s v="X"/>
    <x v="63"/>
    <n v="33.79"/>
    <n v="28"/>
    <d v="2012-02-17T00:00:00"/>
    <d v="2012-01-13T00:00:00"/>
    <n v="2160"/>
    <d v="2012-01-13T00:00:00"/>
    <n v="2160"/>
    <m/>
    <d v="2012-01-13T00:00:00"/>
    <n v="2160"/>
    <d v="2012-02-24T00:00:00"/>
    <d v="2012-01-20T00:00:00"/>
    <n v="2160"/>
    <n v="2160"/>
    <x v="27"/>
    <d v="2012-02-29T00:00:00"/>
    <m/>
    <n v="9321666831"/>
    <n v="10"/>
    <s v="MRKU3384808"/>
    <s v="MARGRETHE MAERSK 122"/>
    <m/>
    <s v="YANTIAN"/>
    <s v="C-SHORTL/T/"/>
    <m/>
    <s v="JASON FAN"/>
    <s v="FO9"/>
    <s v="BEVERAGE                      "/>
    <s v="CONFIRMED"/>
    <n v="1"/>
    <n v="4"/>
    <d v="2012-01-25T00:00:00"/>
    <s v="KITCHEN ELECTRICS             "/>
    <s v="BREAKFAST &amp; BREVAGE PREP      "/>
    <x v="4"/>
    <x v="1"/>
    <x v="1"/>
    <m/>
    <n v="0"/>
    <n v="0"/>
    <x v="1"/>
    <n v="2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62087/000010"/>
    <n v="1370150106"/>
    <n v="10"/>
    <x v="8"/>
    <x v="8"/>
    <s v="K9"/>
    <n v="8000033943"/>
    <n v="30"/>
    <s v="XN200310       "/>
    <s v="XN200310 NES ESSENZA MANUAL BLK EUR               "/>
    <s v="S"/>
    <d v="2012-01-06T00:00:00"/>
    <m/>
    <s v="X"/>
    <x v="63"/>
    <n v="41.4"/>
    <n v="35"/>
    <d v="2012-02-03T00:00:00"/>
    <d v="2011-12-30T00:00:00"/>
    <n v="2040"/>
    <d v="2011-12-30T00:00:00"/>
    <n v="2040"/>
    <m/>
    <d v="2012-01-06T00:00:00"/>
    <n v="2040"/>
    <d v="2012-02-08T00:00:00"/>
    <d v="2012-01-04T00:00:00"/>
    <n v="2040"/>
    <n v="2040"/>
    <x v="16"/>
    <d v="2012-02-07T00:00:00"/>
    <m/>
    <n v="9321666832"/>
    <n v="10"/>
    <s v="NYKU6069364"/>
    <s v="NYK VESTA 28W51/"/>
    <m/>
    <s v="YANTIAN"/>
    <m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0361/000010"/>
    <n v="1370150134"/>
    <n v="10"/>
    <x v="8"/>
    <x v="8"/>
    <s v="K9"/>
    <n v="8000033702"/>
    <n v="38"/>
    <s v="KP500610       "/>
    <s v="KP500610 NDG CIRCOLO RED EUR                      "/>
    <s v="S"/>
    <d v="2012-01-06T00:00:00"/>
    <m/>
    <s v="X"/>
    <x v="63"/>
    <n v="52.28"/>
    <n v="44"/>
    <d v="2012-02-03T00:00:00"/>
    <d v="2011-12-30T00:00:00"/>
    <n v="1240"/>
    <d v="2011-12-30T00:00:00"/>
    <n v="1240"/>
    <m/>
    <d v="2011-12-30T00:00:00"/>
    <n v="1240"/>
    <d v="2012-01-27T00:00:00"/>
    <d v="2011-12-23T00:00:00"/>
    <n v="1240"/>
    <n v="1240"/>
    <x v="16"/>
    <d v="2012-02-07T00:00:00"/>
    <m/>
    <n v="9321666833"/>
    <n v="10"/>
    <s v="NYKU6148479"/>
    <s v="NYK VESTA 28W51/"/>
    <m/>
    <s v="YANTIAN"/>
    <m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2823/000010"/>
    <n v="1370149861"/>
    <n v="10"/>
    <x v="8"/>
    <x v="8"/>
    <s v="K9"/>
    <n v="8000033700"/>
    <n v="38"/>
    <s v="KP500510       "/>
    <s v="KP500510 NDG CIRCOLO MET EUR                      "/>
    <s v="S"/>
    <d v="2012-01-06T00:00:00"/>
    <m/>
    <s v="X"/>
    <x v="63"/>
    <n v="50.75"/>
    <n v="42"/>
    <d v="2012-02-06T00:00:00"/>
    <d v="2012-01-02T00:00:00"/>
    <n v="1240"/>
    <d v="2012-01-02T00:00:00"/>
    <n v="1240"/>
    <m/>
    <d v="2012-01-02T00:00:00"/>
    <n v="1240"/>
    <d v="2012-02-05T00:00:00"/>
    <d v="2012-01-01T00:00:00"/>
    <n v="1240"/>
    <n v="1240"/>
    <x v="6"/>
    <d v="2012-02-09T00:00:00"/>
    <m/>
    <n v="9321666834"/>
    <n v="10"/>
    <s v="APZU4845469"/>
    <s v="MOL MAXIM/010W"/>
    <m/>
    <s v="YANTIAN"/>
    <m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2824/000010"/>
    <n v="1370149857"/>
    <n v="10"/>
    <x v="8"/>
    <x v="8"/>
    <s v="K9"/>
    <n v="8000033702"/>
    <n v="38"/>
    <s v="KP500610       "/>
    <s v="KP500610 NDG CIRCOLO RED EUR                      "/>
    <s v="S"/>
    <d v="2012-01-06T00:00:00"/>
    <m/>
    <s v="X"/>
    <x v="63"/>
    <n v="52.28"/>
    <n v="44"/>
    <d v="2012-02-06T00:00:00"/>
    <d v="2012-01-02T00:00:00"/>
    <n v="1240"/>
    <d v="2012-01-02T00:00:00"/>
    <n v="1240"/>
    <m/>
    <d v="2012-01-02T00:00:00"/>
    <n v="1240"/>
    <d v="2012-02-05T00:00:00"/>
    <d v="2012-01-01T00:00:00"/>
    <n v="1240"/>
    <n v="1240"/>
    <x v="6"/>
    <d v="2012-02-09T00:00:00"/>
    <m/>
    <n v="9321666835"/>
    <n v="10"/>
    <s v="APZU4098234"/>
    <s v="MOL MAXIM/010W"/>
    <m/>
    <s v="YANTIAN"/>
    <m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2082/000010"/>
    <n v="1370150132"/>
    <n v="10"/>
    <x v="8"/>
    <x v="8"/>
    <s v="K9"/>
    <n v="8000033702"/>
    <n v="38"/>
    <s v="KP500610       "/>
    <s v="KP500610 NDG CIRCOLO RED EUR                      "/>
    <s v="S"/>
    <d v="2012-01-09T00:00:00"/>
    <m/>
    <s v="X"/>
    <x v="63"/>
    <n v="52.28"/>
    <n v="44"/>
    <d v="2012-02-03T00:00:00"/>
    <d v="2011-12-30T00:00:00"/>
    <n v="1240"/>
    <d v="2011-12-30T00:00:00"/>
    <n v="1240"/>
    <m/>
    <d v="2011-12-30T00:00:00"/>
    <n v="1240"/>
    <d v="2012-01-27T00:00:00"/>
    <d v="2011-12-23T00:00:00"/>
    <n v="1240"/>
    <n v="1240"/>
    <x v="2"/>
    <d v="2012-02-08T00:00:00"/>
    <m/>
    <n v="9321666836"/>
    <n v="10"/>
    <s v="MSKU6685129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0262/000010"/>
    <n v="1370150139"/>
    <n v="10"/>
    <x v="8"/>
    <x v="8"/>
    <s v="K9"/>
    <n v="8000033965"/>
    <n v="38"/>
    <s v="KP100610       "/>
    <s v="KP100610 NDG PICCOLO RED EUR                      "/>
    <s v="S"/>
    <d v="2012-01-06T00:00:00"/>
    <m/>
    <s v="X"/>
    <x v="63"/>
    <n v="33.79"/>
    <n v="28"/>
    <d v="2012-02-10T00:00:00"/>
    <d v="2012-01-06T00:00:00"/>
    <n v="4320"/>
    <d v="2012-01-06T00:00:00"/>
    <n v="4320"/>
    <m/>
    <d v="2012-01-02T00:00:00"/>
    <n v="4320"/>
    <d v="2012-02-06T00:00:00"/>
    <d v="2012-01-02T00:00:00"/>
    <n v="4320"/>
    <n v="2160"/>
    <x v="16"/>
    <d v="2012-02-07T00:00:00"/>
    <m/>
    <n v="9321666837"/>
    <n v="10"/>
    <s v="NYKU6374183"/>
    <s v="NYK VESTA 28W51/"/>
    <m/>
    <s v="YANTIAN"/>
    <m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0262/000010"/>
    <n v="1370150139"/>
    <n v="10"/>
    <x v="8"/>
    <x v="8"/>
    <s v="K9"/>
    <n v="8000033965"/>
    <n v="38"/>
    <s v="KP100610       "/>
    <s v="KP100610 NDG PICCOLO RED EUR                      "/>
    <s v="S"/>
    <d v="2012-01-10T00:00:00"/>
    <m/>
    <s v="X"/>
    <x v="63"/>
    <n v="33.79"/>
    <n v="28"/>
    <d v="2012-02-10T00:00:00"/>
    <d v="2012-01-06T00:00:00"/>
    <n v="4320"/>
    <d v="2012-01-06T00:00:00"/>
    <n v="4320"/>
    <m/>
    <d v="2012-01-02T00:00:00"/>
    <n v="4320"/>
    <d v="2012-02-06T00:00:00"/>
    <d v="2012-01-02T00:00:00"/>
    <n v="4320"/>
    <n v="2160"/>
    <x v="2"/>
    <d v="2012-02-08T00:00:00"/>
    <m/>
    <n v="9321666837"/>
    <n v="10"/>
    <s v="PONU1836984"/>
    <s v="MAREN MAERSK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0261/000010"/>
    <n v="1370150084"/>
    <n v="10"/>
    <x v="8"/>
    <x v="8"/>
    <s v="K9"/>
    <n v="8000033999"/>
    <n v="38"/>
    <s v="KP210110       "/>
    <s v="KP210110 NDG MELODY 2 PIANO BLK EUR               "/>
    <s v="S"/>
    <d v="2012-01-09T00:00:00"/>
    <m/>
    <s v="X"/>
    <x v="63"/>
    <n v="44.49"/>
    <n v="37"/>
    <d v="2012-02-03T00:00:00"/>
    <d v="2011-12-30T00:00:00"/>
    <n v="1240"/>
    <d v="2011-12-30T00:00:00"/>
    <n v="1240"/>
    <m/>
    <d v="2011-12-30T00:00:00"/>
    <n v="1240"/>
    <d v="2012-01-27T00:00:00"/>
    <d v="2011-12-23T00:00:00"/>
    <n v="1240"/>
    <n v="1240"/>
    <x v="2"/>
    <d v="2012-02-08T00:00:00"/>
    <m/>
    <n v="9321666839"/>
    <n v="10"/>
    <s v="MRKU0426495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0359/000010"/>
    <n v="1370150099"/>
    <n v="10"/>
    <x v="8"/>
    <x v="8"/>
    <s v="K9"/>
    <n v="8000033700"/>
    <n v="38"/>
    <s v="KP500510       "/>
    <s v="KP500510 NDG CIRCOLO MET EUR                      "/>
    <s v="S"/>
    <d v="2012-01-06T00:00:00"/>
    <m/>
    <s v="X"/>
    <x v="63"/>
    <n v="50.75"/>
    <n v="42"/>
    <d v="2012-02-03T00:00:00"/>
    <d v="2011-12-30T00:00:00"/>
    <n v="1240"/>
    <d v="2012-01-04T00:00:00"/>
    <n v="1240"/>
    <m/>
    <d v="2011-12-30T00:00:00"/>
    <n v="1240"/>
    <d v="2012-01-27T00:00:00"/>
    <d v="2011-12-23T00:00:00"/>
    <n v="1240"/>
    <n v="1240"/>
    <x v="16"/>
    <d v="2012-02-07T00:00:00"/>
    <m/>
    <n v="9321666840"/>
    <n v="10"/>
    <s v="DRYU4066647"/>
    <s v="NYK VESTA 28W51/"/>
    <m/>
    <s v="YANTIAN"/>
    <m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925/000010"/>
    <n v="1370150190"/>
    <n v="10"/>
    <x v="8"/>
    <x v="8"/>
    <s v="K9"/>
    <n v="8000034120"/>
    <n v="38"/>
    <s v="KP5000E2       "/>
    <s v="KP5000E2 NDG CIRCOLO ANTH EE2                     "/>
    <s v="S"/>
    <d v="2012-01-11T00:00:00"/>
    <m/>
    <s v="X"/>
    <x v="63"/>
    <n v="50.22"/>
    <n v="12191"/>
    <d v="2012-02-09T00:00:00"/>
    <d v="2012-01-05T00:00:00"/>
    <n v="600"/>
    <d v="2012-01-05T00:00:00"/>
    <n v="600"/>
    <m/>
    <d v="2012-01-05T00:00:00"/>
    <n v="600"/>
    <d v="2012-02-04T00:00:00"/>
    <d v="2011-12-31T00:00:00"/>
    <n v="600"/>
    <n v="600"/>
    <x v="12"/>
    <d v="2012-02-11T00:00:00"/>
    <m/>
    <n v="9321666841"/>
    <n v="10"/>
    <s v="MRKU0319250"/>
    <s v="CMA CGM RAVEL/785W"/>
    <m/>
    <s v="YANTIAN"/>
    <m/>
    <m/>
    <s v="KENUS WONG"/>
    <s v="FO9"/>
    <s v="BEVERAGE                      "/>
    <s v="CONFIRMED"/>
    <n v="1"/>
    <n v="1"/>
    <d v="2012-01-07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924/000010"/>
    <n v="1370150187"/>
    <n v="10"/>
    <x v="8"/>
    <x v="8"/>
    <s v="K9"/>
    <n v="8000034081"/>
    <n v="38"/>
    <s v="KP1009E2       "/>
    <s v="KP1009E2 NDG PICCOLO TIT EE2                      "/>
    <s v="S"/>
    <d v="2012-01-11T00:00:00"/>
    <m/>
    <s v="X"/>
    <x v="63"/>
    <n v="36.61"/>
    <n v="8901"/>
    <d v="2012-02-09T00:00:00"/>
    <d v="2012-01-05T00:00:00"/>
    <n v="2160"/>
    <d v="2012-01-05T00:00:00"/>
    <n v="2160"/>
    <m/>
    <d v="2012-01-06T00:00:00"/>
    <n v="2160"/>
    <d v="2012-02-10T00:00:00"/>
    <d v="2012-01-06T00:00:00"/>
    <n v="2160"/>
    <n v="2160"/>
    <x v="12"/>
    <d v="2012-02-11T00:00:00"/>
    <m/>
    <n v="9321666842"/>
    <n v="10"/>
    <s v="MAEU6226266"/>
    <s v="CMA CGM RAVEL/785W"/>
    <m/>
    <s v="YANTIAN"/>
    <m/>
    <m/>
    <s v="KENUS WONG"/>
    <s v="FO9"/>
    <s v="BEVERAGE                      "/>
    <s v="CONFIRMED"/>
    <n v="1"/>
    <n v="1"/>
    <d v="2012-01-07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926/000010"/>
    <n v="1370150188"/>
    <n v="10"/>
    <x v="8"/>
    <x v="8"/>
    <s v="K9"/>
    <n v="8000034123"/>
    <n v="38"/>
    <s v="KP5006E2       "/>
    <s v="KP5006E2 NDG CIRCOLO RED FR                       "/>
    <s v="S"/>
    <d v="2012-01-11T00:00:00"/>
    <m/>
    <s v="X"/>
    <x v="63"/>
    <n v="52.28"/>
    <n v="12689"/>
    <d v="2012-02-09T00:00:00"/>
    <d v="2012-01-05T00:00:00"/>
    <n v="600"/>
    <d v="2012-01-05T00:00:00"/>
    <n v="600"/>
    <m/>
    <d v="2012-01-05T00:00:00"/>
    <n v="600"/>
    <d v="2012-02-04T00:00:00"/>
    <d v="2011-12-31T00:00:00"/>
    <n v="600"/>
    <n v="600"/>
    <x v="12"/>
    <d v="2012-02-11T00:00:00"/>
    <m/>
    <n v="9321666843"/>
    <n v="10"/>
    <s v="MRKU0319250"/>
    <s v="CMA CGM RAVEL/785W"/>
    <m/>
    <s v="YANTIAN"/>
    <m/>
    <m/>
    <s v="KENUS WONG"/>
    <s v="FO9"/>
    <s v="BEVERAGE                      "/>
    <s v="CONFIRMED"/>
    <n v="1"/>
    <n v="1"/>
    <d v="2012-01-07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928/000010"/>
    <n v="1370150192"/>
    <n v="10"/>
    <x v="8"/>
    <x v="8"/>
    <s v="K9"/>
    <n v="8000034370"/>
    <n v="38"/>
    <s v="KP2609E2       "/>
    <s v="KP2609E2 NDG CREATIVA+ TIT HU                     "/>
    <s v="S"/>
    <d v="2012-01-11T00:00:00"/>
    <m/>
    <s v="X"/>
    <x v="63"/>
    <n v="74.52"/>
    <n v="18065"/>
    <d v="2012-02-09T00:00:00"/>
    <d v="2012-01-05T00:00:00"/>
    <n v="600"/>
    <d v="2012-01-05T00:00:00"/>
    <n v="600"/>
    <m/>
    <d v="2012-01-02T00:00:00"/>
    <n v="600"/>
    <d v="2012-02-06T00:00:00"/>
    <d v="2012-01-02T00:00:00"/>
    <n v="600"/>
    <n v="600"/>
    <x v="12"/>
    <d v="2012-02-11T00:00:00"/>
    <m/>
    <n v="9321666844"/>
    <n v="10"/>
    <s v="MAEU6358600"/>
    <s v="CMA CGM RAVEL/785W"/>
    <m/>
    <s v="YANTIAN"/>
    <m/>
    <m/>
    <s v="KENUS WONG"/>
    <s v="FO9"/>
    <s v="BEVERAGE                      "/>
    <s v="CONFIRMED"/>
    <n v="1"/>
    <n v="1"/>
    <d v="2012-01-07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927/000010"/>
    <n v="1370150191"/>
    <n v="10"/>
    <x v="8"/>
    <x v="8"/>
    <s v="K9"/>
    <n v="8000034368"/>
    <n v="38"/>
    <s v="KP2606E2       "/>
    <s v="KP2606E2 NDG CREATIVA+ RED HU                     "/>
    <s v="S"/>
    <d v="2012-01-11T00:00:00"/>
    <m/>
    <s v="X"/>
    <x v="63"/>
    <n v="70.45"/>
    <n v="17082"/>
    <d v="2012-02-09T00:00:00"/>
    <d v="2012-01-05T00:00:00"/>
    <n v="600"/>
    <d v="2012-01-05T00:00:00"/>
    <n v="600"/>
    <m/>
    <d v="2012-01-02T00:00:00"/>
    <n v="600"/>
    <d v="2012-02-06T00:00:00"/>
    <d v="2012-01-02T00:00:00"/>
    <n v="600"/>
    <n v="600"/>
    <x v="12"/>
    <d v="2012-02-11T00:00:00"/>
    <m/>
    <n v="9321666845"/>
    <n v="10"/>
    <s v="MAEU6358600"/>
    <s v="CMA CGM RAVEL/785W"/>
    <m/>
    <s v="YANTIAN"/>
    <m/>
    <m/>
    <s v="KENUS WONG"/>
    <s v="FO9"/>
    <s v="BEVERAGE                      "/>
    <s v="CONFIRMED"/>
    <n v="1"/>
    <n v="1"/>
    <d v="2012-01-07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3136/000010"/>
    <n v="1370150522"/>
    <n v="10"/>
    <x v="8"/>
    <x v="8"/>
    <s v="K9"/>
    <n v="8000033943"/>
    <n v="30"/>
    <s v="XN200310       "/>
    <s v="XN200310 NES ESSENZA MANUAL BLK EUR               "/>
    <s v="S"/>
    <d v="2012-01-07T00:00:00"/>
    <m/>
    <s v="X"/>
    <x v="63"/>
    <n v="41.4"/>
    <n v="35"/>
    <d v="2012-02-06T00:00:00"/>
    <d v="2012-01-02T00:00:00"/>
    <n v="2040"/>
    <d v="2012-01-02T00:00:00"/>
    <n v="2040"/>
    <m/>
    <d v="2012-01-06T00:00:00"/>
    <n v="2040"/>
    <d v="2012-02-09T00:00:00"/>
    <d v="2012-01-05T00:00:00"/>
    <n v="2040"/>
    <n v="2040"/>
    <x v="6"/>
    <d v="2012-02-09T00:00:00"/>
    <m/>
    <n v="9321666846"/>
    <n v="10"/>
    <s v="MOFU6708656"/>
    <s v="MOL MAXIM/010W"/>
    <m/>
    <s v="YANTIAN"/>
    <m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0603/000010"/>
    <n v="1370150425"/>
    <n v="10"/>
    <x v="8"/>
    <x v="8"/>
    <s v="K9"/>
    <n v="8000034366"/>
    <n v="38"/>
    <s v="KP150910       "/>
    <s v="KP150910 NDG GENIO TIT EUR                        "/>
    <s v="S"/>
    <d v="2012-01-10T00:00:00"/>
    <m/>
    <s v="X"/>
    <x v="63"/>
    <n v="56.46"/>
    <n v="47"/>
    <d v="2012-02-07T00:00:00"/>
    <d v="2012-01-10T00:00:00"/>
    <n v="2280"/>
    <d v="2012-01-10T00:00:00"/>
    <n v="2160"/>
    <m/>
    <d v="2012-01-03T00:00:00"/>
    <n v="2160"/>
    <d v="2012-01-31T00:00:00"/>
    <d v="2012-01-03T00:00:00"/>
    <n v="2160"/>
    <n v="2160"/>
    <x v="23"/>
    <d v="2012-02-05T00:00:00"/>
    <m/>
    <n v="9321666847"/>
    <n v="10"/>
    <s v="POCU1096924"/>
    <s v="SVENDBORG MAERSK 120"/>
    <m/>
    <s v="YANTIAN"/>
    <m/>
    <m/>
    <s v="KENUS WONG"/>
    <s v="FO9"/>
    <s v="BEVERAGE                      "/>
    <s v="CONFIRMED"/>
    <n v="1"/>
    <n v="1"/>
    <d v="2012-01-08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5231/000010"/>
    <n v="1370151034"/>
    <n v="10"/>
    <x v="8"/>
    <x v="8"/>
    <s v="L4"/>
    <n v="1830002904"/>
    <n v="175"/>
    <s v="CF9220M0       "/>
    <s v="CF9220M0 BRUSH ACTIV II 1000                      "/>
    <s v="S"/>
    <d v="2012-01-17T00:00:00"/>
    <m/>
    <s v="X"/>
    <x v="63"/>
    <n v="19.309999999999999"/>
    <n v="22"/>
    <d v="2012-01-16T00:00:00"/>
    <d v="2012-01-15T00:00:00"/>
    <n v="1002"/>
    <d v="2012-01-15T00:00:00"/>
    <n v="1002"/>
    <m/>
    <d v="2012-01-13T00:00:00"/>
    <n v="1002"/>
    <d v="2012-01-14T00:00:00"/>
    <d v="2012-01-13T00:00:00"/>
    <n v="1002"/>
    <n v="1002"/>
    <x v="24"/>
    <d v="2012-01-14T00:00:00"/>
    <m/>
    <n v="9321666848"/>
    <n v="10"/>
    <m/>
    <m/>
    <m/>
    <s v="YANTIAN"/>
    <s v="UNLOAD JAN13 2012"/>
    <m/>
    <s v="ZANDRA LAM"/>
    <s v="FO9"/>
    <s v="PERSONAL CARE                 "/>
    <s v="CONFIRMED"/>
    <n v="1"/>
    <n v="2"/>
    <d v="2012-01-13T00:00:00"/>
    <s v="LINEN PERS HOME CARE          "/>
    <s v="PERSONAL CARE           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1225/000010"/>
    <n v="1370150438"/>
    <n v="10"/>
    <x v="35"/>
    <x v="35"/>
    <s v="N3"/>
    <n v="1500633135"/>
    <n v="177"/>
    <n v="633135"/>
    <s v="FF102730 FRYER SIMPLY INVEN.&quot;B                    "/>
    <s v="S"/>
    <d v="2012-01-04T00:00:00"/>
    <m/>
    <s v="X"/>
    <x v="63"/>
    <n v="19.420000000000002"/>
    <n v="16476"/>
    <d v="2012-01-24T00:00:00"/>
    <d v="2011-12-27T00:00:00"/>
    <n v="1140"/>
    <d v="2011-12-27T00:00:00"/>
    <n v="1140"/>
    <m/>
    <d v="2011-12-27T00:00:00"/>
    <n v="1140"/>
    <d v="2012-01-30T00:00:00"/>
    <d v="2012-01-02T00:00:00"/>
    <n v="1140"/>
    <n v="1140"/>
    <x v="13"/>
    <d v="2012-01-29T00:00:00"/>
    <m/>
    <n v="9321666850"/>
    <n v="10"/>
    <s v="MAEU6353363"/>
    <s v="CHARLOTTE MAERSK 120"/>
    <m/>
    <s v="SHENZHEN"/>
    <s v="SAILING-SCHED-UPDATE/"/>
    <m/>
    <s v="KENUS WONG"/>
    <s v="FO9"/>
    <s v="ELECTRICAL COOKING            "/>
    <s v="CONFIRMED"/>
    <n v="1"/>
    <n v="52"/>
    <d v="2012-01-01T00:00:00"/>
    <s v="KITCHEN ELECTRICS             "/>
    <s v="ELECTRICAL COOKING            "/>
    <x v="2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332/000010"/>
    <n v="1370151255"/>
    <n v="10"/>
    <x v="35"/>
    <x v="35"/>
    <s v="N3"/>
    <n v="1500633101"/>
    <n v="177"/>
    <n v="633101"/>
    <s v="FF102500 FRIT.SIMPLY INVENTS A                    "/>
    <s v="S"/>
    <d v="2012-01-07T00:00:00"/>
    <m/>
    <s v="X"/>
    <x v="63"/>
    <n v="20.46"/>
    <n v="17"/>
    <d v="2012-02-10T00:00:00"/>
    <d v="2012-01-06T00:00:00"/>
    <n v="1140"/>
    <d v="2012-01-06T00:00:00"/>
    <n v="1140"/>
    <m/>
    <d v="2012-01-06T00:00:00"/>
    <n v="1140"/>
    <d v="2012-02-08T00:00:00"/>
    <d v="2012-01-04T00:00:00"/>
    <n v="1140"/>
    <n v="1140"/>
    <x v="2"/>
    <d v="2012-02-08T00:00:00"/>
    <m/>
    <n v="9321666857"/>
    <n v="10"/>
    <s v="INBU5209991"/>
    <s v="MAREN MAERSK 121W/"/>
    <m/>
    <s v="SHENZHEN"/>
    <s v="SAILING-SCHED-UPDATE/"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2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5822/000010"/>
    <n v="1370151010"/>
    <n v="10"/>
    <x v="56"/>
    <x v="56"/>
    <s v="J2"/>
    <n v="1110020257"/>
    <n v="6"/>
    <s v="               "/>
    <s v="DA1510F1 TRAVEL IRON                              "/>
    <s v="S"/>
    <d v="2012-01-13T00:00:00"/>
    <m/>
    <s v="X"/>
    <x v="63"/>
    <n v="8.16"/>
    <n v="320"/>
    <d v="2012-02-27T00:00:00"/>
    <d v="2012-01-09T00:00:00"/>
    <n v="8460"/>
    <d v="2012-01-09T00:00:00"/>
    <n v="8460"/>
    <m/>
    <d v="2012-01-09T00:00:00"/>
    <n v="8460"/>
    <d v="2012-02-27T00:00:00"/>
    <d v="2012-01-09T00:00:00"/>
    <n v="8460"/>
    <n v="8460"/>
    <x v="24"/>
    <d v="2012-03-02T00:00:00"/>
    <m/>
    <n v="9321666859"/>
    <n v="10"/>
    <s v="TRLU9050756"/>
    <s v="MOL MISSION/006W"/>
    <m/>
    <s v="HONG KONG"/>
    <m/>
    <m/>
    <s v="KENUS WONG"/>
    <s v="FO9"/>
    <s v="LINEN CARE                    "/>
    <s v="CONFIRMED"/>
    <n v="1"/>
    <n v="2"/>
    <d v="2012-01-13T00:00:00"/>
    <s v="LINEN PERS HOME CARE          "/>
    <s v="LINEN CARE   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3601/000010"/>
    <n v="1370151114"/>
    <n v="10"/>
    <x v="27"/>
    <x v="27"/>
    <s v="N1"/>
    <n v="2100028552"/>
    <n v="52"/>
    <s v="FDK441         "/>
    <s v="FDK441 SAND.MAKER FDK4 CUTTING PLT EUROP          "/>
    <s v="S"/>
    <d v="2012-01-10T00:00:00"/>
    <m/>
    <s v="X"/>
    <x v="63"/>
    <n v="12.71"/>
    <n v="11"/>
    <d v="2012-02-13T00:00:00"/>
    <d v="2012-01-09T00:00:00"/>
    <n v="1680"/>
    <d v="2012-01-09T00:00:00"/>
    <n v="1680"/>
    <m/>
    <d v="2012-01-09T00:00:00"/>
    <n v="1680"/>
    <d v="2012-02-13T00:00:00"/>
    <d v="2012-01-09T00:00:00"/>
    <n v="1680"/>
    <n v="1680"/>
    <x v="0"/>
    <d v="2012-02-13T00:00:00"/>
    <m/>
    <n v="9321666862"/>
    <n v="10"/>
    <s v="MOAU0727385"/>
    <s v="HYUNDAI FORCE/017W"/>
    <m/>
    <s v="YANTIAN"/>
    <m/>
    <m/>
    <s v="AGNES NUNES"/>
    <s v="FO9"/>
    <s v="ELECTRICAL COOKING            "/>
    <s v="CONFIRMED"/>
    <n v="1"/>
    <n v="2"/>
    <d v="2012-01-09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019/000010"/>
    <n v="1370151245"/>
    <n v="10"/>
    <x v="27"/>
    <x v="27"/>
    <s v="K9"/>
    <n v="8000033561"/>
    <n v="29"/>
    <s v="ES440010       "/>
    <s v="ES440010 ESP PERFECTO AUTO GRE FR                 "/>
    <s v="S"/>
    <d v="2012-01-17T00:00:00"/>
    <m/>
    <s v="X"/>
    <x v="63"/>
    <n v="55.15"/>
    <n v="49"/>
    <d v="2012-02-17T00:00:00"/>
    <d v="2012-01-13T00:00:00"/>
    <n v="640"/>
    <d v="2012-01-13T00:00:00"/>
    <n v="640"/>
    <m/>
    <d v="2012-01-13T00:00:00"/>
    <n v="640"/>
    <d v="2012-02-17T00:00:00"/>
    <d v="2012-01-13T00:00:00"/>
    <n v="640"/>
    <n v="640"/>
    <x v="24"/>
    <d v="2012-02-17T00:00:00"/>
    <m/>
    <n v="9321666863"/>
    <n v="10"/>
    <s v="MRKU0093692"/>
    <s v="CMA CGM A VESPUCCI 1"/>
    <m/>
    <s v="YANTIAN"/>
    <m/>
    <m/>
    <s v="JASON FAN"/>
    <s v="FO9"/>
    <s v="BEVERAGE                      "/>
    <s v="CONFIRMED"/>
    <n v="1"/>
    <n v="2"/>
    <d v="2012-01-13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379/000010"/>
    <n v="1370151313"/>
    <n v="10"/>
    <x v="27"/>
    <x v="27"/>
    <s v="N1"/>
    <n v="2100060605"/>
    <n v="52"/>
    <s v="SW321812       "/>
    <s v="SW321812 SW INOX &amp; DESIGN BLK/STAIN EUR           "/>
    <s v="S"/>
    <d v="2012-01-17T00:00:00"/>
    <m/>
    <s v="X"/>
    <x v="63"/>
    <n v="19.579999999999998"/>
    <n v="17"/>
    <d v="2012-02-17T00:00:00"/>
    <d v="2012-01-13T00:00:00"/>
    <n v="1152"/>
    <d v="2012-01-13T00:00:00"/>
    <n v="1152"/>
    <m/>
    <d v="2012-01-13T00:00:00"/>
    <n v="1152"/>
    <d v="2012-02-17T00:00:00"/>
    <d v="2012-01-13T00:00:00"/>
    <n v="1152"/>
    <n v="1152"/>
    <x v="24"/>
    <d v="2012-02-17T00:00:00"/>
    <m/>
    <n v="9321666864"/>
    <n v="10"/>
    <s v="MRKU0093692"/>
    <s v="CMA CGM A VESPUCCI 1"/>
    <m/>
    <s v="YANTIAN"/>
    <m/>
    <m/>
    <s v="JASON FAN"/>
    <s v="FO9"/>
    <s v="ELECTRICAL COOKING            "/>
    <s v="CONFIRMED"/>
    <n v="1"/>
    <n v="2"/>
    <d v="2012-01-13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06/000001"/>
    <n v="1370151067"/>
    <n v="10"/>
    <x v="7"/>
    <x v="7"/>
    <s v="M1"/>
    <n v="1830002820"/>
    <n v="8"/>
    <s v="VU6525Y0       "/>
    <s v="VU6525Y0 TOWER FAN EOLE 2                         "/>
    <s v="S"/>
    <d v="2012-01-11T00:00:00"/>
    <m/>
    <s v="X"/>
    <x v="63"/>
    <n v="24.28"/>
    <n v="32"/>
    <d v="2012-01-24T00:00:00"/>
    <d v="2012-01-10T00:00:00"/>
    <n v="1000"/>
    <d v="2012-01-03T00:00:00"/>
    <n v="1000"/>
    <m/>
    <d v="2012-01-10T00:00:00"/>
    <n v="1000"/>
    <d v="2012-01-24T00:00:00"/>
    <d v="2012-01-10T00:00:00"/>
    <n v="1000"/>
    <n v="1000"/>
    <x v="5"/>
    <d v="2012-01-24T00:00:00"/>
    <m/>
    <n v="9321666865"/>
    <n v="10"/>
    <s v="OOLU8476367"/>
    <s v="PATRICIA SCHULTE 12S"/>
    <m/>
    <s v="YANTIAN"/>
    <m/>
    <m/>
    <s v="AGNES NUNES"/>
    <s v="FO9"/>
    <s v="HOME COMFORT                  "/>
    <s v="CONFIRMED"/>
    <n v="1"/>
    <n v="2"/>
    <d v="2012-01-10T00:00:00"/>
    <s v="LINEN PERS HOME CARE          "/>
    <s v="HOME COMFORT 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07/000001"/>
    <n v="1370151075"/>
    <n v="10"/>
    <x v="7"/>
    <x v="7"/>
    <s v="M1"/>
    <n v="1830002922"/>
    <n v="8"/>
    <s v="VU9050Y0       "/>
    <s v="VU9050Y0 TABLE TOWER FAN ARTIK 2                  "/>
    <s v="S"/>
    <d v="2012-01-11T00:00:00"/>
    <m/>
    <s v="X"/>
    <x v="63"/>
    <n v="14.61"/>
    <n v="20"/>
    <d v="2012-01-24T00:00:00"/>
    <d v="2012-01-10T00:00:00"/>
    <n v="1000"/>
    <d v="2012-01-03T00:00:00"/>
    <n v="999"/>
    <m/>
    <d v="2012-01-10T00:00:00"/>
    <n v="1000"/>
    <d v="2012-01-24T00:00:00"/>
    <d v="2012-01-10T00:00:00"/>
    <n v="999"/>
    <n v="999"/>
    <x v="5"/>
    <d v="2012-01-24T00:00:00"/>
    <m/>
    <n v="9321666866"/>
    <n v="10"/>
    <s v="OOLU8476367"/>
    <s v="PATRICIA SCHULTE 12S"/>
    <m/>
    <s v="YANTIAN"/>
    <s v="SP-TECH/"/>
    <m/>
    <s v="AGNES NUNES"/>
    <s v="FO9"/>
    <s v="HOME COMFORT                  "/>
    <s v="CONFIRMED"/>
    <n v="1"/>
    <n v="2"/>
    <d v="2012-01-10T00:00:00"/>
    <s v="LINEN PERS HOME CARE          "/>
    <s v="HOME COMFORT                  "/>
    <x v="3"/>
    <x v="2"/>
    <x v="2"/>
    <s v="SP-TECH"/>
    <n v="1"/>
    <n v="1"/>
    <x v="4"/>
    <n v="1"/>
    <x v="0"/>
    <x v="1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02/000001"/>
    <n v="1370151044"/>
    <n v="10"/>
    <x v="9"/>
    <x v="9"/>
    <s v="N3"/>
    <n v="1500631037"/>
    <n v="177"/>
    <n v="631037"/>
    <s v="FR400972 SMART CLEAN INOX SG                      "/>
    <s v="S"/>
    <d v="2012-01-16T00:00:00"/>
    <m/>
    <s v="X"/>
    <x v="63"/>
    <n v="27.54"/>
    <n v="39"/>
    <d v="2012-01-24T00:00:00"/>
    <d v="2012-01-10T00:00:00"/>
    <n v="1560"/>
    <d v="2012-01-05T00:00:00"/>
    <n v="1560"/>
    <m/>
    <d v="2012-01-12T00:00:00"/>
    <n v="1560"/>
    <d v="2012-01-28T00:00:00"/>
    <d v="2012-01-14T00:00:00"/>
    <n v="1560"/>
    <n v="1560"/>
    <x v="9"/>
    <d v="2012-01-28T00:00:00"/>
    <m/>
    <n v="9321666867"/>
    <n v="10"/>
    <s v="CLHU4652082"/>
    <s v="COSCO THAILAND 011W"/>
    <m/>
    <s v="YANTIAN"/>
    <s v="C-SHORTL/T/C-PULLIN-CONF/"/>
    <m/>
    <s v="AGNES NUNES"/>
    <s v="FO9"/>
    <s v="ELECTRICAL COOKING            "/>
    <s v="CONFIRMED"/>
    <n v="1"/>
    <n v="2"/>
    <d v="2012-01-14T00:00:00"/>
    <s v="KITCHEN ELECTRICS             "/>
    <s v="ELECTRICAL COOKING            "/>
    <x v="4"/>
    <x v="1"/>
    <x v="1"/>
    <m/>
    <n v="0"/>
    <n v="0"/>
    <x v="1"/>
    <n v="3"/>
    <x v="0"/>
    <x v="1"/>
    <x v="0"/>
    <n v="0"/>
    <n v="0"/>
    <n v="0"/>
    <n v="0"/>
    <n v="0"/>
    <n v="0"/>
    <x v="1"/>
    <x v="0"/>
    <x v="1"/>
    <x v="0"/>
  </r>
  <r>
    <s v="Shipment"/>
    <n v="99006601"/>
    <s v="GROUPE SEB SINGAPORE PTE LTD                      "/>
    <n v="99006601"/>
    <x v="11"/>
    <s v="803/000002"/>
    <n v="1370151085"/>
    <n v="10"/>
    <x v="9"/>
    <x v="9"/>
    <s v="N3"/>
    <n v="1500634079"/>
    <n v="177"/>
    <n v="634079"/>
    <s v="FR101371 FRY MINUTO SS HK SG MY                   "/>
    <s v="S"/>
    <d v="2012-01-16T00:00:00"/>
    <m/>
    <s v="X"/>
    <x v="63"/>
    <n v="25.35"/>
    <n v="35"/>
    <d v="2012-01-24T00:00:00"/>
    <d v="2012-01-10T00:00:00"/>
    <n v="1120"/>
    <d v="2012-01-10T00:00:00"/>
    <n v="1120"/>
    <m/>
    <d v="2012-01-12T00:00:00"/>
    <n v="1120"/>
    <d v="2012-01-28T00:00:00"/>
    <d v="2012-01-14T00:00:00"/>
    <n v="1120"/>
    <n v="1120"/>
    <x v="9"/>
    <d v="2012-01-28T00:00:00"/>
    <m/>
    <n v="9321666869"/>
    <n v="10"/>
    <s v="CLHU4655203"/>
    <s v="COSCO THAILAND 011W"/>
    <m/>
    <s v="YANTIAN"/>
    <m/>
    <m/>
    <s v="AGNES NUNES"/>
    <s v="FO9"/>
    <s v="ELECTRICAL COOKING            "/>
    <s v="CONFIRMED"/>
    <n v="1"/>
    <n v="2"/>
    <d v="2012-01-14T00:00:00"/>
    <s v="KITCHEN ELECTRICS             "/>
    <s v="ELECTRICAL COOKING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4433/000010"/>
    <n v="1370151211"/>
    <n v="10"/>
    <x v="52"/>
    <x v="52"/>
    <s v="P1"/>
    <n v="1500675901"/>
    <n v="106"/>
    <n v="675901"/>
    <s v="HM555131 HMX/STD EASYMAXPOWER 450W WE             "/>
    <s v="S"/>
    <d v="2012-01-26T00:00:00"/>
    <m/>
    <s v="X"/>
    <x v="63"/>
    <n v="16.670000000000002"/>
    <n v="14"/>
    <d v="2012-02-09T00:00:00"/>
    <d v="2012-01-12T00:00:00"/>
    <n v="1276"/>
    <d v="2012-01-12T00:00:00"/>
    <n v="1276"/>
    <m/>
    <d v="2012-01-16T00:00:00"/>
    <n v="1276"/>
    <d v="2012-02-17T00:00:00"/>
    <d v="2012-01-20T00:00:00"/>
    <n v="1276"/>
    <n v="1276"/>
    <x v="14"/>
    <d v="2012-02-17T00:00:00"/>
    <m/>
    <n v="9321666871"/>
    <n v="10"/>
    <s v="MRKU8235094"/>
    <s v="MAERSK EINDHOVEN 120"/>
    <m/>
    <s v="YANTIAN"/>
    <s v="SP-PROD-ISSUE/"/>
    <m/>
    <s v="KENUS WONG"/>
    <s v="FO9"/>
    <s v="FOOD PREPARATION              "/>
    <s v="CONFIRMED"/>
    <n v="1"/>
    <n v="3"/>
    <d v="2012-01-20T00:00:00"/>
    <s v="KITCHEN ELECTRICS             "/>
    <s v="FOOD PREPARATION              "/>
    <x v="1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65488/000010"/>
    <n v="1370151250"/>
    <n v="10"/>
    <x v="52"/>
    <x v="52"/>
    <s v="P1"/>
    <n v="1500813932"/>
    <n v="106"/>
    <n v="813932"/>
    <s v="HM200031 BAT.ACCESS.B/R MX FR                     "/>
    <s v="S"/>
    <d v="2012-01-11T00:00:00"/>
    <m/>
    <s v="X"/>
    <x v="63"/>
    <n v="7.83"/>
    <n v="7"/>
    <d v="2012-02-17T00:00:00"/>
    <d v="2012-01-13T00:00:00"/>
    <n v="7044"/>
    <d v="2012-01-08T00:00:00"/>
    <n v="7044"/>
    <m/>
    <d v="2012-01-15T00:00:00"/>
    <n v="7044"/>
    <d v="2012-02-14T00:00:00"/>
    <d v="2012-01-10T00:00:00"/>
    <n v="7044"/>
    <n v="7044"/>
    <x v="17"/>
    <d v="2012-02-15T00:00:00"/>
    <m/>
    <n v="9321666872"/>
    <n v="10"/>
    <s v="GLDU5661093"/>
    <s v="APL PORTUGAL/002W"/>
    <m/>
    <s v="YANTIAN"/>
    <s v="SAILING-SCHED-UPDATE/C-PULLIN-CONF/"/>
    <m/>
    <s v="JASON FAN"/>
    <s v="FO9"/>
    <s v="FOOD PREPARATION              "/>
    <s v="CONFIRMED"/>
    <n v="1"/>
    <n v="2"/>
    <d v="2012-01-11T00:00:00"/>
    <s v="KITCHEN ELECTRICS             "/>
    <s v="FOOD PREPARATION              "/>
    <x v="1"/>
    <x v="1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940/000010"/>
    <n v="1370150218"/>
    <n v="10"/>
    <x v="28"/>
    <x v="28"/>
    <s v="R1"/>
    <n v="8000032753"/>
    <n v="56"/>
    <s v="BK263044       "/>
    <s v="BK263044 SPIRIT OF TEAS / BOUIL. VITESSE          "/>
    <s v="S"/>
    <d v="2012-01-16T00:00:00"/>
    <m/>
    <s v="X"/>
    <x v="63"/>
    <n v="17.93"/>
    <n v="38"/>
    <d v="2012-02-09T00:00:00"/>
    <d v="2012-01-05T00:00:00"/>
    <n v="952"/>
    <d v="2012-01-05T00:00:00"/>
    <n v="952"/>
    <m/>
    <m/>
    <m/>
    <d v="2012-02-17T00:00:00"/>
    <d v="2012-01-13T00:00:00"/>
    <n v="952"/>
    <n v="952"/>
    <x v="24"/>
    <d v="2012-02-17T00:00:00"/>
    <m/>
    <n v="9321666873"/>
    <n v="10"/>
    <s v="MSKU5908737"/>
    <s v="NEDLLOYD MERCATOR/12"/>
    <m/>
    <s v="YANTIAN"/>
    <s v="SP-PROD-ISSUE/"/>
    <m/>
    <s v="KENUS WONG"/>
    <s v="FO9"/>
    <s v="BEVERAGE                      "/>
    <s v="CONFIRMED"/>
    <n v="1"/>
    <n v="2"/>
    <d v="2012-01-13T00:00:00"/>
    <s v="KITCHEN ELECTRICS             "/>
    <s v="BREAKFAST &amp; BREVAGE PREP      "/>
    <x v="2"/>
    <x v="1"/>
    <x v="1"/>
    <m/>
    <n v="0"/>
    <n v="0"/>
    <x v="1"/>
    <n v="1"/>
    <x v="0"/>
    <x v="0"/>
    <x v="1"/>
    <n v="0"/>
    <n v="0"/>
    <n v="0"/>
    <n v="0"/>
    <n v="0"/>
    <n v="0"/>
    <x v="0"/>
    <x v="1"/>
    <x v="1"/>
    <x v="0"/>
  </r>
  <r>
    <s v="Shipment"/>
    <n v="99003600"/>
    <s v="GROUPE SEB ISTANBUL EV ALETLERI                   "/>
    <n v="99003600"/>
    <x v="13"/>
    <s v="4500262939/000010"/>
    <n v="1370150221"/>
    <n v="10"/>
    <x v="28"/>
    <x v="28"/>
    <s v="R1"/>
    <n v="8000032738"/>
    <n v="56"/>
    <s v="BK963540       "/>
    <s v="BK963540 SPIRIT OF TEAS / KETTLE VITESSE          "/>
    <s v="S"/>
    <d v="2012-01-20T00:00:00"/>
    <m/>
    <s v="X"/>
    <x v="63"/>
    <n v="25.8"/>
    <n v="55"/>
    <d v="2012-02-09T00:00:00"/>
    <d v="2012-01-05T00:00:00"/>
    <n v="952"/>
    <d v="2012-01-05T00:00:00"/>
    <n v="952"/>
    <m/>
    <d v="2012-01-08T00:00:00"/>
    <n v="952"/>
    <d v="2012-02-26T00:00:00"/>
    <d v="2012-01-22T00:00:00"/>
    <n v="952"/>
    <n v="952"/>
    <x v="14"/>
    <d v="2012-02-24T00:00:00"/>
    <m/>
    <n v="9321666874"/>
    <n v="10"/>
    <s v="CRXU1262981"/>
    <s v="MAERSK LAGUNA/1202"/>
    <m/>
    <s v="YANTIAN"/>
    <s v="SP-LABOR/"/>
    <m/>
    <s v="KENUS WONG"/>
    <s v="FO9"/>
    <s v="BEVERAGE                      "/>
    <s v="CONFIRMED"/>
    <n v="1"/>
    <n v="3"/>
    <d v="2012-01-20T00:00:00"/>
    <s v="KITCHEN ELECTRICS             "/>
    <s v="BREAKFAST &amp; BREVAGE PREP      "/>
    <x v="2"/>
    <x v="1"/>
    <x v="17"/>
    <s v="SP-LABOR"/>
    <n v="1"/>
    <n v="1"/>
    <x v="17"/>
    <n v="1"/>
    <x v="0"/>
    <x v="0"/>
    <x v="1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66471/000010"/>
    <n v="1370151266"/>
    <n v="10"/>
    <x v="28"/>
    <x v="28"/>
    <s v="R1"/>
    <n v="8000032396"/>
    <n v="55"/>
    <s v="BE531010       "/>
    <s v="BE531010 KET DELFINA 1.5L                         "/>
    <s v="S"/>
    <d v="2012-01-18T00:00:00"/>
    <m/>
    <s v="X"/>
    <x v="63"/>
    <n v="7.68"/>
    <n v="7"/>
    <d v="2012-02-17T00:00:00"/>
    <d v="2012-01-13T00:00:00"/>
    <n v="2268"/>
    <d v="2012-01-13T00:00:00"/>
    <n v="2268"/>
    <m/>
    <d v="2012-01-13T00:00:00"/>
    <n v="2268"/>
    <d v="2012-02-17T00:00:00"/>
    <d v="2012-01-13T00:00:00"/>
    <n v="2268"/>
    <n v="2268"/>
    <x v="19"/>
    <d v="2012-02-21T00:00:00"/>
    <m/>
    <n v="9321666877"/>
    <n v="10"/>
    <s v="APZU4175942"/>
    <s v="APL DHAKA/002W"/>
    <m/>
    <s v="YANTIAN"/>
    <m/>
    <m/>
    <s v="JASON FAN"/>
    <s v="FO9"/>
    <s v="BEVERAGE                      "/>
    <s v="CONFIRMED"/>
    <n v="1"/>
    <n v="3"/>
    <d v="2012-01-1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473/000010"/>
    <n v="1370151316"/>
    <n v="10"/>
    <x v="28"/>
    <x v="28"/>
    <s v="R1"/>
    <n v="8000032770"/>
    <n v="56"/>
    <s v="BJ100010       "/>
    <s v="BJ100010 MAGIC TEA WHITE                          "/>
    <s v="S"/>
    <d v="2012-01-18T00:00:00"/>
    <m/>
    <s v="X"/>
    <x v="63"/>
    <n v="11"/>
    <n v="9"/>
    <d v="2012-02-17T00:00:00"/>
    <d v="2012-01-13T00:00:00"/>
    <n v="2376"/>
    <d v="2012-01-13T00:00:00"/>
    <n v="2376"/>
    <m/>
    <d v="2012-01-13T00:00:00"/>
    <n v="2376"/>
    <d v="2012-02-17T00:00:00"/>
    <d v="2012-01-13T00:00:00"/>
    <n v="2376"/>
    <n v="2376"/>
    <x v="19"/>
    <d v="2012-02-21T00:00:00"/>
    <m/>
    <n v="9321666878"/>
    <n v="10"/>
    <s v="APZU4175942"/>
    <s v="APL DHAKA/002W"/>
    <m/>
    <s v="YANTIAN"/>
    <m/>
    <m/>
    <s v="JASON FAN"/>
    <s v="FO9"/>
    <s v="BEVERAGE                      "/>
    <s v="CONFIRMED"/>
    <n v="1"/>
    <n v="3"/>
    <d v="2012-01-1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5893/000010"/>
    <n v="1370151242"/>
    <n v="10"/>
    <x v="36"/>
    <x v="36"/>
    <s v="L4"/>
    <n v="1895970001"/>
    <n v="76"/>
    <n v="95970001"/>
    <s v="95970001 HAIR CLIPPER PERFECT LINE                "/>
    <s v="S"/>
    <d v="2012-01-30T00:00:00"/>
    <m/>
    <s v="X"/>
    <x v="63"/>
    <n v="6.29"/>
    <n v="5"/>
    <d v="2012-02-17T00:00:00"/>
    <d v="2012-01-13T00:00:00"/>
    <n v="3000"/>
    <d v="2012-01-24T00:00:00"/>
    <n v="3000"/>
    <m/>
    <d v="2012-02-20T00:00:00"/>
    <n v="3000"/>
    <d v="2012-02-28T00:00:00"/>
    <d v="2012-01-24T00:00:00"/>
    <n v="3000"/>
    <n v="3000"/>
    <x v="15"/>
    <d v="2012-03-01T00:00:00"/>
    <m/>
    <n v="9321666880"/>
    <n v="10"/>
    <s v="TRLU8991264"/>
    <s v="APL ITALY/002W"/>
    <m/>
    <s v="YANTIAN"/>
    <s v="C-LCL-SHIPMENT/CONS-SHIPT/SP-NO-FORECAST/"/>
    <m/>
    <s v="JASON FAN"/>
    <s v="FO9"/>
    <s v="PERSONAL CARE                 "/>
    <s v="CONFIRMED"/>
    <n v="1"/>
    <n v="4"/>
    <d v="2012-01-26T00:00:00"/>
    <s v="LINEN PERS HOME CARE          "/>
    <s v="PERSONAL CARE                 "/>
    <x v="3"/>
    <x v="2"/>
    <x v="10"/>
    <s v="CONS-SHIPT"/>
    <n v="-3"/>
    <n v="-3"/>
    <x v="8"/>
    <n v="3"/>
    <x v="0"/>
    <x v="0"/>
    <x v="0"/>
    <n v="1"/>
    <n v="0"/>
    <n v="1"/>
    <n v="0"/>
    <n v="0"/>
    <n v="1"/>
    <x v="0"/>
    <x v="0"/>
    <x v="1"/>
    <x v="1"/>
  </r>
  <r>
    <s v="Shipment"/>
    <n v="99003600"/>
    <s v="GROUPE SEB ISTANBUL EV ALETLERI                   "/>
    <n v="99003600"/>
    <x v="13"/>
    <s v="4500262943/000010"/>
    <n v="1370150220"/>
    <n v="10"/>
    <x v="61"/>
    <x v="61"/>
    <s v="L2"/>
    <n v="2100062621"/>
    <n v="54"/>
    <s v="PP1201V0       "/>
    <s v="PP1201V0 BATHROOM SCALES PREMIO LILAC TE          "/>
    <s v="S"/>
    <d v="2012-01-04T00:00:00"/>
    <m/>
    <s v="X"/>
    <x v="63"/>
    <n v="7.13"/>
    <n v="15116"/>
    <d v="2012-02-09T00:00:00"/>
    <d v="2012-01-05T00:00:00"/>
    <n v="5000"/>
    <d v="2012-01-05T00:00:00"/>
    <n v="5000"/>
    <m/>
    <d v="2012-01-05T00:00:00"/>
    <n v="5000"/>
    <d v="2012-02-09T00:00:00"/>
    <d v="2012-01-05T00:00:00"/>
    <n v="5000"/>
    <n v="5000"/>
    <x v="16"/>
    <d v="2012-02-07T00:00:00"/>
    <m/>
    <n v="9321666881"/>
    <n v="10"/>
    <s v="POCU0489974"/>
    <s v="NEDLLOYD DRAKE/1202"/>
    <m/>
    <s v="SHANGHAI"/>
    <m/>
    <m/>
    <s v="KENUS WONG"/>
    <s v="FO9"/>
    <s v="PERSONAL CARE                 "/>
    <s v="CONFIRMED"/>
    <n v="1"/>
    <n v="1"/>
    <d v="2012-01-03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47/000010"/>
    <n v="1370149993"/>
    <n v="10"/>
    <x v="26"/>
    <x v="26"/>
    <s v="P1"/>
    <n v="1500831597"/>
    <n v="105"/>
    <n v="831597"/>
    <s v="JU581136 JUI EASY FRUIT 700W PLAST SILV           "/>
    <s v="S"/>
    <d v="2012-01-19T00:00:00"/>
    <m/>
    <s v="X"/>
    <x v="63"/>
    <n v="31.5"/>
    <n v="27"/>
    <d v="2012-02-13T00:00:00"/>
    <d v="2012-01-16T00:00:00"/>
    <n v="1164"/>
    <d v="2012-01-16T00:00:00"/>
    <n v="1164"/>
    <m/>
    <d v="2012-03-09T00:00:00"/>
    <n v="1164"/>
    <d v="2012-02-13T00:00:00"/>
    <d v="2012-01-16T00:00:00"/>
    <n v="1164"/>
    <n v="1164"/>
    <x v="15"/>
    <d v="2012-02-23T00:00:00"/>
    <m/>
    <n v="9321666882"/>
    <n v="10"/>
    <s v="TTNU4236646"/>
    <s v="LOS ANGELES EXPRESS"/>
    <m/>
    <s v="YANTIAN"/>
    <s v="SP-BOTTLENECK/"/>
    <m/>
    <s v="JASON FAN"/>
    <s v="FO9"/>
    <s v="FOOD PREPARATION              "/>
    <s v="CONFIRMED"/>
    <n v="1"/>
    <n v="4"/>
    <d v="2012-01-26T00:00:00"/>
    <s v="KITCHEN ELECTRICS             "/>
    <s v="FOOD PREPARATION              "/>
    <x v="1"/>
    <x v="1"/>
    <x v="6"/>
    <s v="SP-BOTTLENECK"/>
    <n v="1"/>
    <n v="1"/>
    <x v="16"/>
    <n v="1"/>
    <x v="0"/>
    <x v="0"/>
    <x v="0"/>
    <n v="1"/>
    <n v="0"/>
    <n v="0"/>
    <n v="0"/>
    <n v="0"/>
    <n v="0"/>
    <x v="0"/>
    <x v="1"/>
    <x v="1"/>
    <x v="0"/>
  </r>
  <r>
    <s v="Shipment"/>
    <n v="99002501"/>
    <s v="GROUPE SEB NEDERLAND BV                           "/>
    <n v="99002501"/>
    <x v="30"/>
    <s v="9321661278/000010"/>
    <n v="1370150439"/>
    <n v="10"/>
    <x v="26"/>
    <x v="26"/>
    <s v="P1"/>
    <n v="1500833141"/>
    <n v="105"/>
    <n v="833141"/>
    <s v="BKB241 CTP VITAPRESS+FILT PULP WHT RU             "/>
    <s v="S"/>
    <d v="2012-01-17T00:00:00"/>
    <m/>
    <s v="X"/>
    <x v="63"/>
    <n v="6.15"/>
    <n v="5"/>
    <d v="2012-02-07T00:00:00"/>
    <d v="2012-01-10T00:00:00"/>
    <n v="3452"/>
    <d v="2012-01-10T00:00:00"/>
    <n v="3452"/>
    <m/>
    <d v="2012-02-10T00:00:00"/>
    <n v="3452"/>
    <d v="2012-02-09T00:00:00"/>
    <d v="2012-01-12T00:00:00"/>
    <n v="3452"/>
    <n v="3452"/>
    <x v="8"/>
    <d v="2012-02-13T00:00:00"/>
    <m/>
    <n v="9321666884"/>
    <n v="10"/>
    <s v="MRKU8228393"/>
    <s v="MAERSK TUKANG 1202/"/>
    <m/>
    <s v="YANTIAN"/>
    <s v="SP-BOTTLENECK/"/>
    <m/>
    <s v="KENUS WONG"/>
    <s v="FO9"/>
    <s v="FOOD PREPARATION              "/>
    <s v="CONFIRMED"/>
    <n v="1"/>
    <n v="3"/>
    <d v="2012-01-16T00:00:00"/>
    <s v="KITCHEN ELECTRICS             "/>
    <s v="FOOD PREPARATION              "/>
    <x v="1"/>
    <x v="1"/>
    <x v="6"/>
    <s v="SP-BOTTLENECK"/>
    <n v="1"/>
    <n v="1"/>
    <x v="16"/>
    <n v="1"/>
    <x v="0"/>
    <x v="1"/>
    <x v="0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6660/000010"/>
    <n v="1370151271"/>
    <n v="10"/>
    <x v="26"/>
    <x v="26"/>
    <s v="P1"/>
    <n v="1500833521"/>
    <n v="105"/>
    <n v="833521"/>
    <s v="PC110131 CTP COCOON WHT/FIG EUR                   "/>
    <s v="S"/>
    <d v="2012-01-18T00:00:00"/>
    <m/>
    <s v="X"/>
    <x v="63"/>
    <n v="5.29"/>
    <n v="5"/>
    <d v="2012-02-17T00:00:00"/>
    <d v="2012-01-13T00:00:00"/>
    <n v="3384"/>
    <d v="2012-01-13T00:00:00"/>
    <n v="3384"/>
    <m/>
    <d v="2012-02-10T00:00:00"/>
    <n v="3384"/>
    <d v="2012-02-20T00:00:00"/>
    <d v="2012-01-16T00:00:00"/>
    <n v="3384"/>
    <n v="3384"/>
    <x v="19"/>
    <d v="2012-02-21T00:00:00"/>
    <m/>
    <n v="9321666885"/>
    <n v="10"/>
    <s v="APZU3095992"/>
    <s v="APL DHAKA/002W"/>
    <m/>
    <s v="YANTIAN"/>
    <s v="SP-BOTTLENECK/"/>
    <m/>
    <s v="JASON FAN"/>
    <s v="FO9"/>
    <s v="FOOD PREPARATION              "/>
    <s v="CONFIRMED"/>
    <n v="1"/>
    <n v="3"/>
    <d v="2012-01-17T00:00:00"/>
    <s v="KITCHEN ELECTRICS             "/>
    <s v="FOOD PREPARATION              "/>
    <x v="1"/>
    <x v="1"/>
    <x v="6"/>
    <s v="SP-BOTTLENECK"/>
    <n v="1"/>
    <n v="1"/>
    <x v="16"/>
    <n v="1"/>
    <x v="0"/>
    <x v="1"/>
    <x v="0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6580/000010"/>
    <n v="1370151309"/>
    <n v="10"/>
    <x v="26"/>
    <x v="26"/>
    <s v="P1"/>
    <n v="1500831590"/>
    <n v="105"/>
    <n v="831590"/>
    <s v="JU585G31 JUI EASY FRUIT 700W RED/SS EUR           "/>
    <s v="S"/>
    <d v="2012-01-27T00:00:00"/>
    <m/>
    <s v="X"/>
    <x v="63"/>
    <n v="35.020000000000003"/>
    <n v="30"/>
    <d v="2012-02-17T00:00:00"/>
    <d v="2012-01-13T00:00:00"/>
    <n v="1164"/>
    <d v="2012-01-13T00:00:00"/>
    <n v="1164"/>
    <m/>
    <d v="2012-03-09T00:00:00"/>
    <n v="1164"/>
    <d v="2012-02-17T00:00:00"/>
    <d v="2012-01-13T00:00:00"/>
    <n v="1164"/>
    <n v="1164"/>
    <x v="26"/>
    <d v="2012-02-25T00:00:00"/>
    <m/>
    <n v="9321666886"/>
    <n v="10"/>
    <s v="MSKU6377511"/>
    <s v="MAERSK EINDHOVEN"/>
    <m/>
    <s v="YANTIAN"/>
    <s v="SP-BOTTLENECK/"/>
    <m/>
    <s v="JASON FAN"/>
    <s v="FO9"/>
    <s v="FOOD PREPARATION              "/>
    <s v="CONFIRMED"/>
    <n v="1"/>
    <n v="3"/>
    <d v="2012-01-21T00:00:00"/>
    <s v="KITCHEN ELECTRICS             "/>
    <s v="FOOD PREPARATION              "/>
    <x v="1"/>
    <x v="1"/>
    <x v="6"/>
    <s v="SP-BOTTLENECK"/>
    <n v="1"/>
    <n v="1"/>
    <x v="16"/>
    <n v="1"/>
    <x v="0"/>
    <x v="0"/>
    <x v="0"/>
    <n v="1"/>
    <n v="0"/>
    <n v="0"/>
    <n v="0"/>
    <n v="0"/>
    <n v="0"/>
    <x v="0"/>
    <x v="1"/>
    <x v="1"/>
    <x v="0"/>
  </r>
  <r>
    <s v="Shipment"/>
    <n v="99102353"/>
    <s v="THE BRANCH OF ZAO &quot;GROUPE SEB                     "/>
    <n v="99004801"/>
    <x v="1"/>
    <s v="9321664786/000010"/>
    <n v="1370151005"/>
    <n v="10"/>
    <x v="46"/>
    <x v="46"/>
    <s v="L4"/>
    <n v="1830003287"/>
    <n v="131"/>
    <s v="CF7150D2       "/>
    <s v="CF7150D2 DIGITAL STRAIGHTENER ATTITUDE            "/>
    <s v="S"/>
    <d v="2012-01-29T00:00:00"/>
    <m/>
    <s v="X"/>
    <x v="63"/>
    <n v="15.21"/>
    <n v="534"/>
    <d v="2012-02-29T00:00:00"/>
    <d v="2012-01-11T00:00:00"/>
    <n v="3000"/>
    <d v="2012-01-14T00:00:00"/>
    <n v="3000"/>
    <m/>
    <d v="2012-01-11T00:00:00"/>
    <n v="3000"/>
    <d v="2012-03-03T00:00:00"/>
    <d v="2012-01-14T00:00:00"/>
    <n v="3000"/>
    <n v="3000"/>
    <x v="4"/>
    <d v="2012-03-11T00:00:00"/>
    <m/>
    <n v="9321666887"/>
    <n v="10"/>
    <s v="TTNU5034491"/>
    <s v="MOL CHARISMA/009W"/>
    <m/>
    <s v="SHENZHEN"/>
    <s v="SAILING-SCHED-UPDATE/CONS-SHIPT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10"/>
    <s v="CONS-SHIPT"/>
    <n v="-3"/>
    <n v="-3"/>
    <x v="8"/>
    <n v="2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65770/000010"/>
    <n v="1370151307"/>
    <n v="10"/>
    <x v="46"/>
    <x v="46"/>
    <s v="L4"/>
    <n v="1830003140"/>
    <n v="175"/>
    <s v="CF4032C0       "/>
    <s v="CF4032C0 MULTI STYLER APPLIANCE                   "/>
    <s v="S"/>
    <d v="2012-01-30T00:00:00"/>
    <m/>
    <s v="X"/>
    <x v="63"/>
    <n v="14.67"/>
    <n v="12"/>
    <d v="2012-02-17T00:00:00"/>
    <d v="2012-01-13T00:00:00"/>
    <n v="3000"/>
    <d v="2012-01-24T00:00:00"/>
    <n v="3000"/>
    <m/>
    <d v="2012-01-13T00:00:00"/>
    <n v="3000"/>
    <d v="2012-02-28T00:00:00"/>
    <d v="2012-01-24T00:00:00"/>
    <n v="3000"/>
    <n v="3000"/>
    <x v="15"/>
    <d v="2012-03-01T00:00:00"/>
    <m/>
    <n v="9321666888"/>
    <n v="10"/>
    <s v="FCIU8116194"/>
    <s v="APL ITALY/002W"/>
    <m/>
    <s v="YANTIAN"/>
    <s v="CONS-SHIPT/"/>
    <m/>
    <s v="JASON FAN"/>
    <s v="FO9"/>
    <s v="PERSONAL CARE                 "/>
    <s v="CONFIRMED"/>
    <n v="1"/>
    <n v="4"/>
    <d v="2012-01-26T00:00:00"/>
    <s v="LINEN PERS HOME CARE          "/>
    <s v="PERSONAL CARE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3604/000010"/>
    <n v="1370151110"/>
    <n v="10"/>
    <x v="47"/>
    <x v="47"/>
    <s v="R1"/>
    <n v="8000003461"/>
    <n v="55"/>
    <s v="FLA141         "/>
    <s v="FLA141 KET CONTROL PLUS                           "/>
    <s v="S"/>
    <d v="2012-01-12T00:00:00"/>
    <m/>
    <s v="X"/>
    <x v="63"/>
    <n v="11.49"/>
    <n v="10"/>
    <d v="2012-02-13T00:00:00"/>
    <d v="2012-01-09T00:00:00"/>
    <n v="1878"/>
    <d v="2012-01-09T00:00:00"/>
    <n v="1878"/>
    <m/>
    <d v="2012-01-09T00:00:00"/>
    <n v="1878"/>
    <d v="2012-02-13T00:00:00"/>
    <d v="2012-01-09T00:00:00"/>
    <n v="1878"/>
    <n v="1878"/>
    <x v="17"/>
    <d v="2012-02-15T00:00:00"/>
    <m/>
    <n v="9321666890"/>
    <n v="10"/>
    <s v="TCKU4520043"/>
    <s v="OOCL NETHERLANDS/23W"/>
    <m/>
    <s v="YANTIAN"/>
    <m/>
    <m/>
    <s v="AGNES NUNES"/>
    <s v="FO9"/>
    <s v="BEVERAGE                      "/>
    <s v="CONFIRMED"/>
    <n v="1"/>
    <n v="2"/>
    <d v="2012-01-11T00:00:00"/>
    <s v="KITCHEN ELECTRICS             "/>
    <s v="BREAKFAST &amp; BREVAGE PREP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3603/000010"/>
    <n v="1370151115"/>
    <n v="10"/>
    <x v="47"/>
    <x v="47"/>
    <s v="R1"/>
    <n v="8000003462"/>
    <n v="55"/>
    <s v="FLA143         "/>
    <s v="FLA143 KET AQUACONTROL PLUS                       "/>
    <s v="S"/>
    <d v="2012-01-12T00:00:00"/>
    <m/>
    <s v="X"/>
    <x v="63"/>
    <n v="11.49"/>
    <n v="10"/>
    <d v="2012-02-13T00:00:00"/>
    <d v="2012-01-09T00:00:00"/>
    <n v="1878"/>
    <d v="2012-01-09T00:00:00"/>
    <n v="1878"/>
    <m/>
    <d v="2012-01-09T00:00:00"/>
    <n v="1878"/>
    <d v="2012-02-13T00:00:00"/>
    <d v="2012-01-09T00:00:00"/>
    <n v="1878"/>
    <n v="1878"/>
    <x v="17"/>
    <d v="2012-02-15T00:00:00"/>
    <m/>
    <n v="9321666891"/>
    <n v="10"/>
    <s v="TCKU4520043"/>
    <s v="OOCL NETHERLANDS/23W"/>
    <m/>
    <s v="YANTIAN"/>
    <m/>
    <m/>
    <s v="AGNES NUNES"/>
    <s v="FO9"/>
    <s v="BEVERAGE                      "/>
    <s v="CONFIRMED"/>
    <n v="1"/>
    <n v="2"/>
    <d v="2012-01-11T00:00:00"/>
    <s v="KITCHEN ELECTRICS             "/>
    <s v="BREAKFAST &amp; BREVAGE PREP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532/000010"/>
    <n v="1370151298"/>
    <n v="10"/>
    <x v="47"/>
    <x v="47"/>
    <s v="P1"/>
    <n v="1500677831"/>
    <n v="36"/>
    <n v="677831"/>
    <s v="BL520131 BLD SIMPLY INVENTS WHT/YEL FR            "/>
    <s v="S"/>
    <d v="2012-01-17T00:00:00"/>
    <m/>
    <s v="X"/>
    <x v="63"/>
    <n v="17.48"/>
    <n v="15"/>
    <d v="2012-02-17T00:00:00"/>
    <d v="2012-01-13T00:00:00"/>
    <n v="2160"/>
    <d v="2012-01-13T00:00:00"/>
    <n v="2160"/>
    <m/>
    <d v="2012-01-13T00:00:00"/>
    <n v="2160"/>
    <d v="2012-02-17T00:00:00"/>
    <d v="2012-01-13T00:00:00"/>
    <n v="2160"/>
    <n v="2160"/>
    <x v="24"/>
    <d v="2012-02-17T00:00:00"/>
    <m/>
    <n v="9321666893"/>
    <n v="10"/>
    <s v="APMU4036442"/>
    <s v="CMA CGM A VESPUCCI 1"/>
    <m/>
    <s v="SHENZHEN"/>
    <m/>
    <m/>
    <s v="JASON FAN"/>
    <s v="FO9"/>
    <s v="FOOD PREPARATION              "/>
    <s v="CONFIRMED"/>
    <n v="1"/>
    <n v="2"/>
    <d v="2012-01-13T00:00:00"/>
    <s v="KITCHEN ELECTRICS             "/>
    <s v="FOOD PREPARATION  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5577/000010"/>
    <n v="1370151033"/>
    <n v="10"/>
    <x v="25"/>
    <x v="25"/>
    <s v="R1"/>
    <n v="1500573408"/>
    <n v="23"/>
    <n v="573408"/>
    <s v="TT356115 TOAS EXPRESS SS/BR GB                    "/>
    <s v="S"/>
    <d v="2012-01-17T00:00:00"/>
    <m/>
    <s v="X"/>
    <x v="63"/>
    <n v="10.19"/>
    <n v="12"/>
    <d v="2012-01-13T00:00:00"/>
    <d v="2012-01-12T00:00:00"/>
    <n v="2220"/>
    <d v="2012-01-12T00:00:00"/>
    <n v="2220"/>
    <m/>
    <d v="2012-01-12T00:00:00"/>
    <n v="2220"/>
    <d v="2012-01-13T00:00:00"/>
    <d v="2012-01-12T00:00:00"/>
    <n v="2220"/>
    <n v="2220"/>
    <x v="24"/>
    <d v="2012-01-14T00:00:00"/>
    <m/>
    <n v="9321666895"/>
    <n v="10"/>
    <m/>
    <m/>
    <m/>
    <s v="YANTIAN"/>
    <s v="UNLOAD JAN12 2012"/>
    <m/>
    <s v="ZANDRA LAM"/>
    <s v="FO9"/>
    <s v="BEVERAGE                      "/>
    <s v="CONFIRMED"/>
    <n v="1"/>
    <n v="2"/>
    <d v="2012-01-13T00:00:00"/>
    <s v="KITCHEN ELECTRICS             "/>
    <s v="BREAKFAST &amp; BREVAGE PREP      "/>
    <x v="4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38/000001"/>
    <n v="1370151049"/>
    <n v="10"/>
    <x v="25"/>
    <x v="25"/>
    <s v="R1"/>
    <n v="1500573411"/>
    <n v="23"/>
    <n v="573411"/>
    <s v="TT356171 TOAS EXPRESS 3S BL/CHB HK/SG             "/>
    <s v="S"/>
    <d v="2012-01-17T00:00:00"/>
    <m/>
    <s v="X"/>
    <x v="63"/>
    <n v="10.77"/>
    <n v="15"/>
    <d v="2012-02-20T00:00:00"/>
    <d v="2012-02-06T00:00:00"/>
    <n v="2300"/>
    <d v="2012-01-19T00:00:00"/>
    <n v="2300"/>
    <m/>
    <d v="2012-02-06T00:00:00"/>
    <n v="2300"/>
    <d v="2012-02-02T00:00:00"/>
    <d v="2012-01-19T00:00:00"/>
    <n v="2300"/>
    <n v="2300"/>
    <x v="19"/>
    <d v="2012-01-31T00:00:00"/>
    <m/>
    <n v="9321666896"/>
    <n v="10"/>
    <s v="TRLU9368114"/>
    <s v="PONA 011S"/>
    <m/>
    <s v="YANTIAN"/>
    <s v="C-PULLIN-CONF/"/>
    <m/>
    <s v="AGNES NUNES"/>
    <s v="FO9"/>
    <s v="BEVERAGE                      "/>
    <s v="CONFIRMED"/>
    <n v="1"/>
    <n v="3"/>
    <d v="2012-01-17T00:00:00"/>
    <s v="KITCHEN ELECTRICS             "/>
    <s v="BREAKFAST &amp; BREVAGE PREP      "/>
    <x v="4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20/000001"/>
    <n v="1370151077"/>
    <n v="10"/>
    <x v="25"/>
    <x v="25"/>
    <s v="R9"/>
    <n v="1500578133"/>
    <n v="23"/>
    <n v="578133"/>
    <s v="TT111071 TOAS PRINCIPIO MINI 2S WHT HK            "/>
    <s v="S"/>
    <d v="2012-01-03T00:00:00"/>
    <m/>
    <s v="X"/>
    <x v="63"/>
    <n v="8.0299999999999994"/>
    <n v="10600"/>
    <d v="2012-01-23T00:00:00"/>
    <d v="2012-01-09T00:00:00"/>
    <n v="2140"/>
    <d v="2012-01-09T00:00:00"/>
    <n v="2140"/>
    <m/>
    <d v="2012-01-09T00:00:00"/>
    <n v="2140"/>
    <d v="2012-01-17T00:00:00"/>
    <d v="2012-01-03T00:00:00"/>
    <n v="2140"/>
    <n v="2140"/>
    <x v="16"/>
    <d v="2012-01-17T00:00:00"/>
    <m/>
    <n v="9321666897"/>
    <n v="10"/>
    <s v="SPNU2890454"/>
    <s v="THORSCAPE V.010S"/>
    <m/>
    <s v="YANTIAN"/>
    <m/>
    <m/>
    <s v="AGNES NUNES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818/000001"/>
    <n v="1370151221"/>
    <n v="10"/>
    <x v="25"/>
    <x v="25"/>
    <s v="R1"/>
    <n v="1500573414"/>
    <n v="23"/>
    <n v="573414"/>
    <s v="TT356970 TOAS APRECIA WHT/GRG JP                  "/>
    <s v="S"/>
    <d v="2012-01-19T00:00:00"/>
    <m/>
    <s v="X"/>
    <x v="63"/>
    <n v="12.83"/>
    <n v="12"/>
    <d v="2012-02-20T00:00:00"/>
    <d v="2012-02-06T00:00:00"/>
    <n v="2040"/>
    <d v="2012-01-26T00:00:00"/>
    <n v="2040"/>
    <m/>
    <d v="2012-02-06T00:00:00"/>
    <n v="2040"/>
    <d v="2012-02-09T00:00:00"/>
    <d v="2012-01-26T00:00:00"/>
    <n v="2040"/>
    <n v="2040"/>
    <x v="14"/>
    <d v="2012-02-03T00:00:00"/>
    <m/>
    <n v="9321666899"/>
    <n v="10"/>
    <s v="GESU3813312"/>
    <s v="KYOTO TOWER/KTWR1200"/>
    <m/>
    <s v="YANTIAN"/>
    <s v="C-PULLIN-CONF/"/>
    <m/>
    <s v="DOROTHEA LING"/>
    <s v="FO9"/>
    <s v="BEVERAGE                      "/>
    <s v="CONFIRMED"/>
    <n v="1"/>
    <n v="3"/>
    <d v="2012-01-20T00:00:00"/>
    <s v="KITCHEN ELECTRICS             "/>
    <s v="BREAKFAST &amp; BREVAGE PREP      "/>
    <x v="4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466/000010"/>
    <n v="1370151248"/>
    <n v="10"/>
    <x v="25"/>
    <x v="25"/>
    <s v="R1"/>
    <n v="1500573709"/>
    <n v="23"/>
    <n v="573709"/>
    <s v="TL176E30 TOAS SUBITO LS SS PLU EUR                "/>
    <s v="S"/>
    <d v="2012-01-20T00:00:00"/>
    <m/>
    <s v="X"/>
    <x v="63"/>
    <n v="10.94"/>
    <n v="9"/>
    <d v="2012-02-17T00:00:00"/>
    <d v="2012-01-13T00:00:00"/>
    <n v="2240"/>
    <d v="2012-01-13T00:00:00"/>
    <n v="2240"/>
    <m/>
    <d v="2012-01-13T00:00:00"/>
    <n v="2240"/>
    <d v="2012-02-22T00:00:00"/>
    <d v="2012-01-18T00:00:00"/>
    <n v="2240"/>
    <n v="2240"/>
    <x v="21"/>
    <d v="2012-02-22T00:00:00"/>
    <m/>
    <n v="9321666900"/>
    <n v="10"/>
    <s v="PONU1731598"/>
    <s v="GJERTRUD MAERSK 121W"/>
    <m/>
    <s v="YANTIAN"/>
    <s v="BU-ETD-TEMP/"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4"/>
    <s v="BU-ETD-TEMP"/>
    <n v="-3"/>
    <n v="-3"/>
    <x v="3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497/000010"/>
    <n v="1370151259"/>
    <n v="10"/>
    <x v="25"/>
    <x v="25"/>
    <s v="R1"/>
    <n v="1500573708"/>
    <n v="23"/>
    <n v="573708"/>
    <s v="TL176530 TOAS SUBITO LS RED EUR                   "/>
    <s v="S"/>
    <d v="2012-01-07T00:00:00"/>
    <m/>
    <s v="X"/>
    <x v="63"/>
    <n v="13.1"/>
    <n v="11"/>
    <d v="2012-01-27T00:00:00"/>
    <d v="2011-12-23T00:00:00"/>
    <n v="4700"/>
    <d v="2012-01-04T00:00:00"/>
    <n v="4700"/>
    <m/>
    <d v="2011-12-23T00:00:00"/>
    <n v="4700"/>
    <d v="2012-02-08T00:00:00"/>
    <d v="2012-01-04T00:00:00"/>
    <n v="4700"/>
    <n v="4700"/>
    <x v="2"/>
    <d v="2012-02-08T00:00:00"/>
    <m/>
    <n v="9321666901"/>
    <n v="10"/>
    <s v="MAEU6217583"/>
    <s v="MAREN MAERSK 121W/"/>
    <m/>
    <s v="YANTIAN"/>
    <s v="C-POST-CONF/"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3"/>
    <s v="C-POST-CONF"/>
    <n v="-3"/>
    <n v="-3"/>
    <x v="0"/>
    <n v="1"/>
    <x v="0"/>
    <x v="0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509/000010"/>
    <n v="1370151280"/>
    <n v="10"/>
    <x v="25"/>
    <x v="25"/>
    <s v="R1"/>
    <n v="1500578151"/>
    <n v="23"/>
    <n v="578151"/>
    <s v="TL210101 TOAS UC LS PLAST WHT/GRG EUR             "/>
    <s v="S"/>
    <d v="2012-01-20T00:00:00"/>
    <m/>
    <s v="X"/>
    <x v="63"/>
    <n v="9.51"/>
    <n v="8"/>
    <d v="2012-02-17T00:00:00"/>
    <d v="2012-01-13T00:00:00"/>
    <n v="2280"/>
    <d v="2012-01-13T00:00:00"/>
    <n v="2280"/>
    <m/>
    <d v="2012-01-13T00:00:00"/>
    <n v="2280"/>
    <d v="2012-02-22T00:00:00"/>
    <d v="2012-01-18T00:00:00"/>
    <n v="2280"/>
    <n v="2280"/>
    <x v="21"/>
    <d v="2012-02-22T00:00:00"/>
    <m/>
    <n v="9321666902"/>
    <n v="10"/>
    <s v="MSKU3853511"/>
    <s v="GJERTRUD MAERSK 121W"/>
    <m/>
    <s v="YANTIAN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494/000010"/>
    <n v="1370151310"/>
    <n v="10"/>
    <x v="25"/>
    <x v="25"/>
    <s v="R9"/>
    <n v="1500573404"/>
    <n v="23"/>
    <n v="573404"/>
    <s v="TT356101 TOAS EXPRESS 3S BLK/CHBR A               "/>
    <s v="S"/>
    <d v="2012-01-20T00:00:00"/>
    <m/>
    <s v="X"/>
    <x v="63"/>
    <n v="9.82"/>
    <n v="8"/>
    <d v="2012-02-17T00:00:00"/>
    <d v="2012-01-13T00:00:00"/>
    <n v="2300"/>
    <d v="2012-01-13T00:00:00"/>
    <n v="2300"/>
    <m/>
    <d v="2012-01-13T00:00:00"/>
    <n v="2300"/>
    <d v="2012-02-22T00:00:00"/>
    <d v="2012-01-18T00:00:00"/>
    <n v="2300"/>
    <n v="2300"/>
    <x v="21"/>
    <d v="2012-02-22T00:00:00"/>
    <m/>
    <n v="9321666903"/>
    <n v="10"/>
    <s v="PONU1731598"/>
    <s v="GJERTRUD MAERSK 121W"/>
    <m/>
    <s v="YANTIAN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496/000010"/>
    <n v="1370151311"/>
    <n v="10"/>
    <x v="25"/>
    <x v="25"/>
    <s v="R9"/>
    <n v="1500573704"/>
    <n v="23"/>
    <n v="573704"/>
    <s v="TL176130 TOAS SUBITO LS H-D-C-I-N BL              "/>
    <s v="S"/>
    <d v="2012-01-10T00:00:00"/>
    <m/>
    <s v="X"/>
    <x v="63"/>
    <n v="10.81"/>
    <n v="9"/>
    <d v="2012-02-03T00:00:00"/>
    <d v="2011-12-30T00:00:00"/>
    <n v="4700"/>
    <d v="2012-01-09T00:00:00"/>
    <n v="4700"/>
    <m/>
    <d v="2011-12-30T00:00:00"/>
    <n v="4700"/>
    <d v="2012-02-13T00:00:00"/>
    <d v="2012-01-09T00:00:00"/>
    <n v="4700"/>
    <n v="4700"/>
    <x v="7"/>
    <d v="2012-02-10T00:00:00"/>
    <m/>
    <n v="9321666904"/>
    <n v="10"/>
    <s v="PONU1429079"/>
    <s v="MAERSK ESSEN 1202/"/>
    <m/>
    <s v="YANTIAN"/>
    <s v="C-POST-CONF"/>
    <m/>
    <s v="JASON FAN"/>
    <s v="FO9"/>
    <s v="BEVERAGE                      "/>
    <s v="CONFIRMED"/>
    <n v="1"/>
    <n v="1"/>
    <d v="2012-01-06T00:00:00"/>
    <s v="KITCHEN ELECTRICS             "/>
    <s v="BREAKFAST &amp; BREVAGE PREP      "/>
    <x v="4"/>
    <x v="1"/>
    <x v="3"/>
    <s v="C-POST-CONF"/>
    <n v="-3"/>
    <n v="-3"/>
    <x v="0"/>
    <n v="1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945/000010"/>
    <n v="1370150217"/>
    <n v="10"/>
    <x v="18"/>
    <x v="18"/>
    <s v="M5"/>
    <n v="2210015920"/>
    <n v="161"/>
    <s v="RO346901       "/>
    <s v="RO346901 VAC CLEANER COMPACTEO CYCLONIC           "/>
    <s v="S"/>
    <d v="2012-01-04T00:00:00"/>
    <m/>
    <s v="X"/>
    <x v="63"/>
    <n v="32.409999999999997"/>
    <n v="66919"/>
    <d v="2012-02-09T00:00:00"/>
    <d v="2012-01-05T00:00:00"/>
    <n v="730"/>
    <d v="2012-01-05T00:00:00"/>
    <n v="730"/>
    <m/>
    <d v="2012-01-10T00:00:00"/>
    <n v="730"/>
    <d v="2012-02-07T00:00:00"/>
    <d v="2012-01-03T00:00:00"/>
    <n v="730"/>
    <n v="730"/>
    <x v="16"/>
    <d v="2012-02-07T00:00:00"/>
    <m/>
    <n v="9321666905"/>
    <n v="10"/>
    <s v="PONU1402930"/>
    <s v="NEDLLOYD DRAKE/1202"/>
    <m/>
    <s v="SHANGHAI"/>
    <m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944/000010"/>
    <n v="1370150222"/>
    <n v="10"/>
    <x v="18"/>
    <x v="18"/>
    <s v="M5"/>
    <n v="2210016181"/>
    <n v="160"/>
    <s v="RO178301       "/>
    <s v="RO178301 RED VAC CLEANER COMPACTEO UPGRA          "/>
    <s v="S"/>
    <d v="2012-01-04T00:00:00"/>
    <m/>
    <s v="X"/>
    <x v="63"/>
    <n v="27.56"/>
    <n v="57904"/>
    <d v="2012-02-09T00:00:00"/>
    <d v="2012-01-05T00:00:00"/>
    <n v="730"/>
    <d v="2012-01-05T00:00:00"/>
    <n v="730"/>
    <m/>
    <d v="2012-01-10T00:00:00"/>
    <n v="730"/>
    <d v="2012-02-07T00:00:00"/>
    <d v="2012-01-03T00:00:00"/>
    <n v="730"/>
    <n v="730"/>
    <x v="16"/>
    <d v="2012-02-07T00:00:00"/>
    <m/>
    <n v="9321666906"/>
    <n v="10"/>
    <s v="PONU1402930"/>
    <s v="NEDLLOYD DRAKE/1202"/>
    <m/>
    <s v="SHANGHAI"/>
    <m/>
    <m/>
    <s v="KENUS WONG"/>
    <s v="FO9"/>
    <s v="HOME CLEANING                 "/>
    <s v="CONFIRMED"/>
    <n v="1"/>
    <n v="1"/>
    <d v="2012-01-03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4730/000010"/>
    <n v="1370151016"/>
    <n v="10"/>
    <x v="18"/>
    <x v="18"/>
    <s v="M5"/>
    <n v="2210015545"/>
    <n v="161"/>
    <s v="RO344901       "/>
    <s v="RO344901 VAC CLEANER COMPACTEO CYCLONIC           "/>
    <s v="S"/>
    <d v="2012-01-10T00:00:00"/>
    <m/>
    <s v="X"/>
    <x v="63"/>
    <n v="31.33"/>
    <n v="1130"/>
    <d v="2012-02-27T00:00:00"/>
    <d v="2012-01-09T00:00:00"/>
    <n v="730"/>
    <d v="2012-01-09T00:00:00"/>
    <n v="730"/>
    <m/>
    <d v="2012-01-15T00:00:00"/>
    <n v="730"/>
    <d v="2012-02-26T00:00:00"/>
    <d v="2012-01-08T00:00:00"/>
    <n v="730"/>
    <n v="730"/>
    <x v="0"/>
    <d v="2012-02-27T00:00:00"/>
    <m/>
    <n v="9321666907"/>
    <n v="10"/>
    <s v="OOLU7529842"/>
    <s v="OOCL NETHERLANDS/23W"/>
    <m/>
    <s v="SHANGHAI"/>
    <m/>
    <m/>
    <s v="KENUS WONG"/>
    <s v="FO9"/>
    <s v="HOME CLEANING                 "/>
    <s v="CONFIRMED"/>
    <n v="1"/>
    <n v="2"/>
    <d v="2012-01-09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501/000010"/>
    <n v="1370151246"/>
    <n v="10"/>
    <x v="18"/>
    <x v="18"/>
    <s v="M5"/>
    <n v="2210016368"/>
    <n v="160"/>
    <s v="MO153501       "/>
    <s v="MO153501 BLACK VAC CLEANER COMPACTEO              "/>
    <s v="S"/>
    <d v="2012-01-19T00:00:00"/>
    <m/>
    <s v="X"/>
    <x v="63"/>
    <n v="25.66"/>
    <n v="23"/>
    <d v="2012-02-17T00:00:00"/>
    <d v="2012-01-13T00:00:00"/>
    <n v="1530"/>
    <d v="2012-01-13T00:00:00"/>
    <n v="1530"/>
    <m/>
    <d v="2012-01-16T00:00:00"/>
    <n v="1530"/>
    <d v="2012-02-21T00:00:00"/>
    <d v="2012-01-17T00:00:00"/>
    <n v="1530"/>
    <n v="1530"/>
    <x v="19"/>
    <d v="2012-02-21T00:00:00"/>
    <m/>
    <n v="9321666911"/>
    <n v="10"/>
    <s v="MRKU0405893"/>
    <s v="MAERSK EINDHOVEN 120"/>
    <m/>
    <s v="SHANGHAI"/>
    <m/>
    <m/>
    <s v="JASON FAN"/>
    <s v="FO9"/>
    <s v="HOME CLEANING                 "/>
    <s v="CONFIRMED"/>
    <n v="1"/>
    <n v="3"/>
    <d v="2012-01-17T00:00:00"/>
    <s v="HOME CLEANING                 "/>
    <s v="HOME CLEANING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6216/000010"/>
    <n v="1370151159"/>
    <n v="10"/>
    <x v="41"/>
    <x v="41"/>
    <s v="A3"/>
    <n v="2100059079"/>
    <n v="240"/>
    <s v="M6000302       "/>
    <s v="M6000302 PRESS CITRUS CORCOPOM MOULINEX           "/>
    <s v="S"/>
    <d v="2012-01-31T00:00:00"/>
    <m/>
    <s v="X"/>
    <x v="63"/>
    <n v="2.2366999999999999"/>
    <n v="106"/>
    <d v="2012-02-29T00:00:00"/>
    <d v="2012-01-11T00:00:00"/>
    <n v="4008"/>
    <d v="2012-01-11T00:00:00"/>
    <n v="4008"/>
    <m/>
    <d v="2012-01-16T00:00:00"/>
    <n v="4008"/>
    <d v="2012-03-05T00:00:00"/>
    <d v="2012-01-16T00:00:00"/>
    <n v="4008"/>
    <n v="4008"/>
    <x v="21"/>
    <d v="2012-03-07T00:00:00"/>
    <m/>
    <n v="9321666913"/>
    <n v="10"/>
    <s v="TGHU1827705"/>
    <s v="OOCL CALIFORNIA29W03"/>
    <m/>
    <s v="YANTIAN"/>
    <m/>
    <m/>
    <s v="KENUS WONG"/>
    <s v="FO9"/>
    <s v="COOKWARE                      "/>
    <s v="CONFIRMED"/>
    <n v="1"/>
    <n v="3"/>
    <d v="2012-01-18T00:00:00"/>
    <s v="COOKWARE                      "/>
    <s v="COOKWARE        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6208/000010"/>
    <n v="1370151160"/>
    <n v="10"/>
    <x v="41"/>
    <x v="41"/>
    <s v="A3"/>
    <n v="2100059080"/>
    <n v="240"/>
    <s v="M8000302       "/>
    <s v="M8000302 SALAD SPINNER SALAD BOWL CROCOP          "/>
    <s v="S"/>
    <d v="2012-01-31T00:00:00"/>
    <m/>
    <s v="X"/>
    <x v="63"/>
    <n v="3.7848000000000002"/>
    <n v="136"/>
    <d v="2012-02-29T00:00:00"/>
    <d v="2012-01-11T00:00:00"/>
    <n v="5136"/>
    <d v="2012-01-11T00:00:00"/>
    <n v="5136"/>
    <m/>
    <d v="2012-01-11T00:00:00"/>
    <n v="5136"/>
    <d v="2012-02-29T00:00:00"/>
    <d v="2012-01-11T00:00:00"/>
    <n v="5136"/>
    <n v="294"/>
    <x v="21"/>
    <d v="2012-03-07T00:00:00"/>
    <m/>
    <n v="9321666914"/>
    <n v="10"/>
    <s v="TGHU1827705"/>
    <s v="OOCL CALIFORNIA29W03"/>
    <m/>
    <s v="YANTIAN"/>
    <m/>
    <m/>
    <s v="KENUS WONG"/>
    <s v="FO9"/>
    <s v="COOKWARE                      "/>
    <s v="CONFIRMED"/>
    <n v="1"/>
    <n v="3"/>
    <d v="2012-01-18T00:00:00"/>
    <s v="COOKWARE                      "/>
    <s v="COOKWARE        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6208/000010"/>
    <n v="1370151160"/>
    <n v="10"/>
    <x v="41"/>
    <x v="41"/>
    <s v="A3"/>
    <n v="2100059080"/>
    <n v="240"/>
    <s v="M8000302       "/>
    <s v="M8000302 SALAD SPINNER SALAD BOWL CROCOP          "/>
    <s v="S"/>
    <d v="2012-01-31T00:00:00"/>
    <m/>
    <s v="X"/>
    <x v="63"/>
    <n v="3.7848000000000002"/>
    <n v="136"/>
    <d v="2012-02-29T00:00:00"/>
    <d v="2012-01-11T00:00:00"/>
    <n v="5136"/>
    <d v="2012-01-11T00:00:00"/>
    <n v="5136"/>
    <m/>
    <d v="2012-01-11T00:00:00"/>
    <n v="5136"/>
    <d v="2012-02-29T00:00:00"/>
    <d v="2012-01-11T00:00:00"/>
    <n v="5136"/>
    <n v="4842"/>
    <x v="21"/>
    <d v="2012-03-07T00:00:00"/>
    <m/>
    <n v="9321666914"/>
    <n v="10"/>
    <s v="OOLU8343940"/>
    <s v="OOCL CALIFORNIA29W03"/>
    <m/>
    <s v="YANTIAN"/>
    <m/>
    <m/>
    <s v="KENUS WONG"/>
    <s v="FO9"/>
    <s v="COOKWARE                      "/>
    <s v="CONFIRMED"/>
    <n v="1"/>
    <n v="3"/>
    <d v="2012-01-18T00:00:00"/>
    <s v="COOKWARE                      "/>
    <s v="COOKWARE          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3829/000010"/>
    <n v="1370151251"/>
    <n v="10"/>
    <x v="11"/>
    <x v="11"/>
    <s v="N1"/>
    <n v="2100068773"/>
    <n v="50"/>
    <s v="CB560811       "/>
    <s v="CB560811 PLA ACCESSIMO BLK EUR                    "/>
    <s v="S"/>
    <d v="2012-01-27T00:00:00"/>
    <m/>
    <s v="X"/>
    <x v="63"/>
    <n v="11.72"/>
    <n v="10"/>
    <d v="2012-03-16T00:00:00"/>
    <d v="2012-02-10T00:00:00"/>
    <n v="2720"/>
    <d v="2012-01-18T00:00:00"/>
    <n v="2716"/>
    <m/>
    <m/>
    <m/>
    <d v="2012-02-23T00:00:00"/>
    <d v="2012-01-19T00:00:00"/>
    <n v="2716"/>
    <n v="2716"/>
    <x v="27"/>
    <d v="2012-02-29T00:00:00"/>
    <m/>
    <n v="9321666919"/>
    <n v="10"/>
    <s v="WFHU4063578"/>
    <s v="CMA CGM PEGASUS"/>
    <m/>
    <s v="XIAMEN"/>
    <s v="SAILING-SCHED-UPDATE/"/>
    <m/>
    <s v="JASON FAN"/>
    <s v="FO9"/>
    <s v="ELECTRICAL COOKING            "/>
    <s v="CONFIRMED"/>
    <n v="1"/>
    <n v="4"/>
    <d v="2012-01-25T00:00:00"/>
    <s v="KITCHEN ELECTRICS             "/>
    <s v="ELECTRICAL COOKING            "/>
    <x v="1"/>
    <x v="1"/>
    <x v="1"/>
    <m/>
    <n v="0"/>
    <n v="0"/>
    <x v="1"/>
    <n v="1"/>
    <x v="0"/>
    <x v="0"/>
    <x v="0"/>
    <n v="0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3823/000010"/>
    <n v="1370151253"/>
    <n v="10"/>
    <x v="11"/>
    <x v="11"/>
    <s v="N1"/>
    <n v="2100068773"/>
    <n v="50"/>
    <s v="CB560811       "/>
    <s v="CB560811 PLA ACCESSIMO BLK EUR                    "/>
    <s v="S"/>
    <d v="2012-01-27T00:00:00"/>
    <m/>
    <s v="X"/>
    <x v="63"/>
    <n v="11.72"/>
    <n v="10"/>
    <d v="2012-03-16T00:00:00"/>
    <d v="2012-02-10T00:00:00"/>
    <n v="2720"/>
    <d v="2012-01-18T00:00:00"/>
    <n v="2720"/>
    <m/>
    <d v="2012-01-19T00:00:00"/>
    <n v="2720"/>
    <d v="2012-02-23T00:00:00"/>
    <d v="2012-01-19T00:00:00"/>
    <n v="2720"/>
    <n v="2720"/>
    <x v="4"/>
    <d v="2012-02-26T00:00:00"/>
    <m/>
    <n v="9321666920"/>
    <n v="10"/>
    <s v="ECMU4514900"/>
    <s v="CMA CGM PEGASUS"/>
    <m/>
    <s v="XIAMEN"/>
    <s v="SAILING-SCHED-UPDATE/"/>
    <m/>
    <s v="JASON FAN"/>
    <s v="FO9"/>
    <s v="ELECTRICAL COOKING            "/>
    <s v="CONFIRMED"/>
    <n v="1"/>
    <n v="3"/>
    <d v="2012-01-22T00:00:00"/>
    <s v="KITCHEN ELECTRICS             "/>
    <s v="ELECTRICAL COOKING            "/>
    <x v="1"/>
    <x v="1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401/000010"/>
    <n v="1370150341"/>
    <n v="10"/>
    <x v="20"/>
    <x v="20"/>
    <s v="A7"/>
    <n v="2100034853"/>
    <n v="235"/>
    <s v="K0031162       "/>
    <s v="K0031162 MEASURING CUP AND SPOON COMBO S          "/>
    <s v="S"/>
    <d v="2012-01-06T00:00:00"/>
    <m/>
    <s v="X"/>
    <x v="63"/>
    <n v="10.8"/>
    <n v="13"/>
    <d v="2012-02-13T00:00:00"/>
    <d v="2012-01-09T00:00:00"/>
    <n v="2000"/>
    <d v="2012-01-09T00:00:00"/>
    <n v="2000"/>
    <m/>
    <d v="2012-01-09T00:00:00"/>
    <n v="2000"/>
    <d v="2012-02-06T00:00:00"/>
    <d v="2012-01-02T00:00:00"/>
    <n v="2000"/>
    <n v="2000"/>
    <x v="13"/>
    <d v="2012-02-05T00:00:00"/>
    <m/>
    <n v="9321666923"/>
    <n v="10"/>
    <s v="TCLU8226939"/>
    <s v="ITAL LAGUNA 0608-036"/>
    <m/>
    <s v="YANTIAN"/>
    <s v="LATE EDI"/>
    <m/>
    <s v="TWEETY LEU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1"/>
    <x v="0"/>
    <x v="0"/>
    <x v="1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61460/000010"/>
    <n v="1370150353"/>
    <n v="10"/>
    <x v="20"/>
    <x v="20"/>
    <s v="A7"/>
    <n v="8700800204"/>
    <n v="205"/>
    <n v="59912"/>
    <s v="59912 12 QT MULTICOOKER                           "/>
    <s v="S"/>
    <d v="2012-02-01T00:00:00"/>
    <m/>
    <s v="X"/>
    <x v="63"/>
    <n v="38.619999999999997"/>
    <n v="45"/>
    <d v="2012-03-15T00:00:00"/>
    <d v="2012-02-09T00:00:00"/>
    <n v="1000"/>
    <d v="2012-01-23T00:00:00"/>
    <n v="1000"/>
    <m/>
    <d v="2012-02-09T00:00:00"/>
    <n v="1000"/>
    <d v="2012-02-27T00:00:00"/>
    <d v="2012-01-23T00:00:00"/>
    <n v="1000"/>
    <n v="1000"/>
    <x v="1"/>
    <d v="2012-02-27T00:00:00"/>
    <m/>
    <n v="9321666924"/>
    <n v="10"/>
    <s v="CPSU4054923"/>
    <s v="NYK RIGEL 16E03/"/>
    <m/>
    <s v="YANTIAN"/>
    <s v="CONS-SHIPT/"/>
    <m/>
    <s v="TWEETY LEUNG"/>
    <s v="FO9"/>
    <s v="COOKWARE                      "/>
    <s v="CONFIRMED"/>
    <n v="1"/>
    <n v="4"/>
    <d v="2012-01-23T00:00:00"/>
    <s v="COOKWARE                      "/>
    <s v="COOKWARE                      "/>
    <x v="5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5229/000010"/>
    <n v="1370151026"/>
    <n v="10"/>
    <x v="53"/>
    <x v="53"/>
    <s v="R1"/>
    <n v="1500574011"/>
    <n v="23"/>
    <n v="574011"/>
    <s v="TT220070 TOASTER SIMPLY INVENTS 2SL               "/>
    <s v="S"/>
    <d v="2012-01-17T00:00:00"/>
    <m/>
    <s v="X"/>
    <x v="63"/>
    <n v="7.51"/>
    <n v="9"/>
    <d v="2012-01-16T00:00:00"/>
    <d v="2012-01-15T00:00:00"/>
    <n v="1884"/>
    <d v="2012-01-15T00:00:00"/>
    <n v="1884"/>
    <m/>
    <d v="2012-01-15T00:00:00"/>
    <n v="1884"/>
    <d v="2012-01-17T00:00:00"/>
    <d v="2012-01-16T00:00:00"/>
    <n v="1884"/>
    <n v="1884"/>
    <x v="9"/>
    <d v="2012-01-15T00:00:00"/>
    <m/>
    <n v="9321666925"/>
    <n v="10"/>
    <s v="BY TRUCK"/>
    <s v="BY TRUCK"/>
    <m/>
    <s v="YANTIAN"/>
    <m/>
    <m/>
    <s v="ZANDRA LAM"/>
    <s v="FO9"/>
    <s v="BEVERAGE                      "/>
    <s v="CONFIRMED"/>
    <n v="1"/>
    <n v="2"/>
    <d v="2012-01-14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498/000010"/>
    <n v="1370151281"/>
    <n v="10"/>
    <x v="49"/>
    <x v="49"/>
    <s v="R1"/>
    <n v="1500576624"/>
    <n v="23"/>
    <n v="576624"/>
    <s v="TT754430 TOAS BRUNCH BLK B1-O                     "/>
    <s v="S"/>
    <d v="2012-01-19T00:00:00"/>
    <m/>
    <s v="X"/>
    <x v="63"/>
    <n v="19.739999999999998"/>
    <n v="18"/>
    <d v="2012-02-17T00:00:00"/>
    <d v="2012-01-13T00:00:00"/>
    <n v="1300"/>
    <d v="2012-01-17T00:00:00"/>
    <n v="1300"/>
    <m/>
    <d v="2012-01-20T00:00:00"/>
    <n v="1300"/>
    <d v="2012-02-21T00:00:00"/>
    <d v="2012-01-17T00:00:00"/>
    <n v="1300"/>
    <n v="1300"/>
    <x v="21"/>
    <d v="2012-02-22T00:00:00"/>
    <m/>
    <n v="9321666926"/>
    <n v="10"/>
    <s v="APZU4002253"/>
    <s v="APL DHAKA/002W"/>
    <m/>
    <s v="YANTIAN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99/000001"/>
    <n v="1370150782"/>
    <n v="10"/>
    <x v="4"/>
    <x v="4"/>
    <s v="M5"/>
    <n v="2210016799"/>
    <n v="68"/>
    <s v="RH857983       "/>
    <s v="RH857983 CORDLESS HANDSTICK-24V                   "/>
    <s v="S"/>
    <d v="2012-01-29T00:00:00"/>
    <m/>
    <s v="X"/>
    <x v="63"/>
    <n v="54.6"/>
    <n v="63"/>
    <d v="2012-01-31T00:00:00"/>
    <d v="2012-01-10T00:00:00"/>
    <n v="826"/>
    <d v="2012-01-10T00:00:00"/>
    <n v="825"/>
    <m/>
    <d v="2012-01-10T00:00:00"/>
    <n v="826"/>
    <d v="2012-02-06T00:00:00"/>
    <d v="2012-01-16T00:00:00"/>
    <n v="825"/>
    <n v="825"/>
    <x v="1"/>
    <d v="2012-02-13T00:00:00"/>
    <m/>
    <n v="9321666928"/>
    <n v="10"/>
    <s v="ECMU4600248"/>
    <s v="CSCL QINGDAO/0170S"/>
    <m/>
    <s v="YANTIAN"/>
    <s v="SP-QLY/"/>
    <m/>
    <s v="AGNES NUNES"/>
    <s v="FO9"/>
    <s v="HOME CLEANING                 "/>
    <s v="CONFIRMED"/>
    <n v="1"/>
    <n v="4"/>
    <d v="2012-01-23T00:00:00"/>
    <s v="HOME CLEANING                 "/>
    <s v="HOME CLEANING                 "/>
    <x v="3"/>
    <x v="2"/>
    <x v="13"/>
    <s v="SP-QLY"/>
    <n v="1"/>
    <n v="1"/>
    <x v="13"/>
    <n v="1"/>
    <x v="0"/>
    <x v="0"/>
    <x v="0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65517/000010"/>
    <n v="1370151262"/>
    <n v="10"/>
    <x v="4"/>
    <x v="4"/>
    <s v="M5"/>
    <n v="2210016669"/>
    <n v="68"/>
    <s v="RH855101       "/>
    <s v="RH855101 AIR FORCE CORDLESS HANDSTICK-18          "/>
    <s v="S"/>
    <d v="2012-01-07T00:00:00"/>
    <m/>
    <s v="X"/>
    <x v="63"/>
    <n v="48.06"/>
    <n v="41"/>
    <d v="2012-02-17T00:00:00"/>
    <d v="2012-01-13T00:00:00"/>
    <n v="826"/>
    <d v="2012-01-04T00:00:00"/>
    <n v="826"/>
    <m/>
    <d v="2012-01-13T00:00:00"/>
    <n v="826"/>
    <d v="2012-02-08T00:00:00"/>
    <d v="2012-01-04T00:00:00"/>
    <n v="826"/>
    <n v="826"/>
    <x v="2"/>
    <d v="2012-02-08T00:00:00"/>
    <m/>
    <n v="9321666930"/>
    <n v="10"/>
    <s v="PONU1720103"/>
    <s v="MAREN MAERSK 121W/"/>
    <m/>
    <s v="YANTIAN"/>
    <s v="C-PULLIN-CONF"/>
    <m/>
    <s v="JASON FAN"/>
    <s v="FO9"/>
    <s v="HOME CLEANING                 "/>
    <s v="CONFIRMED"/>
    <n v="1"/>
    <n v="1"/>
    <d v="2012-01-04T00:00:00"/>
    <s v="HOME CLEANING                 "/>
    <s v="HOME CLEANING                 "/>
    <x v="3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5516/000010"/>
    <n v="1370151277"/>
    <n v="10"/>
    <x v="4"/>
    <x v="4"/>
    <s v="M5"/>
    <n v="2210015093"/>
    <n v="68"/>
    <s v="RH854801       "/>
    <s v="RH854801 CORDLESS HANDSTICK-18V                   "/>
    <s v="S"/>
    <d v="2012-01-17T00:00:00"/>
    <m/>
    <s v="X"/>
    <x v="63"/>
    <n v="47.98"/>
    <n v="41"/>
    <d v="2012-02-17T00:00:00"/>
    <d v="2012-01-13T00:00:00"/>
    <n v="1722"/>
    <d v="2012-01-13T00:00:00"/>
    <n v="1722"/>
    <m/>
    <d v="2012-01-13T00:00:00"/>
    <n v="1722"/>
    <d v="2012-02-17T00:00:00"/>
    <d v="2012-01-13T00:00:00"/>
    <n v="1722"/>
    <n v="1722"/>
    <x v="17"/>
    <d v="2012-02-15T00:00:00"/>
    <m/>
    <n v="9321666931"/>
    <n v="10"/>
    <s v="MSKU6371107"/>
    <s v="GRETE MAERSK 121W/"/>
    <m/>
    <s v="YANTIAN"/>
    <m/>
    <m/>
    <s v="JASON FAN"/>
    <s v="FO9"/>
    <s v="HOME CLEANING                 "/>
    <s v="CONFIRMED"/>
    <n v="1"/>
    <n v="2"/>
    <d v="2012-01-11T00:00:00"/>
    <s v="HOME CLEANING                 "/>
    <s v="HOME CLEANING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5521/000010"/>
    <n v="1370151296"/>
    <n v="10"/>
    <x v="4"/>
    <x v="4"/>
    <s v="M5"/>
    <n v="2210015096"/>
    <n v="68"/>
    <s v="RH856501       "/>
    <s v="RH856501 CORDLESS HANDSTICK-24V                   "/>
    <s v="S"/>
    <d v="2012-01-17T00:00:00"/>
    <m/>
    <s v="X"/>
    <x v="63"/>
    <n v="54.33"/>
    <n v="46"/>
    <d v="2012-02-17T00:00:00"/>
    <d v="2012-01-13T00:00:00"/>
    <n v="1722"/>
    <d v="2012-01-13T00:00:00"/>
    <n v="1722"/>
    <m/>
    <d v="2012-01-13T00:00:00"/>
    <n v="1722"/>
    <d v="2012-02-17T00:00:00"/>
    <d v="2012-01-13T00:00:00"/>
    <n v="1722"/>
    <n v="1722"/>
    <x v="17"/>
    <d v="2012-02-15T00:00:00"/>
    <m/>
    <n v="9321666933"/>
    <n v="10"/>
    <s v="MAEU6313571"/>
    <s v="GRETE MAERSK 121W/"/>
    <m/>
    <s v="YANTIAN"/>
    <m/>
    <m/>
    <s v="JASON FAN"/>
    <s v="FO9"/>
    <s v="HOME CLEANING                 "/>
    <s v="CONFIRMED"/>
    <n v="1"/>
    <n v="2"/>
    <d v="2012-01-11T00:00:00"/>
    <s v="HOME CLEANING                 "/>
    <s v="HOME CLEANING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239/000010"/>
    <n v="1370150288"/>
    <n v="10"/>
    <x v="13"/>
    <x v="13"/>
    <s v="A3"/>
    <n v="2100061660"/>
    <n v="205"/>
    <s v="E937SB64       "/>
    <s v="E937SB64 EMERIL SS/COPPER 14PC SET BONUS          "/>
    <s v="S"/>
    <d v="2012-01-20T00:00:00"/>
    <m/>
    <s v="X"/>
    <x v="63"/>
    <n v="90.22"/>
    <n v="103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680"/>
    <x v="21"/>
    <d v="2012-02-22T00:00:00"/>
    <m/>
    <n v="9321666936"/>
    <n v="10"/>
    <s v="MRKU2129177"/>
    <s v="CMA CGM TANCREDI 557"/>
    <m/>
    <s v="YANTIAN"/>
    <m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239/000010"/>
    <n v="1370150288"/>
    <n v="10"/>
    <x v="13"/>
    <x v="13"/>
    <s v="A3"/>
    <n v="2100061660"/>
    <n v="205"/>
    <s v="E937SB64       "/>
    <s v="E937SB64 EMERIL SS/COPPER 14PC SET BONUS          "/>
    <s v="S"/>
    <d v="2012-01-20T00:00:00"/>
    <m/>
    <s v="X"/>
    <x v="63"/>
    <n v="90.22"/>
    <n v="103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160"/>
    <x v="21"/>
    <d v="2012-02-22T00:00:00"/>
    <m/>
    <n v="9321666936"/>
    <n v="10"/>
    <s v="TGHU4144235"/>
    <s v="CMA CGM TANCREDI 557"/>
    <m/>
    <s v="YANTIAN"/>
    <m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239/000010"/>
    <n v="1370150288"/>
    <n v="10"/>
    <x v="13"/>
    <x v="13"/>
    <s v="A3"/>
    <n v="2100061660"/>
    <n v="205"/>
    <s v="E937SB64       "/>
    <s v="E937SB64 EMERIL SS/COPPER 14PC SET BONUS          "/>
    <s v="S"/>
    <d v="2012-01-20T00:00:00"/>
    <m/>
    <s v="X"/>
    <x v="63"/>
    <n v="90.22"/>
    <n v="103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160"/>
    <x v="21"/>
    <d v="2012-02-22T00:00:00"/>
    <m/>
    <n v="9321666936"/>
    <n v="10"/>
    <s v="MSKU9684764"/>
    <s v="CMA CGM TANCREDI 557"/>
    <m/>
    <s v="YANTIAN"/>
    <m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240/000010"/>
    <n v="1370150289"/>
    <n v="10"/>
    <x v="13"/>
    <x v="13"/>
    <s v="A3"/>
    <n v="2100055680"/>
    <n v="205"/>
    <s v="E9371264       "/>
    <s v="E9371264 EMERIL SS/COPPER 14&quot; FRY                 "/>
    <s v="S"/>
    <d v="2012-01-16T00:00:00"/>
    <m/>
    <s v="X"/>
    <x v="63"/>
    <n v="17.55"/>
    <n v="20"/>
    <d v="2012-02-13T00:00:00"/>
    <d v="2012-01-09T00:00:00"/>
    <n v="1000"/>
    <d v="2012-01-09T00:00:00"/>
    <n v="1000"/>
    <m/>
    <d v="2012-01-09T00:00:00"/>
    <n v="1000"/>
    <d v="2012-02-15T00:00:00"/>
    <d v="2012-01-11T00:00:00"/>
    <n v="1000"/>
    <n v="1000"/>
    <x v="17"/>
    <d v="2012-02-15T00:00:00"/>
    <m/>
    <n v="9321666937"/>
    <n v="10"/>
    <s v="MSKU3299478"/>
    <s v="ARTHUR MAERSK 553S/"/>
    <m/>
    <s v="YANTIAN"/>
    <m/>
    <m/>
    <s v="TWEETY LEUNG"/>
    <s v="FO9"/>
    <s v="COOKWARE                      "/>
    <s v="CONFIRMED"/>
    <n v="1"/>
    <n v="2"/>
    <d v="2012-01-11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241/000010"/>
    <n v="1370150290"/>
    <n v="10"/>
    <x v="13"/>
    <x v="13"/>
    <s v="A3"/>
    <n v="2100055678"/>
    <n v="205"/>
    <s v="E9370564       "/>
    <s v="E9370564 EMERIL SS/COPPER 10&quot; FRY                 "/>
    <s v="S"/>
    <d v="2012-01-20T00:00:00"/>
    <m/>
    <s v="X"/>
    <x v="63"/>
    <n v="10.56"/>
    <n v="12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1000"/>
    <x v="21"/>
    <d v="2012-02-22T00:00:00"/>
    <m/>
    <n v="9321666938"/>
    <n v="10"/>
    <s v="MAEU6363459"/>
    <s v="CMA CGM TANCREDI 557"/>
    <m/>
    <s v="YANTIAN"/>
    <s v="TP MISSING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267/000010"/>
    <n v="1370150297"/>
    <n v="10"/>
    <x v="13"/>
    <x v="13"/>
    <s v="A3"/>
    <n v="2100055687"/>
    <n v="205"/>
    <s v="E9379364       "/>
    <s v="E9379364 EMERIL SS/COPPER 3 SAUCE+STRAIN          "/>
    <s v="S"/>
    <d v="2012-01-20T00:00:00"/>
    <m/>
    <s v="X"/>
    <x v="63"/>
    <n v="13.05"/>
    <n v="15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760"/>
    <x v="21"/>
    <d v="2012-02-22T00:00:00"/>
    <m/>
    <n v="9321666939"/>
    <n v="10"/>
    <s v="MAEU6363459"/>
    <s v="CMA CGM TANCREDI 557"/>
    <m/>
    <s v="YANTIAN"/>
    <s v="TP MISSING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267/000010"/>
    <n v="1370150297"/>
    <n v="10"/>
    <x v="13"/>
    <x v="13"/>
    <s v="A3"/>
    <n v="2100055687"/>
    <n v="205"/>
    <s v="E9379364       "/>
    <s v="E9379364 EMERIL SS/COPPER 3 SAUCE+STRAIN          "/>
    <s v="S"/>
    <d v="2012-01-20T00:00:00"/>
    <m/>
    <s v="X"/>
    <x v="63"/>
    <n v="13.05"/>
    <n v="15"/>
    <d v="2012-02-21T00:00:00"/>
    <d v="2012-01-17T00:00:00"/>
    <n v="1000"/>
    <d v="2012-01-17T00:00:00"/>
    <n v="1000"/>
    <m/>
    <d v="2012-01-17T00:00:00"/>
    <n v="1000"/>
    <d v="2012-02-22T00:00:00"/>
    <d v="2012-01-18T00:00:00"/>
    <n v="1000"/>
    <n v="240"/>
    <x v="21"/>
    <d v="2012-02-22T00:00:00"/>
    <m/>
    <n v="9321666939"/>
    <n v="10"/>
    <s v="TGHU4144235"/>
    <s v="CMA CGM TANCREDI 557"/>
    <m/>
    <s v="YANTIAN"/>
    <s v="TP MISSING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229/000010"/>
    <n v="1370150307"/>
    <n v="10"/>
    <x v="13"/>
    <x v="13"/>
    <s v="A3"/>
    <n v="2100055677"/>
    <n v="205"/>
    <s v="E9370264       "/>
    <s v="E9370264 EMERIL SS/COPPER 8&quot; FRY SLEEVED          "/>
    <s v="S"/>
    <d v="2012-01-20T00:00:00"/>
    <m/>
    <s v="X"/>
    <x v="63"/>
    <n v="7.48"/>
    <n v="9"/>
    <d v="2012-03-02T00:00:00"/>
    <d v="2012-01-27T00:00:00"/>
    <n v="1000"/>
    <d v="2012-01-19T00:00:00"/>
    <n v="1000"/>
    <m/>
    <d v="2012-01-27T00:00:00"/>
    <n v="1000"/>
    <d v="2012-02-22T00:00:00"/>
    <d v="2012-01-18T00:00:00"/>
    <n v="1000"/>
    <n v="1000"/>
    <x v="21"/>
    <d v="2012-02-22T00:00:00"/>
    <m/>
    <n v="9321666942"/>
    <n v="10"/>
    <s v="TGHU4144235"/>
    <s v="CMA CGM TANCREDI 557"/>
    <m/>
    <s v="YANTIAN"/>
    <s v="SP-HOLIDAY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7"/>
    <s v="SP-HOLIDAY"/>
    <n v="-3"/>
    <n v="-3"/>
    <x v="6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233/000010"/>
    <n v="1370150308"/>
    <n v="10"/>
    <x v="13"/>
    <x v="13"/>
    <s v="A3"/>
    <n v="2100055682"/>
    <n v="205"/>
    <s v="E9372564       "/>
    <s v="E9372564 EMERIL SS/COPPER 4SAUCE+STRAIN           "/>
    <s v="S"/>
    <d v="2012-01-20T00:00:00"/>
    <m/>
    <s v="X"/>
    <x v="63"/>
    <n v="16.52"/>
    <n v="19"/>
    <d v="2012-03-01T00:00:00"/>
    <d v="2012-01-26T00:00:00"/>
    <n v="1000"/>
    <d v="2012-01-19T00:00:00"/>
    <n v="1000"/>
    <m/>
    <d v="2012-01-26T00:00:00"/>
    <n v="1000"/>
    <d v="2012-02-22T00:00:00"/>
    <d v="2012-01-18T00:00:00"/>
    <n v="1000"/>
    <n v="1000"/>
    <x v="21"/>
    <d v="2012-02-22T00:00:00"/>
    <m/>
    <n v="9321666943"/>
    <n v="10"/>
    <s v="TGHU4144235"/>
    <s v="CMA CGM TANCREDI 557"/>
    <m/>
    <s v="YANTIAN"/>
    <s v="SP-HOLIDAY/"/>
    <m/>
    <s v="TWEETY LEUNG"/>
    <s v="FO9"/>
    <s v="COOKWARE                      "/>
    <s v="CONFIRMED"/>
    <n v="1"/>
    <n v="3"/>
    <d v="2012-01-18T00:00:00"/>
    <s v="COOKWARE                      "/>
    <s v="COOKWARE                      "/>
    <x v="5"/>
    <x v="2"/>
    <x v="7"/>
    <s v="SP-HOLIDAY"/>
    <n v="-3"/>
    <n v="-3"/>
    <x v="6"/>
    <n v="1"/>
    <x v="0"/>
    <x v="0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3190/000010"/>
    <n v="1370150786"/>
    <n v="10"/>
    <x v="13"/>
    <x v="13"/>
    <s v="A3"/>
    <n v="2100061074"/>
    <n v="205"/>
    <s v="E925S744       "/>
    <s v="E925S744 SET 7 PCS+LID JO SS PRO SERIE 3          "/>
    <s v="S"/>
    <d v="2012-01-17T00:00:00"/>
    <m/>
    <s v="X"/>
    <x v="63"/>
    <n v="57.57"/>
    <n v="48"/>
    <d v="2012-02-15T00:00:00"/>
    <d v="2012-01-11T00:00:00"/>
    <n v="655"/>
    <d v="2012-01-11T00:00:00"/>
    <n v="655"/>
    <m/>
    <d v="2012-01-11T00:00:00"/>
    <n v="655"/>
    <d v="2012-02-15T00:00:00"/>
    <d v="2012-01-11T00:00:00"/>
    <n v="655"/>
    <n v="655"/>
    <x v="10"/>
    <d v="2012-02-16T00:00:00"/>
    <m/>
    <n v="9321666945"/>
    <n v="10"/>
    <s v="MOAU0412840"/>
    <s v="MOL MISSION/006W"/>
    <m/>
    <s v="YANTIAN"/>
    <m/>
    <m/>
    <s v="AGNES NUNES"/>
    <s v="FO9"/>
    <s v="COOKWARE                      "/>
    <s v="CONFIRMED"/>
    <n v="1"/>
    <n v="2"/>
    <d v="2012-01-12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42/000010"/>
    <n v="1370150899"/>
    <n v="10"/>
    <x v="13"/>
    <x v="13"/>
    <s v="A3"/>
    <n v="2100065950"/>
    <n v="205"/>
    <s v="C8047965       "/>
    <s v="C8047965 PASTA 22+INS+STEAM+LID  ROCHEDO          "/>
    <s v="S"/>
    <d v="2012-01-06T00:00:00"/>
    <m/>
    <s v="X"/>
    <x v="63"/>
    <n v="18.34"/>
    <n v="21"/>
    <d v="2012-02-06T00:00:00"/>
    <d v="2011-12-26T00:00:00"/>
    <n v="1328"/>
    <d v="2012-01-04T00:00:00"/>
    <n v="1328"/>
    <m/>
    <d v="2011-12-26T00:00:00"/>
    <n v="1328"/>
    <d v="2012-02-15T00:00:00"/>
    <d v="2012-01-04T00:00:00"/>
    <n v="1328"/>
    <n v="1328"/>
    <x v="2"/>
    <d v="2012-02-15T00:00:00"/>
    <m/>
    <n v="9321666946"/>
    <n v="10"/>
    <s v="MRKU8212566"/>
    <s v="MAERSK LIMA 152W/"/>
    <m/>
    <s v="YANTIAN"/>
    <s v="NEWREQ-CUSTOMS/"/>
    <m/>
    <m/>
    <s v="FO9"/>
    <s v="COOKWARE                      "/>
    <s v="CONFIRMED"/>
    <n v="1"/>
    <n v="1"/>
    <d v="2012-01-04T00:00:00"/>
    <s v="COOKWARE                      "/>
    <s v="COOKWARE                      "/>
    <x v="5"/>
    <x v="2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444/000010"/>
    <n v="1370150902"/>
    <n v="10"/>
    <x v="13"/>
    <x v="13"/>
    <s v="A3"/>
    <n v="2100065488"/>
    <n v="205"/>
    <s v="C797S564       "/>
    <s v="C797S564 SET 5P ROCHEDO ELEGANCE 2011 BR          "/>
    <s v="S"/>
    <d v="2012-02-02T00:00:00"/>
    <m/>
    <s v="X"/>
    <x v="63"/>
    <n v="29.3"/>
    <n v="34"/>
    <d v="2012-03-19T00:00:00"/>
    <d v="2012-02-06T00:00:00"/>
    <n v="864"/>
    <d v="2012-01-25T00:00:00"/>
    <n v="864"/>
    <m/>
    <d v="2012-02-06T00:00:00"/>
    <n v="864"/>
    <d v="2012-03-07T00:00:00"/>
    <d v="2012-01-25T00:00:00"/>
    <n v="864"/>
    <n v="864"/>
    <x v="27"/>
    <d v="2012-03-07T00:00:00"/>
    <m/>
    <n v="9321666947"/>
    <n v="10"/>
    <s v="CADU2031663"/>
    <s v="MAERSK LA PAZ 203W/"/>
    <m/>
    <s v="YANTIAN"/>
    <s v="NEWREQ-CUSTOMS/C-PULLIN-CONF/"/>
    <m/>
    <m/>
    <s v="FO9"/>
    <s v="COOKWARE                      "/>
    <s v="CONFIRMED"/>
    <n v="1"/>
    <n v="4"/>
    <d v="2012-01-25T00:00:00"/>
    <s v="COOKWARE                      "/>
    <s v="COOKWARE                      "/>
    <x v="5"/>
    <x v="2"/>
    <x v="8"/>
    <s v="NEWREQ-CUSTOMS"/>
    <n v="1"/>
    <n v="1"/>
    <x v="14"/>
    <n v="2"/>
    <x v="0"/>
    <x v="0"/>
    <x v="0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79/000010"/>
    <n v="1370150906"/>
    <n v="10"/>
    <x v="13"/>
    <x v="13"/>
    <s v="A3"/>
    <n v="2100065950"/>
    <n v="205"/>
    <s v="C8047965       "/>
    <s v="C8047965 PASTA 22+INS+STEAM+LID  ROCHEDO          "/>
    <s v="S"/>
    <d v="2012-01-26T00:00:00"/>
    <m/>
    <s v="X"/>
    <x v="63"/>
    <n v="18.34"/>
    <n v="21"/>
    <d v="2012-02-27T00:00:00"/>
    <d v="2012-01-16T00:00:00"/>
    <n v="500"/>
    <d v="2012-01-16T00:00:00"/>
    <n v="500"/>
    <m/>
    <d v="2012-01-16T00:00:00"/>
    <n v="500"/>
    <d v="2012-02-29T00:00:00"/>
    <d v="2012-01-18T00:00:00"/>
    <n v="500"/>
    <n v="500"/>
    <x v="21"/>
    <d v="2012-02-29T00:00:00"/>
    <m/>
    <n v="9321666948"/>
    <n v="10"/>
    <s v="GRIU6405351"/>
    <s v="MAERSK LUZ 202W/"/>
    <m/>
    <s v="YANTIAN"/>
    <m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65/000010"/>
    <n v="1370150913"/>
    <n v="10"/>
    <x v="13"/>
    <x v="13"/>
    <s v="A3"/>
    <n v="2100050867"/>
    <n v="205"/>
    <s v="E9499852       "/>
    <s v="E9499852 SET 11P JAMIE OLIVER SS PROF2 C          "/>
    <s v="S"/>
    <d v="2012-01-26T00:00:00"/>
    <m/>
    <s v="X"/>
    <x v="63"/>
    <n v="90.22"/>
    <n v="102"/>
    <d v="2012-02-27T00:00:00"/>
    <d v="2012-01-16T00:00:00"/>
    <n v="520"/>
    <d v="2012-01-16T00:00:00"/>
    <n v="520"/>
    <m/>
    <d v="2012-01-16T00:00:00"/>
    <n v="520"/>
    <d v="2012-02-29T00:00:00"/>
    <d v="2012-01-18T00:00:00"/>
    <n v="520"/>
    <n v="520"/>
    <x v="21"/>
    <d v="2012-02-29T00:00:00"/>
    <m/>
    <n v="9321666949"/>
    <n v="10"/>
    <s v="SUDU6719290"/>
    <s v="MAERSK LUZ 202W/"/>
    <m/>
    <s v="YANTIAN"/>
    <m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3176/000010"/>
    <n v="1370150789"/>
    <n v="10"/>
    <x v="13"/>
    <x v="13"/>
    <s v="A3"/>
    <n v="2100050706"/>
    <n v="205"/>
    <s v="C8429132       "/>
    <s v="C8429132 SET 4PCES CLASSICA SS UNCOAT D           "/>
    <s v="S"/>
    <d v="2012-01-12T00:00:00"/>
    <m/>
    <s v="X"/>
    <x v="63"/>
    <n v="39.090000000000003"/>
    <n v="33"/>
    <d v="2012-02-15T00:00:00"/>
    <d v="2012-01-11T00:00:00"/>
    <n v="670"/>
    <d v="2012-01-11T00:00:00"/>
    <n v="670"/>
    <m/>
    <d v="2012-01-11T00:00:00"/>
    <n v="670"/>
    <d v="2012-02-15T00:00:00"/>
    <d v="2012-01-11T00:00:00"/>
    <n v="670"/>
    <n v="670"/>
    <x v="6"/>
    <d v="2012-02-09T00:00:00"/>
    <m/>
    <n v="9321666950"/>
    <n v="10"/>
    <s v="TCLU2956020"/>
    <s v="MOL MAXIM/010W"/>
    <m/>
    <s v="YANTIAN"/>
    <m/>
    <m/>
    <s v="AGNES NUNES"/>
    <s v="FO9"/>
    <s v="COOKWARE                      "/>
    <s v="CONFIRMED"/>
    <n v="1"/>
    <n v="1"/>
    <d v="2012-01-05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200"/>
    <s v="TEFAL SAS                                         "/>
    <n v="99001200"/>
    <x v="31"/>
    <s v="9321666223/000010"/>
    <n v="1370151200"/>
    <n v="10"/>
    <x v="13"/>
    <x v="13"/>
    <s v="A3"/>
    <n v="2100062173"/>
    <n v="205"/>
    <s v="E925S444       "/>
    <s v="E925S444 SET 4SCP+LID JO SS PROF3 UNCOAT          "/>
    <s v="S"/>
    <d v="2012-01-16T00:00:00"/>
    <m/>
    <s v="X"/>
    <x v="63"/>
    <n v="53.02"/>
    <n v="45"/>
    <d v="2012-02-13T00:00:00"/>
    <d v="2012-01-09T00:00:00"/>
    <n v="500"/>
    <d v="2012-01-09T00:00:00"/>
    <n v="500"/>
    <m/>
    <m/>
    <m/>
    <d v="2012-02-18T00:00:00"/>
    <d v="2012-01-14T00:00:00"/>
    <n v="500"/>
    <n v="500"/>
    <x v="9"/>
    <d v="2012-02-18T00:00:00"/>
    <m/>
    <n v="9321666951"/>
    <n v="10"/>
    <s v="XINU1587233"/>
    <s v="BUSAN EXPRESS/004W"/>
    <m/>
    <s v="YANTIAN"/>
    <s v="FORWARDER-PROB/"/>
    <m/>
    <s v="JASON FAN"/>
    <s v="FO9"/>
    <s v="COOKWARE                      "/>
    <s v="CONFIRMED"/>
    <n v="1"/>
    <n v="2"/>
    <d v="2012-01-14T00:00:00"/>
    <s v="COOKWARE                      "/>
    <s v="COOKWARE                      "/>
    <x v="5"/>
    <x v="2"/>
    <x v="0"/>
    <s v="FORWARDER-PROB"/>
    <n v="1"/>
    <n v="1"/>
    <x v="11"/>
    <n v="1"/>
    <x v="0"/>
    <x v="1"/>
    <x v="1"/>
    <n v="0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6480/000010"/>
    <n v="1370151273"/>
    <n v="10"/>
    <x v="39"/>
    <x v="39"/>
    <s v="R1"/>
    <n v="8000032578"/>
    <n v="27"/>
    <s v="CG302910       "/>
    <s v="CG302910 COFFEE MAKER ROWENTA PRELUDE             "/>
    <s v="S"/>
    <d v="2012-01-05T00:00:00"/>
    <m/>
    <s v="X"/>
    <x v="63"/>
    <n v="19.12"/>
    <n v="16084"/>
    <d v="2012-02-17T00:00:00"/>
    <d v="2012-01-13T00:00:00"/>
    <n v="1800"/>
    <d v="2012-01-13T00:00:00"/>
    <n v="1800"/>
    <m/>
    <d v="2012-01-13T00:00:00"/>
    <n v="1800"/>
    <d v="2012-02-17T00:00:00"/>
    <d v="2012-01-13T00:00:00"/>
    <n v="1800"/>
    <n v="1800"/>
    <x v="16"/>
    <d v="2012-02-07T00:00:00"/>
    <m/>
    <n v="9321666953"/>
    <n v="10"/>
    <s v="APZU4916897"/>
    <s v="H.VANCOUVER/007W"/>
    <m/>
    <s v="YANTIAN"/>
    <s v="SAILING-SCHED-UPDATE"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3600"/>
    <s v="GROUPE SEB ISTANBUL EV ALETLERI                   "/>
    <n v="99003600"/>
    <x v="13"/>
    <s v="4500262942/000010"/>
    <n v="1370150219"/>
    <n v="10"/>
    <x v="78"/>
    <x v="78"/>
    <s v="L2"/>
    <n v="2100057248"/>
    <n v="48"/>
    <s v="TD4100K0       "/>
    <s v="TD4100K0 HUMIDIFIER DISNEY                        "/>
    <s v="S"/>
    <d v="2012-01-12T00:00:00"/>
    <m/>
    <s v="X"/>
    <x v="63"/>
    <n v="22.22"/>
    <n v="44"/>
    <d v="2012-02-09T00:00:00"/>
    <d v="2012-01-05T00:00:00"/>
    <n v="640"/>
    <d v="2012-01-05T00:00:00"/>
    <n v="640"/>
    <m/>
    <d v="2012-01-10T00:00:00"/>
    <n v="640"/>
    <d v="2012-02-14T00:00:00"/>
    <d v="2012-01-10T00:00:00"/>
    <n v="640"/>
    <n v="640"/>
    <x v="17"/>
    <d v="2012-02-15T00:00:00"/>
    <m/>
    <n v="9321666954"/>
    <n v="10"/>
    <s v="MSKU3090148"/>
    <s v="MAERSK KINLOSS/1202"/>
    <m/>
    <s v="SHANGHAI"/>
    <m/>
    <m/>
    <s v="KENUS WONG"/>
    <s v="FO9"/>
    <s v="PERSONAL CARE                 "/>
    <s v="CONFIRMED"/>
    <n v="1"/>
    <n v="2"/>
    <d v="2012-01-11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53/000001"/>
    <n v="1370150199"/>
    <n v="10"/>
    <x v="2"/>
    <x v="2"/>
    <s v="R1"/>
    <n v="8000032511"/>
    <n v="27"/>
    <s v="FG110550       "/>
    <s v="FG110550 FCM MLX CM823 10/15C BLK/STAIN           "/>
    <s v="S"/>
    <d v="2012-01-28T00:00:00"/>
    <m/>
    <s v="X"/>
    <x v="63"/>
    <n v="8.3670000000000009"/>
    <n v="125"/>
    <d v="2012-03-10T00:00:00"/>
    <d v="2012-02-04T00:00:00"/>
    <n v="1332"/>
    <d v="2012-01-13T00:00:00"/>
    <n v="1332"/>
    <m/>
    <d v="2012-01-13T00:00:00"/>
    <n v="1332"/>
    <d v="2012-02-21T00:00:00"/>
    <d v="2012-01-17T00:00:00"/>
    <n v="1332"/>
    <n v="1332"/>
    <x v="14"/>
    <d v="2012-02-24T00:00:00"/>
    <m/>
    <n v="9321666955"/>
    <n v="10"/>
    <s v="SUDU4996110"/>
    <s v="MONTE VERDE 203E/"/>
    <m/>
    <s v="SHENZHEN"/>
    <s v="SP-HOLIDAY/"/>
    <m/>
    <s v="TWEETY LEUNG"/>
    <s v="FO9"/>
    <s v="BEVERAGE                      "/>
    <s v="CONFIRMED"/>
    <n v="1"/>
    <n v="3"/>
    <d v="2012-01-20T00:00:00"/>
    <s v="KITCHEN ELECTRICS             "/>
    <s v="BREAKFAST &amp; BREVAGE PREP      "/>
    <x v="1"/>
    <x v="1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953/000002"/>
    <n v="1370150199"/>
    <n v="20"/>
    <x v="2"/>
    <x v="2"/>
    <s v="R1"/>
    <n v="8000032605"/>
    <n v="27"/>
    <s v="FG1110ME       "/>
    <s v="FG1110ME FCM CM823 WHT MX                         "/>
    <s v="S"/>
    <d v="2012-01-28T00:00:00"/>
    <m/>
    <s v="X"/>
    <x v="63"/>
    <n v="8.02"/>
    <n v="125"/>
    <d v="2012-03-10T00:00:00"/>
    <d v="2012-02-04T00:00:00"/>
    <n v="1332"/>
    <d v="2012-01-13T00:00:00"/>
    <n v="1332"/>
    <m/>
    <d v="2012-01-13T00:00:00"/>
    <n v="1332"/>
    <d v="2012-02-21T00:00:00"/>
    <d v="2012-01-17T00:00:00"/>
    <n v="1332"/>
    <n v="1332"/>
    <x v="14"/>
    <d v="2012-02-24T00:00:00"/>
    <m/>
    <n v="9321666955"/>
    <n v="20"/>
    <s v="SUDU4996110"/>
    <s v="MONTE VERDE 203E/"/>
    <m/>
    <s v="YANTIAN"/>
    <s v="SP-HOLIDAY/"/>
    <m/>
    <s v="TWEETY LEUNG"/>
    <s v="FO9"/>
    <s v="BEVERAGE                      "/>
    <s v="CONFIRMED"/>
    <n v="1"/>
    <n v="3"/>
    <d v="2012-01-20T00:00:00"/>
    <s v="KITCHEN ELECTRICS             "/>
    <s v="BREAKFAST &amp; BREVAGE PREP      "/>
    <x v="1"/>
    <x v="1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953/000003"/>
    <n v="1370150199"/>
    <n v="30"/>
    <x v="2"/>
    <x v="2"/>
    <s v="R1"/>
    <n v="8000033212"/>
    <n v="27"/>
    <s v="FG1115ME       "/>
    <s v="FG1115ME FCM HELIORA COMFORT BLK MX               "/>
    <s v="S"/>
    <d v="2012-01-28T00:00:00"/>
    <m/>
    <s v="X"/>
    <x v="63"/>
    <n v="8.14"/>
    <n v="125"/>
    <d v="2012-03-10T00:00:00"/>
    <d v="2012-02-04T00:00:00"/>
    <n v="1320"/>
    <d v="2012-01-13T00:00:00"/>
    <n v="1320"/>
    <m/>
    <d v="2012-01-13T00:00:00"/>
    <n v="1332"/>
    <d v="2012-02-21T00:00:00"/>
    <d v="2012-01-17T00:00:00"/>
    <n v="1320"/>
    <n v="1320"/>
    <x v="14"/>
    <d v="2012-02-24T00:00:00"/>
    <m/>
    <n v="9321666955"/>
    <n v="30"/>
    <s v="SUDU8724300"/>
    <s v="MONTE VERDE 203E/"/>
    <m/>
    <s v="YANTIAN"/>
    <s v="SP-HOLIDAY/"/>
    <m/>
    <s v="TWEETY LEUNG"/>
    <s v="FO9"/>
    <s v="BEVERAGE                      "/>
    <s v="CONFIRMED"/>
    <n v="1"/>
    <n v="3"/>
    <d v="2012-01-20T00:00:00"/>
    <s v="KITCHEN ELECTRICS             "/>
    <s v="BREAKFAST &amp; BREVAGE PREP      "/>
    <x v="1"/>
    <x v="1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200"/>
    <s v="GROUPE SEB IBERICA                                "/>
    <n v="99008200"/>
    <x v="21"/>
    <s v="9321665292/000010"/>
    <n v="1370150847"/>
    <n v="10"/>
    <x v="2"/>
    <x v="2"/>
    <s v="R1"/>
    <n v="1500635402"/>
    <n v="27"/>
    <n v="635402"/>
    <s v="FG150830 FCM SUBITO MINI 6C BLK/SS EUR            "/>
    <s v="S"/>
    <d v="2012-01-21T00:00:00"/>
    <m/>
    <s v="X"/>
    <x v="63"/>
    <n v="6.5"/>
    <n v="6"/>
    <d v="2012-02-13T00:00:00"/>
    <d v="2012-01-16T00:00:00"/>
    <n v="2096"/>
    <d v="2012-01-16T00:00:00"/>
    <n v="2096"/>
    <m/>
    <d v="2012-01-10T00:00:00"/>
    <n v="2096"/>
    <d v="2012-02-18T00:00:00"/>
    <d v="2012-01-21T00:00:00"/>
    <n v="2096"/>
    <n v="2096"/>
    <x v="26"/>
    <d v="2012-02-18T00:00:00"/>
    <m/>
    <n v="9321666956"/>
    <n v="10"/>
    <s v="MSKU4295292"/>
    <s v="MAERSK TANJONG/1202"/>
    <m/>
    <s v="YANTIAN"/>
    <s v="SP-OVERCAP/"/>
    <m/>
    <s v="JASON FAN"/>
    <s v="FO9"/>
    <s v="BEVERAGE                      "/>
    <s v="CONFIRMED"/>
    <n v="1"/>
    <n v="3"/>
    <d v="2012-01-21T00:00:00"/>
    <s v="KITCHEN ELECTRICS             "/>
    <s v="BREAKFAST &amp; BREVAGE PREP      "/>
    <x v="1"/>
    <x v="1"/>
    <x v="11"/>
    <s v="SP-OVERCAP"/>
    <n v="-3"/>
    <n v="-3"/>
    <x v="9"/>
    <n v="1"/>
    <x v="0"/>
    <x v="1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54/000010"/>
    <n v="1370150915"/>
    <n v="10"/>
    <x v="2"/>
    <x v="2"/>
    <s v="R1"/>
    <n v="8000031965"/>
    <n v="27"/>
    <s v="CJ6005B1       "/>
    <s v="CJ6005B1 COFFEE MAKER THERM ARNO                  "/>
    <s v="S"/>
    <d v="2012-01-31T00:00:00"/>
    <m/>
    <s v="X"/>
    <x v="63"/>
    <n v="12.89"/>
    <n v="15"/>
    <d v="2012-03-19T00:00:00"/>
    <d v="2012-02-06T00:00:00"/>
    <n v="1148"/>
    <d v="2012-01-13T00:00:00"/>
    <n v="1148"/>
    <m/>
    <d v="2012-01-13T00:00:00"/>
    <n v="1148"/>
    <d v="2012-02-22T00:00:00"/>
    <d v="2012-01-11T00:00:00"/>
    <n v="1148"/>
    <n v="1148"/>
    <x v="17"/>
    <d v="2012-02-22T00:00:00"/>
    <m/>
    <n v="9321666957"/>
    <n v="10"/>
    <s v="SUDU5896809"/>
    <s v="COSCO VIETNAM 201W"/>
    <m/>
    <s v="YANTIAN"/>
    <s v="SP-HOLIDAY/"/>
    <m/>
    <s v="THOMAS HO"/>
    <s v="FO9"/>
    <s v="BEVERAGE                      "/>
    <s v="CONFIRMED"/>
    <n v="1"/>
    <n v="2"/>
    <d v="2012-01-11T00:00:00"/>
    <s v="KITCHEN ELECTRICS             "/>
    <s v="BREAKFAST &amp; BREVAGE PREP      "/>
    <x v="1"/>
    <x v="1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1142/000010"/>
    <n v="1370150925"/>
    <n v="10"/>
    <x v="2"/>
    <x v="2"/>
    <s v="R1"/>
    <n v="8000031964"/>
    <n v="27"/>
    <s v="CJ6005B2       "/>
    <s v="CJ6005B2 COFFEE MAKER THERM ARNO                  "/>
    <s v="S"/>
    <d v="2012-01-09T00:00:00"/>
    <m/>
    <s v="X"/>
    <x v="63"/>
    <n v="12.92"/>
    <n v="15"/>
    <d v="2012-02-20T00:00:00"/>
    <d v="2012-01-09T00:00:00"/>
    <n v="1148"/>
    <d v="2011-12-30T00:00:00"/>
    <n v="1148"/>
    <m/>
    <d v="2012-01-03T00:00:00"/>
    <n v="1148"/>
    <d v="2012-02-10T00:00:00"/>
    <d v="2011-12-30T00:00:00"/>
    <n v="1148"/>
    <n v="1148"/>
    <x v="2"/>
    <d v="2012-02-15T00:00:00"/>
    <m/>
    <n v="9321666958"/>
    <n v="10"/>
    <s v="MRKU0527947"/>
    <s v="MAERSK LIMA 152W/"/>
    <m/>
    <s v="YANTIAN"/>
    <s v="SP-OVERCAP/"/>
    <m/>
    <s v="THOMAS HO"/>
    <s v="FO9"/>
    <s v="BEVERAGE                      "/>
    <s v="CONFIRMED"/>
    <n v="1"/>
    <n v="1"/>
    <d v="2012-01-04T00:00:00"/>
    <s v="KITCHEN ELECTRICS             "/>
    <s v="BREAKFAST &amp; BREVAGE PREP      "/>
    <x v="1"/>
    <x v="1"/>
    <x v="11"/>
    <s v="SP-OVERCAP"/>
    <n v="-3"/>
    <n v="-3"/>
    <x v="9"/>
    <n v="1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55/000010"/>
    <n v="1370150927"/>
    <n v="10"/>
    <x v="2"/>
    <x v="2"/>
    <s v="R1"/>
    <n v="8000031964"/>
    <n v="27"/>
    <s v="CJ6005B2       "/>
    <s v="CJ6005B2 COFFEE MAKER THERM ARNO                  "/>
    <s v="S"/>
    <d v="2012-01-31T00:00:00"/>
    <m/>
    <s v="X"/>
    <x v="63"/>
    <n v="12.92"/>
    <n v="15"/>
    <d v="2012-03-19T00:00:00"/>
    <d v="2012-02-06T00:00:00"/>
    <n v="1148"/>
    <d v="2012-01-13T00:00:00"/>
    <n v="1148"/>
    <m/>
    <d v="2012-01-13T00:00:00"/>
    <n v="1148"/>
    <d v="2012-02-22T00:00:00"/>
    <d v="2012-01-11T00:00:00"/>
    <n v="1148"/>
    <n v="1148"/>
    <x v="17"/>
    <d v="2012-02-22T00:00:00"/>
    <m/>
    <n v="9321666959"/>
    <n v="10"/>
    <s v="SUDU5896809"/>
    <s v="COSCO VIETNAM 201W"/>
    <m/>
    <s v="YANTIAN"/>
    <s v="SP-HOLIDAY/"/>
    <m/>
    <s v="THOMAS HO"/>
    <s v="FO9"/>
    <s v="BEVERAGE                      "/>
    <s v="CONFIRMED"/>
    <n v="1"/>
    <n v="2"/>
    <d v="2012-01-11T00:00:00"/>
    <s v="KITCHEN ELECTRICS             "/>
    <s v="BREAKFAST &amp; BREVAGE PREP      "/>
    <x v="1"/>
    <x v="1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1261/000010"/>
    <n v="1370150939"/>
    <n v="10"/>
    <x v="2"/>
    <x v="2"/>
    <s v="R1"/>
    <n v="1500634546"/>
    <n v="27"/>
    <n v="634546"/>
    <s v="CM210550 FCM SUBITO 220V 22C BLK/SS BR            "/>
    <s v="S"/>
    <d v="2012-01-31T00:00:00"/>
    <m/>
    <s v="X"/>
    <x v="63"/>
    <n v="8.4499999999999993"/>
    <n v="10"/>
    <d v="2012-03-19T00:00:00"/>
    <d v="2012-02-06T00:00:00"/>
    <n v="1332"/>
    <d v="2012-01-13T00:00:00"/>
    <n v="1332"/>
    <m/>
    <d v="2012-01-13T00:00:00"/>
    <n v="1332"/>
    <d v="2012-02-22T00:00:00"/>
    <d v="2012-01-11T00:00:00"/>
    <n v="1332"/>
    <n v="1332"/>
    <x v="17"/>
    <d v="2012-02-22T00:00:00"/>
    <m/>
    <n v="9321666960"/>
    <n v="10"/>
    <s v="SUDU6775566"/>
    <s v="COSCO VIETNAM 201W"/>
    <m/>
    <s v="YANTIAN"/>
    <s v="SP-HOLIDAY/"/>
    <m/>
    <s v="THOMAS HO"/>
    <s v="FO9"/>
    <s v="BEVERAGE                      "/>
    <s v="CONFIRMED"/>
    <n v="1"/>
    <n v="2"/>
    <d v="2012-01-11T00:00:00"/>
    <s v="KITCHEN ELECTRICS             "/>
    <s v="BREAKFAST &amp; BREVAGE PREP      "/>
    <x v="1"/>
    <x v="1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6460/000010"/>
    <n v="1370151263"/>
    <n v="10"/>
    <x v="2"/>
    <x v="2"/>
    <s v="R1"/>
    <n v="1500635054"/>
    <n v="27"/>
    <n v="635054"/>
    <s v="FG110630 FCM SUBITO 10/15C SHINY PLU/SS           "/>
    <s v="S"/>
    <d v="2012-01-21T00:00:00"/>
    <m/>
    <s v="X"/>
    <x v="63"/>
    <n v="8.73"/>
    <n v="8"/>
    <d v="2012-02-17T00:00:00"/>
    <d v="2012-01-13T00:00:00"/>
    <n v="2670"/>
    <d v="2012-01-13T00:00:00"/>
    <n v="2670"/>
    <m/>
    <d v="2012-01-06T00:00:00"/>
    <n v="2670"/>
    <d v="2012-02-24T00:00:00"/>
    <d v="2012-01-20T00:00:00"/>
    <n v="2670"/>
    <n v="2670"/>
    <x v="26"/>
    <d v="2012-02-25T00:00:00"/>
    <m/>
    <n v="9321666967"/>
    <n v="10"/>
    <s v="MSKU6603141"/>
    <s v="MAERSK EINDHOVEN/120"/>
    <m/>
    <s v="YANTIAN"/>
    <s v="SAILING-SCHED-UPDATE/SP-OVERCAP/FOB ISSUE"/>
    <m/>
    <s v="JASON FAN"/>
    <s v="FO9"/>
    <s v="BEVERAGE                      "/>
    <s v="CONFIRMED"/>
    <n v="1"/>
    <n v="3"/>
    <d v="2012-01-21T00:00:00"/>
    <s v="KITCHEN ELECTRICS             "/>
    <s v="BREAKFAST &amp; BREVAGE PREP      "/>
    <x v="1"/>
    <x v="1"/>
    <x v="11"/>
    <s v="SP-OVERCAP"/>
    <n v="-3"/>
    <n v="-3"/>
    <x v="9"/>
    <n v="3"/>
    <x v="0"/>
    <x v="0"/>
    <x v="0"/>
    <n v="0"/>
    <n v="0"/>
    <n v="0"/>
    <n v="0"/>
    <n v="0"/>
    <n v="0"/>
    <x v="1"/>
    <x v="0"/>
    <x v="1"/>
    <x v="0"/>
  </r>
  <r>
    <s v="Shipment"/>
    <n v="99002501"/>
    <s v="GROUPE SEB NEDERLAND BV                           "/>
    <n v="99002501"/>
    <x v="30"/>
    <s v="9321666465/000010"/>
    <n v="1370151209"/>
    <n v="10"/>
    <x v="42"/>
    <x v="42"/>
    <s v="N1"/>
    <n v="2100058891"/>
    <n v="50"/>
    <s v="GC205012       "/>
    <s v="GC205012 MINUTE GRILL A12 TEFAL                   "/>
    <s v="S"/>
    <d v="2012-01-10T00:00:00"/>
    <m/>
    <s v="X"/>
    <x v="63"/>
    <n v="20.99"/>
    <n v="19"/>
    <d v="2012-02-06T00:00:00"/>
    <d v="2012-01-09T00:00:00"/>
    <n v="2031"/>
    <d v="2012-01-09T00:00:00"/>
    <n v="2031"/>
    <m/>
    <d v="2012-01-09T00:00:00"/>
    <n v="2031"/>
    <d v="2012-02-06T00:00:00"/>
    <d v="2012-01-09T00:00:00"/>
    <n v="2031"/>
    <n v="2031"/>
    <x v="23"/>
    <d v="2012-02-05T00:00:00"/>
    <m/>
    <n v="9321666970"/>
    <n v="10"/>
    <s v="MAEU6279517"/>
    <s v="SVENDBORG MAERSK 120"/>
    <m/>
    <s v="YANTIAN"/>
    <m/>
    <m/>
    <s v="KENUS WONG"/>
    <s v="FO9"/>
    <s v="ELECTRICAL COOKING            "/>
    <s v="CONFIRMED"/>
    <n v="1"/>
    <n v="1"/>
    <d v="2012-01-08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254/000010"/>
    <n v="1370151205"/>
    <n v="10"/>
    <x v="57"/>
    <x v="57"/>
    <s v="P1"/>
    <n v="1500819186"/>
    <n v="104"/>
    <n v="819186"/>
    <s v="AD5686 MLTT LA PICADORA AD56 WHT CL               "/>
    <s v="S"/>
    <d v="2012-01-17T00:00:00"/>
    <m/>
    <s v="X"/>
    <x v="63"/>
    <n v="13.64"/>
    <n v="12"/>
    <d v="2012-03-19T00:00:00"/>
    <d v="2012-02-20T00:00:00"/>
    <n v="4080"/>
    <d v="2012-01-13T00:00:00"/>
    <n v="4080"/>
    <m/>
    <d v="2012-02-27T00:00:00"/>
    <n v="4080"/>
    <d v="2012-02-13T00:00:00"/>
    <d v="2012-01-16T00:00:00"/>
    <n v="4080"/>
    <n v="4080"/>
    <x v="9"/>
    <d v="2012-02-11T00:00:00"/>
    <m/>
    <n v="9321666971"/>
    <n v="10"/>
    <s v="OOLU8072848"/>
    <s v="BUSAN EXPRESS/04W01"/>
    <m/>
    <s v="YANTIAN"/>
    <s v="C-PULLIN-CONF/"/>
    <m/>
    <s v="JASON FAN"/>
    <s v="FO9"/>
    <s v="FOOD PREPARATION              "/>
    <s v="CONFIRMED"/>
    <n v="1"/>
    <n v="2"/>
    <d v="2012-01-14T00:00:00"/>
    <s v="KITCHEN ELECTRICS             "/>
    <s v="FOOD PREPARATION              "/>
    <x v="7"/>
    <x v="3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478/000010"/>
    <n v="1370151258"/>
    <n v="10"/>
    <x v="62"/>
    <x v="62"/>
    <s v="R1"/>
    <n v="8000033937"/>
    <n v="55"/>
    <s v="BY510510       "/>
    <s v="BY510510 KET SUBITO 1.5L SS/RED EUR               "/>
    <s v="S"/>
    <d v="2012-01-27T00:00:00"/>
    <m/>
    <s v="X"/>
    <x v="63"/>
    <n v="15.47"/>
    <n v="13"/>
    <d v="2012-02-17T00:00:00"/>
    <d v="2012-01-13T00:00:00"/>
    <n v="2814"/>
    <d v="2012-01-13T00:00:00"/>
    <n v="2814"/>
    <m/>
    <d v="2012-01-13T00:00:00"/>
    <n v="2814"/>
    <d v="2012-02-24T00:00:00"/>
    <d v="2012-01-20T00:00:00"/>
    <n v="2814"/>
    <n v="2814"/>
    <x v="14"/>
    <d v="2012-02-24T00:00:00"/>
    <m/>
    <n v="9321666972"/>
    <n v="10"/>
    <s v="PONU1269772"/>
    <s v="MAERSK EINDHOVEN"/>
    <m/>
    <s v="YANTIAN"/>
    <s v="CONS-SHIPT/"/>
    <m/>
    <s v="JASON FAN"/>
    <s v="FO9"/>
    <s v="BEVERAGE                      "/>
    <s v="CONFIRMED"/>
    <n v="1"/>
    <n v="3"/>
    <d v="2012-01-20T00:00:00"/>
    <s v="KITCHEN ELECTRICS             "/>
    <s v="BREAKFAST &amp; BREVAGE PREP      "/>
    <x v="2"/>
    <x v="1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30/000010"/>
    <n v="1370150298"/>
    <n v="10"/>
    <x v="72"/>
    <x v="72"/>
    <s v="A3"/>
    <n v="2100065049"/>
    <n v="211"/>
    <s v="E9640764       "/>
    <s v="E9640764 FP30 EMERIL CAST IRON PRE-SEASO          "/>
    <s v="S"/>
    <d v="2012-01-12T00:00:00"/>
    <m/>
    <s v="X"/>
    <x v="63"/>
    <n v="6.57"/>
    <n v="8"/>
    <d v="2012-02-21T00:00:00"/>
    <d v="2012-01-17T00:00:00"/>
    <n v="4000"/>
    <d v="2012-01-17T00:00:00"/>
    <n v="4000"/>
    <m/>
    <d v="2012-01-17T00:00:00"/>
    <n v="6750"/>
    <d v="2012-02-14T00:00:00"/>
    <d v="2012-01-10T00:00:00"/>
    <n v="4000"/>
    <n v="1250"/>
    <x v="5"/>
    <d v="2012-02-14T00:00:00"/>
    <m/>
    <n v="9321666975"/>
    <n v="10"/>
    <s v="CSQU4413913"/>
    <s v="KARMEN/038E"/>
    <m/>
    <s v="XINGANG"/>
    <s v="SAILING-SCHED-UPDATE/SAILING-SCHED-UPDATE/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5"/>
    <x v="2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30/000010"/>
    <n v="1370150298"/>
    <n v="10"/>
    <x v="72"/>
    <x v="72"/>
    <s v="A3"/>
    <n v="2100065049"/>
    <n v="211"/>
    <s v="E9640764       "/>
    <s v="E9640764 FP30 EMERIL CAST IRON PRE-SEASO          "/>
    <s v="S"/>
    <d v="2012-01-12T00:00:00"/>
    <m/>
    <s v="X"/>
    <x v="63"/>
    <n v="6.57"/>
    <n v="8"/>
    <d v="2012-02-21T00:00:00"/>
    <d v="2012-01-17T00:00:00"/>
    <n v="4000"/>
    <d v="2012-01-17T00:00:00"/>
    <n v="4000"/>
    <m/>
    <d v="2012-01-17T00:00:00"/>
    <n v="6750"/>
    <d v="2012-02-14T00:00:00"/>
    <d v="2012-01-10T00:00:00"/>
    <n v="4000"/>
    <n v="2750"/>
    <x v="5"/>
    <d v="2012-02-14T00:00:00"/>
    <m/>
    <n v="9321666975"/>
    <n v="10"/>
    <s v="HLXU4132157"/>
    <s v="KARMEN/038E"/>
    <m/>
    <s v="XINGANG"/>
    <s v="SAILING-SCHED-UPDATE/SAILING-SCHED-UPDATE/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5"/>
    <x v="2"/>
    <x v="1"/>
    <m/>
    <n v="0"/>
    <n v="0"/>
    <x v="1"/>
    <n v="2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33/000010"/>
    <n v="1370150299"/>
    <n v="10"/>
    <x v="72"/>
    <x v="72"/>
    <s v="A7"/>
    <n v="2100065047"/>
    <n v="211"/>
    <s v="E9645264       "/>
    <s v="E9645264 D.OV 26+LID EMERIL CAST IRON 6           "/>
    <s v="S"/>
    <d v="2012-01-12T00:00:00"/>
    <m/>
    <s v="X"/>
    <x v="63"/>
    <n v="11.56"/>
    <n v="13"/>
    <d v="2012-02-21T00:00:00"/>
    <d v="2012-01-17T00:00:00"/>
    <n v="1120"/>
    <d v="2012-01-17T00:00:00"/>
    <n v="1120"/>
    <m/>
    <d v="2012-01-17T00:00:00"/>
    <n v="1120"/>
    <d v="2012-02-14T00:00:00"/>
    <d v="2012-01-10T00:00:00"/>
    <n v="1120"/>
    <n v="1120"/>
    <x v="5"/>
    <d v="2012-02-14T00:00:00"/>
    <m/>
    <n v="9321666976"/>
    <n v="10"/>
    <s v="CSQU4413913"/>
    <s v="KARMEN/038E"/>
    <m/>
    <s v="XINGANG"/>
    <s v="SAILING-SCHED-UPDATE/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29/000010"/>
    <n v="1370150326"/>
    <n v="10"/>
    <x v="72"/>
    <x v="72"/>
    <s v="A7"/>
    <n v="2100065048"/>
    <n v="211"/>
    <s v="E9640564       "/>
    <s v="E9640564 FP26 EMERIL CAST IRON PRE-SEASO          "/>
    <s v="S"/>
    <d v="2012-01-12T00:00:00"/>
    <m/>
    <s v="X"/>
    <x v="63"/>
    <n v="4.93"/>
    <n v="6"/>
    <d v="2012-03-01T00:00:00"/>
    <d v="2012-01-26T00:00:00"/>
    <n v="3066"/>
    <d v="2012-01-10T00:00:00"/>
    <n v="3066"/>
    <m/>
    <d v="2012-01-19T00:00:00"/>
    <n v="3066"/>
    <d v="2012-02-14T00:00:00"/>
    <d v="2012-01-10T00:00:00"/>
    <n v="3066"/>
    <n v="3066"/>
    <x v="5"/>
    <d v="2012-02-14T00:00:00"/>
    <m/>
    <n v="9321666977"/>
    <n v="10"/>
    <s v="HLXU4466621"/>
    <s v="KARMEN/038E"/>
    <m/>
    <s v="XINGANG"/>
    <s v="SP-HOLIDAY/C-PULLIN-CONF/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5"/>
    <x v="2"/>
    <x v="7"/>
    <s v="SP-HOLIDAY"/>
    <n v="-3"/>
    <n v="-3"/>
    <x v="6"/>
    <n v="2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5768/000010"/>
    <n v="1370151002"/>
    <n v="10"/>
    <x v="64"/>
    <x v="64"/>
    <s v="N3"/>
    <n v="1500633228"/>
    <n v="177"/>
    <n v="633228"/>
    <s v="AF100530 MINUTO FRYER 09L                         "/>
    <s v="S"/>
    <d v="2012-01-19T00:00:00"/>
    <m/>
    <s v="X"/>
    <x v="63"/>
    <n v="9.17"/>
    <n v="329"/>
    <d v="2012-02-27T00:00:00"/>
    <d v="2012-01-09T00:00:00"/>
    <n v="1408"/>
    <d v="2012-01-14T00:00:00"/>
    <n v="1408"/>
    <m/>
    <d v="2012-01-09T00:00:00"/>
    <n v="1408"/>
    <d v="2012-03-03T00:00:00"/>
    <d v="2012-01-14T00:00:00"/>
    <n v="1408"/>
    <n v="1408"/>
    <x v="19"/>
    <d v="2012-03-06T00:00:00"/>
    <m/>
    <n v="9321666980"/>
    <n v="10"/>
    <s v="TRLU5939241"/>
    <s v="MOL COMPETENCE/021W"/>
    <m/>
    <s v="YANTIAN"/>
    <s v="CONS-SHIPT/"/>
    <m/>
    <s v="KENUS WONG"/>
    <s v="FO9"/>
    <s v="ELECTRICAL COOKING            "/>
    <s v="CONFIRMED"/>
    <n v="1"/>
    <n v="3"/>
    <d v="2012-01-17T00:00:00"/>
    <s v="KITCHEN ELECTRICS             "/>
    <s v="ELECTRICAL COOKING            "/>
    <x v="1"/>
    <x v="1"/>
    <x v="10"/>
    <s v="CONS-SHIPT"/>
    <n v="-3"/>
    <n v="-3"/>
    <x v="8"/>
    <n v="1"/>
    <x v="0"/>
    <x v="0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3109/000010"/>
    <n v="1370150473"/>
    <n v="10"/>
    <x v="65"/>
    <x v="65"/>
    <s v="R1"/>
    <n v="8000032351"/>
    <n v="55"/>
    <s v="KO300041       "/>
    <s v="KO300041 KET AQUA                                 "/>
    <s v="S"/>
    <d v="2012-01-16T00:00:00"/>
    <m/>
    <s v="X"/>
    <x v="63"/>
    <n v="10.19"/>
    <n v="21"/>
    <d v="2012-02-10T00:00:00"/>
    <d v="2012-01-06T00:00:00"/>
    <n v="2960"/>
    <d v="2012-01-06T00:00:00"/>
    <n v="2960"/>
    <m/>
    <d v="2012-01-06T00:00:00"/>
    <n v="2960"/>
    <d v="2012-02-17T00:00:00"/>
    <d v="2012-01-13T00:00:00"/>
    <n v="2960"/>
    <n v="2960"/>
    <x v="8"/>
    <d v="2012-02-20T00:00:00"/>
    <m/>
    <n v="9321666981"/>
    <n v="10"/>
    <s v="MSKU6249296"/>
    <s v="MAERSK KINLOSS/1202"/>
    <m/>
    <s v="YANTIAN"/>
    <s v="SP-LABOR"/>
    <m/>
    <s v="KENUS WONG"/>
    <s v="FO9"/>
    <s v="BEVERAGE                      "/>
    <s v="CONFIRMED"/>
    <n v="1"/>
    <n v="3"/>
    <d v="2012-01-16T00:00:00"/>
    <s v="KITCHEN ELECTRICS             "/>
    <s v="BREAKFAST &amp; BREVAGE PREP      "/>
    <x v="1"/>
    <x v="1"/>
    <x v="17"/>
    <s v="SP-LABOR"/>
    <n v="1"/>
    <n v="1"/>
    <x v="17"/>
    <n v="1"/>
    <x v="0"/>
    <x v="0"/>
    <x v="1"/>
    <n v="0"/>
    <n v="0"/>
    <n v="0"/>
    <n v="0"/>
    <n v="0"/>
    <n v="0"/>
    <x v="1"/>
    <x v="0"/>
    <x v="1"/>
    <x v="0"/>
  </r>
  <r>
    <s v="Shipment"/>
    <n v="99003600"/>
    <s v="GROUPE SEB ISTANBUL EV ALETLERI                   "/>
    <n v="99003600"/>
    <x v="13"/>
    <s v="4500263108/000010"/>
    <n v="1370150474"/>
    <n v="10"/>
    <x v="65"/>
    <x v="65"/>
    <s v="R1"/>
    <n v="1500634532"/>
    <n v="55"/>
    <n v="634532"/>
    <s v="KO300830 KET AQUA 1.5L GRP/CAS DE                 "/>
    <s v="S"/>
    <d v="2012-01-16T00:00:00"/>
    <m/>
    <s v="X"/>
    <x v="63"/>
    <n v="10.24"/>
    <n v="22"/>
    <d v="2012-02-10T00:00:00"/>
    <d v="2012-01-06T00:00:00"/>
    <n v="2960"/>
    <d v="2012-01-06T00:00:00"/>
    <n v="2960"/>
    <m/>
    <d v="2012-01-06T00:00:00"/>
    <n v="2960"/>
    <d v="2012-02-17T00:00:00"/>
    <d v="2012-01-13T00:00:00"/>
    <n v="2960"/>
    <n v="2960"/>
    <x v="8"/>
    <d v="2012-02-20T00:00:00"/>
    <m/>
    <n v="9321666982"/>
    <n v="10"/>
    <s v="MSKU6249296"/>
    <s v="MAERSK KINLOSS/1202"/>
    <m/>
    <s v="YANTIAN"/>
    <s v="SP-LABOR"/>
    <m/>
    <s v="KENUS WONG"/>
    <s v="FO9"/>
    <s v="BEVERAGE                      "/>
    <s v="CONFIRMED"/>
    <n v="1"/>
    <n v="3"/>
    <d v="2012-01-16T00:00:00"/>
    <s v="KITCHEN ELECTRICS             "/>
    <s v="BREAKFAST &amp; BREVAGE PREP      "/>
    <x v="1"/>
    <x v="1"/>
    <x v="17"/>
    <s v="SP-LABOR"/>
    <n v="1"/>
    <n v="1"/>
    <x v="17"/>
    <n v="1"/>
    <x v="0"/>
    <x v="0"/>
    <x v="1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61185/000010"/>
    <n v="1370150225"/>
    <n v="10"/>
    <x v="58"/>
    <x v="58"/>
    <s v="A3"/>
    <n v="2100063855"/>
    <n v="231"/>
    <s v="J0939064       "/>
    <s v="J0939064 COMMERCIAL ROASTER WITH RACK             "/>
    <s v="S"/>
    <d v="2012-01-19T00:00:00"/>
    <m/>
    <s v="X"/>
    <x v="63"/>
    <n v="4.41"/>
    <n v="6"/>
    <d v="2012-02-08T00:00:00"/>
    <d v="2012-01-04T00:00:00"/>
    <n v="2000"/>
    <d v="2012-01-16T00:00:00"/>
    <n v="2000"/>
    <m/>
    <d v="2012-01-16T00:00:00"/>
    <n v="2000"/>
    <d v="2012-02-20T00:00:00"/>
    <d v="2012-01-16T00:00:00"/>
    <n v="2000"/>
    <n v="2000"/>
    <x v="19"/>
    <d v="2012-02-21T00:00:00"/>
    <m/>
    <n v="9321666985"/>
    <n v="10"/>
    <s v="HLXU6426145"/>
    <s v="NYK NEBULA 25E02/"/>
    <m/>
    <s v="YANTIAN"/>
    <s v="CONS-SHIPT/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0"/>
    <s v="CONS-SHIPT"/>
    <n v="-3"/>
    <n v="-3"/>
    <x v="8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43/000010"/>
    <n v="1370150227"/>
    <n v="10"/>
    <x v="58"/>
    <x v="58"/>
    <s v="A3"/>
    <n v="2100043514"/>
    <n v="202"/>
    <n v="68200"/>
    <s v="68200 COMM MED CKY SHT LT GRAY (6)                "/>
    <s v="S"/>
    <d v="2012-01-19T00:00:00"/>
    <m/>
    <s v="X"/>
    <x v="63"/>
    <n v="2.61"/>
    <n v="4"/>
    <d v="2012-02-20T00:00:00"/>
    <d v="2012-01-16T00:00:00"/>
    <n v="3000"/>
    <d v="2012-01-16T00:00:00"/>
    <n v="3000"/>
    <m/>
    <d v="2012-01-16T00:00:00"/>
    <n v="3000"/>
    <d v="2012-02-20T00:00:00"/>
    <d v="2012-01-16T00:00:00"/>
    <n v="3000"/>
    <n v="3000"/>
    <x v="19"/>
    <d v="2012-02-21T00:00:00"/>
    <m/>
    <n v="9321666986"/>
    <n v="10"/>
    <s v="HLXU6426145"/>
    <s v="NYK NEBULA 25E02/"/>
    <m/>
    <s v="YANTIAN"/>
    <s v="CONS-SHIPT/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220"/>
    <n v="1370149992"/>
    <n v="220"/>
    <x v="17"/>
    <x v="17"/>
    <s v="L4"/>
    <n v="1830003077"/>
    <n v="5"/>
    <s v="CV4930F0       "/>
    <s v="CV4930F0 POWERLINE HAIR DRYER                     "/>
    <s v="S"/>
    <d v="2012-01-19T00:00:00"/>
    <m/>
    <s v="X"/>
    <x v="63"/>
    <n v="8.2799999999999994"/>
    <n v="14"/>
    <d v="2012-02-13T00:00:00"/>
    <d v="2012-01-16T00:00:00"/>
    <n v="3000"/>
    <d v="2012-01-16T00:00:00"/>
    <n v="3000"/>
    <m/>
    <d v="2012-01-16T00:00:00"/>
    <n v="3000"/>
    <d v="2012-02-14T00:00:00"/>
    <d v="2012-01-17T00:00:00"/>
    <n v="3000"/>
    <n v="3000"/>
    <x v="19"/>
    <d v="2012-02-14T00:00:00"/>
    <m/>
    <n v="9321666997"/>
    <n v="10"/>
    <s v="OOLU7663208"/>
    <s v="APL HAMBURG"/>
    <m/>
    <s v="YANTIAN"/>
    <m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2941/000010"/>
    <n v="1370150216"/>
    <n v="10"/>
    <x v="17"/>
    <x v="17"/>
    <s v="L4"/>
    <n v="1830003219"/>
    <n v="131"/>
    <s v="SF4412E4       "/>
    <s v="SF4412E4 LISS &amp; CURL STRAIGHTENER                 "/>
    <s v="S"/>
    <d v="2012-01-06T00:00:00"/>
    <m/>
    <s v="X"/>
    <x v="63"/>
    <n v="10.85"/>
    <n v="22587"/>
    <d v="2012-02-09T00:00:00"/>
    <d v="2012-01-05T00:00:00"/>
    <n v="3000"/>
    <d v="2012-01-01T00:00:00"/>
    <n v="3000"/>
    <m/>
    <d v="2012-01-05T00:00:00"/>
    <n v="3000"/>
    <d v="2012-02-05T00:00:00"/>
    <d v="2012-01-01T00:00:00"/>
    <n v="3000"/>
    <n v="3000"/>
    <x v="13"/>
    <d v="2012-02-05T00:00:00"/>
    <m/>
    <n v="9321666998"/>
    <n v="10"/>
    <s v="MSKU6817267"/>
    <s v="CMA CGM NERVAL/811W"/>
    <m/>
    <s v="YANTIAN"/>
    <s v="CONS-SHIPT/"/>
    <m/>
    <s v="KENUS WONG"/>
    <s v="FO9"/>
    <s v="PERSONAL CARE                 "/>
    <s v="CONFIRMED"/>
    <n v="1"/>
    <n v="52"/>
    <d v="2012-01-01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0578/000010"/>
    <n v="1370150002"/>
    <n v="10"/>
    <x v="17"/>
    <x v="17"/>
    <s v="L4"/>
    <n v="1830003755"/>
    <n v="131"/>
    <s v="SF1042F0       "/>
    <s v="SF1042F0 STRAIGHTENER INTERNATIONAL PROM          "/>
    <s v="S"/>
    <d v="2012-01-19T00:00:00"/>
    <m/>
    <s v="X"/>
    <x v="63"/>
    <n v="9.94"/>
    <n v="361"/>
    <d v="2012-02-27T00:00:00"/>
    <d v="2012-01-09T00:00:00"/>
    <n v="3000"/>
    <d v="2012-01-18T00:00:00"/>
    <n v="3000"/>
    <m/>
    <d v="2012-01-09T00:00:00"/>
    <n v="3000"/>
    <d v="2012-03-07T00:00:00"/>
    <d v="2012-01-18T00:00:00"/>
    <n v="3000"/>
    <n v="3000"/>
    <x v="21"/>
    <d v="2012-03-07T00:00:00"/>
    <m/>
    <n v="9321666999"/>
    <n v="10"/>
    <s v="OOLU8590317"/>
    <s v="OOCL CALIFORNIA/29W0"/>
    <m/>
    <s v="HONG KONG"/>
    <s v="CONS-SHIPT/"/>
    <m/>
    <s v="KENUS WONG"/>
    <s v="FO9"/>
    <s v="PERSONAL CARE                 "/>
    <s v="CONFIRMED"/>
    <n v="1"/>
    <n v="3"/>
    <d v="2012-01-18T00:00:00"/>
    <s v="LINEN PERS HOME CARE          "/>
    <s v="PERSONAL CARE                 "/>
    <x v="3"/>
    <x v="2"/>
    <x v="10"/>
    <s v="CONS-SHIPT"/>
    <n v="-3"/>
    <n v="-3"/>
    <x v="8"/>
    <n v="1"/>
    <x v="0"/>
    <x v="0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495/000010"/>
    <n v="1370151260"/>
    <n v="10"/>
    <x v="17"/>
    <x v="17"/>
    <s v="L4"/>
    <n v="1830003088"/>
    <n v="131"/>
    <s v="SF3012C4       "/>
    <s v="SF3012C4 ECO ELITE STRAIGHTENER                   "/>
    <s v="S"/>
    <d v="2012-01-18T00:00:00"/>
    <m/>
    <s v="X"/>
    <x v="63"/>
    <n v="7.21"/>
    <n v="6"/>
    <d v="2012-02-17T00:00:00"/>
    <d v="2012-01-13T00:00:00"/>
    <n v="3006"/>
    <d v="2012-01-13T00:00:00"/>
    <n v="3006"/>
    <m/>
    <d v="2012-01-13T00:00:00"/>
    <n v="3006"/>
    <d v="2012-02-21T00:00:00"/>
    <d v="2012-01-17T00:00:00"/>
    <n v="3006"/>
    <n v="3006"/>
    <x v="19"/>
    <d v="2012-02-21T00:00:00"/>
    <m/>
    <n v="9321667002"/>
    <n v="10"/>
    <s v="APZU3382610"/>
    <s v="APL DHAKA/002W"/>
    <m/>
    <s v="YANTIAN"/>
    <s v="CONS-SHIPT/"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63/000001"/>
    <n v="1370150208"/>
    <n v="10"/>
    <x v="14"/>
    <x v="14"/>
    <s v="J4"/>
    <n v="1830003768"/>
    <n v="1"/>
    <s v="IM3145X0       "/>
    <s v="IM3145X0 STEAM IRON MAESTRO 45                    "/>
    <s v="S"/>
    <d v="2012-01-19T00:00:00"/>
    <m/>
    <s v="X"/>
    <x v="63"/>
    <n v="8.6"/>
    <n v="122"/>
    <d v="2012-03-10T00:00:00"/>
    <d v="2012-02-04T00:00:00"/>
    <n v="3000"/>
    <d v="2012-01-19T00:00:00"/>
    <n v="3000"/>
    <m/>
    <d v="2012-02-02T00:00:00"/>
    <n v="3000"/>
    <d v="2012-02-21T00:00:00"/>
    <d v="2012-01-17T00:00:00"/>
    <n v="3000"/>
    <n v="3000"/>
    <x v="21"/>
    <d v="2012-02-22T00:00:00"/>
    <m/>
    <n v="9321667004"/>
    <n v="10"/>
    <s v="SUDU4984103"/>
    <s v="MONTE SARMIENTO 202E"/>
    <m/>
    <s v="NINGBO"/>
    <s v="C-PULLIN-CONF/"/>
    <m/>
    <s v="TWEETY LEUNG"/>
    <s v="FO9"/>
    <s v="LINEN CARE                    "/>
    <s v="CONFIRMED"/>
    <n v="1"/>
    <n v="3"/>
    <d v="2012-01-18T00:00:00"/>
    <s v="LINEN PERS HOME CARE          "/>
    <s v="LINEN CARE                    "/>
    <x v="6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3193/000010"/>
    <n v="1370150787"/>
    <n v="10"/>
    <x v="14"/>
    <x v="14"/>
    <s v="N1"/>
    <n v="2100068609"/>
    <n v="52"/>
    <s v="SM155012B      "/>
    <s v="SM155012 SDW U.COMPACT CUT WHT EUR                "/>
    <s v="S"/>
    <d v="2012-02-03T00:00:00"/>
    <m/>
    <s v="X"/>
    <x v="63"/>
    <n v="6.26"/>
    <n v="5"/>
    <d v="2012-02-15T00:00:00"/>
    <d v="2012-01-11T00:00:00"/>
    <n v="2940"/>
    <d v="2012-01-11T00:00:00"/>
    <n v="2940"/>
    <m/>
    <d v="2012-01-11T00:00:00"/>
    <n v="2940"/>
    <d v="2012-02-15T00:00:00"/>
    <d v="2012-01-11T00:00:00"/>
    <n v="2940"/>
    <n v="2940"/>
    <x v="22"/>
    <d v="2012-02-23T00:00:00"/>
    <m/>
    <n v="9321667005"/>
    <n v="10"/>
    <s v="POCU0520848"/>
    <s v="MARGRETHE MAERSK"/>
    <m/>
    <s v="NINGBO"/>
    <s v="SP-TECH"/>
    <m/>
    <s v="AGNES NUNES"/>
    <s v="FO9"/>
    <s v="ELECTRICAL COOKING            "/>
    <s v="CONFIRMED"/>
    <n v="1"/>
    <n v="3"/>
    <d v="2012-01-19T00:00:00"/>
    <s v="KITCHEN ELECTRICS             "/>
    <s v="ELECTRICAL COOKING            "/>
    <x v="6"/>
    <x v="2"/>
    <x v="2"/>
    <s v="SP-TECH"/>
    <n v="1"/>
    <n v="1"/>
    <x v="4"/>
    <n v="1"/>
    <x v="0"/>
    <x v="0"/>
    <x v="0"/>
    <n v="0"/>
    <n v="0"/>
    <n v="0"/>
    <n v="0"/>
    <n v="0"/>
    <n v="0"/>
    <x v="1"/>
    <x v="0"/>
    <x v="1"/>
    <x v="0"/>
  </r>
  <r>
    <s v="Shipment"/>
    <n v="99002501"/>
    <s v="GROUPE SEB NEDERLAND BV                           "/>
    <n v="99002501"/>
    <x v="30"/>
    <s v="9321661253/000010"/>
    <n v="1370150434"/>
    <n v="10"/>
    <x v="14"/>
    <x v="14"/>
    <s v="N1"/>
    <n v="2100068322"/>
    <n v="52"/>
    <s v="SM159136B      "/>
    <s v="SM159136 SDW ULTRA. SILVER SHELL EUR              "/>
    <s v="S"/>
    <d v="2012-02-02T00:00:00"/>
    <m/>
    <s v="X"/>
    <x v="63"/>
    <n v="6.39"/>
    <n v="6"/>
    <d v="2012-02-07T00:00:00"/>
    <d v="2012-01-10T00:00:00"/>
    <n v="2940"/>
    <d v="2012-01-10T00:00:00"/>
    <n v="2940"/>
    <m/>
    <d v="2012-01-10T00:00:00"/>
    <n v="2940"/>
    <d v="2012-02-07T00:00:00"/>
    <d v="2012-01-10T00:00:00"/>
    <n v="2940"/>
    <n v="2940"/>
    <x v="22"/>
    <d v="2012-02-16T00:00:00"/>
    <m/>
    <n v="9321667007"/>
    <n v="10"/>
    <s v="TCLU2509490"/>
    <s v="OOCL LONG BEACH 65W0"/>
    <m/>
    <s v="NINGBO"/>
    <s v="docs received on 1-Feb"/>
    <m/>
    <s v="KENUS WONG"/>
    <s v="FO9"/>
    <s v="ELECTRICAL COOKING            "/>
    <s v="CONFIRMED"/>
    <n v="1"/>
    <n v="3"/>
    <d v="2012-01-19T00:00:00"/>
    <s v="KITCHEN ELECTRICS             "/>
    <s v="ELECTRICAL COOKING            "/>
    <x v="6"/>
    <x v="2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8200"/>
    <s v="GROUPE SEB IBERICA                                "/>
    <n v="99008200"/>
    <x v="21"/>
    <s v="9321665293/000010"/>
    <n v="1370150849"/>
    <n v="10"/>
    <x v="6"/>
    <x v="6"/>
    <s v="N3"/>
    <n v="1500578013"/>
    <n v="53"/>
    <n v="578013"/>
    <s v="OX177230 OVEN UNO XL TURNSPIT CV SILV EU          "/>
    <s v="S"/>
    <d v="2012-01-16T00:00:00"/>
    <m/>
    <s v="X"/>
    <x v="63"/>
    <n v="49.62"/>
    <n v="44"/>
    <d v="2012-02-13T00:00:00"/>
    <d v="2012-01-16T00:00:00"/>
    <n v="420"/>
    <d v="2012-01-16T00:00:00"/>
    <n v="420"/>
    <m/>
    <d v="2012-01-16T00:00:00"/>
    <n v="420"/>
    <d v="2012-02-13T00:00:00"/>
    <d v="2012-01-16T00:00:00"/>
    <n v="420"/>
    <n v="420"/>
    <x v="17"/>
    <d v="2012-02-08T00:00:00"/>
    <m/>
    <n v="9321667011"/>
    <n v="10"/>
    <s v="PONU1550199"/>
    <s v="WANGFOONG 3/2023"/>
    <m/>
    <s v="ZHUHAI"/>
    <s v="FORWARDER LATE DOC"/>
    <m/>
    <s v="JASON FAN"/>
    <s v="FO9"/>
    <s v="ELECTRICAL COOKING            "/>
    <s v="CONFIRMED"/>
    <n v="1"/>
    <n v="2"/>
    <d v="2012-01-11T00:00:00"/>
    <s v="KITCHEN ELECTRICS             "/>
    <s v="ELECTRICAL COOKING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19/000001"/>
    <n v="1370151065"/>
    <n v="10"/>
    <x v="6"/>
    <x v="6"/>
    <s v="N3"/>
    <n v="1500578014"/>
    <n v="53"/>
    <n v="578014"/>
    <s v="OF180270 OVEN UNO XL TURNSPIT +CV SILV H          "/>
    <s v="S"/>
    <d v="2012-01-16T00:00:00"/>
    <m/>
    <s v="X"/>
    <x v="63"/>
    <n v="49.87"/>
    <n v="74"/>
    <d v="2012-01-16T00:00:00"/>
    <d v="2012-01-09T00:00:00"/>
    <n v="420"/>
    <d v="2012-01-09T00:00:00"/>
    <n v="420"/>
    <m/>
    <d v="2012-01-14T00:00:00"/>
    <n v="420"/>
    <d v="2012-01-21T00:00:00"/>
    <d v="2012-01-14T00:00:00"/>
    <n v="420"/>
    <n v="420"/>
    <x v="9"/>
    <d v="2012-01-21T00:00:00"/>
    <m/>
    <n v="9321667012"/>
    <n v="10"/>
    <s v="OOLU7275856"/>
    <s v="OOCL TEXAS 070S"/>
    <m/>
    <s v="ZHUHAI"/>
    <m/>
    <m/>
    <s v="AGNES NUNES"/>
    <s v="FO9"/>
    <s v="ELECTRICAL COOKING            "/>
    <s v="CONFIRMED"/>
    <n v="1"/>
    <n v="2"/>
    <d v="2012-01-14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296/000010"/>
    <n v="1370151284"/>
    <n v="10"/>
    <x v="6"/>
    <x v="6"/>
    <s v="N3"/>
    <n v="1500577904"/>
    <n v="53"/>
    <n v="577904"/>
    <s v="OF265800 OVEN DELICE COMP.CONV 24L BLK F          "/>
    <s v="S"/>
    <d v="2012-01-16T00:00:00"/>
    <m/>
    <s v="X"/>
    <x v="63"/>
    <n v="47.67"/>
    <n v="42"/>
    <d v="2012-02-17T00:00:00"/>
    <d v="2012-01-13T00:00:00"/>
    <n v="550"/>
    <d v="2012-01-13T00:00:00"/>
    <n v="550"/>
    <m/>
    <d v="2012-01-15T00:00:00"/>
    <n v="550"/>
    <d v="2012-02-19T00:00:00"/>
    <d v="2012-01-15T00:00:00"/>
    <n v="550"/>
    <n v="550"/>
    <x v="9"/>
    <d v="2012-02-18T00:00:00"/>
    <m/>
    <n v="9321667013"/>
    <n v="10"/>
    <s v="TCLU5751867"/>
    <s v="JIA HANG 968/022/011"/>
    <m/>
    <s v="ZHUHAI"/>
    <m/>
    <m/>
    <s v="JASON FAN"/>
    <s v="FO9"/>
    <s v="ELECTRICAL COOKING            "/>
    <s v="CONFIRMED"/>
    <n v="1"/>
    <n v="2"/>
    <d v="2012-01-14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91/000003"/>
    <n v="1370150781"/>
    <n v="30"/>
    <x v="43"/>
    <x v="43"/>
    <s v="R1"/>
    <n v="1500634615"/>
    <n v="123"/>
    <n v="634615"/>
    <s v="BR400870 WOD EXPRESS BOIL 2L BLK/SS AU            "/>
    <s v="S"/>
    <d v="2012-01-18T00:00:00"/>
    <m/>
    <s v="X"/>
    <x v="63"/>
    <n v="27.03"/>
    <n v="31"/>
    <d v="2012-02-06T00:00:00"/>
    <d v="2012-01-16T00:00:00"/>
    <n v="1132"/>
    <d v="2012-01-16T00:00:00"/>
    <n v="1132"/>
    <m/>
    <d v="2012-01-15T00:00:00"/>
    <n v="1132"/>
    <d v="2012-02-05T00:00:00"/>
    <d v="2012-01-15T00:00:00"/>
    <n v="1132"/>
    <n v="1132"/>
    <x v="8"/>
    <d v="2012-02-06T00:00:00"/>
    <m/>
    <n v="9321667014"/>
    <n v="10"/>
    <s v="APZU3532264"/>
    <s v="APL CANDA/197E"/>
    <m/>
    <s v="YANTIAN"/>
    <m/>
    <m/>
    <s v="AGNES NUNES"/>
    <s v="FO9"/>
    <s v="BEVERAGE                      "/>
    <s v="CONFIRMED"/>
    <n v="1"/>
    <n v="3"/>
    <d v="2012-01-16T00:00:00"/>
    <s v="KITCHEN ELECTRICS             "/>
    <s v="BREAKFAST &amp; BREVAGE PREP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5812/000010"/>
    <n v="1370151292"/>
    <n v="10"/>
    <x v="51"/>
    <x v="51"/>
    <s v="J2"/>
    <n v="1110030310"/>
    <n v="64"/>
    <s v="               "/>
    <s v="IS9100D1 STEAMER                                  "/>
    <s v="S"/>
    <d v="2012-02-02T00:00:00"/>
    <m/>
    <s v="X"/>
    <x v="63"/>
    <n v="35.6"/>
    <n v="31"/>
    <d v="2012-02-17T00:00:00"/>
    <d v="2012-01-13T00:00:00"/>
    <n v="350"/>
    <d v="2012-01-24T00:00:00"/>
    <n v="350"/>
    <m/>
    <d v="2012-01-20T00:00:00"/>
    <n v="350"/>
    <d v="2012-02-24T00:00:00"/>
    <d v="2012-01-20T00:00:00"/>
    <n v="350"/>
    <n v="350"/>
    <x v="15"/>
    <d v="2012-03-01T00:00:00"/>
    <m/>
    <n v="9321667017"/>
    <n v="10"/>
    <s v="FCIU8116194"/>
    <s v="APL ITALY/002W"/>
    <m/>
    <s v="YANTIAN"/>
    <s v="CONS-SHIPT"/>
    <m/>
    <s v="JASON FAN"/>
    <s v="FO9"/>
    <s v="LINEN CARE                    "/>
    <s v="CONFIRMED"/>
    <n v="1"/>
    <n v="4"/>
    <d v="2012-01-26T00:00:00"/>
    <s v="LINEN PERS HOME CARE          "/>
    <s v="LINEN CARE                    "/>
    <x v="3"/>
    <x v="2"/>
    <x v="10"/>
    <s v="CONS-SHIPT"/>
    <n v="-3"/>
    <n v="-3"/>
    <x v="8"/>
    <n v="1"/>
    <x v="0"/>
    <x v="0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4766/000010"/>
    <n v="1370151018"/>
    <n v="10"/>
    <x v="44"/>
    <x v="44"/>
    <s v="P1"/>
    <n v="1500831487"/>
    <n v="105"/>
    <n v="831487"/>
    <s v="ZN355C3E JUI ELEA DUO MET RU                      "/>
    <s v="S"/>
    <d v="2012-01-09T00:00:00"/>
    <m/>
    <s v="X"/>
    <x v="63"/>
    <n v="24.45"/>
    <n v="872"/>
    <d v="2012-02-24T00:00:00"/>
    <d v="2012-01-06T00:00:00"/>
    <n v="600"/>
    <d v="2012-01-06T00:00:00"/>
    <n v="600"/>
    <m/>
    <d v="2012-01-06T00:00:00"/>
    <n v="600"/>
    <d v="2012-02-23T00:00:00"/>
    <d v="2012-01-05T00:00:00"/>
    <n v="600"/>
    <n v="600"/>
    <x v="6"/>
    <d v="2012-02-23T00:00:00"/>
    <m/>
    <n v="9321667019"/>
    <n v="10"/>
    <s v="APZU3830335"/>
    <s v="MOL MAXIM/010W"/>
    <m/>
    <s v="YANTIAN"/>
    <s v="SAILING-SCHED-UPDATE/"/>
    <m/>
    <s v="KENUS WONG"/>
    <s v="FO9"/>
    <s v="FOOD PREPARATION              "/>
    <s v="CONFIRMED"/>
    <n v="1"/>
    <n v="1"/>
    <d v="2012-01-05T00:00:00"/>
    <s v="KITCHEN ELECTRICS             "/>
    <s v="FOOD PREPARATION              "/>
    <x v="2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4954/000010"/>
    <n v="1370151267"/>
    <n v="10"/>
    <x v="44"/>
    <x v="44"/>
    <s v="P4"/>
    <n v="8000034522"/>
    <n v="36"/>
    <s v="LM800GB1       "/>
    <s v="LM800GB1 BLD THORGAL 2L RED EUR                   "/>
    <s v="S"/>
    <d v="2012-02-03T00:00:00"/>
    <m/>
    <s v="X"/>
    <x v="63"/>
    <n v="43.8"/>
    <n v="38"/>
    <d v="2012-02-10T00:00:00"/>
    <d v="2012-01-06T00:00:00"/>
    <n v="1576"/>
    <d v="2012-01-25T00:00:00"/>
    <n v="1576"/>
    <m/>
    <d v="2012-01-25T00:00:00"/>
    <n v="2152"/>
    <d v="2012-02-29T00:00:00"/>
    <d v="2012-01-25T00:00:00"/>
    <n v="1576"/>
    <n v="1000"/>
    <x v="27"/>
    <d v="2012-02-29T00:00:00"/>
    <m/>
    <n v="9321667024"/>
    <n v="10"/>
    <s v="MSKU6441288"/>
    <s v="MARGRETHE MAERSK 122"/>
    <m/>
    <s v="YANTIAN"/>
    <s v="BU-ETD-TEMP/BU-ETD-TEMP/NEWREQ-CUSTOMS/NEWREQ-CUSTOMS/"/>
    <m/>
    <s v="JASON FAN"/>
    <s v="FO9"/>
    <s v="FOOD PREPARATION              "/>
    <s v="CONFIRMED"/>
    <n v="1"/>
    <n v="4"/>
    <d v="2012-01-25T00:00:00"/>
    <s v="KITCHEN ELECTRICS             "/>
    <s v="FOOD PREPARATION              "/>
    <x v="2"/>
    <x v="1"/>
    <x v="8"/>
    <s v="BU-ETD-TEMP"/>
    <n v="1"/>
    <n v="-3"/>
    <x v="3"/>
    <n v="4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4954/000010"/>
    <n v="1370151267"/>
    <n v="10"/>
    <x v="44"/>
    <x v="44"/>
    <s v="P4"/>
    <n v="8000034522"/>
    <n v="36"/>
    <s v="LM800GB1       "/>
    <s v="LM800GB1 BLD THORGAL 2L RED EUR                   "/>
    <s v="S"/>
    <d v="2012-02-03T00:00:00"/>
    <m/>
    <s v="X"/>
    <x v="63"/>
    <n v="43.8"/>
    <n v="38"/>
    <d v="2012-02-10T00:00:00"/>
    <d v="2012-01-06T00:00:00"/>
    <n v="1576"/>
    <d v="2012-01-25T00:00:00"/>
    <n v="1576"/>
    <m/>
    <d v="2012-01-25T00:00:00"/>
    <n v="2152"/>
    <d v="2012-02-29T00:00:00"/>
    <d v="2012-01-25T00:00:00"/>
    <n v="1576"/>
    <n v="576"/>
    <x v="27"/>
    <d v="2012-02-29T00:00:00"/>
    <m/>
    <n v="9321667024"/>
    <n v="10"/>
    <s v="MSKU6441288"/>
    <s v="MARGRETHE MAERSK 122"/>
    <m/>
    <s v="YANTIAN"/>
    <s v="BU-ETD-TEMP/BU-ETD-TEMP/NEWREQ-CUSTOMS/NEWREQ-CUSTOMS/"/>
    <m/>
    <s v="JASON FAN"/>
    <s v="FO9"/>
    <s v="FOOD PREPARATION              "/>
    <s v="CONFIRMED"/>
    <n v="1"/>
    <n v="4"/>
    <d v="2012-01-25T00:00:00"/>
    <s v="KITCHEN ELECTRICS             "/>
    <s v="FOOD PREPARATION              "/>
    <x v="2"/>
    <x v="1"/>
    <x v="8"/>
    <s v="BU-ETD-TEMP"/>
    <n v="1"/>
    <n v="-3"/>
    <x v="3"/>
    <n v="4"/>
    <x v="0"/>
    <x v="0"/>
    <x v="1"/>
    <n v="1"/>
    <n v="0"/>
    <n v="1"/>
    <n v="0"/>
    <n v="0"/>
    <n v="1"/>
    <x v="0"/>
    <x v="0"/>
    <x v="1"/>
    <x v="1"/>
  </r>
  <r>
    <s v="Shipment"/>
    <n v="99006601"/>
    <s v="GROUPE SEB SINGAPORE PTE LTD                      "/>
    <n v="99006601"/>
    <x v="11"/>
    <s v="808/000001"/>
    <n v="1370151072"/>
    <n v="10"/>
    <x v="24"/>
    <x v="24"/>
    <s v="N1"/>
    <n v="2100057118"/>
    <n v="52"/>
    <s v="SM155152       "/>
    <s v="SM155152 SANDWICH ULTRACOMP SILVER CUT.           "/>
    <s v="S"/>
    <d v="2012-01-17T00:00:00"/>
    <m/>
    <s v="X"/>
    <x v="63"/>
    <n v="7.63"/>
    <n v="10"/>
    <d v="2012-01-24T00:00:00"/>
    <d v="2012-01-10T00:00:00"/>
    <n v="2940"/>
    <d v="2012-01-10T00:00:00"/>
    <n v="2940"/>
    <m/>
    <d v="2012-01-05T00:00:00"/>
    <n v="2940"/>
    <d v="2012-02-01T00:00:00"/>
    <d v="2012-01-18T00:00:00"/>
    <n v="2940"/>
    <n v="2940"/>
    <x v="21"/>
    <d v="2012-02-01T00:00:00"/>
    <m/>
    <n v="9321667028"/>
    <n v="10"/>
    <s v="MEDU3446344"/>
    <s v="MSC LUCIANA T1203R"/>
    <m/>
    <s v="NINGBO"/>
    <s v="SP-PROD-ISSUE/"/>
    <m/>
    <s v="AGNES NUNES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"/>
    <m/>
    <n v="0"/>
    <n v="0"/>
    <x v="1"/>
    <n v="1"/>
    <x v="0"/>
    <x v="0"/>
    <x v="0"/>
    <n v="0"/>
    <n v="0"/>
    <n v="0"/>
    <n v="0"/>
    <n v="0"/>
    <n v="0"/>
    <x v="1"/>
    <x v="0"/>
    <x v="1"/>
    <x v="0"/>
  </r>
  <r>
    <s v="Shipment"/>
    <n v="99003600"/>
    <s v="GROUPE SEB ISTANBUL EV ALETLERI                   "/>
    <n v="99003600"/>
    <x v="13"/>
    <s v="4500263107/000010"/>
    <n v="1370150472"/>
    <n v="10"/>
    <x v="32"/>
    <x v="32"/>
    <s v="R1"/>
    <n v="1500578142"/>
    <n v="23"/>
    <n v="578142"/>
    <s v="TL600830 TOAS TOAST N'GRILL BLK EUR               "/>
    <s v="S"/>
    <d v="2012-01-06T00:00:00"/>
    <m/>
    <s v="X"/>
    <x v="63"/>
    <n v="25.94"/>
    <n v="54091"/>
    <d v="2012-02-10T00:00:00"/>
    <d v="2012-01-06T00:00:00"/>
    <n v="1990"/>
    <d v="2012-01-06T00:00:00"/>
    <n v="1990"/>
    <m/>
    <d v="2012-01-06T00:00:00"/>
    <n v="1990"/>
    <d v="2012-02-10T00:00:00"/>
    <d v="2012-01-06T00:00:00"/>
    <n v="1990"/>
    <n v="1990"/>
    <x v="13"/>
    <d v="2012-02-05T00:00:00"/>
    <m/>
    <n v="9321667029"/>
    <n v="10"/>
    <s v="MRKU3240312"/>
    <s v="CMA CGM NERVAL/811W"/>
    <m/>
    <s v="YANTIAN"/>
    <m/>
    <m/>
    <s v="KENUS WONG"/>
    <s v="FO9"/>
    <s v="BEVERAGE                      "/>
    <s v="CONFIRMED"/>
    <n v="1"/>
    <n v="52"/>
    <d v="2012-01-01T00:00:00"/>
    <s v="KITCHEN ELECTRICS             "/>
    <s v="BREAKFAST &amp; BREVAGE PREP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1152/000010"/>
    <n v="1370150424"/>
    <n v="10"/>
    <x v="68"/>
    <x v="68"/>
    <s v="N3"/>
    <n v="1500633994"/>
    <n v="177"/>
    <n v="633994"/>
    <s v="FR101531 EASY PRO ST/STEEL FRYER                  "/>
    <s v="S"/>
    <d v="2012-01-16T00:00:00"/>
    <m/>
    <s v="X"/>
    <x v="63"/>
    <n v="20.9"/>
    <n v="18"/>
    <d v="2012-02-07T00:00:00"/>
    <d v="2012-01-10T00:00:00"/>
    <n v="1566"/>
    <d v="2012-01-10T00:00:00"/>
    <n v="1566"/>
    <m/>
    <d v="2012-01-10T00:00:00"/>
    <n v="1566"/>
    <d v="2012-02-07T00:00:00"/>
    <d v="2012-01-10T00:00:00"/>
    <n v="1566"/>
    <n v="1566"/>
    <x v="10"/>
    <d v="2012-02-09T00:00:00"/>
    <m/>
    <n v="9321667030"/>
    <n v="10"/>
    <s v="NYKU6409504"/>
    <s v="NYK ORPHEUS 18W52/"/>
    <m/>
    <s v="YANTIAN"/>
    <m/>
    <m/>
    <s v="KENUS WONG"/>
    <s v="FO9"/>
    <s v="ELECTRICAL COOKING            "/>
    <s v="CONFIRMED"/>
    <n v="1"/>
    <n v="2"/>
    <d v="2012-01-12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1178/000010"/>
    <n v="1370150432"/>
    <n v="10"/>
    <x v="68"/>
    <x v="68"/>
    <s v="N3"/>
    <n v="1500633993"/>
    <n v="177"/>
    <n v="633993"/>
    <s v="FR101431 EASY PRO FRYER WITH ENAMEL BOWL          "/>
    <s v="S"/>
    <d v="2012-01-16T00:00:00"/>
    <m/>
    <s v="X"/>
    <x v="63"/>
    <n v="18.7"/>
    <n v="16"/>
    <d v="2012-02-07T00:00:00"/>
    <d v="2012-01-10T00:00:00"/>
    <n v="1566"/>
    <d v="2012-01-10T00:00:00"/>
    <n v="1566"/>
    <m/>
    <d v="2012-01-10T00:00:00"/>
    <n v="1566"/>
    <d v="2012-02-07T00:00:00"/>
    <d v="2012-01-10T00:00:00"/>
    <n v="1566"/>
    <n v="1566"/>
    <x v="10"/>
    <d v="2012-02-09T00:00:00"/>
    <m/>
    <n v="9321667031"/>
    <n v="10"/>
    <s v="TCLU4010601"/>
    <s v="NYK ORPHEUS 18W52/"/>
    <m/>
    <s v="YANTIAN"/>
    <m/>
    <m/>
    <s v="KENUS WONG"/>
    <s v="FO9"/>
    <s v="ELECTRICAL COOKING            "/>
    <s v="CONFIRMED"/>
    <n v="1"/>
    <n v="2"/>
    <d v="2012-01-12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200"/>
    <s v="TEFAL SAS                                         "/>
    <n v="99001200"/>
    <x v="31"/>
    <s v="9321666426/000030"/>
    <n v="1370151201"/>
    <n v="30"/>
    <x v="48"/>
    <x v="48"/>
    <s v="A3"/>
    <n v="2100057729"/>
    <n v="232"/>
    <s v="K0050212       "/>
    <s v="K0050212 ICE CR SPOON NEW INTENS GAD BLA          "/>
    <s v="S"/>
    <d v="2012-01-19T00:00:00"/>
    <m/>
    <s v="X"/>
    <x v="63"/>
    <n v="1.857"/>
    <n v="1"/>
    <d v="2012-02-17T00:00:00"/>
    <d v="2012-01-13T00:00:00"/>
    <n v="3600"/>
    <d v="2012-01-13T00:00:00"/>
    <n v="3600"/>
    <m/>
    <m/>
    <m/>
    <d v="2012-02-21T00:00:00"/>
    <d v="2012-01-17T00:00:00"/>
    <n v="3600"/>
    <n v="3600"/>
    <x v="21"/>
    <d v="2012-02-22T00:00:00"/>
    <m/>
    <n v="9321667032"/>
    <n v="30"/>
    <s v="TRLU4821470"/>
    <s v="APL HAMBURG/015W"/>
    <m/>
    <s v="SHENZHEN"/>
    <s v="CONS-SHIPT/"/>
    <m/>
    <s v="JASON FAN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0"/>
    <n v="1"/>
    <n v="0"/>
    <n v="0"/>
    <n v="1"/>
    <x v="0"/>
    <x v="0"/>
    <x v="1"/>
    <x v="1"/>
  </r>
  <r>
    <s v="Shipment"/>
    <n v="99001200"/>
    <s v="TEFAL SAS                                         "/>
    <n v="99001200"/>
    <x v="31"/>
    <s v="9321666426/000040"/>
    <n v="1370151201"/>
    <n v="40"/>
    <x v="48"/>
    <x v="48"/>
    <s v="A3"/>
    <n v="2100057730"/>
    <n v="232"/>
    <s v="K0050312       "/>
    <s v="K0050312 PIZZA CUT STD NEW INTENS GAD BL          "/>
    <s v="S"/>
    <d v="2012-01-19T00:00:00"/>
    <m/>
    <s v="X"/>
    <x v="63"/>
    <n v="1.673"/>
    <n v="1"/>
    <d v="2012-02-17T00:00:00"/>
    <d v="2012-01-13T00:00:00"/>
    <n v="2940"/>
    <d v="2012-01-13T00:00:00"/>
    <n v="2940"/>
    <m/>
    <m/>
    <m/>
    <d v="2012-02-21T00:00:00"/>
    <d v="2012-01-17T00:00:00"/>
    <n v="2940"/>
    <n v="2940"/>
    <x v="21"/>
    <d v="2012-02-22T00:00:00"/>
    <m/>
    <n v="9321667032"/>
    <n v="40"/>
    <s v="TRLU4821470"/>
    <s v="APL HAMBURG/015W"/>
    <m/>
    <s v="SHENZHEN"/>
    <s v="CONS-SHIPT/"/>
    <m/>
    <s v="JASON FAN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0"/>
    <n v="1"/>
    <n v="0"/>
    <n v="0"/>
    <n v="1"/>
    <x v="0"/>
    <x v="0"/>
    <x v="1"/>
    <x v="1"/>
  </r>
  <r>
    <s v="Shipment"/>
    <n v="99001200"/>
    <s v="TEFAL SAS                                         "/>
    <n v="99001200"/>
    <x v="31"/>
    <s v="9321666426/000050"/>
    <n v="1370151201"/>
    <n v="50"/>
    <x v="48"/>
    <x v="48"/>
    <s v="A3"/>
    <n v="2100057732"/>
    <n v="232"/>
    <s v="K0050512       "/>
    <s v="K0050512 WHISK STD NEW INTENS GAD BLACK/          "/>
    <s v="S"/>
    <d v="2012-01-19T00:00:00"/>
    <m/>
    <s v="X"/>
    <x v="63"/>
    <n v="1.7030000000000001"/>
    <n v="1"/>
    <d v="2012-02-17T00:00:00"/>
    <d v="2012-01-13T00:00:00"/>
    <n v="3040"/>
    <d v="2012-01-17T00:00:00"/>
    <n v="3040"/>
    <m/>
    <m/>
    <m/>
    <d v="2012-02-21T00:00:00"/>
    <d v="2012-01-17T00:00:00"/>
    <n v="3040"/>
    <n v="3040"/>
    <x v="21"/>
    <d v="2012-02-22T00:00:00"/>
    <m/>
    <n v="9321667032"/>
    <n v="50"/>
    <s v="TRLU4821470"/>
    <s v="APL HAMBURG/015W"/>
    <m/>
    <s v="SHENZHEN"/>
    <s v="CONS-SHIPT/"/>
    <m/>
    <s v="JASON FAN"/>
    <s v="FO9"/>
    <s v="COOKWARE                      "/>
    <s v="CONFIRMED"/>
    <n v="1"/>
    <n v="3"/>
    <d v="2012-01-18T00:00:00"/>
    <s v="COOKWARE                      "/>
    <s v="COOKWARE                      "/>
    <x v="5"/>
    <x v="2"/>
    <x v="10"/>
    <s v="CONS-SHIPT"/>
    <n v="-3"/>
    <n v="-3"/>
    <x v="8"/>
    <n v="1"/>
    <x v="0"/>
    <x v="1"/>
    <x v="0"/>
    <n v="0"/>
    <n v="0"/>
    <n v="1"/>
    <n v="0"/>
    <n v="0"/>
    <n v="1"/>
    <x v="0"/>
    <x v="0"/>
    <x v="1"/>
    <x v="1"/>
  </r>
  <r>
    <s v="Shipment"/>
    <n v="99006601"/>
    <s v="GROUPE SEB SINGAPORE PTE LTD                      "/>
    <n v="99006601"/>
    <x v="11"/>
    <s v="823/000001"/>
    <n v="1370151076"/>
    <n v="10"/>
    <x v="60"/>
    <x v="60"/>
    <s v="L4"/>
    <n v="1830003869"/>
    <n v="175"/>
    <s v="CF3332F0       "/>
    <s v="CF3332F0 CURLING TONG                             "/>
    <s v="S"/>
    <d v="2012-01-17T00:00:00"/>
    <m/>
    <s v="X"/>
    <x v="63"/>
    <n v="5.85"/>
    <n v="9"/>
    <d v="2012-01-30T00:00:00"/>
    <d v="2012-01-16T00:00:00"/>
    <n v="3000"/>
    <d v="2012-01-16T00:00:00"/>
    <n v="1002"/>
    <m/>
    <d v="2012-01-13T00:00:00"/>
    <n v="3000"/>
    <d v="2012-01-31T00:00:00"/>
    <d v="2012-01-17T00:00:00"/>
    <n v="1002"/>
    <n v="1002"/>
    <x v="19"/>
    <d v="2012-01-31T00:00:00"/>
    <m/>
    <n v="9321667043"/>
    <n v="10"/>
    <s v="FCIU3401521"/>
    <s v="OOCL BEIJING 007W"/>
    <m/>
    <s v="NINGBO"/>
    <m/>
    <m/>
    <s v="AGNES NUNES"/>
    <s v="FO9"/>
    <s v="PERSONAL CARE                 "/>
    <s v="CONFIRMED"/>
    <n v="1"/>
    <n v="3"/>
    <d v="2012-01-17T00:00:00"/>
    <s v="LINEN PERS HOME CARE          "/>
    <s v="PERSONAL CARE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152/000060"/>
    <n v="1370149992"/>
    <n v="60"/>
    <x v="23"/>
    <x v="23"/>
    <s v="J1"/>
    <n v="2820401001"/>
    <n v="1"/>
    <s v="DW4010D1       "/>
    <s v="DW4010D1 STEAM IRON                               "/>
    <s v="S"/>
    <d v="2012-01-19T00:00:00"/>
    <m/>
    <s v="X"/>
    <x v="63"/>
    <n v="16.141300000000001"/>
    <n v="14"/>
    <d v="2012-02-13T00:00:00"/>
    <d v="2012-01-16T00:00:00"/>
    <n v="3270"/>
    <d v="2012-01-16T00:00:00"/>
    <n v="3270"/>
    <m/>
    <d v="2012-01-14T00:00:00"/>
    <n v="3270"/>
    <d v="2012-02-17T00:00:00"/>
    <d v="2012-01-20T00:00:00"/>
    <n v="3270"/>
    <n v="3270"/>
    <x v="26"/>
    <d v="2012-02-18T00:00:00"/>
    <m/>
    <n v="9321667045"/>
    <n v="10"/>
    <s v="HJCU4410665"/>
    <s v="HONG KONG BRIDGE/014"/>
    <m/>
    <s v="SHANGHAI"/>
    <m/>
    <m/>
    <s v="JASON FAN"/>
    <s v="FO9"/>
    <s v="LINEN CARE                    "/>
    <s v="CONFIRMED"/>
    <n v="1"/>
    <n v="3"/>
    <d v="2012-01-21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2863/000010"/>
    <n v="1370150185"/>
    <n v="10"/>
    <x v="23"/>
    <x v="23"/>
    <s v="J3"/>
    <n v="2820253050"/>
    <n v="1"/>
    <s v="FV2530E0       "/>
    <s v="FV2530E0 STEAM IRON PRIMAGLISS 3 FTK              "/>
    <s v="S"/>
    <d v="2012-01-19T00:00:00"/>
    <m/>
    <s v="X"/>
    <x v="63"/>
    <n v="13.7973"/>
    <n v="3312"/>
    <d v="2012-03-05T00:00:00"/>
    <d v="2012-01-30T00:00:00"/>
    <n v="2574"/>
    <d v="2012-01-30T00:00:00"/>
    <n v="2574"/>
    <m/>
    <d v="2012-01-30T00:00:00"/>
    <n v="2574"/>
    <d v="2012-02-27T00:00:00"/>
    <d v="2012-01-23T00:00:00"/>
    <n v="2574"/>
    <n v="2574"/>
    <x v="26"/>
    <d v="2012-02-25T00:00:00"/>
    <m/>
    <n v="9321667046"/>
    <n v="10"/>
    <s v="DAYU4219649"/>
    <s v="SL ILLINOIS/1202"/>
    <m/>
    <s v="SHANGHAI"/>
    <s v="CONS-SHIPT"/>
    <m/>
    <s v="KENUS WONG"/>
    <s v="FO9"/>
    <s v="LINEN CARE                    "/>
    <s v="CONFIRMED"/>
    <n v="1"/>
    <n v="3"/>
    <d v="2012-01-21T00:00:00"/>
    <s v="LINEN PERS HOME CARE          "/>
    <s v="LINEN CARE                    "/>
    <x v="0"/>
    <x v="0"/>
    <x v="10"/>
    <s v="CONS-SHIPT"/>
    <n v="-3"/>
    <n v="-3"/>
    <x v="8"/>
    <n v="1"/>
    <x v="0"/>
    <x v="0"/>
    <x v="0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62468/000010"/>
    <n v="1370150231"/>
    <n v="10"/>
    <x v="23"/>
    <x v="23"/>
    <s v="J1"/>
    <n v="2820207011"/>
    <n v="1"/>
    <s v="DW2070U1       "/>
    <s v="DW2070U1 EFFECTIVE COMFORT IRON                   "/>
    <s v="S"/>
    <d v="2012-01-19T00:00:00"/>
    <m/>
    <s v="X"/>
    <x v="63"/>
    <n v="17.068999999999999"/>
    <n v="19"/>
    <d v="2012-01-27T00:00:00"/>
    <d v="2011-12-23T00:00:00"/>
    <n v="14001"/>
    <d v="2012-01-23T00:00:00"/>
    <n v="13686"/>
    <m/>
    <d v="2012-01-23T00:00:00"/>
    <n v="13686"/>
    <d v="2012-02-27T00:00:00"/>
    <d v="2012-01-23T00:00:00"/>
    <n v="13686"/>
    <n v="7206"/>
    <x v="26"/>
    <d v="2012-02-25T00:00:00"/>
    <m/>
    <n v="9321667055"/>
    <n v="10"/>
    <s v="HLXU6077172"/>
    <s v="NYK RUMINA/10E03"/>
    <m/>
    <s v="SHANGHAI"/>
    <s v="SP-NO-FORECAST"/>
    <m/>
    <s v="TWEETY LEUNG"/>
    <s v="FO9"/>
    <s v="LINEN CARE                    "/>
    <s v="CONFIRMED"/>
    <n v="1"/>
    <n v="3"/>
    <d v="2012-01-21T00:00:00"/>
    <s v="LINEN PERS HOME CARE          "/>
    <s v="LINEN CARE                    "/>
    <x v="0"/>
    <x v="0"/>
    <x v="14"/>
    <s v="SP-NO-FORECAST"/>
    <n v="-3"/>
    <n v="-3"/>
    <x v="15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468/000010"/>
    <n v="1370150231"/>
    <n v="10"/>
    <x v="23"/>
    <x v="23"/>
    <s v="J1"/>
    <n v="2820207011"/>
    <n v="1"/>
    <s v="DW2070U1       "/>
    <s v="DW2070U1 EFFECTIVE COMFORT IRON                   "/>
    <s v="S"/>
    <d v="2012-01-19T00:00:00"/>
    <m/>
    <s v="X"/>
    <x v="63"/>
    <n v="17.068999999999999"/>
    <n v="19"/>
    <d v="2012-01-27T00:00:00"/>
    <d v="2011-12-23T00:00:00"/>
    <n v="14001"/>
    <d v="2012-01-23T00:00:00"/>
    <n v="13686"/>
    <m/>
    <d v="2012-01-23T00:00:00"/>
    <n v="13686"/>
    <d v="2012-02-27T00:00:00"/>
    <d v="2012-01-23T00:00:00"/>
    <n v="13686"/>
    <n v="6480"/>
    <x v="26"/>
    <d v="2012-02-25T00:00:00"/>
    <m/>
    <n v="9321667055"/>
    <n v="10"/>
    <s v="HLXU4265648"/>
    <s v="NYK RUMINA/10E03"/>
    <m/>
    <s v="SHANGHAI"/>
    <s v="SP-NO-FORECAST"/>
    <m/>
    <s v="TWEETY LEUNG"/>
    <s v="FO9"/>
    <s v="LINEN CARE                    "/>
    <s v="CONFIRMED"/>
    <n v="1"/>
    <n v="3"/>
    <d v="2012-01-21T00:00:00"/>
    <s v="LINEN PERS HOME CARE          "/>
    <s v="LINEN CARE                    "/>
    <x v="0"/>
    <x v="0"/>
    <x v="14"/>
    <s v="SP-NO-FORECAST"/>
    <n v="-3"/>
    <n v="-3"/>
    <x v="15"/>
    <n v="1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2896/000010"/>
    <n v="1370150452"/>
    <n v="10"/>
    <x v="23"/>
    <x v="23"/>
    <s v="N4"/>
    <n v="2820102100"/>
    <n v="32"/>
    <n v="633291"/>
    <s v="VC102100 STMC 3B EUR                              "/>
    <s v="S"/>
    <d v="2012-01-18T00:00:00"/>
    <m/>
    <s v="X"/>
    <x v="63"/>
    <n v="15.476699999999999"/>
    <n v="13"/>
    <d v="2012-01-20T00:00:00"/>
    <d v="2011-12-16T00:00:00"/>
    <n v="1008"/>
    <d v="2012-01-03T00:00:00"/>
    <n v="1008"/>
    <m/>
    <d v="2011-12-16T00:00:00"/>
    <n v="1008"/>
    <d v="2012-02-07T00:00:00"/>
    <d v="2012-01-03T00:00:00"/>
    <n v="1008"/>
    <n v="1008"/>
    <x v="16"/>
    <d v="2012-02-07T00:00:00"/>
    <m/>
    <n v="9321667059"/>
    <n v="10"/>
    <s v="PONU1647825"/>
    <s v="MAERSK ESSEN"/>
    <m/>
    <s v="SHANGHAI"/>
    <s v="C-POST/CONF/LATE DOC FROM FORWARDER"/>
    <m/>
    <s v="JASON FAN"/>
    <s v="FO9"/>
    <s v="ELECTRICAL COOKING            "/>
    <s v="CONFIRMED"/>
    <n v="1"/>
    <n v="1"/>
    <d v="2012-01-03T00:00:00"/>
    <s v="KITCHEN ELECTRICS             "/>
    <s v="ELECTRICAL COOKING            "/>
    <x v="0"/>
    <x v="0"/>
    <x v="1"/>
    <m/>
    <n v="0"/>
    <n v="0"/>
    <x v="1"/>
    <n v="3"/>
    <x v="0"/>
    <x v="0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2882/000010"/>
    <n v="1370150464"/>
    <n v="10"/>
    <x v="23"/>
    <x v="23"/>
    <s v="N4"/>
    <n v="2820400300"/>
    <n v="32"/>
    <s v="VS400300       "/>
    <s v="VS400300 STMC VITACUISINE COMPACT 3B FR           "/>
    <s v="S"/>
    <d v="2012-01-27T00:00:00"/>
    <m/>
    <s v="X"/>
    <x v="63"/>
    <n v="40.107300000000002"/>
    <n v="34"/>
    <d v="2012-01-13T00:00:00"/>
    <d v="2011-12-09T00:00:00"/>
    <n v="1332"/>
    <d v="2011-12-09T00:00:00"/>
    <n v="1332"/>
    <m/>
    <d v="2011-12-09T00:00:00"/>
    <n v="1332"/>
    <d v="2012-02-28T00:00:00"/>
    <d v="2012-01-24T00:00:00"/>
    <n v="1332"/>
    <n v="1332"/>
    <x v="25"/>
    <d v="2012-02-28T00:00:00"/>
    <m/>
    <n v="9321667065"/>
    <n v="10"/>
    <s v="ECMU4614494"/>
    <s v="CMA CGM CORTE REAL"/>
    <m/>
    <s v="SHANGHAI"/>
    <s v="SP-QLY"/>
    <m/>
    <s v="JASON FAN"/>
    <s v="FO9"/>
    <s v="ELECTRICAL COOKING            "/>
    <s v="CONFIRMED"/>
    <n v="1"/>
    <n v="4"/>
    <d v="2012-01-24T00:00:00"/>
    <s v="KITCHEN ELECTRICS             "/>
    <s v="ELECTRICAL COOKING            "/>
    <x v="0"/>
    <x v="0"/>
    <x v="13"/>
    <s v="SP-QLY"/>
    <n v="1"/>
    <n v="1"/>
    <x v="13"/>
    <n v="1"/>
    <x v="0"/>
    <x v="0"/>
    <x v="1"/>
    <n v="0"/>
    <n v="0"/>
    <n v="0"/>
    <n v="0"/>
    <n v="0"/>
    <n v="0"/>
    <x v="1"/>
    <x v="0"/>
    <x v="1"/>
    <x v="0"/>
  </r>
  <r>
    <s v="Shipment"/>
    <n v="99001804"/>
    <s v="ALMAVIVA S.A. USUARIO COMERCIAL                   "/>
    <n v="99001800"/>
    <x v="26"/>
    <s v="22554/039720"/>
    <n v="1370149094"/>
    <n v="10"/>
    <x v="23"/>
    <x v="23"/>
    <s v="J3"/>
    <n v="2820444610"/>
    <n v="1"/>
    <s v="FV4446I0       "/>
    <s v="FV4446I0 STEAM IRON ULTRAGLIDE EASYCORD           "/>
    <s v="S"/>
    <d v="2012-01-17T00:00:00"/>
    <m/>
    <s v="X"/>
    <x v="63"/>
    <n v="17.158899999999999"/>
    <n v="19"/>
    <d v="2012-03-18T00:00:00"/>
    <d v="2012-02-17T00:00:00"/>
    <n v="2376"/>
    <d v="2012-01-06T00:00:00"/>
    <n v="2376"/>
    <m/>
    <d v="2012-03-03T00:00:00"/>
    <n v="2376"/>
    <d v="2012-02-08T00:00:00"/>
    <d v="2012-01-09T00:00:00"/>
    <n v="2376"/>
    <n v="2376"/>
    <x v="10"/>
    <d v="2012-02-11T00:00:00"/>
    <m/>
    <n v="9321667067"/>
    <n v="10"/>
    <s v="SUDU8869520"/>
    <s v="MONTE ROSA"/>
    <m/>
    <s v="SHANGHAI"/>
    <s v="SP-NO-FORECAST"/>
    <m/>
    <s v="THOMAS HO"/>
    <s v="FO9"/>
    <s v="LINEN CARE                    "/>
    <s v="CONFIRMED"/>
    <n v="1"/>
    <n v="2"/>
    <d v="2012-01-12T00:00:00"/>
    <s v="LINEN PERS HOME CARE          "/>
    <s v="LINEN CARE                    "/>
    <x v="0"/>
    <x v="0"/>
    <x v="14"/>
    <s v="SP-NO-FORECAST"/>
    <n v="-3"/>
    <n v="-3"/>
    <x v="15"/>
    <n v="1"/>
    <x v="0"/>
    <x v="0"/>
    <x v="0"/>
    <n v="1"/>
    <n v="0"/>
    <n v="1"/>
    <n v="0"/>
    <n v="0"/>
    <n v="1"/>
    <x v="0"/>
    <x v="0"/>
    <x v="1"/>
    <x v="1"/>
  </r>
  <r>
    <s v="Shipment"/>
    <n v="99001804"/>
    <s v="ALMAVIVA S.A. USUARIO COMERCIAL                   "/>
    <n v="99001800"/>
    <x v="26"/>
    <s v="22554/039721"/>
    <n v="1370149094"/>
    <n v="20"/>
    <x v="23"/>
    <x v="23"/>
    <s v="J3"/>
    <n v="2820444010"/>
    <n v="1"/>
    <s v="FV4440I0       "/>
    <s v="FV4440I0 STEAM IRON ULTRAGLIDE EASYCORD           "/>
    <s v="S"/>
    <d v="2012-01-17T00:00:00"/>
    <m/>
    <s v="X"/>
    <x v="63"/>
    <n v="14.5061"/>
    <n v="19"/>
    <d v="2012-03-18T00:00:00"/>
    <d v="2012-02-17T00:00:00"/>
    <n v="2376"/>
    <d v="2012-01-06T00:00:00"/>
    <n v="2376"/>
    <m/>
    <d v="2012-02-03T00:00:00"/>
    <n v="2376"/>
    <d v="2012-02-08T00:00:00"/>
    <d v="2012-01-09T00:00:00"/>
    <n v="2376"/>
    <n v="2376"/>
    <x v="10"/>
    <d v="2012-02-11T00:00:00"/>
    <m/>
    <n v="9321667067"/>
    <n v="20"/>
    <s v="SUDU8869520"/>
    <s v="MONTE ROSA"/>
    <m/>
    <s v="SHANGHAI"/>
    <s v="SP-NO-FORECAST"/>
    <m/>
    <s v="THOMAS HO"/>
    <s v="FO9"/>
    <s v="LINEN CARE                    "/>
    <s v="CONFIRMED"/>
    <n v="1"/>
    <n v="2"/>
    <d v="2012-01-12T00:00:00"/>
    <s v="LINEN PERS HOME CARE          "/>
    <s v="LINEN CARE                    "/>
    <x v="0"/>
    <x v="0"/>
    <x v="14"/>
    <s v="SP-NO-FORECAST"/>
    <n v="-3"/>
    <n v="-3"/>
    <x v="15"/>
    <n v="1"/>
    <x v="0"/>
    <x v="0"/>
    <x v="0"/>
    <n v="1"/>
    <n v="0"/>
    <n v="1"/>
    <n v="0"/>
    <n v="0"/>
    <n v="1"/>
    <x v="0"/>
    <x v="0"/>
    <x v="1"/>
    <x v="1"/>
  </r>
  <r>
    <s v="Shipment"/>
    <n v="99007300"/>
    <s v="GROUPE SEB DEUTSCHLAND                            "/>
    <n v="99007300"/>
    <x v="17"/>
    <s v="4500262898/000010"/>
    <n v="1370150223"/>
    <n v="10"/>
    <x v="23"/>
    <x v="23"/>
    <s v="J1"/>
    <n v="2820402001"/>
    <n v="1"/>
    <s v="DW4020D1       "/>
    <s v="DW4020D1 STEAM IRON                               "/>
    <s v="S"/>
    <d v="2012-01-04T00:00:00"/>
    <m/>
    <s v="X"/>
    <x v="63"/>
    <n v="16.0488"/>
    <n v="13481"/>
    <d v="2012-02-06T00:00:00"/>
    <d v="2012-01-02T00:00:00"/>
    <n v="3270"/>
    <d v="2012-01-02T00:00:00"/>
    <n v="3270"/>
    <m/>
    <d v="2011-12-31T00:00:00"/>
    <n v="3270"/>
    <d v="2012-02-06T00:00:00"/>
    <d v="2012-01-02T00:00:00"/>
    <n v="3270"/>
    <n v="3270"/>
    <x v="3"/>
    <d v="2012-02-06T00:00:00"/>
    <m/>
    <n v="9321667068"/>
    <n v="10"/>
    <s v="CTXU7018868"/>
    <s v="BUDAPEST EXPRESS/11W"/>
    <m/>
    <s v="SHANGHAI"/>
    <m/>
    <m/>
    <s v="AGNES NUNES"/>
    <s v="FO9"/>
    <s v="LINEN CARE                    "/>
    <s v="CONFIRMED"/>
    <n v="1"/>
    <n v="1"/>
    <d v="2012-01-02T00:00:00"/>
    <s v="LINEN PERS HOME CARE          "/>
    <s v="LINEN CARE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91/000005"/>
    <n v="1370150781"/>
    <n v="40"/>
    <x v="23"/>
    <x v="23"/>
    <s v="N4"/>
    <n v="2820400370"/>
    <n v="32"/>
    <s v="VS400370       "/>
    <s v="VS400370 STMC VITACUISINE COMPACT 3B AU           "/>
    <s v="S"/>
    <d v="2012-01-30T00:00:00"/>
    <m/>
    <s v="X"/>
    <x v="63"/>
    <n v="38.551699999999997"/>
    <n v="31"/>
    <d v="2012-01-30T00:00:00"/>
    <d v="2012-01-09T00:00:00"/>
    <n v="648"/>
    <d v="2012-01-09T00:00:00"/>
    <n v="648"/>
    <m/>
    <d v="2012-01-09T00:00:00"/>
    <n v="648"/>
    <d v="2012-02-15T00:00:00"/>
    <d v="2012-01-25T00:00:00"/>
    <n v="648"/>
    <n v="648"/>
    <x v="27"/>
    <d v="2012-02-15T00:00:00"/>
    <m/>
    <n v="9321667069"/>
    <n v="10"/>
    <s v="GESU2287276"/>
    <s v="MSC CAROLE/147W"/>
    <m/>
    <s v="SHANGHAI"/>
    <s v="SP-QLY"/>
    <m/>
    <s v="AGNES NUNES"/>
    <s v="FO9"/>
    <s v="ELECTRICAL COOKING            "/>
    <s v="CONFIRMED"/>
    <n v="1"/>
    <n v="4"/>
    <d v="2012-01-25T00:00:00"/>
    <s v="KITCHEN ELECTRICS             "/>
    <s v="ELECTRICAL COOKING            "/>
    <x v="0"/>
    <x v="0"/>
    <x v="13"/>
    <s v="SP-QLY"/>
    <n v="1"/>
    <n v="1"/>
    <x v="13"/>
    <n v="1"/>
    <x v="0"/>
    <x v="0"/>
    <x v="1"/>
    <n v="0"/>
    <n v="0"/>
    <n v="0"/>
    <n v="0"/>
    <n v="0"/>
    <n v="0"/>
    <x v="1"/>
    <x v="0"/>
    <x v="1"/>
    <x v="0"/>
  </r>
  <r>
    <s v="Shipment"/>
    <n v="99003300"/>
    <s v="GROUPE SEB JAPAN CO LTD                           "/>
    <n v="99003300"/>
    <x v="25"/>
    <s v="3829/000003"/>
    <n v="1370151223"/>
    <n v="30"/>
    <x v="23"/>
    <x v="23"/>
    <s v="K8"/>
    <n v="2820340172"/>
    <n v="55"/>
    <n v="635460"/>
    <s v="KO340172 KET JUSTINE + 1.2L PLAST WHT/GR          "/>
    <s v="S"/>
    <d v="2012-01-16T00:00:00"/>
    <m/>
    <s v="X"/>
    <x v="63"/>
    <n v="12.706300000000001"/>
    <n v="11"/>
    <d v="2012-03-12T00:00:00"/>
    <d v="2012-02-27T00:00:00"/>
    <n v="3240"/>
    <d v="2012-02-27T00:00:00"/>
    <n v="3240"/>
    <m/>
    <d v="2012-03-06T00:00:00"/>
    <n v="3240"/>
    <d v="2012-03-20T00:00:00"/>
    <d v="2012-03-06T00:00:00"/>
    <n v="3240"/>
    <n v="2688"/>
    <x v="11"/>
    <d v="2012-01-29T00:00:00"/>
    <m/>
    <n v="9321667079"/>
    <n v="30"/>
    <s v="HAHU5007398"/>
    <s v="GLORY OCEAN"/>
    <m/>
    <s v="SHANGHAI"/>
    <s v="SAILING-SCHED-UPDATED/SP-WRONGSHIP"/>
    <m/>
    <s v="DOROTHEA LING"/>
    <s v="FO9"/>
    <s v="BEVERAGE                      "/>
    <s v="CONFIRMED"/>
    <n v="1"/>
    <n v="2"/>
    <d v="2012-01-15T00:00:00"/>
    <s v="KITCHEN ELECTRICS             "/>
    <s v="BREAKFAST &amp; BREVAGE PREP      "/>
    <x v="0"/>
    <x v="0"/>
    <x v="18"/>
    <s v="SP-WRONGSHIP"/>
    <n v="1"/>
    <n v="1"/>
    <x v="18"/>
    <n v="2"/>
    <x v="0"/>
    <x v="0"/>
    <x v="0"/>
    <n v="1"/>
    <n v="0"/>
    <n v="0"/>
    <n v="0"/>
    <n v="0"/>
    <n v="0"/>
    <x v="0"/>
    <x v="1"/>
    <x v="1"/>
    <x v="0"/>
  </r>
  <r>
    <s v="Shipment"/>
    <n v="99003300"/>
    <s v="GROUPE SEB JAPAN CO LTD                           "/>
    <n v="99003300"/>
    <x v="25"/>
    <s v="3829/000004"/>
    <n v="1370151223"/>
    <n v="40"/>
    <x v="23"/>
    <x v="23"/>
    <s v="K8"/>
    <n v="2820340173"/>
    <n v="55"/>
    <n v="635461"/>
    <s v="KO340173 KET JUSTINE + 1.2L PLAST WHT/PI          "/>
    <s v="S"/>
    <d v="2012-01-16T00:00:00"/>
    <m/>
    <s v="X"/>
    <x v="63"/>
    <n v="12.706200000000001"/>
    <n v="11"/>
    <d v="2012-03-12T00:00:00"/>
    <d v="2012-02-27T00:00:00"/>
    <n v="3240"/>
    <d v="2012-02-27T00:00:00"/>
    <n v="3240"/>
    <m/>
    <d v="2012-03-06T00:00:00"/>
    <n v="3240"/>
    <d v="2012-03-20T00:00:00"/>
    <d v="2012-03-06T00:00:00"/>
    <n v="3240"/>
    <n v="2544"/>
    <x v="11"/>
    <d v="2012-01-29T00:00:00"/>
    <m/>
    <n v="9321667079"/>
    <n v="40"/>
    <s v="HAHU5007398"/>
    <s v="GLORY OCEAN"/>
    <m/>
    <s v="SHANGHAI"/>
    <s v="SP-WRONGSHIP"/>
    <m/>
    <s v="DOROTHEA LING"/>
    <s v="FO9"/>
    <s v="BEVERAGE                      "/>
    <s v="CONFIRMED"/>
    <n v="1"/>
    <n v="2"/>
    <d v="2012-01-15T00:00:00"/>
    <s v="KITCHEN ELECTRICS             "/>
    <s v="BREAKFAST &amp; BREVAGE PREP      "/>
    <x v="0"/>
    <x v="0"/>
    <x v="18"/>
    <s v="SP-WRONGSHIP"/>
    <n v="1"/>
    <n v="1"/>
    <x v="18"/>
    <n v="1"/>
    <x v="0"/>
    <x v="0"/>
    <x v="0"/>
    <n v="1"/>
    <n v="0"/>
    <n v="0"/>
    <n v="0"/>
    <n v="0"/>
    <n v="0"/>
    <x v="0"/>
    <x v="1"/>
    <x v="1"/>
    <x v="0"/>
  </r>
  <r>
    <s v="Shipment"/>
    <n v="99006103"/>
    <s v="SAS GROUPE SEB FRANCE                             "/>
    <n v="99006100"/>
    <x v="3"/>
    <s v="9321666364/000010"/>
    <n v="1370151254"/>
    <n v="10"/>
    <x v="23"/>
    <x v="23"/>
    <s v="N4"/>
    <n v="2820101700"/>
    <n v="32"/>
    <n v="633016"/>
    <s v="VC101700 STEAMER INOX &amp; DESIGN                    "/>
    <s v="S"/>
    <d v="2012-01-18T00:00:00"/>
    <m/>
    <s v="X"/>
    <x v="63"/>
    <n v="31.7287"/>
    <n v="26"/>
    <d v="2012-02-17T00:00:00"/>
    <d v="2012-01-13T00:00:00"/>
    <n v="1074"/>
    <d v="2012-01-13T00:00:00"/>
    <n v="1074"/>
    <m/>
    <d v="2012-01-13T00:00:00"/>
    <n v="1074"/>
    <d v="2012-02-17T00:00:00"/>
    <d v="2012-01-13T00:00:00"/>
    <n v="1074"/>
    <n v="1074"/>
    <x v="19"/>
    <d v="2012-02-21T00:00:00"/>
    <m/>
    <n v="9321667084"/>
    <n v="10"/>
    <s v="MSKU6635323"/>
    <s v="MAERSK EINDHOVEN 120"/>
    <m/>
    <s v="SHANGHAI"/>
    <m/>
    <m/>
    <s v="JASON FAN"/>
    <s v="FO9"/>
    <s v="ELECTRICAL COOKING            "/>
    <s v="CONFIRMED"/>
    <n v="1"/>
    <n v="3"/>
    <d v="2012-01-17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347/000010"/>
    <n v="1370151282"/>
    <n v="10"/>
    <x v="23"/>
    <x v="23"/>
    <s v="N4"/>
    <n v="2802400600"/>
    <n v="32"/>
    <s v="VC400600       "/>
    <s v="VC400600 STMC STEAM.CUIS.VITA+FR/BE 3B            "/>
    <s v="S"/>
    <d v="2012-01-10T00:00:00"/>
    <m/>
    <s v="X"/>
    <x v="63"/>
    <n v="27.651700000000002"/>
    <n v="23"/>
    <d v="2012-02-10T00:00:00"/>
    <d v="2012-01-06T00:00:00"/>
    <n v="540"/>
    <d v="2012-01-06T00:00:00"/>
    <n v="540"/>
    <m/>
    <d v="2012-01-06T00:00:00"/>
    <n v="540"/>
    <d v="2012-02-10T00:00:00"/>
    <d v="2012-01-06T00:00:00"/>
    <n v="540"/>
    <n v="540"/>
    <x v="5"/>
    <d v="2012-02-14T00:00:00"/>
    <m/>
    <n v="9321667085"/>
    <n v="10"/>
    <s v="MSKU6268892"/>
    <s v="CMA CGM AMERIGO VESP"/>
    <m/>
    <s v="SHANGHAI"/>
    <m/>
    <m/>
    <s v="JASON FAN"/>
    <s v="FO9"/>
    <s v="ELECTRICAL COOKING            "/>
    <s v="CONFIRMED"/>
    <n v="1"/>
    <n v="2"/>
    <d v="2012-01-10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2420/000010"/>
    <n v="1370149585"/>
    <n v="10"/>
    <x v="0"/>
    <x v="0"/>
    <s v="A2"/>
    <n v="7116000948"/>
    <n v="254"/>
    <n v="116000948"/>
    <s v="P2524333 P.COOKER SECURE 5 SET 6L+4L ES           "/>
    <s v="S"/>
    <d v="2012-01-10T00:00:00"/>
    <m/>
    <s v="X"/>
    <x v="63"/>
    <n v="38.524000000000001"/>
    <n v="28"/>
    <d v="2012-02-09T00:00:00"/>
    <d v="2012-01-05T00:00:00"/>
    <n v="1103"/>
    <d v="2012-01-05T00:00:00"/>
    <n v="1103"/>
    <m/>
    <d v="2012-01-05T00:00:00"/>
    <n v="1103"/>
    <d v="2012-02-09T00:00:00"/>
    <d v="2012-01-05T00:00:00"/>
    <n v="1103"/>
    <n v="1103"/>
    <x v="0"/>
    <d v="2012-02-13T00:00:00"/>
    <m/>
    <n v="9321667086"/>
    <n v="10"/>
    <s v="APZU4850423"/>
    <s v="MOL COMPETENCE/021W"/>
    <m/>
    <s v="NINGBO"/>
    <m/>
    <m/>
    <s v="AGNES NUNES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1164/000010"/>
    <n v="1370150228"/>
    <n v="10"/>
    <x v="0"/>
    <x v="0"/>
    <s v="A1"/>
    <n v="2100059343"/>
    <n v="201"/>
    <n v="180000061"/>
    <s v="A812S264 SOFT HANDLES TNS BLK FP 2P 9.5/          "/>
    <s v="S"/>
    <d v="2012-01-10T00:00:00"/>
    <m/>
    <s v="X"/>
    <x v="63"/>
    <n v="10.5863"/>
    <n v="11"/>
    <d v="2012-02-02T00:00:00"/>
    <d v="2011-12-29T00:00:00"/>
    <n v="12000"/>
    <d v="2012-02-17T00:00:00"/>
    <n v="12000"/>
    <m/>
    <m/>
    <m/>
    <d v="2012-02-10T00:00:00"/>
    <d v="2012-01-06T00:00:00"/>
    <n v="12000"/>
    <n v="4852"/>
    <x v="12"/>
    <d v="2012-02-11T00:00:00"/>
    <m/>
    <n v="9321667089"/>
    <n v="10"/>
    <s v="UNIU5050799"/>
    <s v="ARTHUR MAERSK/553S"/>
    <m/>
    <s v="NINGBO"/>
    <s v="SP-OVERCAP/late doc from Supor (16pcs)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2"/>
    <x v="0"/>
    <x v="0"/>
    <x v="1"/>
    <n v="0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61164/000010"/>
    <n v="1370150228"/>
    <n v="10"/>
    <x v="0"/>
    <x v="0"/>
    <s v="A1"/>
    <n v="2100059343"/>
    <n v="201"/>
    <n v="180000061"/>
    <s v="A812S264 SOFT HANDLES TNS BLK FP 2P 9.5/          "/>
    <s v="S"/>
    <d v="2012-01-09T00:00:00"/>
    <m/>
    <s v="X"/>
    <x v="63"/>
    <n v="10.5863"/>
    <n v="11"/>
    <d v="2012-02-02T00:00:00"/>
    <d v="2011-12-29T00:00:00"/>
    <n v="12000"/>
    <d v="2012-02-17T00:00:00"/>
    <n v="12000"/>
    <m/>
    <m/>
    <m/>
    <d v="2012-02-10T00:00:00"/>
    <d v="2012-01-06T00:00:00"/>
    <n v="12000"/>
    <n v="2280"/>
    <x v="12"/>
    <d v="2012-02-11T00:00:00"/>
    <m/>
    <n v="9321667089"/>
    <n v="10"/>
    <s v="UNIU5048889"/>
    <s v="ARTHUR MAERSK/553S"/>
    <m/>
    <s v="NINGBO"/>
    <s v="SP-OVERCAP/late doc from Supor (16pcs)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2"/>
    <x v="0"/>
    <x v="0"/>
    <x v="1"/>
    <n v="0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61164/000010"/>
    <n v="1370150228"/>
    <n v="10"/>
    <x v="0"/>
    <x v="0"/>
    <s v="A1"/>
    <n v="2100059343"/>
    <n v="201"/>
    <n v="180000061"/>
    <s v="A812S264 SOFT HANDLES TNS BLK FP 2P 9.5/          "/>
    <s v="S"/>
    <d v="2012-01-09T00:00:00"/>
    <m/>
    <s v="X"/>
    <x v="63"/>
    <n v="10.5863"/>
    <n v="11"/>
    <d v="2012-02-02T00:00:00"/>
    <d v="2011-12-29T00:00:00"/>
    <n v="12000"/>
    <d v="2012-02-17T00:00:00"/>
    <n v="12000"/>
    <m/>
    <m/>
    <m/>
    <d v="2012-02-10T00:00:00"/>
    <d v="2012-01-06T00:00:00"/>
    <n v="12000"/>
    <n v="4852"/>
    <x v="12"/>
    <d v="2012-02-11T00:00:00"/>
    <m/>
    <n v="9321667089"/>
    <n v="10"/>
    <s v="UNIU5045730"/>
    <s v="ARTHUR MAERSK/553S"/>
    <m/>
    <s v="NINGBO"/>
    <s v="SP-OVERCAP/late doc from Supor (16pcs)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2"/>
    <x v="0"/>
    <x v="0"/>
    <x v="1"/>
    <n v="0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61204/000010"/>
    <n v="1370150236"/>
    <n v="10"/>
    <x v="0"/>
    <x v="0"/>
    <s v="A1"/>
    <n v="2100068393"/>
    <n v="200"/>
    <s v="C944S264       "/>
    <s v="C944S264 PURE LINVING CERAM NS CHAMPA 2P          "/>
    <s v="S"/>
    <d v="2012-01-09T00:00:00"/>
    <m/>
    <s v="X"/>
    <x v="63"/>
    <n v="12.920199999999999"/>
    <n v="14"/>
    <d v="2012-02-02T00:00:00"/>
    <d v="2011-12-29T00:00:00"/>
    <n v="4000"/>
    <d v="2012-01-13T00:00:00"/>
    <n v="4000"/>
    <m/>
    <m/>
    <m/>
    <d v="2012-02-17T00:00:00"/>
    <d v="2012-01-13T00:00:00"/>
    <n v="4000"/>
    <n v="24"/>
    <x v="0"/>
    <d v="2012-02-13T00:00:00"/>
    <m/>
    <n v="9321667091"/>
    <n v="10"/>
    <s v="FEDEX 4896 8223"/>
    <m/>
    <m/>
    <s v="NINGBO"/>
    <s v="SP-OVERCAP/"/>
    <m/>
    <s v="TWEETY LEUNG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04/000010"/>
    <n v="1370150236"/>
    <n v="10"/>
    <x v="0"/>
    <x v="0"/>
    <s v="A1"/>
    <n v="2100068393"/>
    <n v="200"/>
    <s v="C944S264       "/>
    <s v="C944S264 PURE LINVING CERAM NS CHAMPA 2P          "/>
    <s v="S"/>
    <d v="2012-01-13T00:00:00"/>
    <m/>
    <s v="X"/>
    <x v="63"/>
    <n v="12.920199999999999"/>
    <n v="14"/>
    <d v="2012-02-02T00:00:00"/>
    <d v="2011-12-29T00:00:00"/>
    <n v="4000"/>
    <d v="2012-01-13T00:00:00"/>
    <n v="4000"/>
    <m/>
    <m/>
    <m/>
    <d v="2012-02-17T00:00:00"/>
    <d v="2012-01-13T00:00:00"/>
    <n v="4000"/>
    <n v="3976"/>
    <x v="24"/>
    <d v="2012-02-17T00:00:00"/>
    <m/>
    <n v="9321667091"/>
    <n v="10"/>
    <s v="DRYU9220903"/>
    <s v="APL OMAN/014E"/>
    <m/>
    <s v="NINGBO"/>
    <s v="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08/000010"/>
    <n v="1370150237"/>
    <n v="10"/>
    <x v="0"/>
    <x v="0"/>
    <s v="A1"/>
    <n v="2100068392"/>
    <n v="200"/>
    <s v="C9440774       "/>
    <s v="C9440774 PURE LIVING CERAM NS CHAMPAGNE1          "/>
    <s v="S"/>
    <d v="2012-01-16T00:00:00"/>
    <m/>
    <s v="X"/>
    <x v="63"/>
    <n v="8.3260000000000005"/>
    <n v="9"/>
    <d v="2012-02-21T00:00:00"/>
    <d v="2012-01-17T00:00:00"/>
    <n v="4000"/>
    <d v="2012-01-17T00:00:00"/>
    <n v="4003"/>
    <m/>
    <m/>
    <m/>
    <d v="2012-03-09T00:00:00"/>
    <d v="2012-02-03T00:00:00"/>
    <n v="4003"/>
    <n v="3"/>
    <x v="24"/>
    <d v="2012-02-17T00:00:00"/>
    <m/>
    <n v="9321667092"/>
    <n v="10"/>
    <s v="FEDEX# 48968223"/>
    <m/>
    <m/>
    <s v="NINGBO"/>
    <s v="SAILING-SCHED-UPDATE/C-PULLIN-CONF/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3"/>
    <x v="0"/>
    <x v="1"/>
    <x v="0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63/000010"/>
    <n v="1370150238"/>
    <n v="10"/>
    <x v="0"/>
    <x v="0"/>
    <s v="A1"/>
    <n v="2100068855"/>
    <n v="208"/>
    <s v="C9423364       "/>
    <s v="C9423364 STP26LID T-F BY JO ANOD TC+TP3           "/>
    <s v="S"/>
    <d v="2012-01-09T00:00:00"/>
    <m/>
    <s v="X"/>
    <x v="63"/>
    <n v="12.5922"/>
    <n v="13"/>
    <d v="2012-02-02T00:00:00"/>
    <d v="2011-12-29T00:00:00"/>
    <n v="11200"/>
    <d v="2012-01-06T00:00:00"/>
    <n v="11200"/>
    <m/>
    <d v="2012-01-06T00:00:00"/>
    <n v="11200"/>
    <d v="2012-02-10T00:00:00"/>
    <d v="2012-01-06T00:00:00"/>
    <n v="11200"/>
    <n v="600"/>
    <x v="12"/>
    <d v="2012-02-11T00:00:00"/>
    <m/>
    <n v="9321667093"/>
    <n v="10"/>
    <s v="UNIU5049150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63/000010"/>
    <n v="1370150238"/>
    <n v="10"/>
    <x v="0"/>
    <x v="0"/>
    <s v="A1"/>
    <n v="2100068855"/>
    <n v="208"/>
    <s v="C9423364       "/>
    <s v="C9423364 STP26LID T-F BY JO ANOD TC+TP3           "/>
    <s v="S"/>
    <d v="2012-01-09T00:00:00"/>
    <m/>
    <s v="X"/>
    <x v="63"/>
    <n v="12.5922"/>
    <n v="13"/>
    <d v="2012-02-02T00:00:00"/>
    <d v="2011-12-29T00:00:00"/>
    <n v="11200"/>
    <d v="2012-01-06T00:00:00"/>
    <n v="11200"/>
    <m/>
    <d v="2012-01-06T00:00:00"/>
    <n v="11200"/>
    <d v="2012-02-10T00:00:00"/>
    <d v="2012-01-06T00:00:00"/>
    <n v="11200"/>
    <n v="2120"/>
    <x v="12"/>
    <d v="2012-02-11T00:00:00"/>
    <m/>
    <n v="9321667093"/>
    <n v="10"/>
    <s v="UNIU5053870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63/000010"/>
    <n v="1370150238"/>
    <n v="10"/>
    <x v="0"/>
    <x v="0"/>
    <s v="A1"/>
    <n v="2100068855"/>
    <n v="208"/>
    <s v="C9423364       "/>
    <s v="C9423364 STP26LID T-F BY JO ANOD TC+TP3           "/>
    <s v="S"/>
    <d v="2012-01-09T00:00:00"/>
    <m/>
    <s v="X"/>
    <x v="63"/>
    <n v="12.5922"/>
    <n v="13"/>
    <d v="2012-02-02T00:00:00"/>
    <d v="2011-12-29T00:00:00"/>
    <n v="11200"/>
    <d v="2012-01-06T00:00:00"/>
    <n v="11200"/>
    <m/>
    <d v="2012-01-06T00:00:00"/>
    <n v="11200"/>
    <d v="2012-02-10T00:00:00"/>
    <d v="2012-01-06T00:00:00"/>
    <n v="11200"/>
    <n v="2120"/>
    <x v="12"/>
    <d v="2012-02-11T00:00:00"/>
    <m/>
    <n v="9321667093"/>
    <n v="10"/>
    <s v="UNIU5055255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63/000010"/>
    <n v="1370150238"/>
    <n v="10"/>
    <x v="0"/>
    <x v="0"/>
    <s v="A1"/>
    <n v="2100068855"/>
    <n v="208"/>
    <s v="C9423364       "/>
    <s v="C9423364 STP26LID T-F BY JO ANOD TC+TP3           "/>
    <s v="S"/>
    <d v="2012-01-09T00:00:00"/>
    <m/>
    <s v="X"/>
    <x v="63"/>
    <n v="12.5922"/>
    <n v="13"/>
    <d v="2012-02-02T00:00:00"/>
    <d v="2011-12-29T00:00:00"/>
    <n v="11200"/>
    <d v="2012-01-06T00:00:00"/>
    <n v="11200"/>
    <m/>
    <d v="2012-01-06T00:00:00"/>
    <n v="11200"/>
    <d v="2012-02-10T00:00:00"/>
    <d v="2012-01-06T00:00:00"/>
    <n v="11200"/>
    <n v="2120"/>
    <x v="12"/>
    <d v="2012-02-11T00:00:00"/>
    <m/>
    <n v="9321667093"/>
    <n v="10"/>
    <s v="UNIU5051901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63/000010"/>
    <n v="1370150238"/>
    <n v="10"/>
    <x v="0"/>
    <x v="0"/>
    <s v="A1"/>
    <n v="2100068855"/>
    <n v="208"/>
    <s v="C9423364       "/>
    <s v="C9423364 STP26LID T-F BY JO ANOD TC+TP3           "/>
    <s v="S"/>
    <d v="2012-01-09T00:00:00"/>
    <m/>
    <s v="X"/>
    <x v="63"/>
    <n v="12.5922"/>
    <n v="13"/>
    <d v="2012-02-02T00:00:00"/>
    <d v="2011-12-29T00:00:00"/>
    <n v="11200"/>
    <d v="2012-01-06T00:00:00"/>
    <n v="11200"/>
    <m/>
    <d v="2012-01-06T00:00:00"/>
    <n v="11200"/>
    <d v="2012-02-10T00:00:00"/>
    <d v="2012-01-06T00:00:00"/>
    <n v="11200"/>
    <n v="2120"/>
    <x v="12"/>
    <d v="2012-02-11T00:00:00"/>
    <m/>
    <n v="9321667093"/>
    <n v="10"/>
    <s v="UNIU5049118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63/000010"/>
    <n v="1370150238"/>
    <n v="10"/>
    <x v="0"/>
    <x v="0"/>
    <s v="A1"/>
    <n v="2100068855"/>
    <n v="208"/>
    <s v="C9423364       "/>
    <s v="C9423364 STP26LID T-F BY JO ANOD TC+TP3           "/>
    <s v="S"/>
    <d v="2012-01-09T00:00:00"/>
    <m/>
    <s v="X"/>
    <x v="63"/>
    <n v="12.5922"/>
    <n v="13"/>
    <d v="2012-02-02T00:00:00"/>
    <d v="2011-12-29T00:00:00"/>
    <n v="11200"/>
    <d v="2012-01-06T00:00:00"/>
    <n v="11200"/>
    <m/>
    <d v="2012-01-06T00:00:00"/>
    <n v="11200"/>
    <d v="2012-02-10T00:00:00"/>
    <d v="2012-01-06T00:00:00"/>
    <n v="11200"/>
    <n v="2120"/>
    <x v="12"/>
    <d v="2012-02-11T00:00:00"/>
    <m/>
    <n v="9321667093"/>
    <n v="10"/>
    <s v="UNIU5048277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471/000010"/>
    <n v="1370150242"/>
    <n v="10"/>
    <x v="0"/>
    <x v="0"/>
    <s v="A4"/>
    <n v="8701004109"/>
    <n v="209"/>
    <n v="115002669"/>
    <s v="59943 - SS LASAGNA PAN WITH NEW BOX               "/>
    <s v="S"/>
    <d v="2012-01-11T00:00:00"/>
    <m/>
    <s v="X"/>
    <x v="63"/>
    <n v="22.935199999999998"/>
    <n v="24"/>
    <d v="2012-02-13T00:00:00"/>
    <d v="2012-01-09T00:00:00"/>
    <n v="3000"/>
    <d v="2012-01-09T00:00:00"/>
    <n v="3000"/>
    <m/>
    <d v="2012-01-06T00:00:00"/>
    <n v="3000"/>
    <d v="2012-02-10T00:00:00"/>
    <d v="2012-01-06T00:00:00"/>
    <n v="3000"/>
    <n v="3000"/>
    <x v="12"/>
    <d v="2012-02-11T00:00:00"/>
    <m/>
    <n v="9321667096"/>
    <n v="10"/>
    <s v="CMUU4612185"/>
    <s v="NYK METEOR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82/000010"/>
    <n v="1370150257"/>
    <n v="10"/>
    <x v="0"/>
    <x v="0"/>
    <s v="A1"/>
    <n v="2100064502"/>
    <n v="200"/>
    <n v="115003108"/>
    <s v="A8278264 JUM C 30+CV NS COOK N STRAIN LA          "/>
    <s v="S"/>
    <d v="2012-02-01T00:00:00"/>
    <m/>
    <s v="X"/>
    <x v="63"/>
    <n v="11.4476"/>
    <n v="12"/>
    <d v="2012-03-01T00:00:00"/>
    <d v="2012-01-26T00:00:00"/>
    <n v="2000"/>
    <d v="2012-01-26T00:00:00"/>
    <n v="2000"/>
    <m/>
    <d v="2012-01-27T00:00:00"/>
    <n v="2000"/>
    <d v="2012-02-24T00:00:00"/>
    <d v="2012-01-20T00:00:00"/>
    <n v="2000"/>
    <n v="1060"/>
    <x v="14"/>
    <d v="2012-02-24T00:00:00"/>
    <m/>
    <n v="9321667100"/>
    <n v="10"/>
    <s v="ECMU9062320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82/000010"/>
    <n v="1370150257"/>
    <n v="10"/>
    <x v="0"/>
    <x v="0"/>
    <s v="A1"/>
    <n v="2100064502"/>
    <n v="200"/>
    <n v="115003108"/>
    <s v="A8278264 JUM C 30+CV NS COOK N STRAIN LA          "/>
    <s v="S"/>
    <d v="2012-02-01T00:00:00"/>
    <m/>
    <s v="X"/>
    <x v="63"/>
    <n v="11.4476"/>
    <n v="12"/>
    <d v="2012-03-01T00:00:00"/>
    <d v="2012-01-26T00:00:00"/>
    <n v="2000"/>
    <d v="2012-01-26T00:00:00"/>
    <n v="2000"/>
    <m/>
    <d v="2012-01-27T00:00:00"/>
    <n v="2000"/>
    <d v="2012-02-24T00:00:00"/>
    <d v="2012-01-20T00:00:00"/>
    <n v="2000"/>
    <n v="140"/>
    <x v="14"/>
    <d v="2012-02-24T00:00:00"/>
    <m/>
    <n v="9321667100"/>
    <n v="10"/>
    <s v="INKU2588111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82/000010"/>
    <n v="1370150257"/>
    <n v="10"/>
    <x v="0"/>
    <x v="0"/>
    <s v="A1"/>
    <n v="2100064502"/>
    <n v="200"/>
    <n v="115003108"/>
    <s v="A8278264 JUM C 30+CV NS COOK N STRAIN LA          "/>
    <s v="S"/>
    <d v="2012-02-01T00:00:00"/>
    <m/>
    <s v="X"/>
    <x v="63"/>
    <n v="11.4476"/>
    <n v="12"/>
    <d v="2012-03-01T00:00:00"/>
    <d v="2012-01-26T00:00:00"/>
    <n v="2000"/>
    <d v="2012-01-26T00:00:00"/>
    <n v="2000"/>
    <m/>
    <d v="2012-01-27T00:00:00"/>
    <n v="2000"/>
    <d v="2012-02-24T00:00:00"/>
    <d v="2012-01-20T00:00:00"/>
    <n v="2000"/>
    <n v="800"/>
    <x v="14"/>
    <d v="2012-02-24T00:00:00"/>
    <m/>
    <n v="9321667100"/>
    <n v="10"/>
    <s v="GESU4082573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95/000010"/>
    <n v="1370150260"/>
    <n v="10"/>
    <x v="0"/>
    <x v="0"/>
    <s v="A1"/>
    <n v="2100051725"/>
    <n v="212"/>
    <n v="115001960"/>
    <s v="A8870264 MIRRO SATINNGLASS BRUSHED ALUM           "/>
    <s v="S"/>
    <d v="2012-01-10T00:00:00"/>
    <m/>
    <s v="X"/>
    <x v="63"/>
    <n v="3.2702"/>
    <n v="3"/>
    <d v="2012-02-13T00:00:00"/>
    <d v="2012-01-09T00:00:00"/>
    <n v="1002"/>
    <d v="2012-01-09T00:00:00"/>
    <n v="1002"/>
    <m/>
    <d v="2012-01-06T00:00:00"/>
    <n v="1002"/>
    <d v="2012-02-10T00:00:00"/>
    <d v="2012-01-06T00:00:00"/>
    <n v="1002"/>
    <n v="1002"/>
    <x v="12"/>
    <d v="2012-02-11T00:00:00"/>
    <m/>
    <n v="9321667101"/>
    <n v="10"/>
    <s v="TCNU8631055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98/000010"/>
    <n v="1370150261"/>
    <n v="10"/>
    <x v="0"/>
    <x v="0"/>
    <s v="A1"/>
    <n v="2100051726"/>
    <n v="212"/>
    <n v="115001446"/>
    <s v="A8870564 MIRRO SATINNGLASS BRUSHED ALUM           "/>
    <s v="S"/>
    <d v="2012-01-09T00:00:00"/>
    <m/>
    <s v="X"/>
    <x v="63"/>
    <n v="4.2919999999999998"/>
    <n v="5"/>
    <d v="2012-02-13T00:00:00"/>
    <d v="2012-01-09T00:00:00"/>
    <n v="1998"/>
    <d v="2012-01-09T00:00:00"/>
    <n v="1998"/>
    <m/>
    <d v="2012-01-06T00:00:00"/>
    <n v="1998"/>
    <d v="2012-02-10T00:00:00"/>
    <d v="2012-01-06T00:00:00"/>
    <n v="1998"/>
    <n v="1998"/>
    <x v="12"/>
    <d v="2012-02-11T00:00:00"/>
    <m/>
    <n v="9321667102"/>
    <n v="10"/>
    <s v="MSKU8201774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62/000010"/>
    <n v="1370150266"/>
    <n v="10"/>
    <x v="0"/>
    <x v="0"/>
    <s v="A1"/>
    <n v="2100043094"/>
    <n v="204"/>
    <s v="23144A         "/>
    <s v="23144A REVOLUTION-KITCHENMATE 11&quot; GRIDDL          "/>
    <s v="S"/>
    <d v="2012-02-01T00:00:00"/>
    <m/>
    <s v="X"/>
    <x v="63"/>
    <n v="8.4875000000000007"/>
    <n v="9"/>
    <d v="2012-03-02T00:00:00"/>
    <d v="2012-01-27T00:00:00"/>
    <n v="1000"/>
    <d v="2012-01-27T00:00:00"/>
    <n v="1000"/>
    <m/>
    <d v="2012-01-27T00:00:00"/>
    <n v="1000"/>
    <d v="2012-02-24T00:00:00"/>
    <d v="2012-01-20T00:00:00"/>
    <n v="1000"/>
    <n v="1000"/>
    <x v="14"/>
    <d v="2012-02-24T00:00:00"/>
    <m/>
    <n v="9321667106"/>
    <n v="10"/>
    <s v="INKU2588111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64/000010"/>
    <n v="1370150267"/>
    <n v="10"/>
    <x v="0"/>
    <x v="0"/>
    <s v="A1"/>
    <n v="2100053488"/>
    <n v="204"/>
    <n v="115001735"/>
    <s v="D9210564 AUTHENTIC HE BLACK SAUTE 10IN            "/>
    <s v="S"/>
    <d v="2012-01-10T00:00:00"/>
    <m/>
    <s v="X"/>
    <x v="63"/>
    <n v="7.5091999999999999"/>
    <n v="8"/>
    <d v="2012-02-13T00:00:00"/>
    <d v="2012-01-09T00:00:00"/>
    <n v="1000"/>
    <d v="2012-01-09T00:00:00"/>
    <n v="1000"/>
    <m/>
    <d v="2012-01-06T00:00:00"/>
    <n v="1000"/>
    <d v="2012-02-10T00:00:00"/>
    <d v="2012-01-06T00:00:00"/>
    <n v="1000"/>
    <n v="1000"/>
    <x v="12"/>
    <d v="2012-02-11T00:00:00"/>
    <m/>
    <n v="9321667107"/>
    <n v="10"/>
    <s v="TCNU8631055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72/000010"/>
    <n v="1370150270"/>
    <n v="10"/>
    <x v="0"/>
    <x v="0"/>
    <s v="A1"/>
    <n v="2100056855"/>
    <n v="205"/>
    <s v="A834S974       "/>
    <s v="A834S974 COOKNSTRAIN SS 10PC SET                  "/>
    <s v="S"/>
    <d v="2012-01-11T00:00:00"/>
    <m/>
    <s v="X"/>
    <x v="63"/>
    <n v="42.1708"/>
    <n v="42"/>
    <d v="2012-02-13T00:00:00"/>
    <d v="2012-01-09T00:00:00"/>
    <n v="4500"/>
    <d v="2012-01-09T00:00:00"/>
    <n v="4500"/>
    <m/>
    <d v="2012-01-06T00:00:00"/>
    <n v="4500"/>
    <d v="2012-02-10T00:00:00"/>
    <d v="2012-01-06T00:00:00"/>
    <n v="4500"/>
    <n v="1250"/>
    <x v="12"/>
    <d v="2012-02-11T00:00:00"/>
    <m/>
    <n v="9321667108"/>
    <n v="10"/>
    <s v="AMFU8682739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72/000010"/>
    <n v="1370150270"/>
    <n v="10"/>
    <x v="0"/>
    <x v="0"/>
    <s v="A1"/>
    <n v="2100056855"/>
    <n v="205"/>
    <s v="A834S974       "/>
    <s v="A834S974 COOKNSTRAIN SS 10PC SET                  "/>
    <s v="S"/>
    <d v="2012-01-11T00:00:00"/>
    <m/>
    <s v="X"/>
    <x v="63"/>
    <n v="42.1708"/>
    <n v="42"/>
    <d v="2012-02-13T00:00:00"/>
    <d v="2012-01-09T00:00:00"/>
    <n v="4500"/>
    <d v="2012-01-09T00:00:00"/>
    <n v="4500"/>
    <m/>
    <d v="2012-01-06T00:00:00"/>
    <n v="4500"/>
    <d v="2012-02-10T00:00:00"/>
    <d v="2012-01-06T00:00:00"/>
    <n v="4500"/>
    <n v="1250"/>
    <x v="12"/>
    <d v="2012-02-11T00:00:00"/>
    <m/>
    <n v="9321667108"/>
    <n v="10"/>
    <s v="FSCU9109080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72/000010"/>
    <n v="1370150270"/>
    <n v="10"/>
    <x v="0"/>
    <x v="0"/>
    <s v="A1"/>
    <n v="2100056855"/>
    <n v="205"/>
    <s v="A834S974       "/>
    <s v="A834S974 COOKNSTRAIN SS 10PC SET                  "/>
    <s v="S"/>
    <d v="2012-01-11T00:00:00"/>
    <m/>
    <s v="X"/>
    <x v="63"/>
    <n v="42.1708"/>
    <n v="42"/>
    <d v="2012-02-13T00:00:00"/>
    <d v="2012-01-09T00:00:00"/>
    <n v="4500"/>
    <d v="2012-01-09T00:00:00"/>
    <n v="4500"/>
    <m/>
    <d v="2012-01-06T00:00:00"/>
    <n v="4500"/>
    <d v="2012-02-10T00:00:00"/>
    <d v="2012-01-06T00:00:00"/>
    <n v="4500"/>
    <n v="750"/>
    <x v="12"/>
    <d v="2012-02-11T00:00:00"/>
    <m/>
    <n v="9321667108"/>
    <n v="10"/>
    <s v="BHCU4926272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72/000010"/>
    <n v="1370150270"/>
    <n v="10"/>
    <x v="0"/>
    <x v="0"/>
    <s v="A1"/>
    <n v="2100056855"/>
    <n v="205"/>
    <s v="A834S974       "/>
    <s v="A834S974 COOKNSTRAIN SS 10PC SET                  "/>
    <s v="S"/>
    <d v="2012-01-11T00:00:00"/>
    <m/>
    <s v="X"/>
    <x v="63"/>
    <n v="42.1708"/>
    <n v="42"/>
    <d v="2012-02-13T00:00:00"/>
    <d v="2012-01-09T00:00:00"/>
    <n v="4500"/>
    <d v="2012-01-09T00:00:00"/>
    <n v="4500"/>
    <m/>
    <d v="2012-01-06T00:00:00"/>
    <n v="4500"/>
    <d v="2012-02-10T00:00:00"/>
    <d v="2012-01-06T00:00:00"/>
    <n v="4500"/>
    <n v="1250"/>
    <x v="12"/>
    <d v="2012-02-11T00:00:00"/>
    <m/>
    <n v="9321667108"/>
    <n v="10"/>
    <s v="TEXU5578644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74/000010"/>
    <n v="1370150271"/>
    <n v="10"/>
    <x v="0"/>
    <x v="0"/>
    <s v="A1"/>
    <n v="2100056855"/>
    <n v="205"/>
    <s v="A834S974       "/>
    <s v="A834S974 COOKNSTRAIN SS 10PC SET                  "/>
    <s v="S"/>
    <d v="2012-01-19T00:00:00"/>
    <m/>
    <s v="X"/>
    <x v="63"/>
    <n v="42.1708"/>
    <n v="42"/>
    <d v="2012-03-01T00:00:00"/>
    <d v="2012-01-26T00:00:00"/>
    <n v="1000"/>
    <d v="2012-01-26T00:00:00"/>
    <n v="1000"/>
    <m/>
    <d v="2012-01-27T00:00:00"/>
    <n v="1000"/>
    <d v="2012-02-24T00:00:00"/>
    <d v="2012-01-20T00:00:00"/>
    <n v="1000"/>
    <n v="1000"/>
    <x v="14"/>
    <d v="2012-02-24T00:00:00"/>
    <m/>
    <n v="9321667109"/>
    <n v="10"/>
    <s v="TGHU8062080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80/000010"/>
    <n v="1370150273"/>
    <n v="10"/>
    <x v="0"/>
    <x v="0"/>
    <s v="A1"/>
    <n v="2100064502"/>
    <n v="200"/>
    <n v="115003108"/>
    <s v="A8278264 JUM C 30+CV NS COOK N STRAIN LA          "/>
    <s v="S"/>
    <d v="2012-02-01T00:00:00"/>
    <m/>
    <s v="X"/>
    <x v="63"/>
    <n v="11.4476"/>
    <n v="12"/>
    <d v="2012-02-01T00:00:00"/>
    <d v="2011-12-28T00:00:00"/>
    <n v="3000"/>
    <d v="2012-01-20T00:00:00"/>
    <n v="3000"/>
    <m/>
    <d v="2012-01-20T00:00:00"/>
    <n v="3000"/>
    <d v="2012-02-24T00:00:00"/>
    <d v="2012-01-20T00:00:00"/>
    <n v="3000"/>
    <n v="2160"/>
    <x v="14"/>
    <d v="2012-02-24T00:00:00"/>
    <m/>
    <n v="9321667110"/>
    <n v="10"/>
    <s v="MSKU8186880"/>
    <s v="CLEMENTINE MAERSK"/>
    <m/>
    <s v="NINGBO"/>
    <s v="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80/000010"/>
    <n v="1370150273"/>
    <n v="10"/>
    <x v="0"/>
    <x v="0"/>
    <s v="A1"/>
    <n v="2100064502"/>
    <n v="200"/>
    <n v="115003108"/>
    <s v="A8278264 JUM C 30+CV NS COOK N STRAIN LA          "/>
    <s v="S"/>
    <d v="2012-02-01T00:00:00"/>
    <m/>
    <s v="X"/>
    <x v="63"/>
    <n v="11.4476"/>
    <n v="12"/>
    <d v="2012-02-01T00:00:00"/>
    <d v="2011-12-28T00:00:00"/>
    <n v="3000"/>
    <d v="2012-01-20T00:00:00"/>
    <n v="3000"/>
    <m/>
    <d v="2012-01-20T00:00:00"/>
    <n v="3000"/>
    <d v="2012-02-24T00:00:00"/>
    <d v="2012-01-20T00:00:00"/>
    <n v="3000"/>
    <n v="840"/>
    <x v="14"/>
    <d v="2012-02-24T00:00:00"/>
    <m/>
    <n v="9321667110"/>
    <n v="10"/>
    <s v="TCLU5676824"/>
    <s v="CLEMENTINE MAERSK"/>
    <m/>
    <s v="NINGBO"/>
    <s v="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400/000010"/>
    <n v="1370150275"/>
    <n v="10"/>
    <x v="0"/>
    <x v="0"/>
    <s v="A1"/>
    <n v="2100051727"/>
    <n v="212"/>
    <n v="115001461"/>
    <s v="A8870764 MIRRO SATINNGLASS BRUSHED ALUM           "/>
    <s v="S"/>
    <d v="2012-01-09T00:00:00"/>
    <m/>
    <s v="X"/>
    <x v="63"/>
    <n v="5.4954000000000001"/>
    <n v="6"/>
    <d v="2012-02-13T00:00:00"/>
    <d v="2012-01-09T00:00:00"/>
    <n v="1002"/>
    <d v="2012-01-09T00:00:00"/>
    <n v="1002"/>
    <m/>
    <d v="2012-01-06T00:00:00"/>
    <n v="1002"/>
    <d v="2012-02-10T00:00:00"/>
    <d v="2012-01-06T00:00:00"/>
    <n v="1002"/>
    <n v="1002"/>
    <x v="12"/>
    <d v="2012-02-11T00:00:00"/>
    <m/>
    <n v="9321667111"/>
    <n v="10"/>
    <s v="MSKU8201774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411/000010"/>
    <n v="1370150278"/>
    <n v="10"/>
    <x v="0"/>
    <x v="0"/>
    <s v="A1"/>
    <n v="7114000231"/>
    <n v="253"/>
    <n v="114000231"/>
    <s v="92180A 8QT PRESSURE COOKER                        "/>
    <s v="S"/>
    <d v="2012-02-01T00:00:00"/>
    <m/>
    <s v="X"/>
    <x v="63"/>
    <n v="15.5496"/>
    <n v="16"/>
    <d v="2012-02-13T00:00:00"/>
    <d v="2012-01-09T00:00:00"/>
    <n v="1000"/>
    <d v="2012-01-27T00:00:00"/>
    <n v="1000"/>
    <m/>
    <d v="2012-01-27T00:00:00"/>
    <n v="1000"/>
    <d v="2012-02-24T00:00:00"/>
    <d v="2012-01-20T00:00:00"/>
    <n v="1000"/>
    <n v="1000"/>
    <x v="14"/>
    <d v="2012-02-24T00:00:00"/>
    <m/>
    <n v="9321667112"/>
    <n v="10"/>
    <s v="INKU2588111"/>
    <s v="CLEMENTINE MAERSK"/>
    <m/>
    <s v="NINGBO"/>
    <s v="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51/000010"/>
    <n v="1370150303"/>
    <n v="10"/>
    <x v="0"/>
    <x v="0"/>
    <s v="A1"/>
    <n v="2100064664"/>
    <n v="204"/>
    <n v="115003003"/>
    <s v="E9080763 EMERIL ENAMEL 12&quot; FP RED                 "/>
    <s v="S"/>
    <d v="2012-01-10T00:00:00"/>
    <m/>
    <s v="X"/>
    <x v="63"/>
    <n v="12.546200000000001"/>
    <n v="13"/>
    <d v="2012-02-13T00:00:00"/>
    <d v="2012-01-09T00:00:00"/>
    <n v="1000"/>
    <d v="2012-01-09T00:00:00"/>
    <n v="1000"/>
    <m/>
    <d v="2012-01-06T00:00:00"/>
    <n v="1000"/>
    <d v="2012-02-10T00:00:00"/>
    <d v="2012-01-06T00:00:00"/>
    <n v="1000"/>
    <n v="1000"/>
    <x v="12"/>
    <d v="2012-02-11T00:00:00"/>
    <m/>
    <n v="9321667121"/>
    <n v="10"/>
    <s v="TCNU8631055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1188/000010"/>
    <n v="1370150304"/>
    <n v="10"/>
    <x v="0"/>
    <x v="0"/>
    <s v="A1"/>
    <n v="2100068422"/>
    <n v="200"/>
    <s v="C1563374       "/>
    <s v="C1563374 REAL EASY NS RED 3.5QT LARGE CO          "/>
    <s v="S"/>
    <d v="2012-02-01T00:00:00"/>
    <m/>
    <s v="X"/>
    <x v="63"/>
    <n v="8.2026000000000003"/>
    <n v="9"/>
    <d v="2012-02-21T00:00:00"/>
    <d v="2012-01-17T00:00:00"/>
    <n v="8000"/>
    <d v="2012-01-20T00:00:00"/>
    <n v="8004"/>
    <m/>
    <d v="2012-02-03T00:00:00"/>
    <n v="8000"/>
    <d v="2012-02-24T00:00:00"/>
    <d v="2012-01-20T00:00:00"/>
    <n v="8004"/>
    <n v="2668"/>
    <x v="14"/>
    <d v="2012-02-24T00:00:00"/>
    <m/>
    <n v="9321667122"/>
    <n v="10"/>
    <s v="MSKU1938970"/>
    <s v="CLEMENTINE MAERSK"/>
    <m/>
    <s v="NINGBO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88/000010"/>
    <n v="1370150304"/>
    <n v="10"/>
    <x v="0"/>
    <x v="0"/>
    <s v="A1"/>
    <n v="2100068422"/>
    <n v="200"/>
    <s v="C1563374       "/>
    <s v="C1563374 REAL EASY NS RED 3.5QT LARGE CO          "/>
    <s v="S"/>
    <d v="2012-02-01T00:00:00"/>
    <m/>
    <s v="X"/>
    <x v="63"/>
    <n v="8.2026000000000003"/>
    <n v="9"/>
    <d v="2012-02-21T00:00:00"/>
    <d v="2012-01-17T00:00:00"/>
    <n v="8000"/>
    <d v="2012-01-20T00:00:00"/>
    <n v="8004"/>
    <m/>
    <d v="2012-02-03T00:00:00"/>
    <n v="8000"/>
    <d v="2012-02-24T00:00:00"/>
    <d v="2012-01-20T00:00:00"/>
    <n v="8004"/>
    <n v="2668"/>
    <x v="14"/>
    <d v="2012-02-24T00:00:00"/>
    <m/>
    <n v="9321667122"/>
    <n v="10"/>
    <s v="PONU8053086"/>
    <s v="CLEMENTINE MAERSK"/>
    <m/>
    <s v="NINGBO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88/000010"/>
    <n v="1370150304"/>
    <n v="10"/>
    <x v="0"/>
    <x v="0"/>
    <s v="A1"/>
    <n v="2100068422"/>
    <n v="200"/>
    <s v="C1563374       "/>
    <s v="C1563374 REAL EASY NS RED 3.5QT LARGE CO          "/>
    <s v="S"/>
    <d v="2012-02-01T00:00:00"/>
    <m/>
    <s v="X"/>
    <x v="63"/>
    <n v="8.2026000000000003"/>
    <n v="9"/>
    <d v="2012-02-21T00:00:00"/>
    <d v="2012-01-17T00:00:00"/>
    <n v="8000"/>
    <d v="2012-01-20T00:00:00"/>
    <n v="8004"/>
    <m/>
    <d v="2012-02-03T00:00:00"/>
    <n v="8000"/>
    <d v="2012-02-24T00:00:00"/>
    <d v="2012-01-20T00:00:00"/>
    <n v="8004"/>
    <n v="2668"/>
    <x v="14"/>
    <d v="2012-02-24T00:00:00"/>
    <m/>
    <n v="9321667122"/>
    <n v="10"/>
    <s v="MSKU9953689"/>
    <s v="CLEMENTINE MAERSK"/>
    <m/>
    <s v="NINGBO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180/000010"/>
    <n v="1370150315"/>
    <n v="10"/>
    <x v="0"/>
    <x v="0"/>
    <s v="A1"/>
    <n v="2100064660"/>
    <n v="205"/>
    <n v="115003143"/>
    <s v="C8112464 ELEGANCE II SS 3QT SAUCE PAN             "/>
    <s v="S"/>
    <d v="2012-01-19T00:00:00"/>
    <m/>
    <s v="X"/>
    <x v="63"/>
    <n v="10.607699999999999"/>
    <n v="11"/>
    <d v="2012-02-17T00:00:00"/>
    <d v="2012-01-13T00:00:00"/>
    <n v="1250"/>
    <d v="2012-01-20T00:00:00"/>
    <n v="1250"/>
    <m/>
    <d v="2012-02-10T00:00:00"/>
    <n v="1250"/>
    <d v="2012-02-24T00:00:00"/>
    <d v="2012-01-20T00:00:00"/>
    <n v="1250"/>
    <n v="1250"/>
    <x v="14"/>
    <d v="2012-02-24T00:00:00"/>
    <m/>
    <n v="9321667124"/>
    <n v="10"/>
    <s v="CLHU8697911"/>
    <s v="NYK RUMINA/10E03"/>
    <m/>
    <s v="NINGBO"/>
    <s v="C-PULLIN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44/000010"/>
    <n v="1370150320"/>
    <n v="10"/>
    <x v="0"/>
    <x v="0"/>
    <s v="A1"/>
    <n v="2100059328"/>
    <n v="209"/>
    <n v="115002524"/>
    <s v="E9830764 PROCLAD 12&quot; FP                           "/>
    <s v="S"/>
    <d v="2012-01-17T00:00:00"/>
    <m/>
    <s v="X"/>
    <x v="63"/>
    <n v="16.545200000000001"/>
    <n v="17"/>
    <d v="2012-02-21T00:00:00"/>
    <d v="2012-01-17T00:00:00"/>
    <n v="1000"/>
    <d v="2012-01-17T00:00:00"/>
    <n v="1000"/>
    <m/>
    <d v="2012-01-13T00:00:00"/>
    <n v="1000"/>
    <d v="2012-02-17T00:00:00"/>
    <d v="2012-01-13T00:00:00"/>
    <n v="1000"/>
    <n v="1000"/>
    <x v="9"/>
    <d v="2012-02-18T00:00:00"/>
    <m/>
    <n v="9321667125"/>
    <n v="10"/>
    <s v="CMAU5655495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1477/000010"/>
    <n v="1370150328"/>
    <n v="10"/>
    <x v="0"/>
    <x v="0"/>
    <s v="A4"/>
    <n v="8710001013"/>
    <n v="900"/>
    <s v="SD557032-ST(2) "/>
    <s v="SD557032-ST(2) D5 STAINLESS 3 QT STEAMER          "/>
    <s v="S"/>
    <d v="2012-01-11T00:00:00"/>
    <m/>
    <s v="X"/>
    <x v="63"/>
    <n v="11.9031"/>
    <n v="12"/>
    <d v="2012-02-13T00:00:00"/>
    <d v="2012-01-09T00:00:00"/>
    <n v="1000"/>
    <d v="2012-01-09T00:00:00"/>
    <n v="1000"/>
    <m/>
    <d v="2012-01-06T00:00:00"/>
    <n v="1000"/>
    <d v="2012-02-10T00:00:00"/>
    <d v="2012-01-06T00:00:00"/>
    <n v="1000"/>
    <n v="1000"/>
    <x v="12"/>
    <d v="2012-02-11T00:00:00"/>
    <m/>
    <n v="9321667127"/>
    <n v="10"/>
    <s v="HLXU6226851"/>
    <s v="NYK METEOR"/>
    <m/>
    <s v="NINGBO"/>
    <m/>
    <m/>
    <s v="TWEETY LEUNG"/>
    <s v="FO9"/>
    <s v="COOKWARE                      "/>
    <s v="CONFIRMED"/>
    <n v="1"/>
    <n v="1"/>
    <d v="2012-01-07T00:00:00"/>
    <s v="COOKWARE                      "/>
    <s v="NON AFFECTED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1205/000010"/>
    <n v="1370150331"/>
    <n v="10"/>
    <x v="0"/>
    <x v="0"/>
    <s v="A1"/>
    <n v="2100068393"/>
    <n v="200"/>
    <s v="C944S264       "/>
    <s v="C944S264 PURE LINVING CERAM NS CHAMPA 2P          "/>
    <s v="S"/>
    <d v="2012-01-16T00:00:00"/>
    <m/>
    <s v="X"/>
    <x v="63"/>
    <n v="12.920199999999999"/>
    <n v="14"/>
    <d v="2012-02-21T00:00:00"/>
    <d v="2012-01-17T00:00:00"/>
    <n v="3000"/>
    <d v="2012-02-03T00:00:00"/>
    <n v="3003"/>
    <m/>
    <m/>
    <m/>
    <d v="2012-03-09T00:00:00"/>
    <d v="2012-02-03T00:00:00"/>
    <n v="3003"/>
    <n v="3"/>
    <x v="24"/>
    <d v="2012-02-17T00:00:00"/>
    <m/>
    <n v="9321667129"/>
    <n v="10"/>
    <s v="FEDEX# 48968223"/>
    <m/>
    <m/>
    <s v="NINGBO"/>
    <s v="C-PULLIN-CONF/C-PULLIN-CONF/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3"/>
    <x v="0"/>
    <x v="1"/>
    <x v="0"/>
    <n v="0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61207/000010"/>
    <n v="1370150332"/>
    <n v="10"/>
    <x v="0"/>
    <x v="0"/>
    <s v="A1"/>
    <n v="2100068392"/>
    <n v="200"/>
    <s v="C9440774       "/>
    <s v="C9440774 PURE LIVING CERAM NS CHAMPAGNE1          "/>
    <s v="S"/>
    <d v="2012-01-09T00:00:00"/>
    <m/>
    <s v="X"/>
    <x v="63"/>
    <n v="8.3260000000000005"/>
    <n v="9"/>
    <d v="2012-02-02T00:00:00"/>
    <d v="2011-12-29T00:00:00"/>
    <n v="6500"/>
    <d v="2012-01-13T00:00:00"/>
    <n v="6500"/>
    <m/>
    <m/>
    <m/>
    <d v="2012-02-17T00:00:00"/>
    <d v="2012-01-13T00:00:00"/>
    <n v="6500"/>
    <n v="32"/>
    <x v="0"/>
    <d v="2012-02-13T00:00:00"/>
    <m/>
    <n v="9321667130"/>
    <n v="10"/>
    <s v="FEDEX 4896 8223"/>
    <m/>
    <m/>
    <s v="NINGBO"/>
    <s v="SP-OVERCAP/"/>
    <m/>
    <s v="TWEETY LEUNG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07/000010"/>
    <n v="1370150332"/>
    <n v="10"/>
    <x v="0"/>
    <x v="0"/>
    <s v="A1"/>
    <n v="2100068392"/>
    <n v="200"/>
    <s v="C9440774       "/>
    <s v="C9440774 PURE LIVING CERAM NS CHAMPAGNE1          "/>
    <s v="S"/>
    <d v="2012-01-13T00:00:00"/>
    <m/>
    <s v="X"/>
    <x v="63"/>
    <n v="8.3260000000000005"/>
    <n v="9"/>
    <d v="2012-02-02T00:00:00"/>
    <d v="2011-12-29T00:00:00"/>
    <n v="6500"/>
    <d v="2012-01-13T00:00:00"/>
    <n v="6500"/>
    <m/>
    <m/>
    <m/>
    <d v="2012-02-17T00:00:00"/>
    <d v="2012-01-13T00:00:00"/>
    <n v="6500"/>
    <n v="5892"/>
    <x v="24"/>
    <d v="2012-02-17T00:00:00"/>
    <m/>
    <n v="9321667130"/>
    <n v="10"/>
    <s v="HDMU6427732"/>
    <s v="APL OMAN/014E"/>
    <m/>
    <s v="NINGBO"/>
    <s v="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07/000010"/>
    <n v="1370150332"/>
    <n v="10"/>
    <x v="0"/>
    <x v="0"/>
    <s v="A1"/>
    <n v="2100068392"/>
    <n v="200"/>
    <s v="C9440774       "/>
    <s v="C9440774 PURE LIVING CERAM NS CHAMPAGNE1          "/>
    <s v="S"/>
    <d v="2012-01-13T00:00:00"/>
    <m/>
    <s v="X"/>
    <x v="63"/>
    <n v="8.3260000000000005"/>
    <n v="9"/>
    <d v="2012-02-02T00:00:00"/>
    <d v="2011-12-29T00:00:00"/>
    <n v="6500"/>
    <d v="2012-01-13T00:00:00"/>
    <n v="6500"/>
    <m/>
    <m/>
    <m/>
    <d v="2012-02-17T00:00:00"/>
    <d v="2012-01-13T00:00:00"/>
    <n v="6500"/>
    <n v="576"/>
    <x v="24"/>
    <d v="2012-02-17T00:00:00"/>
    <m/>
    <n v="9321667130"/>
    <n v="10"/>
    <s v="DRYU9220903"/>
    <s v="APL OMAN/014E"/>
    <m/>
    <s v="NINGBO"/>
    <s v="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1/000010"/>
    <n v="1370150333"/>
    <n v="10"/>
    <x v="0"/>
    <x v="0"/>
    <s v="A1"/>
    <n v="2100068421"/>
    <n v="200"/>
    <s v="C1562374       "/>
    <s v="C1562374 REAL EASY NS RED 2QT COVERED SA          "/>
    <s v="S"/>
    <d v="2012-01-09T00:00:00"/>
    <m/>
    <s v="X"/>
    <x v="63"/>
    <n v="6.3060999999999998"/>
    <n v="6611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1582"/>
    <x v="12"/>
    <d v="2012-02-11T00:00:00"/>
    <m/>
    <n v="9321667131"/>
    <n v="10"/>
    <s v="MSKU8201774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1/000010"/>
    <n v="1370150333"/>
    <n v="10"/>
    <x v="0"/>
    <x v="0"/>
    <s v="A1"/>
    <n v="2100068421"/>
    <n v="200"/>
    <s v="C1562374       "/>
    <s v="C1562374 REAL EASY NS RED 2QT COVERED SA          "/>
    <s v="S"/>
    <d v="2012-01-10T00:00:00"/>
    <m/>
    <s v="X"/>
    <x v="63"/>
    <n v="6.3060999999999998"/>
    <n v="6611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4800"/>
    <x v="12"/>
    <d v="2012-02-11T00:00:00"/>
    <m/>
    <n v="9321667131"/>
    <n v="10"/>
    <s v="TGHU8034508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1/000010"/>
    <n v="1370150333"/>
    <n v="10"/>
    <x v="0"/>
    <x v="0"/>
    <s v="A1"/>
    <n v="2100068421"/>
    <n v="200"/>
    <s v="C1562374       "/>
    <s v="C1562374 REAL EASY NS RED 2QT COVERED SA          "/>
    <s v="S"/>
    <d v="2012-01-09T00:00:00"/>
    <m/>
    <s v="X"/>
    <x v="63"/>
    <n v="6.3060999999999998"/>
    <n v="6611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4800"/>
    <x v="12"/>
    <d v="2012-02-11T00:00:00"/>
    <m/>
    <n v="9321667131"/>
    <n v="10"/>
    <s v="MSKU8114854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81/000010"/>
    <n v="1370150334"/>
    <n v="10"/>
    <x v="0"/>
    <x v="0"/>
    <s v="A1"/>
    <n v="2100068423"/>
    <n v="200"/>
    <s v="C1560774       "/>
    <s v="C1560774 REAL EASY NS RED 12&quot; SKILLET W/          "/>
    <s v="S"/>
    <d v="2012-02-01T00:00:00"/>
    <m/>
    <s v="X"/>
    <x v="63"/>
    <n v="6.8734999999999999"/>
    <n v="7"/>
    <d v="2012-02-21T00:00:00"/>
    <d v="2012-01-17T00:00:00"/>
    <n v="10000"/>
    <d v="2012-01-20T00:00:00"/>
    <n v="10004"/>
    <m/>
    <d v="2012-02-03T00:00:00"/>
    <n v="10000"/>
    <d v="2012-02-24T00:00:00"/>
    <d v="2012-01-20T00:00:00"/>
    <n v="10004"/>
    <n v="5004"/>
    <x v="14"/>
    <d v="2012-02-24T00:00:00"/>
    <m/>
    <n v="9321667132"/>
    <n v="10"/>
    <s v="MSKU0760816"/>
    <s v="CLEMENTINE MAERSK"/>
    <m/>
    <s v="NINGBO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81/000010"/>
    <n v="1370150334"/>
    <n v="10"/>
    <x v="0"/>
    <x v="0"/>
    <s v="A1"/>
    <n v="2100068423"/>
    <n v="200"/>
    <s v="C1560774       "/>
    <s v="C1560774 REAL EASY NS RED 12&quot; SKILLET W/          "/>
    <s v="S"/>
    <d v="2012-02-01T00:00:00"/>
    <m/>
    <s v="X"/>
    <x v="63"/>
    <n v="6.8734999999999999"/>
    <n v="7"/>
    <d v="2012-02-21T00:00:00"/>
    <d v="2012-01-17T00:00:00"/>
    <n v="10000"/>
    <d v="2012-01-20T00:00:00"/>
    <n v="10004"/>
    <m/>
    <d v="2012-02-03T00:00:00"/>
    <n v="10000"/>
    <d v="2012-02-24T00:00:00"/>
    <d v="2012-01-20T00:00:00"/>
    <n v="10004"/>
    <n v="5000"/>
    <x v="14"/>
    <d v="2012-02-24T00:00:00"/>
    <m/>
    <n v="9321667132"/>
    <n v="10"/>
    <s v="TCNU9802743"/>
    <s v="CLEMENTINE MAERSK"/>
    <m/>
    <s v="NINGBO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87/000010"/>
    <n v="1370150335"/>
    <n v="10"/>
    <x v="0"/>
    <x v="0"/>
    <s v="A1"/>
    <n v="2100068422"/>
    <n v="200"/>
    <s v="C1563374       "/>
    <s v="C1563374 REAL EASY NS RED 3.5QT LARGE CO          "/>
    <s v="S"/>
    <d v="2012-01-10T00:00:00"/>
    <m/>
    <s v="X"/>
    <x v="63"/>
    <n v="8.2026000000000003"/>
    <n v="8599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2600"/>
    <x v="12"/>
    <d v="2012-02-11T00:00:00"/>
    <m/>
    <n v="9321667133"/>
    <n v="10"/>
    <s v="TCLU5451556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87/000010"/>
    <n v="1370150335"/>
    <n v="10"/>
    <x v="0"/>
    <x v="0"/>
    <s v="A1"/>
    <n v="2100068422"/>
    <n v="200"/>
    <s v="C1563374       "/>
    <s v="C1563374 REAL EASY NS RED 3.5QT LARGE CO          "/>
    <s v="S"/>
    <d v="2012-01-09T00:00:00"/>
    <m/>
    <s v="X"/>
    <x v="63"/>
    <n v="8.2026000000000003"/>
    <n v="8599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2600"/>
    <x v="12"/>
    <d v="2012-02-11T00:00:00"/>
    <m/>
    <n v="9321667133"/>
    <n v="10"/>
    <s v="BSIU9014379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87/000010"/>
    <n v="1370150335"/>
    <n v="10"/>
    <x v="0"/>
    <x v="0"/>
    <s v="A1"/>
    <n v="2100068422"/>
    <n v="200"/>
    <s v="C1563374       "/>
    <s v="C1563374 REAL EASY NS RED 3.5QT LARGE CO          "/>
    <s v="S"/>
    <d v="2012-01-10T00:00:00"/>
    <m/>
    <s v="X"/>
    <x v="63"/>
    <n v="8.2026000000000003"/>
    <n v="8599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2600"/>
    <x v="12"/>
    <d v="2012-02-11T00:00:00"/>
    <m/>
    <n v="9321667133"/>
    <n v="10"/>
    <s v="MSKU1703678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87/000010"/>
    <n v="1370150335"/>
    <n v="10"/>
    <x v="0"/>
    <x v="0"/>
    <s v="A1"/>
    <n v="2100068422"/>
    <n v="200"/>
    <s v="C1563374       "/>
    <s v="C1563374 REAL EASY NS RED 3.5QT LARGE CO          "/>
    <s v="S"/>
    <d v="2012-01-10T00:00:00"/>
    <m/>
    <s v="X"/>
    <x v="63"/>
    <n v="8.2026000000000003"/>
    <n v="8599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2600"/>
    <x v="12"/>
    <d v="2012-02-11T00:00:00"/>
    <m/>
    <n v="9321667133"/>
    <n v="10"/>
    <s v="PONU8215799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87/000010"/>
    <n v="1370150335"/>
    <n v="10"/>
    <x v="0"/>
    <x v="0"/>
    <s v="A1"/>
    <n v="2100068422"/>
    <n v="200"/>
    <s v="C1563374       "/>
    <s v="C1563374 REAL EASY NS RED 3.5QT LARGE CO          "/>
    <s v="S"/>
    <d v="2012-01-10T00:00:00"/>
    <m/>
    <s v="X"/>
    <x v="63"/>
    <n v="8.2026000000000003"/>
    <n v="8599"/>
    <d v="2012-02-02T00:00:00"/>
    <d v="2011-12-29T00:00:00"/>
    <n v="11200"/>
    <d v="2012-01-06T00:00:00"/>
    <n v="11200"/>
    <m/>
    <d v="2012-01-06T00:00:00"/>
    <n v="11218"/>
    <d v="2012-02-10T00:00:00"/>
    <d v="2012-01-06T00:00:00"/>
    <n v="11200"/>
    <n v="782"/>
    <x v="12"/>
    <d v="2012-02-11T00:00:00"/>
    <m/>
    <n v="9321667133"/>
    <n v="10"/>
    <s v="TCNU8631055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77/000010"/>
    <n v="1370150336"/>
    <n v="10"/>
    <x v="0"/>
    <x v="0"/>
    <s v="A1"/>
    <n v="2100059343"/>
    <n v="201"/>
    <n v="180000061"/>
    <s v="A812S264 SOFT HANDLES TNS BLK FP 2P 9.5/          "/>
    <s v="S"/>
    <d v="2012-01-12T00:00:00"/>
    <m/>
    <s v="X"/>
    <x v="63"/>
    <n v="10.5863"/>
    <n v="11"/>
    <d v="2012-02-21T00:00:00"/>
    <d v="2012-01-17T00:00:00"/>
    <n v="7000"/>
    <d v="2012-01-17T00:00:00"/>
    <n v="7000"/>
    <m/>
    <d v="2012-01-20T00:00:00"/>
    <n v="7000"/>
    <d v="2012-02-17T00:00:00"/>
    <d v="2012-01-13T00:00:00"/>
    <n v="7000"/>
    <n v="4920"/>
    <x v="10"/>
    <d v="2012-02-16T00:00:00"/>
    <m/>
    <n v="9321667134"/>
    <n v="10"/>
    <s v="TGHU6569270"/>
    <s v="ZIM HAIFA/29E"/>
    <m/>
    <s v="NINGBO"/>
    <m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1177/000010"/>
    <n v="1370150336"/>
    <n v="10"/>
    <x v="0"/>
    <x v="0"/>
    <s v="A1"/>
    <n v="2100059343"/>
    <n v="201"/>
    <n v="180000061"/>
    <s v="A812S264 SOFT HANDLES TNS BLK FP 2P 9.5/          "/>
    <s v="S"/>
    <d v="2012-01-12T00:00:00"/>
    <m/>
    <s v="X"/>
    <x v="63"/>
    <n v="10.5863"/>
    <n v="11"/>
    <d v="2012-02-21T00:00:00"/>
    <d v="2012-01-17T00:00:00"/>
    <n v="7000"/>
    <d v="2012-01-17T00:00:00"/>
    <n v="7000"/>
    <m/>
    <d v="2012-01-20T00:00:00"/>
    <n v="7000"/>
    <d v="2012-02-17T00:00:00"/>
    <d v="2012-01-13T00:00:00"/>
    <n v="7000"/>
    <n v="2080"/>
    <x v="10"/>
    <d v="2012-02-16T00:00:00"/>
    <m/>
    <n v="9321667134"/>
    <n v="10"/>
    <s v="TGHU6567426"/>
    <s v="ZIM HAIFA/29E"/>
    <m/>
    <s v="NINGBO"/>
    <m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1975/000010"/>
    <n v="1370150351"/>
    <n v="10"/>
    <x v="0"/>
    <x v="0"/>
    <s v="A1"/>
    <n v="2100050432"/>
    <n v="201"/>
    <n v="116000534"/>
    <s v="A865SE64 BISTRO TNS BLACK SET 14PC                "/>
    <s v="S"/>
    <d v="2012-01-09T00:00:00"/>
    <m/>
    <s v="X"/>
    <x v="63"/>
    <n v="32.533799999999999"/>
    <n v="34"/>
    <d v="2012-02-10T00:00:00"/>
    <d v="2012-01-06T00:00:00"/>
    <n v="1800"/>
    <d v="2012-01-06T00:00:00"/>
    <n v="1800"/>
    <m/>
    <d v="2012-01-06T00:00:00"/>
    <n v="1800"/>
    <d v="2012-02-10T00:00:00"/>
    <d v="2012-01-06T00:00:00"/>
    <n v="1800"/>
    <n v="1230"/>
    <x v="12"/>
    <d v="2012-02-11T00:00:00"/>
    <m/>
    <n v="9321667142"/>
    <n v="10"/>
    <s v="UNIU5054285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1975/000010"/>
    <n v="1370150351"/>
    <n v="10"/>
    <x v="0"/>
    <x v="0"/>
    <s v="A1"/>
    <n v="2100050432"/>
    <n v="201"/>
    <n v="116000534"/>
    <s v="A865SE64 BISTRO TNS BLACK SET 14PC                "/>
    <s v="S"/>
    <d v="2012-01-09T00:00:00"/>
    <m/>
    <s v="X"/>
    <x v="63"/>
    <n v="32.533799999999999"/>
    <n v="34"/>
    <d v="2012-02-10T00:00:00"/>
    <d v="2012-01-06T00:00:00"/>
    <n v="1800"/>
    <d v="2012-01-06T00:00:00"/>
    <n v="1800"/>
    <m/>
    <d v="2012-01-06T00:00:00"/>
    <n v="1800"/>
    <d v="2012-02-10T00:00:00"/>
    <d v="2012-01-06T00:00:00"/>
    <n v="1800"/>
    <n v="570"/>
    <x v="12"/>
    <d v="2012-02-11T00:00:00"/>
    <m/>
    <n v="9321667142"/>
    <n v="10"/>
    <s v="UNIU5049150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1258/000010"/>
    <n v="1370150357"/>
    <n v="10"/>
    <x v="0"/>
    <x v="0"/>
    <s v="A1"/>
    <n v="2100068856"/>
    <n v="208"/>
    <s v="C942SA64       "/>
    <s v="C942SA64 T-FAL BY JAMIE OLIVER HA 10 PC           "/>
    <s v="S"/>
    <d v="2012-01-11T00:00:00"/>
    <m/>
    <s v="X"/>
    <x v="63"/>
    <n v="46.753599999999999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840"/>
    <x v="12"/>
    <d v="2012-02-11T00:00:00"/>
    <m/>
    <n v="9321667146"/>
    <n v="10"/>
    <s v="PONU7568750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58/000010"/>
    <n v="1370150357"/>
    <n v="10"/>
    <x v="0"/>
    <x v="0"/>
    <s v="A1"/>
    <n v="2100068856"/>
    <n v="208"/>
    <s v="C942SA64       "/>
    <s v="C942SA64 T-FAL BY JAMIE OLIVER HA 10 PC           "/>
    <s v="S"/>
    <d v="2012-01-10T00:00:00"/>
    <m/>
    <s v="X"/>
    <x v="63"/>
    <n v="46.753599999999999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1080"/>
    <x v="7"/>
    <d v="2012-02-10T00:00:00"/>
    <m/>
    <n v="9321667146"/>
    <n v="10"/>
    <s v="MSKU1887913"/>
    <s v="ARTHUR MAERSK/553S"/>
    <m/>
    <s v="NINGBO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58/000010"/>
    <n v="1370150357"/>
    <n v="10"/>
    <x v="0"/>
    <x v="0"/>
    <s v="A1"/>
    <n v="2100068856"/>
    <n v="208"/>
    <s v="C942SA64       "/>
    <s v="C942SA64 T-FAL BY JAMIE OLIVER HA 10 PC           "/>
    <s v="S"/>
    <d v="2012-01-10T00:00:00"/>
    <m/>
    <s v="X"/>
    <x v="63"/>
    <n v="46.753599999999999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1080"/>
    <x v="7"/>
    <d v="2012-02-10T00:00:00"/>
    <m/>
    <n v="9321667146"/>
    <n v="10"/>
    <s v="MSKU1681748"/>
    <s v="ARTHUR MAERSK/553S"/>
    <m/>
    <s v="NINGBO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58/000010"/>
    <n v="1370150357"/>
    <n v="10"/>
    <x v="0"/>
    <x v="0"/>
    <s v="A1"/>
    <n v="2100068856"/>
    <n v="208"/>
    <s v="C942SA64       "/>
    <s v="C942SA64 T-FAL BY JAMIE OLIVER HA 10 PC           "/>
    <s v="S"/>
    <d v="2012-01-10T00:00:00"/>
    <m/>
    <s v="X"/>
    <x v="63"/>
    <n v="46.753599999999999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1080"/>
    <x v="7"/>
    <d v="2012-02-10T00:00:00"/>
    <m/>
    <n v="9321667146"/>
    <n v="10"/>
    <s v="MAEU8323624"/>
    <s v="ARTHUR MAERSK/553S"/>
    <m/>
    <s v="NINGBO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58/000010"/>
    <n v="1370150357"/>
    <n v="10"/>
    <x v="0"/>
    <x v="0"/>
    <s v="A1"/>
    <n v="2100068856"/>
    <n v="208"/>
    <s v="C942SA64       "/>
    <s v="C942SA64 T-FAL BY JAMIE OLIVER HA 10 PC           "/>
    <s v="S"/>
    <d v="2012-01-10T00:00:00"/>
    <m/>
    <s v="X"/>
    <x v="63"/>
    <n v="46.753599999999999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1080"/>
    <x v="7"/>
    <d v="2012-02-10T00:00:00"/>
    <m/>
    <n v="9321667146"/>
    <n v="10"/>
    <s v="MSKU1086386"/>
    <s v="ARTHUR MAERSK/553S"/>
    <m/>
    <s v="NINGBO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58/000010"/>
    <n v="1370150357"/>
    <n v="10"/>
    <x v="0"/>
    <x v="0"/>
    <s v="A1"/>
    <n v="2100068856"/>
    <n v="208"/>
    <s v="C942SA64       "/>
    <s v="C942SA64 T-FAL BY JAMIE OLIVER HA 10 PC           "/>
    <s v="S"/>
    <d v="2012-01-11T00:00:00"/>
    <m/>
    <s v="X"/>
    <x v="63"/>
    <n v="46.753599999999999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1080"/>
    <x v="12"/>
    <d v="2012-02-11T00:00:00"/>
    <m/>
    <n v="9321667146"/>
    <n v="10"/>
    <s v="MSKU8602062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58/000010"/>
    <n v="1370150357"/>
    <n v="10"/>
    <x v="0"/>
    <x v="0"/>
    <s v="A1"/>
    <n v="2100068856"/>
    <n v="208"/>
    <s v="C942SA64       "/>
    <s v="C942SA64 T-FAL BY JAMIE OLIVER HA 10 PC           "/>
    <s v="S"/>
    <d v="2012-01-11T00:00:00"/>
    <m/>
    <s v="X"/>
    <x v="63"/>
    <n v="46.753599999999999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1080"/>
    <x v="12"/>
    <d v="2012-02-11T00:00:00"/>
    <m/>
    <n v="9321667146"/>
    <n v="10"/>
    <s v="MSKU0951978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58/000010"/>
    <n v="1370150357"/>
    <n v="10"/>
    <x v="0"/>
    <x v="0"/>
    <s v="A1"/>
    <n v="2100068856"/>
    <n v="208"/>
    <s v="C942SA64       "/>
    <s v="C942SA64 T-FAL BY JAMIE OLIVER HA 10 PC           "/>
    <s v="S"/>
    <d v="2012-01-11T00:00:00"/>
    <m/>
    <s v="X"/>
    <x v="63"/>
    <n v="46.753599999999999"/>
    <n v="49"/>
    <d v="2012-02-02T00:00:00"/>
    <d v="2011-12-29T00:00:00"/>
    <n v="8400"/>
    <d v="2012-01-06T00:00:00"/>
    <n v="8400"/>
    <m/>
    <d v="2012-01-06T00:00:00"/>
    <n v="9400"/>
    <d v="2012-02-10T00:00:00"/>
    <d v="2012-01-06T00:00:00"/>
    <n v="8400"/>
    <n v="1080"/>
    <x v="12"/>
    <d v="2012-02-11T00:00:00"/>
    <m/>
    <n v="9321667146"/>
    <n v="10"/>
    <s v="MSKU1832778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60/000010"/>
    <n v="1370150358"/>
    <n v="10"/>
    <x v="0"/>
    <x v="0"/>
    <s v="A1"/>
    <n v="2100068854"/>
    <n v="208"/>
    <s v="C9421964       "/>
    <s v="C9421964 WOK FP28 T-F BY JO ANOD TC TP3           "/>
    <s v="S"/>
    <d v="2012-01-10T00:00:00"/>
    <m/>
    <s v="X"/>
    <x v="63"/>
    <n v="8.1880000000000006"/>
    <n v="9"/>
    <d v="2012-02-02T00:00:00"/>
    <d v="2011-12-29T00:00:00"/>
    <n v="22400"/>
    <d v="2012-01-06T00:00:00"/>
    <n v="22400"/>
    <m/>
    <d v="2012-01-06T00:00:00"/>
    <n v="42401"/>
    <d v="2012-02-10T00:00:00"/>
    <d v="2012-01-06T00:00:00"/>
    <n v="22400"/>
    <n v="5880"/>
    <x v="7"/>
    <d v="2012-02-10T00:00:00"/>
    <m/>
    <n v="9321667147"/>
    <n v="10"/>
    <s v="MRKU2374148"/>
    <s v="ARTHUR MAERSK/553S"/>
    <m/>
    <s v="NINGBO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60/000010"/>
    <n v="1370150358"/>
    <n v="10"/>
    <x v="0"/>
    <x v="0"/>
    <s v="A1"/>
    <n v="2100068854"/>
    <n v="208"/>
    <s v="C9421964       "/>
    <s v="C9421964 WOK FP28 T-F BY JO ANOD TC TP3           "/>
    <s v="S"/>
    <d v="2012-01-10T00:00:00"/>
    <m/>
    <s v="X"/>
    <x v="63"/>
    <n v="8.1880000000000006"/>
    <n v="9"/>
    <d v="2012-02-02T00:00:00"/>
    <d v="2011-12-29T00:00:00"/>
    <n v="22400"/>
    <d v="2012-01-06T00:00:00"/>
    <n v="22400"/>
    <m/>
    <d v="2012-01-06T00:00:00"/>
    <n v="42401"/>
    <d v="2012-02-10T00:00:00"/>
    <d v="2012-01-06T00:00:00"/>
    <n v="22400"/>
    <n v="5880"/>
    <x v="7"/>
    <d v="2012-02-10T00:00:00"/>
    <m/>
    <n v="9321667147"/>
    <n v="10"/>
    <s v="MSKU9910990"/>
    <s v="ARTHUR MAERSK/553S"/>
    <m/>
    <s v="NINGBO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60/000010"/>
    <n v="1370150358"/>
    <n v="10"/>
    <x v="0"/>
    <x v="0"/>
    <s v="A1"/>
    <n v="2100068854"/>
    <n v="208"/>
    <s v="C9421964       "/>
    <s v="C9421964 WOK FP28 T-F BY JO ANOD TC TP3           "/>
    <s v="S"/>
    <d v="2012-01-10T00:00:00"/>
    <m/>
    <s v="X"/>
    <x v="63"/>
    <n v="8.1880000000000006"/>
    <n v="9"/>
    <d v="2012-02-02T00:00:00"/>
    <d v="2011-12-29T00:00:00"/>
    <n v="22400"/>
    <d v="2012-01-06T00:00:00"/>
    <n v="22400"/>
    <m/>
    <d v="2012-01-06T00:00:00"/>
    <n v="42401"/>
    <d v="2012-02-10T00:00:00"/>
    <d v="2012-01-06T00:00:00"/>
    <n v="22400"/>
    <n v="4760"/>
    <x v="7"/>
    <d v="2012-02-10T00:00:00"/>
    <m/>
    <n v="9321667147"/>
    <n v="10"/>
    <s v="PONU7636849"/>
    <s v="ARTHUR MAERSK/553S"/>
    <m/>
    <s v="NINGBO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60/000010"/>
    <n v="1370150358"/>
    <n v="10"/>
    <x v="0"/>
    <x v="0"/>
    <s v="A1"/>
    <n v="2100068854"/>
    <n v="208"/>
    <s v="C9421964       "/>
    <s v="C9421964 WOK FP28 T-F BY JO ANOD TC TP3           "/>
    <s v="S"/>
    <d v="2012-01-10T00:00:00"/>
    <m/>
    <s v="X"/>
    <x v="63"/>
    <n v="8.1880000000000006"/>
    <n v="9"/>
    <d v="2012-02-02T00:00:00"/>
    <d v="2011-12-29T00:00:00"/>
    <n v="22400"/>
    <d v="2012-01-06T00:00:00"/>
    <n v="22400"/>
    <m/>
    <d v="2012-01-06T00:00:00"/>
    <n v="42401"/>
    <d v="2012-02-10T00:00:00"/>
    <d v="2012-01-06T00:00:00"/>
    <n v="22400"/>
    <n v="5880"/>
    <x v="7"/>
    <d v="2012-02-10T00:00:00"/>
    <m/>
    <n v="9321667147"/>
    <n v="10"/>
    <s v="MSKU0246582"/>
    <s v="ARTHUR MAERSK/553S"/>
    <m/>
    <s v="NINGBO"/>
    <s v="SP-OVERCAP/"/>
    <m/>
    <s v="TWEETY LEUNG"/>
    <s v="FO9"/>
    <s v="COOKWARE                      "/>
    <s v="CONFIRMED"/>
    <n v="1"/>
    <n v="1"/>
    <d v="2012-01-06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00/000010"/>
    <n v="1370150361"/>
    <n v="10"/>
    <x v="0"/>
    <x v="0"/>
    <s v="A1"/>
    <n v="2100068394"/>
    <n v="200"/>
    <s v="C944S564       "/>
    <s v="C944S564 PURE LIVING CERAM NS CHAMPAGNE           "/>
    <s v="S"/>
    <d v="2012-01-09T00:00:00"/>
    <m/>
    <s v="X"/>
    <x v="63"/>
    <n v="29.203800000000001"/>
    <n v="31"/>
    <d v="2012-02-02T00:00:00"/>
    <d v="2011-12-29T00:00:00"/>
    <n v="4000"/>
    <d v="2012-01-13T00:00:00"/>
    <n v="4000"/>
    <m/>
    <m/>
    <m/>
    <d v="2012-02-17T00:00:00"/>
    <d v="2012-01-13T00:00:00"/>
    <n v="4000"/>
    <n v="16"/>
    <x v="0"/>
    <d v="2012-02-13T00:00:00"/>
    <m/>
    <n v="9321667148"/>
    <n v="10"/>
    <s v="FEDEX 4896 8223"/>
    <m/>
    <m/>
    <s v="NINGBO"/>
    <s v="SP-OVERCAP/"/>
    <m/>
    <s v="TWEETY LEUNG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00/000010"/>
    <n v="1370150361"/>
    <n v="10"/>
    <x v="0"/>
    <x v="0"/>
    <s v="A1"/>
    <n v="2100068394"/>
    <n v="200"/>
    <s v="C944S564       "/>
    <s v="C944S564 PURE LIVING CERAM NS CHAMPAGNE           "/>
    <s v="S"/>
    <d v="2012-01-13T00:00:00"/>
    <m/>
    <s v="X"/>
    <x v="63"/>
    <n v="29.203800000000001"/>
    <n v="31"/>
    <d v="2012-02-02T00:00:00"/>
    <d v="2011-12-29T00:00:00"/>
    <n v="4000"/>
    <d v="2012-01-13T00:00:00"/>
    <n v="4000"/>
    <m/>
    <m/>
    <m/>
    <d v="2012-02-17T00:00:00"/>
    <d v="2012-01-13T00:00:00"/>
    <n v="4000"/>
    <n v="1250"/>
    <x v="24"/>
    <d v="2012-02-17T00:00:00"/>
    <m/>
    <n v="9321667148"/>
    <n v="10"/>
    <s v="TCNU9249828"/>
    <s v="APL OMAN/014E"/>
    <m/>
    <s v="NINGBO"/>
    <s v="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00/000010"/>
    <n v="1370150361"/>
    <n v="10"/>
    <x v="0"/>
    <x v="0"/>
    <s v="A1"/>
    <n v="2100068394"/>
    <n v="200"/>
    <s v="C944S564       "/>
    <s v="C944S564 PURE LIVING CERAM NS CHAMPAGNE           "/>
    <s v="S"/>
    <d v="2012-01-13T00:00:00"/>
    <m/>
    <s v="X"/>
    <x v="63"/>
    <n v="29.203800000000001"/>
    <n v="31"/>
    <d v="2012-02-02T00:00:00"/>
    <d v="2011-12-29T00:00:00"/>
    <n v="4000"/>
    <d v="2012-01-13T00:00:00"/>
    <n v="4000"/>
    <m/>
    <m/>
    <m/>
    <d v="2012-02-17T00:00:00"/>
    <d v="2012-01-13T00:00:00"/>
    <n v="4000"/>
    <n v="1250"/>
    <x v="24"/>
    <d v="2012-02-17T00:00:00"/>
    <m/>
    <n v="9321667148"/>
    <n v="10"/>
    <s v="DFSU6721672"/>
    <s v="APL OMAN/014E"/>
    <m/>
    <s v="NINGBO"/>
    <s v="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00/000010"/>
    <n v="1370150361"/>
    <n v="10"/>
    <x v="0"/>
    <x v="0"/>
    <s v="A1"/>
    <n v="2100068394"/>
    <n v="200"/>
    <s v="C944S564       "/>
    <s v="C944S564 PURE LIVING CERAM NS CHAMPAGNE           "/>
    <s v="S"/>
    <d v="2012-01-13T00:00:00"/>
    <m/>
    <s v="X"/>
    <x v="63"/>
    <n v="29.203800000000001"/>
    <n v="31"/>
    <d v="2012-02-02T00:00:00"/>
    <d v="2011-12-29T00:00:00"/>
    <n v="4000"/>
    <d v="2012-01-13T00:00:00"/>
    <n v="4000"/>
    <m/>
    <m/>
    <m/>
    <d v="2012-02-17T00:00:00"/>
    <d v="2012-01-13T00:00:00"/>
    <n v="4000"/>
    <n v="1250"/>
    <x v="24"/>
    <d v="2012-02-17T00:00:00"/>
    <m/>
    <n v="9321667148"/>
    <n v="10"/>
    <s v="CAIU8426967"/>
    <s v="APL OMAN/014E"/>
    <m/>
    <s v="NINGBO"/>
    <s v="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00/000010"/>
    <n v="1370150361"/>
    <n v="10"/>
    <x v="0"/>
    <x v="0"/>
    <s v="A1"/>
    <n v="2100068394"/>
    <n v="200"/>
    <s v="C944S564       "/>
    <s v="C944S564 PURE LIVING CERAM NS CHAMPAGNE           "/>
    <s v="S"/>
    <d v="2012-01-13T00:00:00"/>
    <m/>
    <s v="X"/>
    <x v="63"/>
    <n v="29.203800000000001"/>
    <n v="31"/>
    <d v="2012-02-02T00:00:00"/>
    <d v="2011-12-29T00:00:00"/>
    <n v="4000"/>
    <d v="2012-01-13T00:00:00"/>
    <n v="4000"/>
    <m/>
    <m/>
    <m/>
    <d v="2012-02-17T00:00:00"/>
    <d v="2012-01-13T00:00:00"/>
    <n v="4000"/>
    <n v="234"/>
    <x v="24"/>
    <d v="2012-02-17T00:00:00"/>
    <m/>
    <n v="9321667148"/>
    <n v="10"/>
    <s v="HDMU6427732"/>
    <s v="APL OMAN/014E"/>
    <m/>
    <s v="NINGBO"/>
    <s v="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247/000010"/>
    <n v="1370150363"/>
    <n v="10"/>
    <x v="0"/>
    <x v="0"/>
    <s v="A1"/>
    <n v="2100055652"/>
    <n v="208"/>
    <n v="116000562"/>
    <s v="E919S274 EMERIL HA 8&quot;N10&quot; FRY BUNDLE SLE          "/>
    <s v="S"/>
    <d v="2012-02-01T00:00:00"/>
    <m/>
    <s v="X"/>
    <x v="63"/>
    <n v="12.8993"/>
    <n v="14"/>
    <d v="2012-02-21T00:00:00"/>
    <d v="2012-01-17T00:00:00"/>
    <n v="1094"/>
    <d v="2012-01-17T00:00:00"/>
    <n v="1094"/>
    <m/>
    <d v="2012-01-20T00:00:00"/>
    <n v="1094"/>
    <d v="2012-02-24T00:00:00"/>
    <d v="2012-01-20T00:00:00"/>
    <n v="1094"/>
    <n v="1094"/>
    <x v="14"/>
    <d v="2012-02-24T00:00:00"/>
    <m/>
    <n v="9321667150"/>
    <n v="10"/>
    <s v="CAXU9969868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177/000010"/>
    <n v="1370150370"/>
    <n v="10"/>
    <x v="0"/>
    <x v="0"/>
    <s v="A1"/>
    <n v="2100064659"/>
    <n v="205"/>
    <n v="115003144"/>
    <s v="C8110764 FP30 ESSENC ELEGANCE II SS UNCO          "/>
    <s v="S"/>
    <d v="2012-01-19T00:00:00"/>
    <m/>
    <s v="X"/>
    <x v="63"/>
    <n v="9.9566999999999997"/>
    <n v="10"/>
    <d v="2012-03-01T00:00:00"/>
    <d v="2012-01-26T00:00:00"/>
    <n v="3501"/>
    <d v="2012-01-26T00:00:00"/>
    <n v="3501"/>
    <m/>
    <d v="2012-01-20T00:00:00"/>
    <n v="3501"/>
    <d v="2012-02-24T00:00:00"/>
    <d v="2012-01-20T00:00:00"/>
    <n v="3501"/>
    <n v="3501"/>
    <x v="14"/>
    <d v="2012-02-24T00:00:00"/>
    <m/>
    <n v="9321667151"/>
    <n v="10"/>
    <s v="TGHU4259738"/>
    <s v="NYK RUMINA/10E03"/>
    <m/>
    <s v="NINGBO"/>
    <s v="FORWARDER-PROB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0"/>
    <s v="FORWARDER-PROB"/>
    <n v="1"/>
    <n v="1"/>
    <x v="1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178/000010"/>
    <n v="1370150372"/>
    <n v="10"/>
    <x v="0"/>
    <x v="0"/>
    <s v="A1"/>
    <n v="2100064659"/>
    <n v="205"/>
    <n v="115003144"/>
    <s v="C8110764 FP30 ESSENC ELEGANCE II SS UNCO          "/>
    <s v="S"/>
    <d v="2012-01-19T00:00:00"/>
    <m/>
    <s v="X"/>
    <x v="63"/>
    <n v="9.9566999999999997"/>
    <n v="10"/>
    <d v="2012-02-17T00:00:00"/>
    <d v="2012-01-13T00:00:00"/>
    <n v="2001"/>
    <d v="2012-01-20T00:00:00"/>
    <n v="2001"/>
    <m/>
    <d v="2012-02-10T00:00:00"/>
    <n v="2001"/>
    <d v="2012-02-24T00:00:00"/>
    <d v="2012-01-20T00:00:00"/>
    <n v="2001"/>
    <n v="2001"/>
    <x v="14"/>
    <d v="2012-02-24T00:00:00"/>
    <m/>
    <n v="9321667152"/>
    <n v="10"/>
    <s v="TGHU4259738"/>
    <s v="NYK RUMINA/10E03"/>
    <m/>
    <s v="NINGBO"/>
    <s v="C-PULLIN-CONF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201/000010"/>
    <n v="1370150374"/>
    <n v="10"/>
    <x v="0"/>
    <x v="0"/>
    <s v="A1"/>
    <n v="2100068394"/>
    <n v="200"/>
    <s v="C944S564       "/>
    <s v="C944S564 PURE LIVING CERAM NS CHAMPAGNE           "/>
    <s v="S"/>
    <d v="2012-01-16T00:00:00"/>
    <m/>
    <s v="X"/>
    <x v="63"/>
    <n v="29.203800000000001"/>
    <n v="31"/>
    <d v="2012-02-21T00:00:00"/>
    <d v="2012-01-17T00:00:00"/>
    <n v="2000"/>
    <d v="2012-02-03T00:00:00"/>
    <n v="2004"/>
    <m/>
    <m/>
    <m/>
    <d v="2012-03-09T00:00:00"/>
    <d v="2012-02-03T00:00:00"/>
    <n v="2004"/>
    <n v="3"/>
    <x v="24"/>
    <d v="2012-02-17T00:00:00"/>
    <m/>
    <n v="9321667153"/>
    <n v="10"/>
    <s v="FEDEX# 48968223"/>
    <m/>
    <m/>
    <s v="NINGBO"/>
    <s v="C-PULLIN-CONF/C-PULLIN-CONF/SP-OVERCAP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3"/>
    <x v="0"/>
    <x v="1"/>
    <x v="0"/>
    <n v="0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62383/000010"/>
    <n v="1370150375"/>
    <n v="10"/>
    <x v="0"/>
    <x v="0"/>
    <s v="A1"/>
    <n v="7114000221"/>
    <n v="253"/>
    <n v="114000221"/>
    <s v="92122A 22QT PRESSURE COOKER CANNER 7JAR           "/>
    <s v="S"/>
    <d v="2012-01-19T00:00:00"/>
    <m/>
    <s v="X"/>
    <x v="63"/>
    <n v="31.306699999999999"/>
    <n v="33"/>
    <d v="2012-03-01T00:00:00"/>
    <d v="2012-01-26T00:00:00"/>
    <n v="1000"/>
    <d v="2012-01-26T00:00:00"/>
    <n v="1000"/>
    <m/>
    <d v="2012-01-20T00:00:00"/>
    <n v="1000"/>
    <d v="2012-02-24T00:00:00"/>
    <d v="2012-01-20T00:00:00"/>
    <n v="1000"/>
    <n v="50"/>
    <x v="14"/>
    <d v="2012-02-24T00:00:00"/>
    <m/>
    <n v="9321667154"/>
    <n v="10"/>
    <s v="CAXU9151207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83/000010"/>
    <n v="1370150375"/>
    <n v="10"/>
    <x v="0"/>
    <x v="0"/>
    <s v="A1"/>
    <n v="7114000221"/>
    <n v="253"/>
    <n v="114000221"/>
    <s v="92122A 22QT PRESSURE COOKER CANNER 7JAR           "/>
    <s v="S"/>
    <d v="2012-01-19T00:00:00"/>
    <m/>
    <s v="X"/>
    <x v="63"/>
    <n v="31.306699999999999"/>
    <n v="33"/>
    <d v="2012-03-01T00:00:00"/>
    <d v="2012-01-26T00:00:00"/>
    <n v="1000"/>
    <d v="2012-01-26T00:00:00"/>
    <n v="1000"/>
    <m/>
    <d v="2012-01-20T00:00:00"/>
    <n v="1000"/>
    <d v="2012-02-24T00:00:00"/>
    <d v="2012-01-20T00:00:00"/>
    <n v="1000"/>
    <n v="950"/>
    <x v="14"/>
    <d v="2012-02-24T00:00:00"/>
    <m/>
    <n v="9321667154"/>
    <n v="10"/>
    <s v="CAXU9962863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81/000010"/>
    <n v="1370150376"/>
    <n v="10"/>
    <x v="0"/>
    <x v="0"/>
    <s v="A1"/>
    <n v="2100064502"/>
    <n v="200"/>
    <n v="115003108"/>
    <s v="A8278264 JUM C 30+CV NS COOK N STRAIN LA          "/>
    <s v="S"/>
    <d v="2012-01-19T00:00:00"/>
    <m/>
    <s v="X"/>
    <x v="63"/>
    <n v="11.4476"/>
    <n v="12"/>
    <d v="2012-03-01T00:00:00"/>
    <d v="2012-01-26T00:00:00"/>
    <n v="4000"/>
    <d v="2012-01-26T00:00:00"/>
    <n v="4000"/>
    <m/>
    <d v="2012-01-27T00:00:00"/>
    <n v="4000"/>
    <d v="2012-02-24T00:00:00"/>
    <d v="2012-01-20T00:00:00"/>
    <n v="4000"/>
    <n v="2160"/>
    <x v="14"/>
    <d v="2012-02-24T00:00:00"/>
    <m/>
    <n v="9321667155"/>
    <n v="10"/>
    <s v="MLCU9601120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81/000010"/>
    <n v="1370150376"/>
    <n v="10"/>
    <x v="0"/>
    <x v="0"/>
    <s v="A1"/>
    <n v="2100064502"/>
    <n v="200"/>
    <n v="115003108"/>
    <s v="A8278264 JUM C 30+CV NS COOK N STRAIN LA          "/>
    <s v="S"/>
    <d v="2012-01-19T00:00:00"/>
    <m/>
    <s v="X"/>
    <x v="63"/>
    <n v="11.4476"/>
    <n v="12"/>
    <d v="2012-03-01T00:00:00"/>
    <d v="2012-01-26T00:00:00"/>
    <n v="4000"/>
    <d v="2012-01-26T00:00:00"/>
    <n v="4000"/>
    <m/>
    <d v="2012-01-27T00:00:00"/>
    <n v="4000"/>
    <d v="2012-02-24T00:00:00"/>
    <d v="2012-01-20T00:00:00"/>
    <n v="4000"/>
    <n v="1840"/>
    <x v="14"/>
    <d v="2012-02-24T00:00:00"/>
    <m/>
    <n v="9321667155"/>
    <n v="10"/>
    <s v="CMAU8197631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65/000010"/>
    <n v="1370150381"/>
    <n v="10"/>
    <x v="0"/>
    <x v="0"/>
    <s v="A1"/>
    <n v="2100053489"/>
    <n v="204"/>
    <n v="115001736"/>
    <s v="D9210764 AUTHENTIC HE BLACK SAUTE 12IN            "/>
    <s v="S"/>
    <d v="2012-01-09T00:00:00"/>
    <m/>
    <s v="X"/>
    <x v="63"/>
    <n v="9.6958000000000002"/>
    <n v="10"/>
    <d v="2012-02-13T00:00:00"/>
    <d v="2012-01-09T00:00:00"/>
    <n v="1000"/>
    <d v="2012-01-09T00:00:00"/>
    <n v="1000"/>
    <m/>
    <d v="2012-01-06T00:00:00"/>
    <n v="1000"/>
    <d v="2012-02-10T00:00:00"/>
    <d v="2012-01-06T00:00:00"/>
    <n v="1000"/>
    <n v="1000"/>
    <x v="12"/>
    <d v="2012-02-11T00:00:00"/>
    <m/>
    <n v="9321667156"/>
    <n v="10"/>
    <s v="MSKU8201774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69/000010"/>
    <n v="1370150382"/>
    <n v="10"/>
    <x v="0"/>
    <x v="0"/>
    <s v="A1"/>
    <n v="2100052290"/>
    <n v="205"/>
    <n v="115001539"/>
    <s v="A8349765 COOKNSTRAIN SS 10&quot; CVD SKILL AL          "/>
    <s v="S"/>
    <d v="2012-01-19T00:00:00"/>
    <m/>
    <s v="X"/>
    <x v="63"/>
    <n v="13.491899999999999"/>
    <n v="13"/>
    <d v="2012-03-01T00:00:00"/>
    <d v="2012-01-26T00:00:00"/>
    <n v="1000"/>
    <d v="2012-01-26T00:00:00"/>
    <n v="1000"/>
    <m/>
    <d v="2012-01-27T00:00:00"/>
    <n v="1000"/>
    <d v="2012-02-24T00:00:00"/>
    <d v="2012-01-20T00:00:00"/>
    <n v="1000"/>
    <n v="320"/>
    <x v="14"/>
    <d v="2012-02-24T00:00:00"/>
    <m/>
    <n v="9321667157"/>
    <n v="10"/>
    <s v="CAXU9151207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69/000010"/>
    <n v="1370150382"/>
    <n v="10"/>
    <x v="0"/>
    <x v="0"/>
    <s v="A1"/>
    <n v="2100052290"/>
    <n v="205"/>
    <n v="115001539"/>
    <s v="A8349765 COOKNSTRAIN SS 10&quot; CVD SKILL AL          "/>
    <s v="S"/>
    <d v="2012-01-19T00:00:00"/>
    <m/>
    <s v="X"/>
    <x v="63"/>
    <n v="13.491899999999999"/>
    <n v="13"/>
    <d v="2012-03-01T00:00:00"/>
    <d v="2012-01-26T00:00:00"/>
    <n v="1000"/>
    <d v="2012-01-26T00:00:00"/>
    <n v="1000"/>
    <m/>
    <d v="2012-01-27T00:00:00"/>
    <n v="1000"/>
    <d v="2012-02-24T00:00:00"/>
    <d v="2012-01-20T00:00:00"/>
    <n v="1000"/>
    <n v="680"/>
    <x v="14"/>
    <d v="2012-02-24T00:00:00"/>
    <m/>
    <n v="9321667157"/>
    <n v="10"/>
    <s v="TGHU8062080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63/000010"/>
    <n v="1370150385"/>
    <n v="10"/>
    <x v="0"/>
    <x v="0"/>
    <s v="A1"/>
    <n v="2100053487"/>
    <n v="204"/>
    <n v="115001734"/>
    <s v="D9210264 AUTHENTIC HE BLACK SAUTE 8IN             "/>
    <s v="S"/>
    <d v="2012-01-10T00:00:00"/>
    <m/>
    <s v="X"/>
    <x v="63"/>
    <n v="5.9085000000000001"/>
    <n v="6"/>
    <d v="2012-02-13T00:00:00"/>
    <d v="2012-01-09T00:00:00"/>
    <n v="1000"/>
    <d v="2012-01-09T00:00:00"/>
    <n v="1000"/>
    <m/>
    <d v="2012-01-06T00:00:00"/>
    <n v="1000"/>
    <d v="2012-02-10T00:00:00"/>
    <d v="2012-01-06T00:00:00"/>
    <n v="1000"/>
    <n v="1000"/>
    <x v="12"/>
    <d v="2012-02-11T00:00:00"/>
    <m/>
    <n v="9321667158"/>
    <n v="10"/>
    <s v="MSKU0856800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1194/000010"/>
    <n v="1370150388"/>
    <n v="10"/>
    <x v="0"/>
    <x v="0"/>
    <s v="A1"/>
    <n v="2100068421"/>
    <n v="200"/>
    <s v="C1562374       "/>
    <s v="C1562374 REAL EASY NS RED 2QT COVERED SA          "/>
    <s v="S"/>
    <d v="2012-02-01T00:00:00"/>
    <m/>
    <s v="X"/>
    <x v="63"/>
    <n v="6.3060999999999998"/>
    <n v="7"/>
    <d v="2012-02-21T00:00:00"/>
    <d v="2012-01-17T00:00:00"/>
    <n v="8000"/>
    <d v="2012-01-20T00:00:00"/>
    <n v="8004"/>
    <m/>
    <d v="2012-02-03T00:00:00"/>
    <n v="8000"/>
    <d v="2012-02-24T00:00:00"/>
    <d v="2012-01-20T00:00:00"/>
    <n v="8004"/>
    <n v="4900"/>
    <x v="14"/>
    <d v="2012-02-24T00:00:00"/>
    <m/>
    <n v="9321667159"/>
    <n v="10"/>
    <s v="TGHU9402796"/>
    <s v="CLEMENTINE MAERSK"/>
    <m/>
    <s v="NINGBO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4/000010"/>
    <n v="1370150388"/>
    <n v="10"/>
    <x v="0"/>
    <x v="0"/>
    <s v="A1"/>
    <n v="2100068421"/>
    <n v="200"/>
    <s v="C1562374       "/>
    <s v="C1562374 REAL EASY NS RED 2QT COVERED SA          "/>
    <s v="S"/>
    <d v="2012-02-01T00:00:00"/>
    <m/>
    <s v="X"/>
    <x v="63"/>
    <n v="6.3060999999999998"/>
    <n v="7"/>
    <d v="2012-02-21T00:00:00"/>
    <d v="2012-01-17T00:00:00"/>
    <n v="8000"/>
    <d v="2012-01-20T00:00:00"/>
    <n v="8004"/>
    <m/>
    <d v="2012-02-03T00:00:00"/>
    <n v="8000"/>
    <d v="2012-02-24T00:00:00"/>
    <d v="2012-01-20T00:00:00"/>
    <n v="8004"/>
    <n v="3104"/>
    <x v="14"/>
    <d v="2012-02-24T00:00:00"/>
    <m/>
    <n v="9321667159"/>
    <n v="10"/>
    <s v="GESU4082573"/>
    <s v="CLEMENTINE MAERSK"/>
    <m/>
    <s v="NINGBO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79/000010"/>
    <n v="1370150389"/>
    <n v="10"/>
    <x v="0"/>
    <x v="0"/>
    <s v="A1"/>
    <n v="2100068423"/>
    <n v="200"/>
    <s v="C1560774       "/>
    <s v="C1560774 REAL EASY NS RED 12&quot; SKILLET W/          "/>
    <s v="S"/>
    <d v="2012-01-09T00:00:00"/>
    <m/>
    <s v="X"/>
    <x v="63"/>
    <n v="6.8734999999999999"/>
    <n v="7206"/>
    <d v="2012-02-02T00:00:00"/>
    <d v="2011-12-29T00:00:00"/>
    <n v="22400"/>
    <d v="2012-01-06T00:00:00"/>
    <n v="22400"/>
    <m/>
    <d v="2012-01-06T00:00:00"/>
    <n v="22428"/>
    <d v="2012-02-10T00:00:00"/>
    <d v="2012-01-06T00:00:00"/>
    <n v="22400"/>
    <n v="5080"/>
    <x v="12"/>
    <d v="2012-02-11T00:00:00"/>
    <m/>
    <n v="9321667160"/>
    <n v="10"/>
    <s v="MRKU2670617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79/000010"/>
    <n v="1370150389"/>
    <n v="10"/>
    <x v="0"/>
    <x v="0"/>
    <s v="A1"/>
    <n v="2100068423"/>
    <n v="200"/>
    <s v="C1560774       "/>
    <s v="C1560774 REAL EASY NS RED 12&quot; SKILLET W/          "/>
    <s v="S"/>
    <d v="2012-01-09T00:00:00"/>
    <m/>
    <s v="X"/>
    <x v="63"/>
    <n v="6.8734999999999999"/>
    <n v="7206"/>
    <d v="2012-02-02T00:00:00"/>
    <d v="2011-12-29T00:00:00"/>
    <n v="22400"/>
    <d v="2012-01-06T00:00:00"/>
    <n v="22400"/>
    <m/>
    <d v="2012-01-06T00:00:00"/>
    <n v="22428"/>
    <d v="2012-02-10T00:00:00"/>
    <d v="2012-01-06T00:00:00"/>
    <n v="22400"/>
    <n v="2052"/>
    <x v="12"/>
    <d v="2012-02-11T00:00:00"/>
    <m/>
    <n v="9321667160"/>
    <n v="10"/>
    <s v="MSKU9062288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79/000010"/>
    <n v="1370150389"/>
    <n v="10"/>
    <x v="0"/>
    <x v="0"/>
    <s v="A1"/>
    <n v="2100068423"/>
    <n v="200"/>
    <s v="C1560774       "/>
    <s v="C1560774 REAL EASY NS RED 12&quot; SKILLET W/          "/>
    <s v="S"/>
    <d v="2012-01-09T00:00:00"/>
    <m/>
    <s v="X"/>
    <x v="63"/>
    <n v="6.8734999999999999"/>
    <n v="7206"/>
    <d v="2012-02-02T00:00:00"/>
    <d v="2011-12-29T00:00:00"/>
    <n v="22400"/>
    <d v="2012-01-06T00:00:00"/>
    <n v="22400"/>
    <m/>
    <d v="2012-01-06T00:00:00"/>
    <n v="22428"/>
    <d v="2012-02-10T00:00:00"/>
    <d v="2012-01-06T00:00:00"/>
    <n v="22400"/>
    <n v="5080"/>
    <x v="12"/>
    <d v="2012-02-11T00:00:00"/>
    <m/>
    <n v="9321667160"/>
    <n v="10"/>
    <s v="POCU7078574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79/000010"/>
    <n v="1370150389"/>
    <n v="10"/>
    <x v="0"/>
    <x v="0"/>
    <s v="A1"/>
    <n v="2100068423"/>
    <n v="200"/>
    <s v="C1560774       "/>
    <s v="C1560774 REAL EASY NS RED 12&quot; SKILLET W/          "/>
    <s v="S"/>
    <d v="2012-01-09T00:00:00"/>
    <m/>
    <s v="X"/>
    <x v="63"/>
    <n v="6.8734999999999999"/>
    <n v="7206"/>
    <d v="2012-02-02T00:00:00"/>
    <d v="2011-12-29T00:00:00"/>
    <n v="22400"/>
    <d v="2012-01-06T00:00:00"/>
    <n v="22400"/>
    <m/>
    <d v="2012-01-06T00:00:00"/>
    <n v="22428"/>
    <d v="2012-02-10T00:00:00"/>
    <d v="2012-01-06T00:00:00"/>
    <n v="22400"/>
    <n v="5080"/>
    <x v="12"/>
    <d v="2012-02-11T00:00:00"/>
    <m/>
    <n v="9321667160"/>
    <n v="10"/>
    <s v="MSKU8609283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79/000010"/>
    <n v="1370150389"/>
    <n v="10"/>
    <x v="0"/>
    <x v="0"/>
    <s v="A1"/>
    <n v="2100068423"/>
    <n v="200"/>
    <s v="C1560774       "/>
    <s v="C1560774 REAL EASY NS RED 12&quot; SKILLET W/          "/>
    <s v="S"/>
    <d v="2012-01-09T00:00:00"/>
    <m/>
    <s v="X"/>
    <x v="63"/>
    <n v="6.8734999999999999"/>
    <n v="7206"/>
    <d v="2012-02-02T00:00:00"/>
    <d v="2011-12-29T00:00:00"/>
    <n v="22400"/>
    <d v="2012-01-06T00:00:00"/>
    <n v="22400"/>
    <m/>
    <d v="2012-01-06T00:00:00"/>
    <n v="22428"/>
    <d v="2012-02-10T00:00:00"/>
    <d v="2012-01-06T00:00:00"/>
    <n v="22400"/>
    <n v="5080"/>
    <x v="12"/>
    <d v="2012-02-11T00:00:00"/>
    <m/>
    <n v="9321667160"/>
    <n v="10"/>
    <s v="MSKU0234508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401/000010"/>
    <n v="1370150392"/>
    <n v="10"/>
    <x v="0"/>
    <x v="0"/>
    <s v="A1"/>
    <n v="2100051727"/>
    <n v="212"/>
    <n v="115001461"/>
    <s v="A8870764 MIRRO SATINNGLASS BRUSHED ALUM           "/>
    <s v="S"/>
    <d v="2012-01-19T00:00:00"/>
    <m/>
    <s v="X"/>
    <x v="63"/>
    <n v="5.4954000000000001"/>
    <n v="6"/>
    <d v="2012-03-01T00:00:00"/>
    <d v="2012-01-26T00:00:00"/>
    <n v="1002"/>
    <d v="2012-01-26T00:00:00"/>
    <n v="1002"/>
    <m/>
    <d v="2012-01-27T00:00:00"/>
    <n v="1002"/>
    <d v="2012-02-24T00:00:00"/>
    <d v="2012-01-20T00:00:00"/>
    <n v="1002"/>
    <n v="1002"/>
    <x v="14"/>
    <d v="2012-02-24T00:00:00"/>
    <m/>
    <n v="9321667161"/>
    <n v="10"/>
    <s v="CAXU9151207"/>
    <s v="CLEMENTINE MAERSK/56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96/000010"/>
    <n v="1370150393"/>
    <n v="10"/>
    <x v="0"/>
    <x v="0"/>
    <s v="A1"/>
    <n v="2100051725"/>
    <n v="212"/>
    <n v="115001960"/>
    <s v="A8870264 MIRRO SATINNGLASS BRUSHED ALUM           "/>
    <s v="S"/>
    <d v="2012-02-01T00:00:00"/>
    <m/>
    <s v="X"/>
    <x v="63"/>
    <n v="3.2702"/>
    <n v="3"/>
    <d v="2012-02-21T00:00:00"/>
    <d v="2012-01-17T00:00:00"/>
    <n v="1002"/>
    <d v="2012-01-17T00:00:00"/>
    <n v="1002"/>
    <m/>
    <d v="2012-01-20T00:00:00"/>
    <n v="1002"/>
    <d v="2012-02-24T00:00:00"/>
    <d v="2012-01-20T00:00:00"/>
    <n v="1002"/>
    <n v="1002"/>
    <x v="14"/>
    <d v="2012-02-24T00:00:00"/>
    <m/>
    <n v="9321667162"/>
    <n v="10"/>
    <s v="INKU2588111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3032/000010"/>
    <n v="1370150421"/>
    <n v="10"/>
    <x v="0"/>
    <x v="0"/>
    <s v="A1"/>
    <n v="2100060483"/>
    <n v="205"/>
    <n v="116000727"/>
    <s v="C900S414 SET 4P+LID SO COOK SS POLI IND           "/>
    <s v="S"/>
    <d v="2012-01-07T00:00:00"/>
    <m/>
    <s v="X"/>
    <x v="63"/>
    <n v="39.206200000000003"/>
    <n v="29"/>
    <d v="2012-02-03T00:00:00"/>
    <d v="2012-01-06T00:00:00"/>
    <n v="1170"/>
    <d v="2012-01-06T00:00:00"/>
    <n v="1170"/>
    <m/>
    <d v="2012-01-05T00:00:00"/>
    <n v="1170"/>
    <d v="2012-02-02T00:00:00"/>
    <d v="2012-01-05T00:00:00"/>
    <n v="1170"/>
    <n v="1170"/>
    <x v="2"/>
    <d v="2012-02-01T00:00:00"/>
    <m/>
    <n v="9321667164"/>
    <n v="10"/>
    <s v="DRYU4064768"/>
    <s v="OOCL LONDON 010W/"/>
    <m/>
    <s v="NINGBO"/>
    <m/>
    <m/>
    <s v="KENUS WONG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2996/000010"/>
    <n v="1370150443"/>
    <n v="10"/>
    <x v="0"/>
    <x v="0"/>
    <s v="A1"/>
    <n v="2100063618"/>
    <n v="205"/>
    <n v="116000924"/>
    <s v="C900S314 SET 3P+LID SO COOK SS POLISHED           "/>
    <s v="S"/>
    <d v="2012-01-18T00:00:00"/>
    <m/>
    <s v="X"/>
    <x v="63"/>
    <n v="33.988999999999997"/>
    <n v="34"/>
    <d v="2012-01-16T00:00:00"/>
    <d v="2012-01-02T00:00:00"/>
    <n v="1000"/>
    <d v="2012-01-02T00:00:00"/>
    <n v="1000"/>
    <m/>
    <d v="2012-01-05T00:00:00"/>
    <n v="1000"/>
    <d v="2012-01-19T00:00:00"/>
    <d v="2012-01-05T00:00:00"/>
    <n v="1000"/>
    <n v="1000"/>
    <x v="12"/>
    <d v="2012-01-21T00:00:00"/>
    <m/>
    <n v="9321667166"/>
    <n v="10"/>
    <s v="CCLU7278628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63/000010"/>
    <n v="1370150889"/>
    <n v="10"/>
    <x v="0"/>
    <x v="0"/>
    <s v="A1"/>
    <n v="2100064343"/>
    <n v="201"/>
    <n v="116000937"/>
    <s v="C172S564 SET 5P EASY CAR B GREY ROCHEDO           "/>
    <s v="S"/>
    <d v="2012-02-03T00:00:00"/>
    <m/>
    <s v="X"/>
    <x v="63"/>
    <n v="26.7029"/>
    <n v="28"/>
    <d v="2012-02-27T00:00:00"/>
    <d v="2012-01-16T00:00:00"/>
    <n v="2130"/>
    <d v="2012-01-22T00:00:00"/>
    <n v="2130"/>
    <m/>
    <d v="2012-02-19T00:00:00"/>
    <n v="2130"/>
    <d v="2012-03-04T00:00:00"/>
    <d v="2012-01-22T00:00:00"/>
    <n v="2130"/>
    <n v="1500"/>
    <x v="1"/>
    <d v="2012-03-05T00:00:00"/>
    <m/>
    <n v="9321667169"/>
    <n v="10"/>
    <s v="SUDU5727413"/>
    <s v="MAERSK LA PAZ 203W/"/>
    <m/>
    <s v="NINGBO"/>
    <s v="C-PULLIN-CONF/SP-OVERCAP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2"/>
    <x v="0"/>
    <x v="1"/>
    <x v="0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63/000010"/>
    <n v="1370150889"/>
    <n v="10"/>
    <x v="0"/>
    <x v="0"/>
    <s v="A1"/>
    <n v="2100064343"/>
    <n v="201"/>
    <n v="116000937"/>
    <s v="C172S564 SET 5P EASY CAR B GREY ROCHEDO           "/>
    <s v="S"/>
    <d v="2012-02-03T00:00:00"/>
    <m/>
    <s v="X"/>
    <x v="63"/>
    <n v="26.7029"/>
    <n v="28"/>
    <d v="2012-02-27T00:00:00"/>
    <d v="2012-01-16T00:00:00"/>
    <n v="2130"/>
    <d v="2012-01-22T00:00:00"/>
    <n v="2130"/>
    <m/>
    <d v="2012-02-19T00:00:00"/>
    <n v="2130"/>
    <d v="2012-03-04T00:00:00"/>
    <d v="2012-01-22T00:00:00"/>
    <n v="2130"/>
    <n v="630"/>
    <x v="1"/>
    <d v="2012-03-05T00:00:00"/>
    <m/>
    <n v="9321667169"/>
    <n v="10"/>
    <s v="SUDU4965037"/>
    <s v="MAERSK LA PAZ 203W/"/>
    <m/>
    <s v="NINGBO"/>
    <s v="C-PULLIN-CONF/SP-OVERCAP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2"/>
    <x v="0"/>
    <x v="1"/>
    <x v="0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61/000010"/>
    <n v="1370150890"/>
    <n v="10"/>
    <x v="0"/>
    <x v="0"/>
    <s v="A1"/>
    <n v="2100064334"/>
    <n v="201"/>
    <n v="115003058"/>
    <s v="C1720764 FP30 GOU BIS GREY TC TP ROCHEDO          "/>
    <s v="S"/>
    <d v="2012-02-03T00:00:00"/>
    <m/>
    <s v="X"/>
    <x v="63"/>
    <n v="5.9208999999999996"/>
    <n v="6"/>
    <d v="2012-02-27T00:00:00"/>
    <d v="2012-01-16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70"/>
    <n v="10"/>
    <s v="SUDU4965037"/>
    <s v="MAERSK LA PAZ 203W/"/>
    <m/>
    <s v="NINGBO"/>
    <s v="C-PULLIN-CONF/SP-OVERCAP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2"/>
    <x v="0"/>
    <x v="1"/>
    <x v="0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60/000010"/>
    <n v="1370150891"/>
    <n v="10"/>
    <x v="0"/>
    <x v="0"/>
    <s v="A1"/>
    <n v="2100064333"/>
    <n v="201"/>
    <n v="115003057"/>
    <s v="C1720464 FP24 GOU BIS GREY TC TP ROCHEDO          "/>
    <s v="S"/>
    <d v="2012-02-03T00:00:00"/>
    <m/>
    <s v="X"/>
    <x v="63"/>
    <n v="4.5675999999999997"/>
    <n v="5"/>
    <d v="2012-02-27T00:00:00"/>
    <d v="2012-01-16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71"/>
    <n v="10"/>
    <s v="SUDU4965037"/>
    <s v="MAERSK LA PAZ 203W/"/>
    <m/>
    <s v="NINGBO"/>
    <s v="C-PULLIN-CONF/SP-OVERCAP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2"/>
    <x v="0"/>
    <x v="1"/>
    <x v="0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59/000010"/>
    <n v="1370150892"/>
    <n v="10"/>
    <x v="0"/>
    <x v="0"/>
    <s v="A1"/>
    <n v="2100064332"/>
    <n v="201"/>
    <n v="115003056"/>
    <s v="C1720264 FP20 GOU BIS GREY TC TP ROCHEDO          "/>
    <s v="S"/>
    <d v="2012-02-03T00:00:00"/>
    <m/>
    <s v="X"/>
    <x v="63"/>
    <n v="3.6608000000000001"/>
    <n v="4"/>
    <d v="2012-02-27T00:00:00"/>
    <d v="2012-01-16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72"/>
    <n v="10"/>
    <s v="SUDU4965037"/>
    <s v="MAERSK LA PAZ 203W/"/>
    <m/>
    <s v="NINGBO"/>
    <s v="C-PULLIN-CONF/SP-OVERCAP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2"/>
    <x v="0"/>
    <x v="1"/>
    <x v="0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58/000010"/>
    <n v="1370150893"/>
    <n v="10"/>
    <x v="0"/>
    <x v="0"/>
    <s v="A1"/>
    <n v="2100064342"/>
    <n v="201"/>
    <n v="115003062"/>
    <s v="C1728264 JUMB C30LID STR B GREY ROCHEDO           "/>
    <s v="S"/>
    <d v="2012-02-03T00:00:00"/>
    <m/>
    <s v="X"/>
    <x v="63"/>
    <n v="9.7318999999999996"/>
    <n v="10"/>
    <d v="2012-03-19T00:00:00"/>
    <d v="2012-02-06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73"/>
    <n v="10"/>
    <s v="SUDU5627841"/>
    <s v="MAERSK LA PAZ 203W/"/>
    <m/>
    <s v="NINGBO"/>
    <s v="C-PULLIN-CONF/SP-OVERCAP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2"/>
    <x v="0"/>
    <x v="0"/>
    <x v="0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57/000010"/>
    <n v="1370150894"/>
    <n v="10"/>
    <x v="0"/>
    <x v="0"/>
    <s v="A1"/>
    <n v="2100064341"/>
    <n v="201"/>
    <n v="115003061"/>
    <s v="C1724664 D.OV24LID EAS CAR B GREY ROCHED          "/>
    <s v="S"/>
    <d v="2012-02-03T00:00:00"/>
    <m/>
    <s v="X"/>
    <x v="63"/>
    <n v="9.2211999999999996"/>
    <n v="10"/>
    <d v="2012-02-23T00:00:00"/>
    <d v="2012-01-12T00:00:00"/>
    <n v="1096"/>
    <d v="2012-01-22T00:00:00"/>
    <n v="1096"/>
    <m/>
    <d v="2012-02-19T00:00:00"/>
    <n v="1096"/>
    <d v="2012-03-04T00:00:00"/>
    <d v="2012-01-22T00:00:00"/>
    <n v="1096"/>
    <n v="1096"/>
    <x v="1"/>
    <d v="2012-03-05T00:00:00"/>
    <m/>
    <n v="9321667174"/>
    <n v="10"/>
    <s v="SUDU5600590"/>
    <s v="MAERSK LA PAZ 203W/"/>
    <m/>
    <s v="NINGBO"/>
    <s v="C-PULLIN-CONF/SP-OVERCAP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2"/>
    <x v="0"/>
    <x v="0"/>
    <x v="0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56/000010"/>
    <n v="1370150895"/>
    <n v="10"/>
    <x v="0"/>
    <x v="0"/>
    <s v="A1"/>
    <n v="2100064339"/>
    <n v="201"/>
    <n v="115003055"/>
    <s v="C1722464 SCP20LID EAS CAR B GREY ROCHEDO          "/>
    <s v="S"/>
    <d v="2012-02-03T00:00:00"/>
    <m/>
    <s v="X"/>
    <x v="63"/>
    <n v="6.7095000000000002"/>
    <n v="7"/>
    <d v="2012-02-27T00:00:00"/>
    <d v="2012-01-16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75"/>
    <n v="10"/>
    <s v="SUDU5600590"/>
    <s v="MAERSK LA PAZ 203W/"/>
    <m/>
    <s v="NINGBO"/>
    <s v="C-PULLIN-CONF/SP-OVERCAP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2"/>
    <x v="0"/>
    <x v="1"/>
    <x v="0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52/000010"/>
    <n v="1370150897"/>
    <n v="10"/>
    <x v="0"/>
    <x v="0"/>
    <s v="A1"/>
    <n v="2100064255"/>
    <n v="201"/>
    <n v="116000938"/>
    <s v="C171S564 SET 5 PCS  ROCHEDO DELICE BRESI          "/>
    <s v="S"/>
    <d v="2012-01-18T00:00:00"/>
    <m/>
    <s v="X"/>
    <x v="63"/>
    <n v="30.9175"/>
    <n v="32"/>
    <d v="2012-03-19T00:00:00"/>
    <d v="2012-02-06T00:00:00"/>
    <n v="1442"/>
    <d v="2012-01-22T00:00:00"/>
    <n v="1442"/>
    <m/>
    <d v="2012-02-19T00:00:00"/>
    <n v="1442"/>
    <d v="2012-03-04T00:00:00"/>
    <d v="2012-01-22T00:00:00"/>
    <n v="1442"/>
    <n v="1442"/>
    <x v="8"/>
    <d v="2012-02-27T00:00:00"/>
    <m/>
    <n v="9321667177"/>
    <n v="10"/>
    <s v="MSKU8471255"/>
    <s v="MAERSK LUZ 202W/"/>
    <m/>
    <s v="NINGBO"/>
    <s v="C-PULLIN-CONF/SP-OVERCAP/"/>
    <m/>
    <m/>
    <s v="FO9"/>
    <s v="COOKWARE                      "/>
    <s v="CONFIRMED"/>
    <n v="1"/>
    <n v="3"/>
    <d v="2012-01-16T00:00:00"/>
    <s v="COOKWARE                      "/>
    <s v="COOKWARE                      "/>
    <x v="0"/>
    <x v="0"/>
    <x v="11"/>
    <s v="SP-OVERCAP"/>
    <n v="-3"/>
    <n v="-3"/>
    <x v="9"/>
    <n v="2"/>
    <x v="0"/>
    <x v="0"/>
    <x v="0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44/000010"/>
    <n v="1370150898"/>
    <n v="10"/>
    <x v="0"/>
    <x v="0"/>
    <s v="A1"/>
    <n v="2100064295"/>
    <n v="223"/>
    <n v="116001043"/>
    <s v="L915S564 SET 5 PCS ROCHEDO INGENIO SS BR          "/>
    <s v="S"/>
    <d v="2012-02-03T00:00:00"/>
    <m/>
    <s v="X"/>
    <x v="63"/>
    <n v="40.794499999999999"/>
    <n v="41"/>
    <d v="2012-01-30T00:00:00"/>
    <d v="2011-12-19T00:00:00"/>
    <n v="1295"/>
    <d v="2012-01-15T00:00:00"/>
    <n v="1295"/>
    <m/>
    <d v="2012-01-15T00:00:00"/>
    <n v="1295"/>
    <d v="2012-03-04T00:00:00"/>
    <d v="2012-01-22T00:00:00"/>
    <n v="1295"/>
    <n v="1295"/>
    <x v="1"/>
    <d v="2012-03-05T00:00:00"/>
    <m/>
    <n v="9321667178"/>
    <n v="10"/>
    <s v="SUDU6898494"/>
    <s v="MAERSK LA PAZ 203W/"/>
    <m/>
    <s v="NINGBO"/>
    <s v="SP-OVERCAP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0"/>
    <n v="0"/>
    <n v="0"/>
    <n v="0"/>
    <x v="0"/>
    <x v="1"/>
    <x v="1"/>
    <x v="0"/>
  </r>
  <r>
    <s v="Shipment"/>
    <n v="99001600"/>
    <s v="GRUPO SEB DO BRASIL                               "/>
    <n v="99001600"/>
    <x v="2"/>
    <s v="9820641337/000010"/>
    <n v="1370150900"/>
    <n v="10"/>
    <x v="0"/>
    <x v="0"/>
    <s v="A1"/>
    <n v="2100065503"/>
    <n v="205"/>
    <s v="1160010C796S564"/>
    <s v="C796S564 SET 5 PCS  ROCHEDO AGILE SS 201          "/>
    <s v="S"/>
    <d v="2012-01-10T00:00:00"/>
    <m/>
    <s v="X"/>
    <x v="63"/>
    <n v="43.772100000000002"/>
    <n v="42"/>
    <d v="2012-02-20T00:00:00"/>
    <d v="2012-01-09T00:00:00"/>
    <n v="1000"/>
    <d v="2012-01-09T00:00:00"/>
    <n v="1000"/>
    <m/>
    <d v="2012-01-08T00:00:00"/>
    <n v="1000"/>
    <d v="2012-02-19T00:00:00"/>
    <d v="2012-01-08T00:00:00"/>
    <n v="1000"/>
    <n v="1000"/>
    <x v="0"/>
    <d v="2012-02-20T00:00:00"/>
    <m/>
    <n v="9321667179"/>
    <n v="10"/>
    <s v="SUDU5832907"/>
    <s v="SANTA RITA 146W/"/>
    <m/>
    <s v="NINGBO"/>
    <m/>
    <m/>
    <m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82/000010"/>
    <n v="1370150904"/>
    <n v="10"/>
    <x v="0"/>
    <x v="0"/>
    <s v="A1"/>
    <n v="2100064295"/>
    <n v="223"/>
    <n v="116001043"/>
    <s v="L915S564 SET 5 PCS ROCHEDO INGENIO SS BR          "/>
    <s v="S"/>
    <d v="2012-02-03T00:00:00"/>
    <m/>
    <s v="X"/>
    <x v="63"/>
    <n v="40.794499999999999"/>
    <n v="41"/>
    <d v="2012-02-27T00:00:00"/>
    <d v="2012-01-16T00:00:00"/>
    <n v="1295"/>
    <d v="2012-01-16T00:00:00"/>
    <n v="1295"/>
    <m/>
    <d v="2012-01-15T00:00:00"/>
    <n v="1295"/>
    <d v="2012-03-04T00:00:00"/>
    <d v="2012-01-22T00:00:00"/>
    <n v="1295"/>
    <n v="450"/>
    <x v="1"/>
    <d v="2012-03-05T00:00:00"/>
    <m/>
    <n v="9321667181"/>
    <n v="10"/>
    <s v="SUDU6898494"/>
    <s v="MAERSK LA PAZ 203W/"/>
    <m/>
    <s v="NINGBO"/>
    <m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82/000010"/>
    <n v="1370150904"/>
    <n v="10"/>
    <x v="0"/>
    <x v="0"/>
    <s v="A1"/>
    <n v="2100064295"/>
    <n v="223"/>
    <n v="116001043"/>
    <s v="L915S564 SET 5 PCS ROCHEDO INGENIO SS BR          "/>
    <s v="S"/>
    <d v="2012-02-03T00:00:00"/>
    <m/>
    <s v="X"/>
    <x v="63"/>
    <n v="40.794499999999999"/>
    <n v="41"/>
    <d v="2012-02-27T00:00:00"/>
    <d v="2012-01-16T00:00:00"/>
    <n v="1295"/>
    <d v="2012-01-16T00:00:00"/>
    <n v="1295"/>
    <m/>
    <d v="2012-01-15T00:00:00"/>
    <n v="1295"/>
    <d v="2012-03-04T00:00:00"/>
    <d v="2012-01-22T00:00:00"/>
    <n v="1295"/>
    <n v="845"/>
    <x v="1"/>
    <d v="2012-03-05T00:00:00"/>
    <m/>
    <n v="9321667181"/>
    <n v="10"/>
    <s v="SUDU5600590"/>
    <s v="MAERSK LA PAZ 203W/"/>
    <m/>
    <s v="NINGBO"/>
    <m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73/000010"/>
    <n v="1370150907"/>
    <n v="10"/>
    <x v="0"/>
    <x v="0"/>
    <s v="A1"/>
    <n v="2100067318"/>
    <n v="207"/>
    <n v="115003395"/>
    <s v="H1160684 FP28 FLAVOUR BLACK TP3 T-FAL AM          "/>
    <s v="S"/>
    <d v="2012-01-18T00:00:00"/>
    <m/>
    <s v="X"/>
    <x v="63"/>
    <n v="9.7103000000000002"/>
    <n v="10"/>
    <d v="2012-02-27T00:00:00"/>
    <d v="2012-01-16T00:00:00"/>
    <n v="1000"/>
    <d v="2012-01-16T00:00:00"/>
    <n v="1000"/>
    <m/>
    <d v="2012-01-15T00:00:00"/>
    <n v="1000"/>
    <d v="2012-02-26T00:00:00"/>
    <d v="2012-01-15T00:00:00"/>
    <n v="1000"/>
    <n v="1000"/>
    <x v="8"/>
    <d v="2012-02-27T00:00:00"/>
    <m/>
    <n v="9321667183"/>
    <n v="10"/>
    <s v="MSKU1722810"/>
    <s v="MAERSK LUZ 202W/"/>
    <m/>
    <s v="NINGBO"/>
    <m/>
    <m/>
    <m/>
    <s v="FO9"/>
    <s v="COOKWARE                      "/>
    <s v="CONFIRMED"/>
    <n v="1"/>
    <n v="3"/>
    <d v="2012-01-1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71/000010"/>
    <n v="1370150908"/>
    <n v="10"/>
    <x v="0"/>
    <x v="0"/>
    <s v="A1"/>
    <n v="2100067319"/>
    <n v="207"/>
    <n v="115003396"/>
    <s v="H1164084 GRIL FP26X26 FLAVOUR BLACK TP3           "/>
    <s v="S"/>
    <d v="2012-01-18T00:00:00"/>
    <m/>
    <s v="X"/>
    <x v="63"/>
    <n v="9.2589000000000006"/>
    <n v="10"/>
    <d v="2012-02-23T00:00:00"/>
    <d v="2012-01-12T00:00:00"/>
    <n v="1000"/>
    <d v="2012-01-12T00:00:00"/>
    <n v="1000"/>
    <m/>
    <d v="2012-01-15T00:00:00"/>
    <n v="1000"/>
    <d v="2012-02-26T00:00:00"/>
    <d v="2012-01-15T00:00:00"/>
    <n v="1000"/>
    <n v="1000"/>
    <x v="8"/>
    <d v="2012-02-27T00:00:00"/>
    <m/>
    <n v="9321667184"/>
    <n v="10"/>
    <s v="MSKU1722810"/>
    <s v="MAERSK LUZ 202W/"/>
    <m/>
    <s v="NINGBO"/>
    <m/>
    <m/>
    <m/>
    <s v="FO9"/>
    <s v="COOKWARE                      "/>
    <s v="CONFIRMED"/>
    <n v="1"/>
    <n v="3"/>
    <d v="2012-01-1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70/000010"/>
    <n v="1370150909"/>
    <n v="10"/>
    <x v="0"/>
    <x v="0"/>
    <s v="A1"/>
    <n v="2100067320"/>
    <n v="207"/>
    <n v="115003397"/>
    <s v="H1164184 MEAT GRILL FP31 FLAVOUR BLACK T          "/>
    <s v="S"/>
    <d v="2012-01-18T00:00:00"/>
    <m/>
    <s v="X"/>
    <x v="63"/>
    <n v="9.2691999999999997"/>
    <n v="10"/>
    <d v="2012-02-23T00:00:00"/>
    <d v="2012-01-12T00:00:00"/>
    <n v="1000"/>
    <d v="2012-01-12T00:00:00"/>
    <n v="1000"/>
    <m/>
    <d v="2012-01-15T00:00:00"/>
    <n v="1000"/>
    <d v="2012-02-26T00:00:00"/>
    <d v="2012-01-15T00:00:00"/>
    <n v="1000"/>
    <n v="1000"/>
    <x v="8"/>
    <d v="2012-02-27T00:00:00"/>
    <m/>
    <n v="9321667185"/>
    <n v="10"/>
    <s v="MSKU1722810"/>
    <s v="MAERSK LUZ 202W/"/>
    <m/>
    <s v="NINGBO"/>
    <m/>
    <m/>
    <m/>
    <s v="FO9"/>
    <s v="COOKWARE                      "/>
    <s v="CONFIRMED"/>
    <n v="1"/>
    <n v="3"/>
    <d v="2012-01-1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69/000010"/>
    <n v="1370150910"/>
    <n v="10"/>
    <x v="0"/>
    <x v="0"/>
    <s v="A1"/>
    <n v="2100067321"/>
    <n v="207"/>
    <n v="115003398"/>
    <s v="H1167784 WOK FP26 FLAVOUR BLACK TP3 T-FA          "/>
    <s v="S"/>
    <d v="2012-01-18T00:00:00"/>
    <m/>
    <s v="X"/>
    <x v="63"/>
    <n v="8.5846"/>
    <n v="9"/>
    <d v="2012-02-23T00:00:00"/>
    <d v="2012-01-12T00:00:00"/>
    <n v="1000"/>
    <d v="2012-01-12T00:00:00"/>
    <n v="1000"/>
    <m/>
    <d v="2012-01-15T00:00:00"/>
    <n v="1000"/>
    <d v="2012-02-26T00:00:00"/>
    <d v="2012-01-15T00:00:00"/>
    <n v="1000"/>
    <n v="1000"/>
    <x v="8"/>
    <d v="2012-02-27T00:00:00"/>
    <m/>
    <n v="9321667186"/>
    <n v="10"/>
    <s v="MSKU1722810"/>
    <s v="MAERSK LUZ 202W/"/>
    <m/>
    <s v="NINGBO"/>
    <m/>
    <m/>
    <m/>
    <s v="FO9"/>
    <s v="COOKWARE                      "/>
    <s v="CONFIRMED"/>
    <n v="1"/>
    <n v="3"/>
    <d v="2012-01-1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68/000010"/>
    <n v="1370150911"/>
    <n v="10"/>
    <x v="0"/>
    <x v="0"/>
    <s v="A1"/>
    <n v="2100067322"/>
    <n v="207"/>
    <n v="115003399"/>
    <s v="H1163284 STP24+LID FLAVOUR BLACK TP3 T-F          "/>
    <s v="S"/>
    <d v="2012-01-18T00:00:00"/>
    <m/>
    <s v="X"/>
    <x v="63"/>
    <n v="11.292899999999999"/>
    <n v="12"/>
    <d v="2012-02-23T00:00:00"/>
    <d v="2012-01-12T00:00:00"/>
    <n v="1000"/>
    <d v="2012-01-12T00:00:00"/>
    <n v="1000"/>
    <m/>
    <d v="2012-01-15T00:00:00"/>
    <n v="1000"/>
    <d v="2012-02-26T00:00:00"/>
    <d v="2012-01-15T00:00:00"/>
    <n v="1000"/>
    <n v="1000"/>
    <x v="8"/>
    <d v="2012-02-27T00:00:00"/>
    <m/>
    <n v="9321667187"/>
    <n v="10"/>
    <s v="MSKU1722810"/>
    <s v="MAERSK LUZ 202W/"/>
    <m/>
    <s v="NINGBO"/>
    <m/>
    <m/>
    <m/>
    <s v="FO9"/>
    <s v="COOKWARE                      "/>
    <s v="CONFIRMED"/>
    <n v="1"/>
    <n v="3"/>
    <d v="2012-01-16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36/000010"/>
    <n v="1370150914"/>
    <n v="10"/>
    <x v="0"/>
    <x v="0"/>
    <s v="A1"/>
    <n v="2100064335"/>
    <n v="201"/>
    <n v="115003063"/>
    <s v="C1724064 GRILL FP26X26 B GREY TP ROCHEDO          "/>
    <s v="S"/>
    <d v="2012-02-03T00:00:00"/>
    <m/>
    <s v="X"/>
    <x v="63"/>
    <n v="6.8064"/>
    <n v="7"/>
    <d v="2012-02-20T00:00:00"/>
    <d v="2012-01-09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89"/>
    <n v="10"/>
    <s v="SUDU4965037"/>
    <s v="MAERSK LA PAZ 203W/"/>
    <m/>
    <s v="NINGBO"/>
    <s v="C-PULLIN-CONF/SP-OVERCAP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2"/>
    <x v="0"/>
    <x v="0"/>
    <x v="1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35/000010"/>
    <n v="1370150928"/>
    <n v="10"/>
    <x v="0"/>
    <x v="0"/>
    <s v="A1"/>
    <n v="2100064343"/>
    <n v="201"/>
    <n v="116000937"/>
    <s v="C172S564 SET 5P EASY CAR B GREY ROCHEDO           "/>
    <s v="S"/>
    <d v="2012-02-03T00:00:00"/>
    <m/>
    <s v="X"/>
    <x v="63"/>
    <n v="26.7029"/>
    <n v="28"/>
    <d v="2012-01-30T00:00:00"/>
    <d v="2011-12-19T00:00:00"/>
    <n v="3008"/>
    <d v="2012-01-22T00:00:00"/>
    <n v="3008"/>
    <m/>
    <d v="2012-02-19T00:00:00"/>
    <n v="3008"/>
    <d v="2012-03-04T00:00:00"/>
    <d v="2012-01-22T00:00:00"/>
    <n v="3008"/>
    <n v="1504"/>
    <x v="1"/>
    <d v="2012-03-05T00:00:00"/>
    <m/>
    <n v="9321667190"/>
    <n v="10"/>
    <s v="SUDU5525900"/>
    <s v="MAERSK LA PAZ 203W/"/>
    <m/>
    <s v="NINGBO"/>
    <s v="C-PULLIN-CONF/SP-OVERCAP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2"/>
    <x v="0"/>
    <x v="0"/>
    <x v="1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35/000010"/>
    <n v="1370150928"/>
    <n v="10"/>
    <x v="0"/>
    <x v="0"/>
    <s v="A1"/>
    <n v="2100064343"/>
    <n v="201"/>
    <n v="116000937"/>
    <s v="C172S564 SET 5P EASY CAR B GREY ROCHEDO           "/>
    <s v="S"/>
    <d v="2012-02-03T00:00:00"/>
    <m/>
    <s v="X"/>
    <x v="63"/>
    <n v="26.7029"/>
    <n v="28"/>
    <d v="2012-01-30T00:00:00"/>
    <d v="2011-12-19T00:00:00"/>
    <n v="3008"/>
    <d v="2012-01-22T00:00:00"/>
    <n v="3008"/>
    <m/>
    <d v="2012-02-19T00:00:00"/>
    <n v="3008"/>
    <d v="2012-03-04T00:00:00"/>
    <d v="2012-01-22T00:00:00"/>
    <n v="3008"/>
    <n v="1504"/>
    <x v="1"/>
    <d v="2012-03-05T00:00:00"/>
    <m/>
    <n v="9321667190"/>
    <n v="10"/>
    <s v="SUDU5795906"/>
    <s v="MAERSK LA PAZ 203W/"/>
    <m/>
    <s v="NINGBO"/>
    <s v="C-PULLIN-CONF/SP-OVERCAP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2"/>
    <x v="0"/>
    <x v="0"/>
    <x v="1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34/000010"/>
    <n v="1370150929"/>
    <n v="10"/>
    <x v="0"/>
    <x v="0"/>
    <s v="A1"/>
    <n v="2100064334"/>
    <n v="201"/>
    <n v="115003058"/>
    <s v="C1720764 FP30 GOU BIS GREY TC TP ROCHEDO          "/>
    <s v="S"/>
    <d v="2012-02-03T00:00:00"/>
    <m/>
    <s v="X"/>
    <x v="63"/>
    <n v="5.9208999999999996"/>
    <n v="6"/>
    <d v="2012-02-20T00:00:00"/>
    <d v="2012-01-09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91"/>
    <n v="10"/>
    <s v="SUDU4965037"/>
    <s v="MAERSK LA PAZ 203W/"/>
    <m/>
    <s v="NINGBO"/>
    <s v="C-PULLIN-CONF/SP-OVERCAP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2"/>
    <x v="0"/>
    <x v="0"/>
    <x v="1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33/000010"/>
    <n v="1370150930"/>
    <n v="10"/>
    <x v="0"/>
    <x v="0"/>
    <s v="A1"/>
    <n v="2100064333"/>
    <n v="201"/>
    <n v="115003057"/>
    <s v="C1720464 FP24 GOU BIS GREY TC TP ROCHEDO          "/>
    <s v="S"/>
    <d v="2012-02-03T00:00:00"/>
    <m/>
    <s v="X"/>
    <x v="63"/>
    <n v="4.5675999999999997"/>
    <n v="5"/>
    <d v="2012-02-06T00:00:00"/>
    <d v="2011-12-26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92"/>
    <n v="10"/>
    <s v="SUDU5600590"/>
    <s v="MAERSK LA PAZ 203W/"/>
    <m/>
    <s v="NINGBO"/>
    <s v="C-PULLIN-CONF/SP-OVERCAP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2"/>
    <x v="0"/>
    <x v="0"/>
    <x v="1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32/000010"/>
    <n v="1370150931"/>
    <n v="10"/>
    <x v="0"/>
    <x v="0"/>
    <s v="A1"/>
    <n v="2100064342"/>
    <n v="201"/>
    <n v="115003062"/>
    <s v="C1728264 JUMB C30LID STR B GREY ROCHEDO           "/>
    <s v="S"/>
    <d v="2012-02-03T00:00:00"/>
    <m/>
    <s v="X"/>
    <x v="63"/>
    <n v="9.7318999999999996"/>
    <n v="10"/>
    <d v="2012-02-20T00:00:00"/>
    <d v="2012-01-09T00:00:00"/>
    <n v="1000"/>
    <d v="2012-01-22T00:00:00"/>
    <n v="1000"/>
    <m/>
    <d v="2012-02-19T00:00:00"/>
    <n v="1000"/>
    <d v="2012-03-04T00:00:00"/>
    <d v="2012-01-22T00:00:00"/>
    <n v="1000"/>
    <n v="1000"/>
    <x v="1"/>
    <d v="2012-03-05T00:00:00"/>
    <m/>
    <n v="9321667193"/>
    <n v="10"/>
    <s v="SUDU5627841"/>
    <s v="MAERSK LA PAZ 203W/"/>
    <m/>
    <s v="NINGBO"/>
    <s v="C-PULLIN-CONF/SP-OVERCAP/"/>
    <m/>
    <m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2"/>
    <x v="0"/>
    <x v="0"/>
    <x v="1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65816/000010"/>
    <n v="1370151012"/>
    <n v="10"/>
    <x v="0"/>
    <x v="0"/>
    <s v="A1"/>
    <n v="2100046387"/>
    <n v="205"/>
    <n v="115001160"/>
    <s v="B8010405 FP24 4U SS COATED FCE                    "/>
    <s v="S"/>
    <d v="2012-01-10T00:00:00"/>
    <m/>
    <s v="X"/>
    <x v="63"/>
    <n v="9.2345000000000006"/>
    <n v="285"/>
    <d v="2012-02-27T00:00:00"/>
    <d v="2012-01-09T00:00:00"/>
    <n v="1002"/>
    <d v="2012-01-09T00:00:00"/>
    <n v="1002"/>
    <m/>
    <d v="2012-01-07T00:00:00"/>
    <n v="1002"/>
    <d v="2012-02-25T00:00:00"/>
    <d v="2012-01-07T00:00:00"/>
    <n v="1002"/>
    <n v="1002"/>
    <x v="0"/>
    <d v="2012-02-27T00:00:00"/>
    <m/>
    <n v="9321667194"/>
    <n v="10"/>
    <s v="APZU3828575"/>
    <s v="MOL COMPETENCE/021W"/>
    <m/>
    <s v="NINGBO"/>
    <m/>
    <m/>
    <s v="KENUS WONG"/>
    <s v="FO9"/>
    <s v="COOKWARE                      "/>
    <s v="CONFIRMED"/>
    <n v="1"/>
    <n v="2"/>
    <d v="2012-01-09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5661/000010"/>
    <n v="1370151021"/>
    <n v="10"/>
    <x v="0"/>
    <x v="0"/>
    <s v="A1"/>
    <n v="2100052525"/>
    <n v="201"/>
    <n v="115001781"/>
    <s v="A8370462 FP24 BANQUET EASY CARE BLACK IR          "/>
    <s v="S"/>
    <d v="2012-01-18T00:00:00"/>
    <m/>
    <s v="X"/>
    <x v="63"/>
    <n v="4.3775000000000004"/>
    <n v="5"/>
    <d v="2012-01-23T00:00:00"/>
    <d v="2012-01-09T00:00:00"/>
    <n v="1000"/>
    <d v="2012-01-09T00:00:00"/>
    <n v="1000"/>
    <m/>
    <d v="2012-01-12T00:00:00"/>
    <n v="1000"/>
    <d v="2012-01-19T00:00:00"/>
    <d v="2012-01-05T00:00:00"/>
    <n v="1000"/>
    <n v="1000"/>
    <x v="12"/>
    <d v="2012-01-21T00:00:00"/>
    <m/>
    <n v="9321667195"/>
    <n v="10"/>
    <s v="CCLU7083729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5645/000010"/>
    <n v="1370151022"/>
    <n v="10"/>
    <x v="0"/>
    <x v="0"/>
    <s v="A1"/>
    <n v="2100052523"/>
    <n v="201"/>
    <n v="115001779"/>
    <s v="A8370262 FP20 BANQUET EASY CARE BLACK IR          "/>
    <s v="S"/>
    <d v="2012-01-19T00:00:00"/>
    <m/>
    <s v="X"/>
    <x v="63"/>
    <n v="3.6623999999999999"/>
    <n v="4"/>
    <d v="2012-01-23T00:00:00"/>
    <d v="2012-01-09T00:00:00"/>
    <n v="1002"/>
    <d v="2012-01-09T00:00:00"/>
    <n v="1002"/>
    <m/>
    <d v="2012-01-12T00:00:00"/>
    <n v="1002"/>
    <d v="2012-01-19T00:00:00"/>
    <d v="2012-01-05T00:00:00"/>
    <n v="1002"/>
    <n v="1002"/>
    <x v="12"/>
    <d v="2012-01-21T00:00:00"/>
    <m/>
    <n v="9321667196"/>
    <n v="10"/>
    <s v="GESU5844328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5640/000010"/>
    <n v="1370151023"/>
    <n v="10"/>
    <x v="0"/>
    <x v="0"/>
    <s v="A1"/>
    <n v="2100052527"/>
    <n v="201"/>
    <n v="115001782"/>
    <s v="A8370662 FP28 BANQUET EASY CARE BLACK IR          "/>
    <s v="S"/>
    <d v="2012-01-17T00:00:00"/>
    <m/>
    <s v="X"/>
    <x v="63"/>
    <n v="5.3449"/>
    <n v="6"/>
    <d v="2012-01-23T00:00:00"/>
    <d v="2012-01-09T00:00:00"/>
    <n v="1200"/>
    <d v="2012-01-09T00:00:00"/>
    <n v="1200"/>
    <m/>
    <d v="2012-01-12T00:00:00"/>
    <n v="1200"/>
    <d v="2012-01-19T00:00:00"/>
    <d v="2012-01-05T00:00:00"/>
    <n v="1200"/>
    <n v="1200"/>
    <x v="13"/>
    <d v="2012-01-15T00:00:00"/>
    <m/>
    <n v="9321667197"/>
    <n v="10"/>
    <s v="CCLU4291652"/>
    <s v="HATSU COURAGE /0078W"/>
    <m/>
    <s v="NINGBO"/>
    <m/>
    <m/>
    <s v="ZANDRA LAM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1"/>
    <m/>
    <n v="0"/>
    <n v="0"/>
    <x v="1"/>
    <n v="0"/>
    <x v="0"/>
    <x v="0"/>
    <x v="1"/>
    <n v="0"/>
    <n v="0"/>
    <n v="0"/>
    <n v="0"/>
    <n v="0"/>
    <n v="0"/>
    <x v="1"/>
    <x v="0"/>
    <x v="1"/>
    <x v="0"/>
  </r>
  <r>
    <s v="Shipment"/>
    <n v="99103498"/>
    <s v="GSE/DSV BLP WAREHOUSE YANTIAN                     "/>
    <n v="99005151"/>
    <x v="18"/>
    <s v="9321665636/000010"/>
    <n v="1370151024"/>
    <n v="10"/>
    <x v="0"/>
    <x v="0"/>
    <s v="A1"/>
    <n v="2100063377"/>
    <n v="207"/>
    <n v="115003045"/>
    <s v="H1154614 D.OV24+LID FLAVOUR BLACK TEFAL           "/>
    <s v="S"/>
    <d v="2012-01-19T00:00:00"/>
    <m/>
    <s v="X"/>
    <x v="63"/>
    <n v="13.5589"/>
    <n v="14"/>
    <d v="2012-01-23T00:00:00"/>
    <d v="2012-01-09T00:00:00"/>
    <n v="1000"/>
    <d v="2012-01-05T00:00:00"/>
    <n v="1000"/>
    <m/>
    <d v="2012-01-19T00:00:00"/>
    <n v="1000"/>
    <d v="2012-01-19T00:00:00"/>
    <d v="2012-01-05T00:00:00"/>
    <n v="1000"/>
    <n v="1000"/>
    <x v="12"/>
    <d v="2012-01-21T00:00:00"/>
    <m/>
    <n v="9321667198"/>
    <n v="10"/>
    <s v="GESU5844328"/>
    <s v="HATSU COURAGE /0078W"/>
    <m/>
    <s v="NINGBO"/>
    <s v="SP-HOLIDAY/SP-OVERCAP/"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103498"/>
    <s v="GSE/DSV BLP WAREHOUSE YANTIAN                     "/>
    <n v="99005151"/>
    <x v="18"/>
    <s v="9321665634/000010"/>
    <n v="1370151025"/>
    <n v="10"/>
    <x v="0"/>
    <x v="0"/>
    <s v="A1"/>
    <n v="2100063370"/>
    <n v="207"/>
    <n v="115003038"/>
    <s v="H1150514 FP26 FLAVOUR TP3 BLACK TEFAL FC          "/>
    <s v="S"/>
    <d v="2012-01-17T00:00:00"/>
    <m/>
    <s v="X"/>
    <x v="63"/>
    <n v="9.4147999999999996"/>
    <n v="10"/>
    <d v="2012-01-23T00:00:00"/>
    <d v="2012-01-09T00:00:00"/>
    <n v="1000"/>
    <d v="2012-01-05T00:00:00"/>
    <n v="1000"/>
    <m/>
    <d v="2012-01-19T00:00:00"/>
    <n v="1000"/>
    <d v="2012-01-19T00:00:00"/>
    <d v="2012-01-05T00:00:00"/>
    <n v="1000"/>
    <n v="1000"/>
    <x v="13"/>
    <d v="2012-01-15T00:00:00"/>
    <m/>
    <n v="9321667199"/>
    <n v="10"/>
    <s v="CCLU4291652"/>
    <s v="HATSU COURAGE /0078W"/>
    <m/>
    <s v="NINGBO"/>
    <s v="SP-HOLIDAY/SP-OVERCAP/"/>
    <m/>
    <s v="ZANDRA LAM"/>
    <s v="FO9"/>
    <s v="COOKWARE                      "/>
    <s v="CONFIRMED"/>
    <n v="1"/>
    <n v="52"/>
    <d v="2012-01-01T00:00:00"/>
    <s v="COOKWARE                      "/>
    <s v="COOKWARE                      "/>
    <x v="0"/>
    <x v="0"/>
    <x v="7"/>
    <s v="SP-HOLIDAY"/>
    <n v="-3"/>
    <n v="-3"/>
    <x v="6"/>
    <n v="2"/>
    <x v="0"/>
    <x v="0"/>
    <x v="1"/>
    <n v="1"/>
    <n v="0"/>
    <n v="1"/>
    <n v="0"/>
    <n v="0"/>
    <n v="1"/>
    <x v="0"/>
    <x v="0"/>
    <x v="1"/>
    <x v="1"/>
  </r>
  <r>
    <s v="Shipment"/>
    <n v="99103498"/>
    <s v="GSE/DSV BLP WAREHOUSE YANTIAN                     "/>
    <n v="99005151"/>
    <x v="18"/>
    <s v="9321665663/000010"/>
    <n v="1370151031"/>
    <n v="10"/>
    <x v="0"/>
    <x v="0"/>
    <s v="A1"/>
    <n v="2100052528"/>
    <n v="201"/>
    <n v="115001783"/>
    <s v="A8370762 FP30 BANQUET EASY CARE BLACK IR          "/>
    <s v="S"/>
    <d v="2012-01-17T00:00:00"/>
    <m/>
    <s v="X"/>
    <x v="63"/>
    <n v="6.0431999999999997"/>
    <n v="6"/>
    <d v="2012-01-23T00:00:00"/>
    <d v="2012-01-09T00:00:00"/>
    <n v="1000"/>
    <d v="2012-01-09T00:00:00"/>
    <n v="1000"/>
    <m/>
    <d v="2012-01-12T00:00:00"/>
    <n v="1000"/>
    <d v="2012-01-19T00:00:00"/>
    <d v="2012-01-05T00:00:00"/>
    <n v="1000"/>
    <n v="1000"/>
    <x v="12"/>
    <d v="2012-01-21T00:00:00"/>
    <m/>
    <n v="9321667200"/>
    <n v="10"/>
    <s v="CCLU4714034"/>
    <s v="HATSU COURAGE /0078W"/>
    <m/>
    <s v="NINGBO"/>
    <m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5632/000010"/>
    <n v="1370151032"/>
    <n v="10"/>
    <x v="0"/>
    <x v="0"/>
    <s v="A1"/>
    <n v="2100063374"/>
    <n v="207"/>
    <n v="115003042"/>
    <s v="H1157714 WOK FP26 FLAVOUR TP3 BLACK TEFA          "/>
    <s v="S"/>
    <d v="2012-01-19T00:00:00"/>
    <m/>
    <s v="X"/>
    <x v="63"/>
    <n v="9.7911999999999999"/>
    <n v="10"/>
    <d v="2012-01-23T00:00:00"/>
    <d v="2012-01-09T00:00:00"/>
    <n v="1000"/>
    <d v="2012-01-05T00:00:00"/>
    <n v="1000"/>
    <m/>
    <d v="2012-01-19T00:00:00"/>
    <n v="1000"/>
    <d v="2012-01-19T00:00:00"/>
    <d v="2012-01-05T00:00:00"/>
    <n v="1000"/>
    <n v="1000"/>
    <x v="12"/>
    <d v="2012-01-21T00:00:00"/>
    <m/>
    <n v="9321667201"/>
    <n v="10"/>
    <s v="GESU5844328"/>
    <s v="HATSU COURAGE /0078W"/>
    <m/>
    <s v="NINGBO"/>
    <s v="SP-HOLIDAY/SP-OVERCAP/"/>
    <m/>
    <s v="ZANDRA LAM"/>
    <s v="FO9"/>
    <s v="COOKWARE                      "/>
    <s v="CONFIRMED"/>
    <n v="1"/>
    <n v="1"/>
    <d v="2012-01-07T00:00:00"/>
    <s v="COOKWARE                      "/>
    <s v="COOKWARE                      "/>
    <x v="0"/>
    <x v="0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006601"/>
    <s v="GROUPE SEB SINGAPORE PTE LTD                      "/>
    <n v="99006601"/>
    <x v="11"/>
    <s v="845/000001"/>
    <n v="1370151053"/>
    <n v="10"/>
    <x v="0"/>
    <x v="0"/>
    <s v="A1"/>
    <n v="2100059348"/>
    <n v="205"/>
    <n v="115002744"/>
    <s v="C9000714 FP30 GOU SO COOK SS POLI IND UN          "/>
    <s v="S"/>
    <d v="2012-01-17T00:00:00"/>
    <m/>
    <s v="X"/>
    <x v="63"/>
    <n v="10.679600000000001"/>
    <n v="13"/>
    <d v="2012-02-20T00:00:00"/>
    <d v="2012-02-06T00:00:00"/>
    <n v="1002"/>
    <d v="2012-01-18T00:00:00"/>
    <n v="1002"/>
    <m/>
    <d v="2012-02-01T00:00:00"/>
    <n v="1002"/>
    <d v="2012-02-01T00:00:00"/>
    <d v="2012-01-18T00:00:00"/>
    <n v="1002"/>
    <n v="1002"/>
    <x v="21"/>
    <d v="2012-02-01T00:00:00"/>
    <m/>
    <n v="9321667204"/>
    <n v="10"/>
    <s v="TGHU1791578"/>
    <s v="OOCL BEIJING 007W"/>
    <m/>
    <s v="NINGBO"/>
    <s v="C-PULLIN-CONF/"/>
    <m/>
    <s v="AGNES NUNES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21/000001"/>
    <n v="1370151059"/>
    <n v="10"/>
    <x v="0"/>
    <x v="0"/>
    <s v="A1"/>
    <n v="2100059359"/>
    <n v="205"/>
    <n v="115002825"/>
    <s v="C9000514 FP26 GOU SO COOK SS POLI IND UN          "/>
    <s v="S"/>
    <d v="2012-01-05T00:00:00"/>
    <m/>
    <s v="X"/>
    <x v="63"/>
    <n v="9.2566000000000006"/>
    <n v="11540"/>
    <d v="2012-01-23T00:00:00"/>
    <d v="2012-01-09T00:00:00"/>
    <n v="1002"/>
    <d v="2012-01-09T00:00:00"/>
    <n v="1002"/>
    <m/>
    <d v="2012-01-04T00:00:00"/>
    <n v="1002"/>
    <d v="2012-01-18T00:00:00"/>
    <d v="2012-01-04T00:00:00"/>
    <n v="1002"/>
    <n v="1002"/>
    <x v="2"/>
    <d v="2012-01-18T00:00:00"/>
    <m/>
    <n v="9321667205"/>
    <n v="10"/>
    <s v="DRYU2441841"/>
    <s v="OOCL CANADA 005W"/>
    <m/>
    <s v="NINGBO"/>
    <m/>
    <m/>
    <s v="AGNES NUNES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18/000001"/>
    <n v="1370151073"/>
    <n v="10"/>
    <x v="0"/>
    <x v="0"/>
    <s v="A1"/>
    <n v="2100061343"/>
    <n v="205"/>
    <n v="115002745"/>
    <s v="C9009214 W28+LID SO CK SS POLI IND UNCOA          "/>
    <s v="S"/>
    <d v="2012-01-05T00:00:00"/>
    <m/>
    <s v="X"/>
    <x v="63"/>
    <n v="12.47"/>
    <n v="14794"/>
    <d v="2012-01-16T00:00:00"/>
    <d v="2012-01-02T00:00:00"/>
    <n v="1000"/>
    <d v="2012-01-02T00:00:00"/>
    <n v="1000"/>
    <m/>
    <d v="2012-01-04T00:00:00"/>
    <n v="1000"/>
    <d v="2012-01-18T00:00:00"/>
    <d v="2012-01-04T00:00:00"/>
    <n v="1000"/>
    <n v="1000"/>
    <x v="2"/>
    <d v="2012-01-18T00:00:00"/>
    <m/>
    <n v="9321667210"/>
    <n v="10"/>
    <s v="DRYU2441841"/>
    <s v="OOCL CANADA 005W"/>
    <m/>
    <s v="NINGBO"/>
    <m/>
    <m/>
    <s v="AGNES NUNES"/>
    <s v="FO9"/>
    <s v="COOKWARE                      "/>
    <s v="CONFIRMED"/>
    <n v="1"/>
    <n v="1"/>
    <d v="2012-01-0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04/000001"/>
    <n v="1370151078"/>
    <n v="10"/>
    <x v="0"/>
    <x v="0"/>
    <s v="AA"/>
    <n v="7115000456"/>
    <n v="200"/>
    <n v="115000456"/>
    <s v="SU28 WOKPAN 28CM LAQUERED                         "/>
    <s v="S"/>
    <d v="2012-01-17T00:00:00"/>
    <m/>
    <s v="X"/>
    <x v="63"/>
    <n v="8.9253"/>
    <n v="11"/>
    <d v="2012-01-16T00:00:00"/>
    <d v="2012-01-02T00:00:00"/>
    <n v="1002"/>
    <d v="2012-01-18T00:00:00"/>
    <n v="1002"/>
    <m/>
    <d v="2012-01-18T00:00:00"/>
    <n v="1002"/>
    <d v="2012-02-01T00:00:00"/>
    <d v="2012-01-18T00:00:00"/>
    <n v="1002"/>
    <n v="1002"/>
    <x v="21"/>
    <d v="2012-02-01T00:00:00"/>
    <m/>
    <n v="9321667212"/>
    <n v="10"/>
    <s v="TGHU1791578"/>
    <s v="OOCL BEIJING 007W"/>
    <m/>
    <s v="NINGBO"/>
    <s v="SP-OVERCAP/"/>
    <m/>
    <s v="AGNES NUNES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7300"/>
    <s v="GROUPE SEB DEUTSCHLAND                            "/>
    <n v="99007300"/>
    <x v="17"/>
    <s v="4500263520/000010"/>
    <n v="1370151109"/>
    <n v="10"/>
    <x v="0"/>
    <x v="0"/>
    <s v="A1"/>
    <n v="2100047407"/>
    <n v="205"/>
    <n v="116000344"/>
    <s v="E9779032 SET 4P PRO SERIES GM2 SS UNCOAT          "/>
    <s v="S"/>
    <d v="2012-01-17T00:00:00"/>
    <m/>
    <s v="X"/>
    <x v="63"/>
    <n v="53.984499999999997"/>
    <n v="40"/>
    <d v="2012-02-17T00:00:00"/>
    <d v="2012-01-13T00:00:00"/>
    <n v="1000"/>
    <d v="2012-01-13T00:00:00"/>
    <n v="1000"/>
    <m/>
    <d v="2012-01-13T00:00:00"/>
    <n v="1000"/>
    <d v="2012-02-17T00:00:00"/>
    <d v="2012-01-13T00:00:00"/>
    <n v="1000"/>
    <n v="1000"/>
    <x v="11"/>
    <d v="2012-02-19T00:00:00"/>
    <m/>
    <n v="9321667215"/>
    <n v="10"/>
    <s v="APZU4725674"/>
    <s v="MOL CHARISMA/009W"/>
    <m/>
    <s v="NINGBO"/>
    <m/>
    <m/>
    <s v="AGNES NUNES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65685/000010"/>
    <n v="1370151240"/>
    <n v="10"/>
    <x v="0"/>
    <x v="0"/>
    <s v="A1"/>
    <n v="2100046390"/>
    <n v="205"/>
    <n v="115001163"/>
    <s v="B8010705 FP30 4U SS COATED FCE                    "/>
    <s v="S"/>
    <d v="2012-01-12T00:00:00"/>
    <m/>
    <s v="X"/>
    <x v="63"/>
    <n v="11.8224"/>
    <n v="9"/>
    <d v="2012-02-17T00:00:00"/>
    <d v="2012-01-13T00:00:00"/>
    <n v="1002"/>
    <d v="2012-01-13T00:00:00"/>
    <n v="1002"/>
    <m/>
    <d v="2012-01-07T00:00:00"/>
    <n v="1002"/>
    <d v="2012-02-11T00:00:00"/>
    <d v="2012-01-07T00:00:00"/>
    <n v="1002"/>
    <n v="1002"/>
    <x v="23"/>
    <d v="2012-02-12T00:00:00"/>
    <m/>
    <n v="9321667216"/>
    <n v="10"/>
    <s v="TRLU6991305"/>
    <s v="BUSAN EXPRESS/04W01"/>
    <m/>
    <s v="NINGBO"/>
    <s v="LATE DOC FROM FORWARDER"/>
    <m/>
    <s v="JASON FAN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65684/000010"/>
    <n v="1370151306"/>
    <n v="10"/>
    <x v="0"/>
    <x v="0"/>
    <s v="A1"/>
    <n v="2100046390"/>
    <n v="205"/>
    <n v="115001163"/>
    <s v="B8010705 FP30 4U SS COATED FCE                    "/>
    <s v="S"/>
    <d v="2012-01-12T00:00:00"/>
    <m/>
    <s v="X"/>
    <x v="63"/>
    <n v="11.8224"/>
    <n v="9"/>
    <d v="2012-02-17T00:00:00"/>
    <d v="2012-01-13T00:00:00"/>
    <n v="2004"/>
    <d v="2012-01-13T00:00:00"/>
    <n v="2004"/>
    <m/>
    <d v="2012-01-07T00:00:00"/>
    <n v="2004"/>
    <d v="2012-02-11T00:00:00"/>
    <d v="2012-01-07T00:00:00"/>
    <n v="2004"/>
    <n v="2004"/>
    <x v="23"/>
    <d v="2012-02-12T00:00:00"/>
    <m/>
    <n v="9321667217"/>
    <n v="10"/>
    <s v="TRLU6991305"/>
    <s v="BUSAN EXPRESS/04W01"/>
    <m/>
    <s v="NINGBO"/>
    <s v="LATE DOC FROM FORWARDER"/>
    <m/>
    <s v="JASON FAN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1237/000010"/>
    <n v="1370150422"/>
    <n v="10"/>
    <x v="22"/>
    <x v="22"/>
    <s v="N4"/>
    <n v="7211000568"/>
    <n v="177"/>
    <n v="211000568"/>
    <s v="AF102430 FRY UNO FB SS MLX EUR                    "/>
    <s v="S"/>
    <d v="2012-01-11T00:00:00"/>
    <m/>
    <s v="X"/>
    <x v="63"/>
    <n v="20.114100000000001"/>
    <n v="16"/>
    <d v="2012-02-07T00:00:00"/>
    <d v="2012-01-10T00:00:00"/>
    <n v="810"/>
    <d v="2012-01-10T00:00:00"/>
    <n v="810"/>
    <m/>
    <d v="2012-01-06T00:00:00"/>
    <n v="810"/>
    <d v="2012-02-03T00:00:00"/>
    <d v="2012-01-06T00:00:00"/>
    <n v="810"/>
    <n v="810"/>
    <x v="7"/>
    <d v="2012-02-03T00:00:00"/>
    <m/>
    <n v="9321667219"/>
    <n v="10"/>
    <s v="PONU0683005"/>
    <s v="ELEONORA MAERSK 1202"/>
    <m/>
    <s v="NINGBO"/>
    <m/>
    <m/>
    <s v="KENUS WONG"/>
    <s v="FO9"/>
    <s v="ELECTRICAL COOKING            "/>
    <s v="CONFIRMED"/>
    <n v="1"/>
    <n v="1"/>
    <d v="2012-01-06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0268/000010"/>
    <n v="1370150436"/>
    <n v="10"/>
    <x v="22"/>
    <x v="22"/>
    <s v="N4"/>
    <n v="7211000703"/>
    <n v="177"/>
    <n v="211000703"/>
    <s v="FR406730 FRY FILTRA PRO I&amp;D 3L DIG SS EU          "/>
    <s v="S"/>
    <d v="2012-01-11T00:00:00"/>
    <m/>
    <s v="X"/>
    <x v="63"/>
    <n v="36.519199999999998"/>
    <n v="28"/>
    <d v="2012-02-07T00:00:00"/>
    <d v="2012-01-10T00:00:00"/>
    <n v="1152"/>
    <d v="2012-01-10T00:00:00"/>
    <n v="1152"/>
    <m/>
    <d v="2012-01-06T00:00:00"/>
    <n v="1152"/>
    <d v="2012-02-03T00:00:00"/>
    <d v="2012-01-06T00:00:00"/>
    <n v="1152"/>
    <n v="1152"/>
    <x v="7"/>
    <d v="2012-02-03T00:00:00"/>
    <m/>
    <n v="9321667220"/>
    <n v="10"/>
    <s v="MSKU6176625"/>
    <s v="ELEONORA MAERSK 1202"/>
    <m/>
    <s v="NINGBO"/>
    <m/>
    <m/>
    <s v="KENUS WONG"/>
    <s v="FO9"/>
    <s v="ELECTRICAL COOKING            "/>
    <s v="CONFIRMED"/>
    <n v="1"/>
    <n v="1"/>
    <d v="2012-01-06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0269/000010"/>
    <n v="1370150429"/>
    <n v="10"/>
    <x v="22"/>
    <x v="22"/>
    <s v="N4"/>
    <n v="7211000704"/>
    <n v="177"/>
    <n v="211000704"/>
    <s v="FR406830 FRY FILTRA PRO I&amp;D 4L DIG SS EU          "/>
    <s v="S"/>
    <d v="2012-01-11T00:00:00"/>
    <m/>
    <s v="X"/>
    <x v="63"/>
    <n v="37.316400000000002"/>
    <n v="29"/>
    <d v="2012-02-07T00:00:00"/>
    <d v="2012-01-10T00:00:00"/>
    <n v="1152"/>
    <d v="2012-01-10T00:00:00"/>
    <n v="1152"/>
    <m/>
    <d v="2012-01-06T00:00:00"/>
    <n v="1152"/>
    <d v="2012-02-03T00:00:00"/>
    <d v="2012-01-06T00:00:00"/>
    <n v="1152"/>
    <n v="1152"/>
    <x v="7"/>
    <d v="2012-02-03T00:00:00"/>
    <m/>
    <n v="9321667221"/>
    <n v="10"/>
    <s v="MAEU6283693"/>
    <s v="ELEONORA MAERSK 1202"/>
    <m/>
    <s v="NINGBO"/>
    <m/>
    <m/>
    <s v="KENUS WONG"/>
    <s v="FO9"/>
    <s v="ELECTRICAL COOKING            "/>
    <s v="CONFIRMED"/>
    <n v="1"/>
    <n v="1"/>
    <d v="2012-01-06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4843/000010"/>
    <n v="1370151013"/>
    <n v="10"/>
    <x v="22"/>
    <x v="22"/>
    <s v="R2"/>
    <n v="7211000666"/>
    <n v="55"/>
    <n v="211000666"/>
    <s v="KO299830 KET EXPRESS 1.5L BLK RU                  "/>
    <s v="S"/>
    <d v="2012-01-05T00:00:00"/>
    <m/>
    <s v="X"/>
    <x v="63"/>
    <n v="11.1829"/>
    <n v="385"/>
    <d v="2012-02-27T00:00:00"/>
    <d v="2012-01-09T00:00:00"/>
    <n v="2580"/>
    <d v="2011-12-31T00:00:00"/>
    <n v="2580"/>
    <m/>
    <d v="2012-01-07T00:00:00"/>
    <n v="2580"/>
    <d v="2012-02-18T00:00:00"/>
    <d v="2011-12-31T00:00:00"/>
    <n v="2580"/>
    <n v="2580"/>
    <x v="13"/>
    <d v="2012-02-19T00:00:00"/>
    <m/>
    <n v="9321667222"/>
    <n v="10"/>
    <s v="APZU4821678"/>
    <s v="APL RUSSIA/020W"/>
    <m/>
    <s v="NINGBO"/>
    <m/>
    <m/>
    <s v="KENUS WONG"/>
    <s v="FO9"/>
    <s v="BEVERAGE                      "/>
    <s v="CONFIRMED"/>
    <n v="1"/>
    <n v="52"/>
    <d v="2012-01-01T00:00:00"/>
    <s v="KITCHEN ELECTRICS             "/>
    <s v="BREAKFAST &amp; BREVAGE PREP      "/>
    <x v="0"/>
    <x v="0"/>
    <x v="1"/>
    <m/>
    <n v="0"/>
    <n v="0"/>
    <x v="1"/>
    <n v="0"/>
    <x v="0"/>
    <x v="0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4838/000010"/>
    <n v="1370151017"/>
    <n v="10"/>
    <x v="22"/>
    <x v="22"/>
    <s v="R2"/>
    <n v="7211000364"/>
    <n v="55"/>
    <n v="211000364"/>
    <s v="BF26313E KET VIT.ECO 1.7L DIAM WHT RU             "/>
    <s v="S"/>
    <d v="2012-01-17T00:00:00"/>
    <m/>
    <s v="X"/>
    <x v="63"/>
    <n v="11.823600000000001"/>
    <n v="383"/>
    <d v="2012-03-02T00:00:00"/>
    <d v="2012-01-13T00:00:00"/>
    <n v="2220"/>
    <d v="2012-01-13T00:00:00"/>
    <n v="2220"/>
    <m/>
    <d v="2012-01-14T00:00:00"/>
    <n v="2220"/>
    <d v="2012-03-03T00:00:00"/>
    <d v="2012-01-14T00:00:00"/>
    <n v="2220"/>
    <n v="2220"/>
    <x v="11"/>
    <d v="2012-03-04T00:00:00"/>
    <m/>
    <n v="9321667223"/>
    <n v="10"/>
    <s v="BHCU3041692"/>
    <s v="MOL CHARISMA/009W"/>
    <m/>
    <s v="NINGBO"/>
    <m/>
    <m/>
    <s v="KENUS WONG"/>
    <s v="FO9"/>
    <s v="BEVERAGE                      "/>
    <s v="CONFIRMED"/>
    <n v="1"/>
    <n v="2"/>
    <d v="2012-01-15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65938/000010"/>
    <n v="1370151020"/>
    <n v="10"/>
    <x v="22"/>
    <x v="22"/>
    <s v="N5"/>
    <n v="7211000596"/>
    <n v="36"/>
    <n v="211000596"/>
    <s v="LM2201B1 BLD UNO 1.25L WHT FR                     "/>
    <s v="S"/>
    <d v="2012-01-31T00:00:00"/>
    <m/>
    <s v="X"/>
    <x v="63"/>
    <n v="12.1746"/>
    <n v="13"/>
    <d v="2012-01-26T00:00:00"/>
    <d v="2012-01-12T00:00:00"/>
    <n v="1407"/>
    <d v="2012-03-22T00:00:00"/>
    <n v="1047"/>
    <m/>
    <m/>
    <m/>
    <d v="2012-03-30T00:00:00"/>
    <d v="2012-03-16T00:00:00"/>
    <n v="1047"/>
    <n v="1047"/>
    <x v="7"/>
    <d v="2012-01-20T00:00:00"/>
    <m/>
    <n v="9321667224"/>
    <n v="10"/>
    <s v="CCLU4457126"/>
    <s v="CSCL NINGBO V-0098S"/>
    <m/>
    <s v="NINGBO"/>
    <s v="MKT ACCEPTED TO CANCE BAL 360 PCS DUE TO SUPPLIER PRODUCTION ISSUE /CONS-SHIP/SHIP + ETD JAN05"/>
    <m/>
    <s v="ZANDRA LAM"/>
    <s v="FO9"/>
    <s v="ELECTRICAL COOKING            "/>
    <s v="CONFIRMED"/>
    <n v="1"/>
    <n v="1"/>
    <d v="2012-01-06T00:00:00"/>
    <s v="KITCHEN ELECTRICS             "/>
    <s v="FOOD PREPARATION              "/>
    <x v="0"/>
    <x v="0"/>
    <x v="1"/>
    <m/>
    <n v="0"/>
    <n v="0"/>
    <x v="1"/>
    <n v="3"/>
    <x v="0"/>
    <x v="1"/>
    <x v="0"/>
    <n v="0"/>
    <n v="0"/>
    <n v="0"/>
    <n v="0"/>
    <n v="1"/>
    <n v="1"/>
    <x v="0"/>
    <x v="0"/>
    <x v="1"/>
    <x v="1"/>
  </r>
  <r>
    <s v="Shipment"/>
    <n v="99006601"/>
    <s v="GROUPE SEB SINGAPORE PTE LTD                      "/>
    <n v="99006601"/>
    <x v="11"/>
    <s v="844/000001"/>
    <n v="1370151063"/>
    <n v="10"/>
    <x v="22"/>
    <x v="22"/>
    <s v="R2"/>
    <n v="7211000812"/>
    <n v="55"/>
    <n v="211000812"/>
    <s v="BI762570 KET VITESSE 1.7L SS BLK HK               "/>
    <s v="S"/>
    <d v="2012-01-19T00:00:00"/>
    <m/>
    <s v="X"/>
    <x v="63"/>
    <n v="24.239599999999999"/>
    <n v="30"/>
    <d v="2012-02-20T00:00:00"/>
    <d v="2012-02-06T00:00:00"/>
    <n v="2718"/>
    <d v="2012-01-18T00:00:00"/>
    <n v="2718"/>
    <m/>
    <d v="2012-01-18T00:00:00"/>
    <n v="2718"/>
    <d v="2012-02-01T00:00:00"/>
    <d v="2012-01-18T00:00:00"/>
    <n v="2718"/>
    <n v="2718"/>
    <x v="21"/>
    <d v="2012-02-01T00:00:00"/>
    <m/>
    <n v="9321667226"/>
    <n v="10"/>
    <s v="RJCU7643995"/>
    <s v="OOCL BEIJING 007W"/>
    <m/>
    <s v="NINGBO"/>
    <m/>
    <m/>
    <s v="AGNES NUNES"/>
    <s v="FO9"/>
    <s v="BEVERAGE                      "/>
    <s v="CONFIRMED"/>
    <n v="1"/>
    <n v="3"/>
    <d v="2012-01-18T00:00:00"/>
    <s v="KITCHEN ELECTRICS             "/>
    <s v="BREAKFAST &amp; BREVAGE PREP      "/>
    <x v="0"/>
    <x v="0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6601"/>
    <s v="GROUPE SEB SINGAPORE PTE LTD                      "/>
    <n v="99006601"/>
    <x v="11"/>
    <s v="817/000001"/>
    <n v="1370151087"/>
    <n v="10"/>
    <x v="22"/>
    <x v="22"/>
    <s v="R2"/>
    <n v="7211000824"/>
    <n v="55"/>
    <n v="211000824"/>
    <s v="BF812023 KET MINI PLAST 0.8L WHT/GRG HK           "/>
    <s v="S"/>
    <d v="2012-01-03T00:00:00"/>
    <m/>
    <s v="X"/>
    <x v="63"/>
    <n v="13.263"/>
    <n v="16522"/>
    <d v="2012-01-16T00:00:00"/>
    <d v="2012-01-02T00:00:00"/>
    <n v="1350"/>
    <d v="2012-01-02T00:00:00"/>
    <n v="1350"/>
    <m/>
    <d v="2012-01-04T00:00:00"/>
    <n v="1350"/>
    <d v="2012-01-18T00:00:00"/>
    <d v="2012-01-04T00:00:00"/>
    <n v="1350"/>
    <n v="1350"/>
    <x v="2"/>
    <d v="2012-01-18T00:00:00"/>
    <m/>
    <n v="9321667227"/>
    <n v="10"/>
    <s v="TTNU4974378"/>
    <s v="OOCL CANADA 005W"/>
    <m/>
    <s v="NINGBO"/>
    <m/>
    <m/>
    <s v="AGNES NUNES"/>
    <s v="FO9"/>
    <s v="BEVERAGE                      "/>
    <s v="CONFIRMED"/>
    <n v="1"/>
    <n v="1"/>
    <d v="2012-01-04T00:00:00"/>
    <s v="KITCHEN ELECTRICS             "/>
    <s v="BREAKFAST &amp; BREVAGE PREP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14/000001"/>
    <n v="1370151083"/>
    <n v="10"/>
    <x v="22"/>
    <x v="22"/>
    <s v="R2"/>
    <n v="7211000489"/>
    <n v="55"/>
    <n v="211000489"/>
    <s v="BF2131MS KET VITESSE DIAM 1L WHT HK               "/>
    <s v="S"/>
    <d v="2012-01-09T00:00:00"/>
    <m/>
    <s v="X"/>
    <x v="63"/>
    <n v="12.3194"/>
    <n v="15"/>
    <d v="2012-01-24T00:00:00"/>
    <d v="2012-01-10T00:00:00"/>
    <n v="2718"/>
    <d v="2012-01-10T00:00:00"/>
    <n v="2718"/>
    <m/>
    <d v="2012-01-11T00:00:00"/>
    <n v="2718"/>
    <d v="2012-01-25T00:00:00"/>
    <d v="2012-01-11T00:00:00"/>
    <n v="2718"/>
    <n v="2718"/>
    <x v="17"/>
    <d v="2012-01-25T00:00:00"/>
    <m/>
    <n v="9321667228"/>
    <n v="10"/>
    <s v="DRYU2442977"/>
    <s v="COSCO THAILAND 011W"/>
    <m/>
    <s v="NINGBO"/>
    <m/>
    <m/>
    <s v="AGNES NUNES"/>
    <s v="FO9"/>
    <s v="BEVERAGE                      "/>
    <s v="CONFIRMED"/>
    <n v="1"/>
    <n v="2"/>
    <d v="2012-01-11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15/000001"/>
    <n v="1370151084"/>
    <n v="10"/>
    <x v="22"/>
    <x v="22"/>
    <s v="R2"/>
    <n v="7211000510"/>
    <n v="55"/>
    <n v="211000510"/>
    <s v="KO299172 KET EXPRESS 1.5L WHT SA                  "/>
    <s v="S"/>
    <d v="2012-01-03T00:00:00"/>
    <m/>
    <s v="X"/>
    <x v="63"/>
    <n v="12.1792"/>
    <n v="15172"/>
    <d v="2012-01-24T00:00:00"/>
    <d v="2012-01-10T00:00:00"/>
    <n v="2580"/>
    <d v="2012-01-04T00:00:00"/>
    <n v="2580"/>
    <m/>
    <d v="2012-01-11T00:00:00"/>
    <n v="2580"/>
    <d v="2012-01-18T00:00:00"/>
    <d v="2012-01-04T00:00:00"/>
    <n v="2580"/>
    <n v="2580"/>
    <x v="2"/>
    <d v="2012-01-18T00:00:00"/>
    <m/>
    <n v="9321667229"/>
    <n v="10"/>
    <s v="TTNU4974378"/>
    <s v="OOCL CANADA 005W"/>
    <m/>
    <s v="NINGBO"/>
    <m/>
    <m/>
    <s v="AGNES NUNES"/>
    <s v="FO9"/>
    <s v="BEVERAGE                      "/>
    <s v="CONFIRMED"/>
    <n v="1"/>
    <n v="1"/>
    <d v="2012-01-04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818/000004"/>
    <n v="1370151221"/>
    <n v="40"/>
    <x v="22"/>
    <x v="22"/>
    <s v="R2"/>
    <n v="7211000529"/>
    <n v="55"/>
    <n v="211000529"/>
    <s v="KO299170 KET TASSE 1.5L WHT/GRG JP                "/>
    <s v="S"/>
    <d v="2012-01-17T00:00:00"/>
    <m/>
    <s v="X"/>
    <x v="63"/>
    <n v="11.9169"/>
    <n v="12"/>
    <d v="2012-02-20T00:00:00"/>
    <d v="2012-02-06T00:00:00"/>
    <n v="2580"/>
    <d v="2012-01-16T00:00:00"/>
    <n v="2580"/>
    <m/>
    <d v="2012-01-16T00:00:00"/>
    <n v="2580"/>
    <d v="2012-01-30T00:00:00"/>
    <d v="2012-01-16T00:00:00"/>
    <n v="2580"/>
    <n v="2580"/>
    <x v="8"/>
    <d v="2012-01-30T00:00:00"/>
    <m/>
    <n v="9321667230"/>
    <n v="10"/>
    <s v="TCNU7585464"/>
    <s v="SITC HAIPHONG/1201N"/>
    <m/>
    <s v="NINGBO"/>
    <m/>
    <m/>
    <s v="DOROTHEA LING"/>
    <s v="FO9"/>
    <s v="BEVERAGE                      "/>
    <s v="CONFIRMED"/>
    <n v="1"/>
    <n v="3"/>
    <d v="2012-01-16T00:00:00"/>
    <s v="KITCHEN ELECTRICS             "/>
    <s v="BREAKFAST &amp; BREVAGE PREP      "/>
    <x v="0"/>
    <x v="0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3300"/>
    <s v="GROUPE SEB JAPAN CO LTD                           "/>
    <n v="99003300"/>
    <x v="25"/>
    <s v="3818/000006"/>
    <n v="1370151221"/>
    <n v="60"/>
    <x v="22"/>
    <x v="22"/>
    <s v="N4"/>
    <n v="7211000735"/>
    <n v="116"/>
    <n v="211000735"/>
    <s v="PF522170 BREADMAKER UNO 1KG WHITE                 "/>
    <s v="S"/>
    <d v="2012-01-17T00:00:00"/>
    <m/>
    <s v="X"/>
    <x v="63"/>
    <n v="59.807499999999997"/>
    <n v="12"/>
    <d v="2012-02-20T00:00:00"/>
    <d v="2012-02-06T00:00:00"/>
    <n v="388"/>
    <d v="2012-01-16T00:00:00"/>
    <n v="426"/>
    <m/>
    <d v="2012-02-11T00:00:00"/>
    <n v="852"/>
    <d v="2012-02-25T00:00:00"/>
    <d v="2012-02-11T00:00:00"/>
    <n v="426"/>
    <n v="426"/>
    <x v="8"/>
    <d v="2012-01-30T00:00:00"/>
    <m/>
    <n v="9321667230"/>
    <n v="30"/>
    <s v="TCNU7585464"/>
    <s v="SITC HAIPHONG/1201N"/>
    <m/>
    <s v="NINGBO"/>
    <m/>
    <m/>
    <s v="DOROTHEA LING"/>
    <s v="FO9"/>
    <s v="ELECTRICAL COOKING            "/>
    <s v="CONFIRMED"/>
    <n v="1"/>
    <n v="3"/>
    <d v="2012-01-16T00:00:00"/>
    <s v="KITCHEN ELECTRICS             "/>
    <s v="ELECTRICAL COOKING            "/>
    <x v="0"/>
    <x v="0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9003300"/>
    <s v="GROUPE SEB JAPAN CO LTD                           "/>
    <n v="99003300"/>
    <x v="25"/>
    <s v="3819/000004"/>
    <n v="1370151222"/>
    <n v="40"/>
    <x v="22"/>
    <x v="22"/>
    <s v="R2"/>
    <n v="7211000705"/>
    <n v="55"/>
    <n v="211000705"/>
    <s v="BF502022 KET JUSTINE 1.2L WHT/GRG JP              "/>
    <s v="S"/>
    <d v="2012-01-19T00:00:00"/>
    <m/>
    <s v="X"/>
    <x v="63"/>
    <n v="12.5114"/>
    <n v="12"/>
    <d v="2012-02-27T00:00:00"/>
    <d v="2012-02-13T00:00:00"/>
    <n v="7020"/>
    <d v="2012-01-21T00:00:00"/>
    <n v="7020"/>
    <m/>
    <m/>
    <m/>
    <d v="2012-02-04T00:00:00"/>
    <d v="2012-01-21T00:00:00"/>
    <n v="7020"/>
    <n v="7020"/>
    <x v="26"/>
    <d v="2012-02-04T00:00:00"/>
    <m/>
    <n v="9321667231"/>
    <n v="20"/>
    <s v="CAIU8111281"/>
    <s v="HUTUOHE"/>
    <m/>
    <s v="NINGBO"/>
    <m/>
    <m/>
    <s v="DOROTHEA LING"/>
    <s v="FO9"/>
    <s v="BEVERAGE                      "/>
    <s v="CONFIRMED"/>
    <n v="1"/>
    <n v="3"/>
    <d v="2012-01-21T00:00:00"/>
    <s v="KITCHEN ELECTRICS             "/>
    <s v="BREAKFAST &amp; BREVAGE PREP      "/>
    <x v="0"/>
    <x v="0"/>
    <x v="1"/>
    <m/>
    <n v="0"/>
    <n v="0"/>
    <x v="1"/>
    <n v="0"/>
    <x v="0"/>
    <x v="0"/>
    <x v="0"/>
    <n v="0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6459/000010"/>
    <n v="1370151256"/>
    <n v="10"/>
    <x v="22"/>
    <x v="22"/>
    <s v="R2"/>
    <n v="7211000712"/>
    <n v="55"/>
    <n v="211000712"/>
    <s v="BY530D31 KET SUBITO 1.7L SS/PLU EUR               "/>
    <s v="S"/>
    <d v="2012-01-17T00:00:00"/>
    <m/>
    <s v="X"/>
    <x v="63"/>
    <n v="15.2943"/>
    <n v="12"/>
    <d v="2012-02-17T00:00:00"/>
    <d v="2012-01-13T00:00:00"/>
    <n v="4920"/>
    <d v="2012-01-13T00:00:00"/>
    <n v="4920"/>
    <m/>
    <d v="2012-01-15T00:00:00"/>
    <n v="4920"/>
    <d v="2012-02-19T00:00:00"/>
    <d v="2012-01-15T00:00:00"/>
    <n v="4920"/>
    <n v="4920"/>
    <x v="11"/>
    <d v="2012-02-19T00:00:00"/>
    <m/>
    <n v="9321667235"/>
    <n v="10"/>
    <s v="MSKU6422035"/>
    <s v="MAERSK EINDHOVEN 120"/>
    <m/>
    <s v="NINGBO"/>
    <m/>
    <m/>
    <s v="JASON FAN"/>
    <s v="FO9"/>
    <s v="BEVERAGE                      "/>
    <s v="CONFIRMED"/>
    <n v="1"/>
    <n v="2"/>
    <d v="2012-01-15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353/000010"/>
    <n v="1370151274"/>
    <n v="10"/>
    <x v="22"/>
    <x v="22"/>
    <s v="N4"/>
    <n v="7211000748"/>
    <n v="177"/>
    <n v="211000748"/>
    <s v="AF103130 FRYER UNO W/BOWL ALU WH/GREEN            "/>
    <s v="S"/>
    <d v="2012-01-11T00:00:00"/>
    <m/>
    <s v="X"/>
    <x v="63"/>
    <n v="17.192299999999999"/>
    <n v="13"/>
    <d v="2012-02-17T00:00:00"/>
    <d v="2012-01-13T00:00:00"/>
    <n v="1728"/>
    <d v="2012-01-13T00:00:00"/>
    <n v="1728"/>
    <m/>
    <d v="2012-01-08T00:00:00"/>
    <n v="1728"/>
    <d v="2012-02-12T00:00:00"/>
    <d v="2012-01-08T00:00:00"/>
    <n v="1728"/>
    <n v="1728"/>
    <x v="23"/>
    <d v="2012-02-12T00:00:00"/>
    <m/>
    <n v="9321667236"/>
    <n v="10"/>
    <s v="SEAU7885747"/>
    <s v="CMA CGM AMERIGO VESP"/>
    <m/>
    <s v="NINGBO"/>
    <m/>
    <m/>
    <s v="JASON FAN"/>
    <s v="FO9"/>
    <s v="ELECTRICAL COOKING            "/>
    <s v="CONFIRMED"/>
    <n v="1"/>
    <n v="1"/>
    <d v="2012-01-08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357/000010"/>
    <n v="1370151288"/>
    <n v="10"/>
    <x v="22"/>
    <x v="22"/>
    <s v="N4"/>
    <n v="7211000344"/>
    <n v="177"/>
    <n v="211000344"/>
    <s v="FR404800 FRY FILTRA PRO I&amp;D 4L STAIN FR           "/>
    <s v="S"/>
    <d v="2012-01-11T00:00:00"/>
    <m/>
    <s v="X"/>
    <x v="63"/>
    <n v="37.351700000000001"/>
    <n v="29"/>
    <d v="2012-02-17T00:00:00"/>
    <d v="2012-01-13T00:00:00"/>
    <n v="1344"/>
    <d v="2012-01-13T00:00:00"/>
    <n v="1344"/>
    <m/>
    <d v="2012-01-08T00:00:00"/>
    <n v="1344"/>
    <d v="2012-02-12T00:00:00"/>
    <d v="2012-01-08T00:00:00"/>
    <n v="1344"/>
    <n v="1344"/>
    <x v="23"/>
    <d v="2012-02-12T00:00:00"/>
    <m/>
    <n v="9321667237"/>
    <n v="10"/>
    <s v="MRKU2325138"/>
    <s v="CMA CGM AMERIGO VESP"/>
    <m/>
    <s v="NINGBO"/>
    <m/>
    <m/>
    <s v="JASON FAN"/>
    <s v="FO9"/>
    <s v="ELECTRICAL COOKING            "/>
    <s v="CONFIRMED"/>
    <n v="1"/>
    <n v="1"/>
    <d v="2012-01-08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458/000010"/>
    <n v="1370151290"/>
    <n v="10"/>
    <x v="22"/>
    <x v="22"/>
    <s v="R2"/>
    <n v="7211000711"/>
    <n v="55"/>
    <n v="211000711"/>
    <s v="BF512015 KET JUSTINE 1.2L WHT/GRG FR              "/>
    <s v="S"/>
    <d v="2012-01-17T00:00:00"/>
    <m/>
    <s v="X"/>
    <x v="63"/>
    <n v="12.291499999999999"/>
    <n v="10"/>
    <d v="2012-02-17T00:00:00"/>
    <d v="2012-01-13T00:00:00"/>
    <n v="6558"/>
    <d v="2012-01-13T00:00:00"/>
    <n v="6558"/>
    <m/>
    <d v="2012-01-11T00:00:00"/>
    <n v="6558"/>
    <d v="2012-02-15T00:00:00"/>
    <d v="2012-01-11T00:00:00"/>
    <n v="6558"/>
    <n v="6558"/>
    <x v="17"/>
    <d v="2012-02-15T00:00:00"/>
    <m/>
    <n v="9321667238"/>
    <n v="10"/>
    <s v="CMAU8138963"/>
    <s v="CMA CGM LYRA FM424/"/>
    <m/>
    <s v="NINGBO"/>
    <m/>
    <m/>
    <s v="JASON FAN"/>
    <s v="FO9"/>
    <s v="BEVERAGE                      "/>
    <s v="CONFIRMED"/>
    <n v="1"/>
    <n v="2"/>
    <d v="2012-01-11T00:00:00"/>
    <s v="KITCHEN ELECTRICS             "/>
    <s v="BREAKFAST &amp; BREVAGE PREP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3165/000010"/>
    <n v="1370150461"/>
    <n v="10"/>
    <x v="30"/>
    <x v="30"/>
    <s v="N4"/>
    <n v="1500633448"/>
    <n v="39"/>
    <n v="211000134"/>
    <s v="RK100801 RICE C.NEW CL.10C &quot;A&quot;                    "/>
    <s v="S"/>
    <d v="2012-01-07T00:00:00"/>
    <m/>
    <s v="X"/>
    <x v="63"/>
    <n v="18.089099999999998"/>
    <n v="15"/>
    <d v="2012-02-10T00:00:00"/>
    <d v="2012-01-06T00:00:00"/>
    <n v="1824"/>
    <d v="2012-01-06T00:00:00"/>
    <n v="1824"/>
    <m/>
    <d v="2012-01-08T00:00:00"/>
    <n v="1824"/>
    <d v="2012-02-05T00:00:00"/>
    <d v="2012-01-01T00:00:00"/>
    <n v="1824"/>
    <n v="1824"/>
    <x v="13"/>
    <d v="2012-02-05T00:00:00"/>
    <m/>
    <n v="9321667239"/>
    <n v="10"/>
    <s v="INBU5114052"/>
    <s v="MAERSK ESSEN 1202/"/>
    <m/>
    <s v="NINGBO"/>
    <s v="LATE DOC FROM FORWARDER"/>
    <m/>
    <s v="JASON FAN"/>
    <s v="FO9"/>
    <s v="ELECTRICAL COOKING            "/>
    <s v="CONFIRMED"/>
    <n v="1"/>
    <n v="52"/>
    <d v="2012-01-01T00:00:00"/>
    <s v="KITCHEN ELECTRICS             "/>
    <s v="ELECTRICAL COOKING            "/>
    <x v="0"/>
    <x v="0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91/000006"/>
    <n v="1370150781"/>
    <n v="50"/>
    <x v="30"/>
    <x v="30"/>
    <s v="N4"/>
    <n v="7211000792"/>
    <n v="39"/>
    <n v="211000792"/>
    <s v="RK302E70 RC 8IN1 10C SS AU                        "/>
    <s v="S"/>
    <d v="2012-01-13T00:00:00"/>
    <m/>
    <s v="X"/>
    <x v="63"/>
    <n v="30.575099999999999"/>
    <n v="31"/>
    <d v="2012-02-06T00:00:00"/>
    <d v="2012-01-16T00:00:00"/>
    <n v="612"/>
    <d v="2012-01-16T00:00:00"/>
    <n v="612"/>
    <m/>
    <d v="2012-01-12T00:00:00"/>
    <n v="612"/>
    <d v="2012-02-02T00:00:00"/>
    <d v="2012-01-12T00:00:00"/>
    <n v="612"/>
    <n v="612"/>
    <x v="10"/>
    <d v="2012-02-02T00:00:00"/>
    <m/>
    <n v="9321667240"/>
    <n v="10"/>
    <s v="TCKU1890297"/>
    <s v="SAFMARINE MERU/203W"/>
    <m/>
    <s v="NINGBO"/>
    <m/>
    <m/>
    <s v="AGNES NUNES"/>
    <s v="FO9"/>
    <s v="ELECTRICAL COOKING            "/>
    <s v="CONFIRMED"/>
    <n v="1"/>
    <n v="2"/>
    <d v="2012-01-12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5298/000010"/>
    <n v="1370150848"/>
    <n v="10"/>
    <x v="30"/>
    <x v="30"/>
    <s v="N2"/>
    <n v="7211000865"/>
    <n v="50"/>
    <n v="211000865"/>
    <s v="CB540812 PLA I THERMOSP BLK EUR                   "/>
    <s v="S"/>
    <d v="2012-01-11T00:00:00"/>
    <m/>
    <s v="X"/>
    <x v="63"/>
    <n v="24.914400000000001"/>
    <n v="20"/>
    <d v="2012-02-13T00:00:00"/>
    <d v="2012-01-16T00:00:00"/>
    <n v="1992"/>
    <d v="2012-01-16T00:00:00"/>
    <n v="1992"/>
    <m/>
    <d v="2012-01-18T00:00:00"/>
    <n v="1992"/>
    <d v="2012-02-08T00:00:00"/>
    <d v="2012-01-11T00:00:00"/>
    <n v="1992"/>
    <n v="1992"/>
    <x v="17"/>
    <d v="2012-02-08T00:00:00"/>
    <m/>
    <n v="9321667241"/>
    <n v="10"/>
    <s v="PONU7653229"/>
    <s v="MAERSK SHEERNESS/120"/>
    <m/>
    <s v="NINGBO"/>
    <m/>
    <m/>
    <s v="JASON FAN"/>
    <s v="FO9"/>
    <s v="ELECTRICAL COOKING            "/>
    <s v="CONFIRMED"/>
    <n v="1"/>
    <n v="2"/>
    <d v="2012-01-11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43/000001"/>
    <n v="1370151066"/>
    <n v="10"/>
    <x v="30"/>
    <x v="30"/>
    <s v="N4"/>
    <n v="7211000643"/>
    <n v="39"/>
    <n v="211000643"/>
    <s v="RK704E70 RC FUZZY 8C LOGIC LCD SS HK              "/>
    <s v="S"/>
    <d v="2012-01-03T00:00:00"/>
    <m/>
    <s v="X"/>
    <x v="63"/>
    <n v="43.453800000000001"/>
    <n v="54135"/>
    <d v="2012-02-20T00:00:00"/>
    <d v="2012-02-06T00:00:00"/>
    <n v="784"/>
    <d v="2012-01-04T00:00:00"/>
    <n v="784"/>
    <m/>
    <d v="2012-02-08T00:00:00"/>
    <n v="784"/>
    <d v="2012-01-18T00:00:00"/>
    <d v="2012-01-04T00:00:00"/>
    <n v="784"/>
    <n v="784"/>
    <x v="2"/>
    <d v="2012-01-18T00:00:00"/>
    <m/>
    <n v="9321667243"/>
    <n v="10"/>
    <s v="DRYU2443058"/>
    <s v="OOCL CANADA 005W"/>
    <m/>
    <s v="NINGBO"/>
    <m/>
    <m/>
    <s v="AGNES NUNES"/>
    <s v="FO9"/>
    <s v="ELECTRICAL COOKING            "/>
    <s v="CONFIRMED"/>
    <n v="1"/>
    <n v="1"/>
    <d v="2012-01-04T00:00:00"/>
    <s v="KITCHEN ELECTRICS             "/>
    <s v="ELECTRICAL COOKING            "/>
    <x v="0"/>
    <x v="0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10/000001"/>
    <n v="1370151052"/>
    <n v="10"/>
    <x v="30"/>
    <x v="30"/>
    <s v="N4"/>
    <n v="7211000189"/>
    <n v="39"/>
    <n v="211000189"/>
    <s v="RK101270 RICE COOK.META.MECHA.CONGEE 6C           "/>
    <s v="S"/>
    <d v="2012-01-09T00:00:00"/>
    <m/>
    <s v="X"/>
    <x v="63"/>
    <n v="16.844799999999999"/>
    <n v="21"/>
    <d v="2012-01-24T00:00:00"/>
    <d v="2012-01-10T00:00:00"/>
    <n v="1120"/>
    <d v="2012-01-10T00:00:00"/>
    <n v="1120"/>
    <m/>
    <d v="2012-01-11T00:00:00"/>
    <n v="1120"/>
    <d v="2012-01-25T00:00:00"/>
    <d v="2012-01-11T00:00:00"/>
    <n v="1120"/>
    <n v="1120"/>
    <x v="17"/>
    <d v="2012-01-25T00:00:00"/>
    <m/>
    <n v="9321667244"/>
    <n v="10"/>
    <s v="TEXU7308859"/>
    <s v="COSCO THAILAND 011W"/>
    <m/>
    <s v="NINGBO"/>
    <m/>
    <m/>
    <s v="AGNES NUNES"/>
    <s v="FO9"/>
    <s v="ELECTRICAL COOKING            "/>
    <s v="CONFIRMED"/>
    <n v="1"/>
    <n v="2"/>
    <d v="2012-01-11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13/000001"/>
    <n v="1370151064"/>
    <n v="10"/>
    <x v="30"/>
    <x v="30"/>
    <s v="N4"/>
    <n v="7211000230"/>
    <n v="39"/>
    <n v="211000230"/>
    <s v="RK401070 RICE COOKER LED MICRO 6C                 "/>
    <s v="S"/>
    <d v="2012-01-09T00:00:00"/>
    <m/>
    <s v="X"/>
    <x v="63"/>
    <n v="21.1906"/>
    <n v="28"/>
    <d v="2012-01-24T00:00:00"/>
    <d v="2012-01-10T00:00:00"/>
    <n v="1120"/>
    <d v="2012-01-10T00:00:00"/>
    <n v="1120"/>
    <m/>
    <d v="2012-01-11T00:00:00"/>
    <n v="1120"/>
    <d v="2012-01-25T00:00:00"/>
    <d v="2012-01-11T00:00:00"/>
    <n v="1120"/>
    <n v="1120"/>
    <x v="17"/>
    <d v="2012-01-25T00:00:00"/>
    <m/>
    <n v="9321667245"/>
    <n v="10"/>
    <s v="TEXU7308859"/>
    <s v="COSCO THAILAND 011W"/>
    <m/>
    <s v="NINGBO"/>
    <m/>
    <m/>
    <s v="AGNES NUNES"/>
    <s v="FO9"/>
    <s v="ELECTRICAL COOKING            "/>
    <s v="CONFIRMED"/>
    <n v="1"/>
    <n v="2"/>
    <d v="2012-01-11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362/000010"/>
    <n v="1370151264"/>
    <n v="10"/>
    <x v="30"/>
    <x v="30"/>
    <s v="N2"/>
    <n v="2100051056"/>
    <n v="50"/>
    <n v="211000518"/>
    <s v="CB522013 PLANCHA 2000W  I THERMOS ES/PT           "/>
    <s v="S"/>
    <d v="2012-01-17T00:00:00"/>
    <m/>
    <s v="X"/>
    <x v="63"/>
    <n v="22.723700000000001"/>
    <n v="19"/>
    <d v="2012-02-17T00:00:00"/>
    <d v="2012-01-13T00:00:00"/>
    <n v="1992"/>
    <d v="2012-01-13T00:00:00"/>
    <n v="1992"/>
    <m/>
    <d v="2012-01-15T00:00:00"/>
    <n v="1992"/>
    <d v="2012-02-19T00:00:00"/>
    <d v="2012-01-15T00:00:00"/>
    <n v="1992"/>
    <n v="1992"/>
    <x v="11"/>
    <d v="2012-02-19T00:00:00"/>
    <m/>
    <n v="9321667246"/>
    <n v="10"/>
    <s v="MSKU1235540"/>
    <s v="MAERSK EINDHOVEN 120"/>
    <m/>
    <s v="NINGBO"/>
    <m/>
    <m/>
    <s v="JASON FAN"/>
    <s v="FO9"/>
    <s v="ELECTRICAL COOKING            "/>
    <s v="CONFIRMED"/>
    <n v="1"/>
    <n v="2"/>
    <d v="2012-01-15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356/000010"/>
    <n v="1370151287"/>
    <n v="10"/>
    <x v="30"/>
    <x v="30"/>
    <s v="N4"/>
    <n v="1500633449"/>
    <n v="39"/>
    <n v="211000133"/>
    <s v="RK100601 RICE C.NEW CL.6C &quot;A&quot;                     "/>
    <s v="S"/>
    <d v="2012-01-09T00:00:00"/>
    <m/>
    <s v="X"/>
    <x v="63"/>
    <n v="15.637"/>
    <n v="13"/>
    <d v="2012-02-17T00:00:00"/>
    <d v="2012-01-13T00:00:00"/>
    <n v="1600"/>
    <d v="2012-01-05T00:00:00"/>
    <n v="1600"/>
    <m/>
    <d v="2012-01-15T00:00:00"/>
    <n v="1600"/>
    <d v="2012-02-08T00:00:00"/>
    <d v="2012-01-04T00:00:00"/>
    <n v="1600"/>
    <n v="1600"/>
    <x v="6"/>
    <d v="2012-02-09T00:00:00"/>
    <m/>
    <n v="9321667247"/>
    <n v="10"/>
    <s v="CMAU8392406"/>
    <s v="CMA CGM GEMINI FM422"/>
    <m/>
    <s v="NINGBO"/>
    <s v="C-PULLIN-CONF/"/>
    <m/>
    <s v="JASON FAN"/>
    <s v="FO9"/>
    <s v="ELECTRICAL COOKING            "/>
    <s v="CONFIRMED"/>
    <n v="1"/>
    <n v="1"/>
    <d v="2012-01-05T00:00:00"/>
    <s v="KITCHEN ELECTRICS             "/>
    <s v="ELECTRICAL COOKING            "/>
    <x v="0"/>
    <x v="0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67/000010"/>
    <n v="1370150268"/>
    <n v="10"/>
    <x v="31"/>
    <x v="31"/>
    <s v="A1"/>
    <n v="2100067833"/>
    <n v="200"/>
    <n v="115003420"/>
    <s v="A8091394 GRIP RIGHT TNS GRAY 11 GRIDDLE           "/>
    <s v="S"/>
    <d v="2012-01-18T00:00:00"/>
    <m/>
    <s v="X"/>
    <x v="63"/>
    <n v="5.8442999999999996"/>
    <n v="6"/>
    <d v="2012-03-05T00:00:00"/>
    <d v="2012-01-23T00:00:00"/>
    <n v="12000"/>
    <d v="2012-01-13T00:00:00"/>
    <n v="12000"/>
    <m/>
    <d v="2012-01-13T00:00:00"/>
    <n v="12000"/>
    <d v="2012-02-24T00:00:00"/>
    <d v="2012-01-13T00:00:00"/>
    <n v="12000"/>
    <n v="6552"/>
    <x v="24"/>
    <d v="2012-02-24T00:00:00"/>
    <m/>
    <n v="9321667252"/>
    <n v="10"/>
    <s v="CMAU8329240"/>
    <s v="JI HAI ZHI XIU A138/"/>
    <m/>
    <s v="WUHAN"/>
    <s v="C-PULLIN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67/000010"/>
    <n v="1370150268"/>
    <n v="10"/>
    <x v="31"/>
    <x v="31"/>
    <s v="A1"/>
    <n v="2100067833"/>
    <n v="200"/>
    <n v="115003420"/>
    <s v="A8091394 GRIP RIGHT TNS GRAY 11 GRIDDLE           "/>
    <s v="S"/>
    <d v="2012-01-18T00:00:00"/>
    <m/>
    <s v="X"/>
    <x v="63"/>
    <n v="5.8442999999999996"/>
    <n v="6"/>
    <d v="2012-03-05T00:00:00"/>
    <d v="2012-01-23T00:00:00"/>
    <n v="12000"/>
    <d v="2012-01-13T00:00:00"/>
    <n v="12000"/>
    <m/>
    <d v="2012-01-13T00:00:00"/>
    <n v="12000"/>
    <d v="2012-02-24T00:00:00"/>
    <d v="2012-01-13T00:00:00"/>
    <n v="12000"/>
    <n v="5448"/>
    <x v="24"/>
    <d v="2012-02-24T00:00:00"/>
    <m/>
    <n v="9321667252"/>
    <n v="10"/>
    <s v="CMAU8330364"/>
    <s v="JI HAI ZHI XIU A138/"/>
    <m/>
    <s v="WUHAN"/>
    <s v="C-PULLIN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70/000010"/>
    <n v="1370150269"/>
    <n v="10"/>
    <x v="31"/>
    <x v="31"/>
    <s v="A1"/>
    <n v="2100067826"/>
    <n v="200"/>
    <n v="115003421"/>
    <s v="A8092394 GRIP RIGHT TNS GRAY 2QT COVD SP          "/>
    <s v="S"/>
    <d v="2012-01-18T00:00:00"/>
    <m/>
    <s v="X"/>
    <x v="63"/>
    <n v="5.6464999999999996"/>
    <n v="6"/>
    <d v="2012-03-05T00:00:00"/>
    <d v="2012-01-23T00:00:00"/>
    <n v="3000"/>
    <d v="2012-01-13T00:00:00"/>
    <n v="3000"/>
    <m/>
    <d v="2012-01-13T00:00:00"/>
    <n v="3000"/>
    <d v="2012-02-24T00:00:00"/>
    <d v="2012-01-13T00:00:00"/>
    <n v="3000"/>
    <n v="2600"/>
    <x v="24"/>
    <d v="2012-02-24T00:00:00"/>
    <m/>
    <n v="9321667253"/>
    <n v="10"/>
    <s v="CMAU8331680"/>
    <s v="JI HAI ZHI XIU A138/"/>
    <m/>
    <s v="WUHAN"/>
    <s v="C-PULLIN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70/000010"/>
    <n v="1370150269"/>
    <n v="10"/>
    <x v="31"/>
    <x v="31"/>
    <s v="A1"/>
    <n v="2100067826"/>
    <n v="200"/>
    <n v="115003421"/>
    <s v="A8092394 GRIP RIGHT TNS GRAY 2QT COVD SP          "/>
    <s v="S"/>
    <d v="2012-01-18T00:00:00"/>
    <m/>
    <s v="X"/>
    <x v="63"/>
    <n v="5.6464999999999996"/>
    <n v="6"/>
    <d v="2012-03-05T00:00:00"/>
    <d v="2012-01-23T00:00:00"/>
    <n v="3000"/>
    <d v="2012-01-13T00:00:00"/>
    <n v="3000"/>
    <m/>
    <d v="2012-01-13T00:00:00"/>
    <n v="3000"/>
    <d v="2012-02-24T00:00:00"/>
    <d v="2012-01-13T00:00:00"/>
    <n v="3000"/>
    <n v="400"/>
    <x v="24"/>
    <d v="2012-02-24T00:00:00"/>
    <m/>
    <n v="9321667253"/>
    <n v="10"/>
    <s v="CMAU8329044"/>
    <s v="JI HAI ZHI XIU A138/"/>
    <m/>
    <s v="WUHAN"/>
    <s v="C-PULLIN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225/000010"/>
    <n v="1370150285"/>
    <n v="10"/>
    <x v="31"/>
    <x v="31"/>
    <s v="A1"/>
    <n v="2100064634"/>
    <n v="201"/>
    <n v="115002978"/>
    <s v="A8120874 SOFT HANDLES TNS BLACK 12&quot; FP (          "/>
    <s v="S"/>
    <d v="2012-01-18T00:00:00"/>
    <m/>
    <s v="X"/>
    <x v="63"/>
    <n v="6.6269"/>
    <n v="7"/>
    <d v="2012-03-05T00:00:00"/>
    <d v="2012-01-23T00:00:00"/>
    <n v="8001"/>
    <d v="2012-01-13T00:00:00"/>
    <n v="8001"/>
    <m/>
    <d v="2012-01-13T00:00:00"/>
    <n v="8001"/>
    <d v="2012-02-24T00:00:00"/>
    <d v="2012-01-13T00:00:00"/>
    <n v="8001"/>
    <n v="4569"/>
    <x v="24"/>
    <d v="2012-02-24T00:00:00"/>
    <m/>
    <n v="9321667254"/>
    <n v="10"/>
    <s v="CMAU8325769"/>
    <s v="JI HAI ZHI XIU A138/"/>
    <m/>
    <s v="WUHAN"/>
    <s v="C-PULLIN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225/000010"/>
    <n v="1370150285"/>
    <n v="10"/>
    <x v="31"/>
    <x v="31"/>
    <s v="A1"/>
    <n v="2100064634"/>
    <n v="201"/>
    <n v="115002978"/>
    <s v="A8120874 SOFT HANDLES TNS BLACK 12&quot; FP (          "/>
    <s v="S"/>
    <d v="2012-01-18T00:00:00"/>
    <m/>
    <s v="X"/>
    <x v="63"/>
    <n v="6.6269"/>
    <n v="7"/>
    <d v="2012-03-05T00:00:00"/>
    <d v="2012-01-23T00:00:00"/>
    <n v="8001"/>
    <d v="2012-01-13T00:00:00"/>
    <n v="8001"/>
    <m/>
    <d v="2012-01-13T00:00:00"/>
    <n v="8001"/>
    <d v="2012-02-24T00:00:00"/>
    <d v="2012-01-13T00:00:00"/>
    <n v="8001"/>
    <n v="3432"/>
    <x v="24"/>
    <d v="2012-02-24T00:00:00"/>
    <m/>
    <n v="9321667254"/>
    <n v="10"/>
    <s v="CMAU8329044"/>
    <s v="JI HAI ZHI XIU A138/"/>
    <m/>
    <s v="WUHAN"/>
    <s v="C-PULLIN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237/000010"/>
    <n v="1370150287"/>
    <n v="10"/>
    <x v="31"/>
    <x v="31"/>
    <s v="A1"/>
    <n v="2100064635"/>
    <n v="201"/>
    <n v="116000906"/>
    <s v="A812SA74 SOFT HANDLES TNS BLACK 10PC SET          "/>
    <s v="S"/>
    <d v="2012-01-18T00:00:00"/>
    <m/>
    <s v="X"/>
    <x v="63"/>
    <n v="42.500900000000001"/>
    <n v="45"/>
    <d v="2012-03-12T00:00:00"/>
    <d v="2012-01-30T00:00:00"/>
    <n v="1000"/>
    <d v="2012-01-13T00:00:00"/>
    <n v="1000"/>
    <m/>
    <d v="2012-01-13T00:00:00"/>
    <n v="1000"/>
    <d v="2012-02-24T00:00:00"/>
    <d v="2012-01-13T00:00:00"/>
    <n v="1000"/>
    <n v="409"/>
    <x v="24"/>
    <d v="2012-02-24T00:00:00"/>
    <m/>
    <n v="9321667255"/>
    <n v="10"/>
    <s v="CMAU8330831"/>
    <s v="JI HAI ZHI XIU A138/"/>
    <m/>
    <s v="WUHAN"/>
    <s v="C-PULLIN-CONF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237/000010"/>
    <n v="1370150287"/>
    <n v="10"/>
    <x v="31"/>
    <x v="31"/>
    <s v="A1"/>
    <n v="2100064635"/>
    <n v="201"/>
    <n v="116000906"/>
    <s v="A812SA74 SOFT HANDLES TNS BLACK 10PC SET          "/>
    <s v="S"/>
    <d v="2012-01-18T00:00:00"/>
    <m/>
    <s v="X"/>
    <x v="63"/>
    <n v="42.500900000000001"/>
    <n v="45"/>
    <d v="2012-03-12T00:00:00"/>
    <d v="2012-01-30T00:00:00"/>
    <n v="1000"/>
    <d v="2012-01-13T00:00:00"/>
    <n v="1000"/>
    <m/>
    <d v="2012-01-13T00:00:00"/>
    <n v="1000"/>
    <d v="2012-02-24T00:00:00"/>
    <d v="2012-01-13T00:00:00"/>
    <n v="1000"/>
    <n v="591"/>
    <x v="24"/>
    <d v="2012-02-24T00:00:00"/>
    <m/>
    <n v="9321667255"/>
    <n v="10"/>
    <s v="TRLU5285834"/>
    <s v="JI HAI ZHI XIU A138/"/>
    <m/>
    <s v="WUHAN"/>
    <s v="C-PULLIN-CONF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214/000010"/>
    <n v="1370150313"/>
    <n v="10"/>
    <x v="31"/>
    <x v="31"/>
    <s v="A1"/>
    <n v="2100064622"/>
    <n v="201"/>
    <n v="115002977"/>
    <s v="A8130874 SOFT HANDLES TNS BLUE 12&quot; FP (W          "/>
    <s v="S"/>
    <d v="2012-01-18T00:00:00"/>
    <m/>
    <s v="X"/>
    <x v="63"/>
    <n v="6.6780999999999997"/>
    <n v="7"/>
    <d v="2012-03-05T00:00:00"/>
    <d v="2012-01-23T00:00:00"/>
    <n v="1998"/>
    <d v="2012-01-13T00:00:00"/>
    <n v="1998"/>
    <m/>
    <d v="2012-01-13T00:00:00"/>
    <n v="1998"/>
    <d v="2012-02-24T00:00:00"/>
    <d v="2012-01-13T00:00:00"/>
    <n v="1998"/>
    <n v="1998"/>
    <x v="24"/>
    <d v="2012-02-24T00:00:00"/>
    <m/>
    <n v="9321667257"/>
    <n v="10"/>
    <s v="CMAU8325990"/>
    <s v="JI HAI ZHI XIU A138/"/>
    <m/>
    <s v="WUHAN"/>
    <s v="C-PULLIN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41/000010"/>
    <n v="1370150319"/>
    <n v="10"/>
    <x v="31"/>
    <x v="31"/>
    <s v="A1"/>
    <n v="2100067832"/>
    <n v="200"/>
    <n v="116001100"/>
    <s v="A779S294 T-FAL EASY CARE RED 2P FRY PAN           "/>
    <s v="S"/>
    <d v="2012-01-18T00:00:00"/>
    <m/>
    <s v="X"/>
    <x v="63"/>
    <n v="7.7670000000000003"/>
    <n v="8"/>
    <d v="2012-03-05T00:00:00"/>
    <d v="2012-01-23T00:00:00"/>
    <n v="6000"/>
    <d v="2012-01-13T00:00:00"/>
    <n v="6000"/>
    <m/>
    <d v="2012-01-13T00:00:00"/>
    <n v="6000"/>
    <d v="2012-02-24T00:00:00"/>
    <d v="2012-01-13T00:00:00"/>
    <n v="6000"/>
    <n v="1800"/>
    <x v="24"/>
    <d v="2012-02-24T00:00:00"/>
    <m/>
    <n v="9321667258"/>
    <n v="10"/>
    <s v="CMAU8331000"/>
    <s v="JI HAI ZHI XIU A138/"/>
    <m/>
    <s v="WUHAN"/>
    <s v="C-PULLIN-CONF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41/000010"/>
    <n v="1370150319"/>
    <n v="10"/>
    <x v="31"/>
    <x v="31"/>
    <s v="A1"/>
    <n v="2100067832"/>
    <n v="200"/>
    <n v="116001100"/>
    <s v="A779S294 T-FAL EASY CARE RED 2P FRY PAN           "/>
    <s v="S"/>
    <d v="2012-01-18T00:00:00"/>
    <m/>
    <s v="X"/>
    <x v="63"/>
    <n v="7.7670000000000003"/>
    <n v="8"/>
    <d v="2012-03-05T00:00:00"/>
    <d v="2012-01-23T00:00:00"/>
    <n v="6000"/>
    <d v="2012-01-13T00:00:00"/>
    <n v="6000"/>
    <m/>
    <d v="2012-01-13T00:00:00"/>
    <n v="6000"/>
    <d v="2012-02-24T00:00:00"/>
    <d v="2012-01-13T00:00:00"/>
    <n v="6000"/>
    <n v="4200"/>
    <x v="24"/>
    <d v="2012-02-24T00:00:00"/>
    <m/>
    <n v="9321667258"/>
    <n v="10"/>
    <s v="CMAU8331329"/>
    <s v="JI HAI ZHI XIU A138/"/>
    <m/>
    <s v="WUHAN"/>
    <s v="C-PULLIN-CONF/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40/000010"/>
    <n v="1370150322"/>
    <n v="10"/>
    <x v="31"/>
    <x v="31"/>
    <s v="A1"/>
    <n v="2100067832"/>
    <n v="200"/>
    <n v="116001100"/>
    <s v="A779S294 T-FAL EASY CARE RED 2P FRY PAN           "/>
    <s v="S"/>
    <d v="2012-01-18T00:00:00"/>
    <m/>
    <s v="X"/>
    <x v="63"/>
    <n v="7.7670000000000003"/>
    <n v="8"/>
    <d v="2012-03-01T00:00:00"/>
    <d v="2012-01-19T00:00:00"/>
    <n v="3600"/>
    <d v="2012-01-19T00:00:00"/>
    <n v="3600"/>
    <m/>
    <d v="2012-01-13T00:00:00"/>
    <n v="3600"/>
    <d v="2012-02-24T00:00:00"/>
    <d v="2012-01-13T00:00:00"/>
    <n v="3600"/>
    <n v="1980"/>
    <x v="24"/>
    <d v="2012-02-24T00:00:00"/>
    <m/>
    <n v="9321667260"/>
    <n v="10"/>
    <s v="CMAU8331000"/>
    <s v="JI HAI ZHI XIU A138/"/>
    <m/>
    <s v="WUHAN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40/000010"/>
    <n v="1370150322"/>
    <n v="10"/>
    <x v="31"/>
    <x v="31"/>
    <s v="A1"/>
    <n v="2100067832"/>
    <n v="200"/>
    <n v="116001100"/>
    <s v="A779S294 T-FAL EASY CARE RED 2P FRY PAN           "/>
    <s v="S"/>
    <d v="2012-01-18T00:00:00"/>
    <m/>
    <s v="X"/>
    <x v="63"/>
    <n v="7.7670000000000003"/>
    <n v="8"/>
    <d v="2012-03-01T00:00:00"/>
    <d v="2012-01-19T00:00:00"/>
    <n v="3600"/>
    <d v="2012-01-19T00:00:00"/>
    <n v="3600"/>
    <m/>
    <d v="2012-01-13T00:00:00"/>
    <n v="3600"/>
    <d v="2012-02-24T00:00:00"/>
    <d v="2012-01-13T00:00:00"/>
    <n v="3600"/>
    <n v="1620"/>
    <x v="24"/>
    <d v="2012-02-24T00:00:00"/>
    <m/>
    <n v="9321667260"/>
    <n v="10"/>
    <s v="TRLU5285834"/>
    <s v="JI HAI ZHI XIU A138/"/>
    <m/>
    <s v="WUHAN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215/000010"/>
    <n v="1370150368"/>
    <n v="10"/>
    <x v="31"/>
    <x v="31"/>
    <s v="A1"/>
    <n v="2100064622"/>
    <n v="201"/>
    <n v="115002977"/>
    <s v="A8130874 SOFT HANDLES TNS BLUE 12&quot; FP (W          "/>
    <s v="S"/>
    <d v="2012-01-18T00:00:00"/>
    <m/>
    <s v="X"/>
    <x v="63"/>
    <n v="6.6782000000000004"/>
    <n v="7"/>
    <d v="2012-03-12T00:00:00"/>
    <d v="2012-01-30T00:00:00"/>
    <n v="4002"/>
    <d v="2012-01-13T00:00:00"/>
    <n v="4002"/>
    <m/>
    <d v="2012-01-13T00:00:00"/>
    <n v="4002"/>
    <d v="2012-02-24T00:00:00"/>
    <d v="2012-01-13T00:00:00"/>
    <n v="4002"/>
    <n v="3906"/>
    <x v="24"/>
    <d v="2012-02-24T00:00:00"/>
    <m/>
    <n v="9321667262"/>
    <n v="10"/>
    <s v="CMAU8325990"/>
    <s v="JI HAI ZHI XIU A138/"/>
    <m/>
    <s v="WUHAN"/>
    <s v="C-PULLIN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215/000010"/>
    <n v="1370150368"/>
    <n v="10"/>
    <x v="31"/>
    <x v="31"/>
    <s v="A1"/>
    <n v="2100064622"/>
    <n v="201"/>
    <n v="115002977"/>
    <s v="A8130874 SOFT HANDLES TNS BLUE 12&quot; FP (W          "/>
    <s v="S"/>
    <d v="2012-01-18T00:00:00"/>
    <m/>
    <s v="X"/>
    <x v="63"/>
    <n v="6.6782000000000004"/>
    <n v="7"/>
    <d v="2012-03-12T00:00:00"/>
    <d v="2012-01-30T00:00:00"/>
    <n v="4002"/>
    <d v="2012-01-13T00:00:00"/>
    <n v="4002"/>
    <m/>
    <d v="2012-01-13T00:00:00"/>
    <n v="4002"/>
    <d v="2012-02-24T00:00:00"/>
    <d v="2012-01-13T00:00:00"/>
    <n v="4002"/>
    <n v="96"/>
    <x v="24"/>
    <d v="2012-02-24T00:00:00"/>
    <m/>
    <n v="9321667262"/>
    <n v="10"/>
    <s v="CMAU8330364"/>
    <s v="JI HAI ZHI XIU A138/"/>
    <m/>
    <s v="WUHAN"/>
    <s v="C-PULLIN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105/000010"/>
    <n v="1370150373"/>
    <n v="10"/>
    <x v="31"/>
    <x v="31"/>
    <s v="A1"/>
    <n v="2100064640"/>
    <n v="201"/>
    <n v="115002980"/>
    <s v="C1572474 SIGNATURE BLUE TNS 3QT SP (W)            "/>
    <s v="S"/>
    <d v="2012-01-18T00:00:00"/>
    <m/>
    <s v="X"/>
    <x v="63"/>
    <n v="8.2236999999999991"/>
    <n v="9"/>
    <d v="2012-02-20T00:00:00"/>
    <d v="2012-01-09T00:00:00"/>
    <n v="2000"/>
    <d v="2012-01-09T00:00:00"/>
    <n v="2000"/>
    <m/>
    <d v="2012-01-13T00:00:00"/>
    <n v="2000"/>
    <d v="2012-02-24T00:00:00"/>
    <d v="2012-01-13T00:00:00"/>
    <n v="2000"/>
    <n v="2000"/>
    <x v="24"/>
    <d v="2012-02-24T00:00:00"/>
    <m/>
    <n v="9321667264"/>
    <n v="10"/>
    <s v="CMAU8331653"/>
    <s v="JI HAI ZHI XIU A138/"/>
    <m/>
    <s v="WUHAN"/>
    <s v="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77/000010"/>
    <n v="1370150377"/>
    <n v="10"/>
    <x v="31"/>
    <x v="31"/>
    <s v="A1"/>
    <n v="2100067827"/>
    <n v="200"/>
    <n v="115003442"/>
    <s v="A8090294 GRIP RIGHT TNS GREY 8&quot; SAUTE             "/>
    <s v="S"/>
    <d v="2012-01-18T00:00:00"/>
    <m/>
    <s v="X"/>
    <x v="63"/>
    <n v="3.899"/>
    <n v="4"/>
    <d v="2012-03-05T00:00:00"/>
    <d v="2012-01-23T00:00:00"/>
    <n v="9000"/>
    <d v="2012-01-13T00:00:00"/>
    <n v="9000"/>
    <m/>
    <d v="2012-01-13T00:00:00"/>
    <n v="9000"/>
    <d v="2012-02-24T00:00:00"/>
    <d v="2012-01-13T00:00:00"/>
    <n v="9000"/>
    <n v="9000"/>
    <x v="24"/>
    <d v="2012-02-24T00:00:00"/>
    <m/>
    <n v="9321667265"/>
    <n v="10"/>
    <s v="CMAU8331680"/>
    <s v="JI HAI ZHI XIU A138/"/>
    <m/>
    <s v="WUHAN"/>
    <s v="C-PULLIN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60/000010"/>
    <n v="1370150384"/>
    <n v="10"/>
    <x v="31"/>
    <x v="31"/>
    <s v="A1"/>
    <n v="2100067835"/>
    <n v="200"/>
    <n v="115003419"/>
    <s v="A8090594 GRIP RIGHT TNS GRAY 10&quot; SAUTE            "/>
    <s v="S"/>
    <d v="2012-01-18T00:00:00"/>
    <m/>
    <s v="X"/>
    <x v="63"/>
    <n v="4.9610000000000003"/>
    <n v="5"/>
    <d v="2012-03-05T00:00:00"/>
    <d v="2012-01-23T00:00:00"/>
    <n v="15000"/>
    <d v="2012-01-13T00:00:00"/>
    <n v="15000"/>
    <m/>
    <d v="2012-01-13T00:00:00"/>
    <n v="15000"/>
    <d v="2012-02-24T00:00:00"/>
    <d v="2012-01-13T00:00:00"/>
    <n v="15000"/>
    <n v="2760"/>
    <x v="24"/>
    <d v="2012-02-24T00:00:00"/>
    <m/>
    <n v="9321667270"/>
    <n v="10"/>
    <s v="CMAU8331653"/>
    <s v="JI HAI ZHI XIU A138/"/>
    <m/>
    <s v="WUHAN"/>
    <s v="C-PULLIN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60/000010"/>
    <n v="1370150384"/>
    <n v="10"/>
    <x v="31"/>
    <x v="31"/>
    <s v="A1"/>
    <n v="2100067835"/>
    <n v="200"/>
    <n v="115003419"/>
    <s v="A8090594 GRIP RIGHT TNS GRAY 10&quot; SAUTE            "/>
    <s v="S"/>
    <d v="2012-01-18T00:00:00"/>
    <m/>
    <s v="X"/>
    <x v="63"/>
    <n v="4.9610000000000003"/>
    <n v="5"/>
    <d v="2012-03-05T00:00:00"/>
    <d v="2012-01-23T00:00:00"/>
    <n v="15000"/>
    <d v="2012-01-13T00:00:00"/>
    <n v="15000"/>
    <m/>
    <d v="2012-01-13T00:00:00"/>
    <n v="15000"/>
    <d v="2012-02-24T00:00:00"/>
    <d v="2012-01-13T00:00:00"/>
    <n v="15000"/>
    <n v="8640"/>
    <x v="24"/>
    <d v="2012-02-24T00:00:00"/>
    <m/>
    <n v="9321667270"/>
    <n v="10"/>
    <s v="CMAU5473398"/>
    <s v="JI HAI ZHI XIU A138/"/>
    <m/>
    <s v="WUHAN"/>
    <s v="C-PULLIN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60/000010"/>
    <n v="1370150384"/>
    <n v="10"/>
    <x v="31"/>
    <x v="31"/>
    <s v="A1"/>
    <n v="2100067835"/>
    <n v="200"/>
    <n v="115003419"/>
    <s v="A8090594 GRIP RIGHT TNS GRAY 10&quot; SAUTE            "/>
    <s v="S"/>
    <d v="2012-01-18T00:00:00"/>
    <m/>
    <s v="X"/>
    <x v="63"/>
    <n v="4.9610000000000003"/>
    <n v="5"/>
    <d v="2012-03-05T00:00:00"/>
    <d v="2012-01-23T00:00:00"/>
    <n v="15000"/>
    <d v="2012-01-13T00:00:00"/>
    <n v="15000"/>
    <m/>
    <d v="2012-01-13T00:00:00"/>
    <n v="15000"/>
    <d v="2012-02-24T00:00:00"/>
    <d v="2012-01-13T00:00:00"/>
    <n v="15000"/>
    <n v="1212"/>
    <x v="24"/>
    <d v="2012-02-24T00:00:00"/>
    <m/>
    <n v="9321667270"/>
    <n v="10"/>
    <s v="CMAU8330364"/>
    <s v="JI HAI ZHI XIU A138/"/>
    <m/>
    <s v="WUHAN"/>
    <s v="C-PULLIN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60/000010"/>
    <n v="1370150384"/>
    <n v="10"/>
    <x v="31"/>
    <x v="31"/>
    <s v="A1"/>
    <n v="2100067835"/>
    <n v="200"/>
    <n v="115003419"/>
    <s v="A8090594 GRIP RIGHT TNS GRAY 10&quot; SAUTE            "/>
    <s v="S"/>
    <d v="2012-01-18T00:00:00"/>
    <m/>
    <s v="X"/>
    <x v="63"/>
    <n v="4.9610000000000003"/>
    <n v="5"/>
    <d v="2012-03-05T00:00:00"/>
    <d v="2012-01-23T00:00:00"/>
    <n v="15000"/>
    <d v="2012-01-13T00:00:00"/>
    <n v="15000"/>
    <m/>
    <d v="2012-01-13T00:00:00"/>
    <n v="15000"/>
    <d v="2012-02-24T00:00:00"/>
    <d v="2012-01-13T00:00:00"/>
    <n v="15000"/>
    <n v="2388"/>
    <x v="24"/>
    <d v="2012-02-24T00:00:00"/>
    <m/>
    <n v="9321667270"/>
    <n v="10"/>
    <s v="CMAU8329044"/>
    <s v="JI HAI ZHI XIU A138/"/>
    <m/>
    <s v="WUHAN"/>
    <s v="C-PULLIN-CONF/LATE DOC"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406/000010"/>
    <n v="1370150234"/>
    <n v="10"/>
    <x v="76"/>
    <x v="76"/>
    <s v="A1"/>
    <n v="2100064932"/>
    <n v="200"/>
    <n v="115003146"/>
    <s v="C1163374 STP26(3.5QT)LID WEAR REAL EASY           "/>
    <s v="S"/>
    <d v="2012-01-13T00:00:00"/>
    <m/>
    <s v="X"/>
    <x v="63"/>
    <n v="7.4151999999999996"/>
    <n v="8"/>
    <d v="2012-03-05T00:00:00"/>
    <d v="2012-01-30T00:00:00"/>
    <n v="1920"/>
    <d v="2012-01-15T00:00:00"/>
    <n v="1920"/>
    <m/>
    <d v="2012-01-15T00:00:00"/>
    <n v="1920"/>
    <d v="2012-02-19T00:00:00"/>
    <d v="2012-01-15T00:00:00"/>
    <n v="1920"/>
    <n v="1920"/>
    <x v="11"/>
    <d v="2012-02-19T00:00:00"/>
    <m/>
    <n v="9321667272"/>
    <n v="10"/>
    <s v="TGHU6400491"/>
    <s v="SIMA SAMAN"/>
    <m/>
    <s v="HO CHI MINH CITY"/>
    <s v="SP-HOLIDAY/C-CLX-NEG(DEC 07 / STILL WAITING BU CONFIRMAITON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7"/>
    <s v="SP-HOLIDAY"/>
    <n v="-3"/>
    <n v="-3"/>
    <x v="6"/>
    <n v="3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75/000010"/>
    <n v="1370150255"/>
    <n v="10"/>
    <x v="76"/>
    <x v="76"/>
    <s v="A1"/>
    <n v="2100059431"/>
    <n v="200"/>
    <s v="C9579574       "/>
    <s v="C9579574 ADMIRATION RAD TNS 12&quot; COVRD SK          "/>
    <s v="S"/>
    <d v="2012-01-13T00:00:00"/>
    <m/>
    <s v="X"/>
    <x v="63"/>
    <n v="10.196"/>
    <n v="11"/>
    <d v="2012-02-13T00:00:00"/>
    <d v="2012-01-09T00:00:00"/>
    <n v="1000"/>
    <d v="2012-01-09T00:00:00"/>
    <n v="1000"/>
    <m/>
    <d v="2012-01-15T00:00:00"/>
    <n v="1000"/>
    <d v="2012-02-19T00:00:00"/>
    <d v="2012-01-15T00:00:00"/>
    <n v="1000"/>
    <n v="1000"/>
    <x v="11"/>
    <d v="2012-02-19T00:00:00"/>
    <m/>
    <n v="9321667273"/>
    <n v="10"/>
    <s v="CRXU9451739"/>
    <s v="SIMA SAMAN"/>
    <m/>
    <s v="HO CHI MINH CITY"/>
    <m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53/000010"/>
    <n v="1370150265"/>
    <n v="10"/>
    <x v="76"/>
    <x v="76"/>
    <s v="A1"/>
    <n v="2100059425"/>
    <n v="200"/>
    <s v="C961S374       "/>
    <s v="C961S374 ADMIRATION NS GREY 3PC COMBO 8/          "/>
    <s v="S"/>
    <d v="2012-01-13T00:00:00"/>
    <m/>
    <s v="X"/>
    <x v="63"/>
    <n v="13.0808"/>
    <n v="14"/>
    <d v="2012-03-01T00:00:00"/>
    <d v="2012-01-26T00:00:00"/>
    <n v="1000"/>
    <d v="2012-01-15T00:00:00"/>
    <n v="1000"/>
    <m/>
    <d v="2012-01-15T00:00:00"/>
    <n v="1000"/>
    <d v="2012-02-19T00:00:00"/>
    <d v="2012-01-15T00:00:00"/>
    <n v="1000"/>
    <n v="1000"/>
    <x v="11"/>
    <d v="2012-02-19T00:00:00"/>
    <m/>
    <n v="9321667274"/>
    <n v="10"/>
    <s v="ECMU9727699"/>
    <s v="SIMA SAMAN"/>
    <m/>
    <s v="HO CHI MINH CITY"/>
    <s v="SP-HOLIDAY/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76/000010"/>
    <n v="1370150272"/>
    <n v="10"/>
    <x v="76"/>
    <x v="76"/>
    <s v="A1"/>
    <n v="2100059431"/>
    <n v="200"/>
    <s v="C9579574       "/>
    <s v="C9579574 ADMIRATION RAD TNS 12&quot; COVRD SK          "/>
    <s v="S"/>
    <d v="2012-01-13T00:00:00"/>
    <m/>
    <s v="X"/>
    <x v="63"/>
    <n v="10.196"/>
    <n v="11"/>
    <d v="2012-03-01T00:00:00"/>
    <d v="2012-01-26T00:00:00"/>
    <n v="1000"/>
    <d v="2012-01-15T00:00:00"/>
    <n v="1000"/>
    <m/>
    <d v="2012-01-15T00:00:00"/>
    <n v="1000"/>
    <d v="2012-02-19T00:00:00"/>
    <d v="2012-01-15T00:00:00"/>
    <n v="1000"/>
    <n v="1000"/>
    <x v="11"/>
    <d v="2012-02-19T00:00:00"/>
    <m/>
    <n v="9321667275"/>
    <n v="10"/>
    <s v="TGHU6400491"/>
    <s v="SIMA SAMAN"/>
    <m/>
    <s v="HO CHI MINH CITY"/>
    <s v="SP-HOLIDAY/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407/000010"/>
    <n v="1370150277"/>
    <n v="10"/>
    <x v="76"/>
    <x v="76"/>
    <s v="A1"/>
    <n v="2100064932"/>
    <n v="200"/>
    <n v="115003146"/>
    <s v="C1163374 STP26(3.5QT)LID WEAR REAL EASY           "/>
    <s v="S"/>
    <d v="2012-01-13T00:00:00"/>
    <m/>
    <s v="X"/>
    <x v="63"/>
    <n v="7.4151999999999996"/>
    <n v="8"/>
    <d v="2012-03-19T00:00:00"/>
    <d v="2012-02-13T00:00:00"/>
    <n v="7500"/>
    <d v="2012-01-15T00:00:00"/>
    <n v="7500"/>
    <m/>
    <d v="2012-01-15T00:00:00"/>
    <n v="7500"/>
    <d v="2012-02-19T00:00:00"/>
    <d v="2012-01-15T00:00:00"/>
    <n v="7500"/>
    <n v="2600"/>
    <x v="11"/>
    <d v="2012-02-19T00:00:00"/>
    <m/>
    <n v="9321667276"/>
    <n v="10"/>
    <s v="GLDU7093541"/>
    <s v="SIMA SAMAN"/>
    <m/>
    <s v="HO CHI MINH CITY"/>
    <s v="CONS-SHIPT/SP-HOLIDAY/C-CLX-NEG(DEC 07 / STILL WAITING BU CONFIRMAITON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0"/>
    <s v="CONS-SHIPT"/>
    <n v="-3"/>
    <n v="-3"/>
    <x v="8"/>
    <n v="4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407/000010"/>
    <n v="1370150277"/>
    <n v="10"/>
    <x v="76"/>
    <x v="76"/>
    <s v="A1"/>
    <n v="2100064932"/>
    <n v="200"/>
    <n v="115003146"/>
    <s v="C1163374 STP26(3.5QT)LID WEAR REAL EASY           "/>
    <s v="S"/>
    <d v="2012-01-13T00:00:00"/>
    <m/>
    <s v="X"/>
    <x v="63"/>
    <n v="7.4151999999999996"/>
    <n v="8"/>
    <d v="2012-03-19T00:00:00"/>
    <d v="2012-02-13T00:00:00"/>
    <n v="7500"/>
    <d v="2012-01-15T00:00:00"/>
    <n v="7500"/>
    <m/>
    <d v="2012-01-15T00:00:00"/>
    <n v="7500"/>
    <d v="2012-02-19T00:00:00"/>
    <d v="2012-01-15T00:00:00"/>
    <n v="7500"/>
    <n v="2300"/>
    <x v="11"/>
    <d v="2012-02-19T00:00:00"/>
    <m/>
    <n v="9321667276"/>
    <n v="10"/>
    <s v="CMAU4116708"/>
    <s v="SIMA SAMAN"/>
    <m/>
    <s v="HO CHI MINH CITY"/>
    <s v="CONS-SHIPT/SP-HOLIDAY/C-CLX-NEG(DEC 07 / STILL WAITING BU CONFIRMAITON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0"/>
    <s v="CONS-SHIPT"/>
    <n v="-3"/>
    <n v="-3"/>
    <x v="8"/>
    <n v="4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407/000010"/>
    <n v="1370150277"/>
    <n v="10"/>
    <x v="76"/>
    <x v="76"/>
    <s v="A1"/>
    <n v="2100064932"/>
    <n v="200"/>
    <n v="115003146"/>
    <s v="C1163374 STP26(3.5QT)LID WEAR REAL EASY           "/>
    <s v="S"/>
    <d v="2012-01-13T00:00:00"/>
    <m/>
    <s v="X"/>
    <x v="63"/>
    <n v="7.4151999999999996"/>
    <n v="8"/>
    <d v="2012-03-19T00:00:00"/>
    <d v="2012-02-13T00:00:00"/>
    <n v="7500"/>
    <d v="2012-01-15T00:00:00"/>
    <n v="7500"/>
    <m/>
    <d v="2012-01-15T00:00:00"/>
    <n v="7500"/>
    <d v="2012-02-19T00:00:00"/>
    <d v="2012-01-15T00:00:00"/>
    <n v="7500"/>
    <n v="2600"/>
    <x v="11"/>
    <d v="2012-02-19T00:00:00"/>
    <m/>
    <n v="9321667276"/>
    <n v="10"/>
    <s v="ECMU9354297"/>
    <s v="SIMA SAMAN"/>
    <m/>
    <s v="HO CHI MINH CITY"/>
    <s v="CONS-SHIPT/SP-HOLIDAY/C-CLX-NEG(DEC 07 / STILL WAITING BU CONFIRMAITON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0"/>
    <s v="CONS-SHIPT"/>
    <n v="-3"/>
    <n v="-3"/>
    <x v="8"/>
    <n v="4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55/000010"/>
    <n v="1370150316"/>
    <n v="10"/>
    <x v="76"/>
    <x v="76"/>
    <s v="A1"/>
    <n v="2100059429"/>
    <n v="200"/>
    <s v="C9570774       "/>
    <s v="C9570774 ADMIRATION RAD TNS 12&quot; SAUTE             "/>
    <s v="S"/>
    <d v="2012-01-13T00:00:00"/>
    <m/>
    <s v="X"/>
    <x v="63"/>
    <n v="6.1214000000000004"/>
    <n v="6"/>
    <d v="2012-02-13T00:00:00"/>
    <d v="2012-01-09T00:00:00"/>
    <n v="1000"/>
    <d v="2012-01-09T00:00:00"/>
    <n v="1000"/>
    <m/>
    <d v="2012-01-15T00:00:00"/>
    <n v="1000"/>
    <d v="2012-02-19T00:00:00"/>
    <d v="2012-01-15T00:00:00"/>
    <n v="1000"/>
    <n v="1000"/>
    <x v="11"/>
    <d v="2012-02-19T00:00:00"/>
    <m/>
    <n v="9321667277"/>
    <n v="10"/>
    <s v="ECMU9727699"/>
    <s v="SIMA SAMAN"/>
    <m/>
    <s v="HO CHI MINH CITY"/>
    <m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52/000010"/>
    <n v="1370150317"/>
    <n v="10"/>
    <x v="76"/>
    <x v="76"/>
    <s v="A1"/>
    <n v="2100059425"/>
    <n v="200"/>
    <s v="C961S374       "/>
    <s v="C961S374 ADMIRATION NS GREY 3PC COMBO 8/          "/>
    <s v="S"/>
    <d v="2012-01-13T00:00:00"/>
    <m/>
    <s v="X"/>
    <x v="63"/>
    <n v="13.0808"/>
    <n v="14"/>
    <d v="2012-02-13T00:00:00"/>
    <d v="2012-01-09T00:00:00"/>
    <n v="1000"/>
    <d v="2012-01-09T00:00:00"/>
    <n v="1000"/>
    <m/>
    <d v="2012-01-15T00:00:00"/>
    <n v="1000"/>
    <d v="2012-02-19T00:00:00"/>
    <d v="2012-01-15T00:00:00"/>
    <n v="1000"/>
    <n v="1000"/>
    <x v="11"/>
    <d v="2012-02-19T00:00:00"/>
    <m/>
    <n v="9321667278"/>
    <n v="10"/>
    <s v="ECMU9727699"/>
    <s v="SIMA SAMAN"/>
    <m/>
    <s v="HO CHI MINH CITY"/>
    <m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185/000010"/>
    <n v="1370150371"/>
    <n v="10"/>
    <x v="76"/>
    <x v="76"/>
    <s v="A1"/>
    <n v="2100065267"/>
    <n v="201"/>
    <s v="A8570004       "/>
    <s v="A8570004 &quot;EASY CARE FS ONE EGG WONDER 4.          "/>
    <s v="S"/>
    <d v="2012-01-13T00:00:00"/>
    <m/>
    <s v="X"/>
    <x v="63"/>
    <n v="2.0558000000000001"/>
    <n v="2"/>
    <d v="2012-03-19T00:00:00"/>
    <d v="2012-02-13T00:00:00"/>
    <n v="12000"/>
    <d v="2012-01-15T00:00:00"/>
    <n v="12000"/>
    <m/>
    <d v="2012-01-15T00:00:00"/>
    <n v="12000"/>
    <d v="2012-02-19T00:00:00"/>
    <d v="2012-01-15T00:00:00"/>
    <n v="12000"/>
    <n v="12000"/>
    <x v="11"/>
    <d v="2012-02-19T00:00:00"/>
    <m/>
    <n v="9321667279"/>
    <n v="10"/>
    <s v="CRXU9451739"/>
    <s v="SIMA SAMAN"/>
    <m/>
    <s v="HO CHI MINH CITY"/>
    <s v="CONS-SHIPT/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0"/>
    <s v="CONS-SHIPT"/>
    <n v="-3"/>
    <n v="-3"/>
    <x v="8"/>
    <n v="1"/>
    <x v="0"/>
    <x v="0"/>
    <x v="0"/>
    <n v="1"/>
    <n v="0"/>
    <n v="1"/>
    <n v="0"/>
    <n v="0"/>
    <n v="1"/>
    <x v="0"/>
    <x v="0"/>
    <x v="1"/>
    <x v="1"/>
  </r>
  <r>
    <s v="Shipment"/>
    <n v="99006601"/>
    <s v="GROUPE SEB SINGAPORE PTE LTD                      "/>
    <n v="99006601"/>
    <x v="11"/>
    <s v="809/000001"/>
    <n v="1370151045"/>
    <n v="10"/>
    <x v="76"/>
    <x v="76"/>
    <s v="AA"/>
    <n v="7116000950"/>
    <n v="200"/>
    <n v="116000950"/>
    <s v="H11004-T1 BRAVO COOKWARE SET (FRYPAN 26C          "/>
    <s v="S"/>
    <d v="2012-01-09T00:00:00"/>
    <m/>
    <s v="X"/>
    <x v="63"/>
    <n v="8.7952999999999992"/>
    <n v="11"/>
    <d v="2012-01-24T00:00:00"/>
    <d v="2012-01-10T00:00:00"/>
    <n v="1000"/>
    <d v="2012-01-10T00:00:00"/>
    <n v="1000"/>
    <m/>
    <d v="2012-01-08T00:00:00"/>
    <n v="1000"/>
    <d v="2012-01-22T00:00:00"/>
    <d v="2012-01-08T00:00:00"/>
    <n v="1000"/>
    <n v="1000"/>
    <x v="23"/>
    <d v="2012-01-22T00:00:00"/>
    <m/>
    <n v="9321667280"/>
    <n v="10"/>
    <s v="OOLU3789754"/>
    <s v="HANJIN MANILA 0082W"/>
    <m/>
    <s v="HO CHI MINH CITY"/>
    <m/>
    <m/>
    <s v="AGNES NUNES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05/000001"/>
    <n v="1370151054"/>
    <n v="10"/>
    <x v="76"/>
    <x v="76"/>
    <s v="AA"/>
    <n v="7115001056"/>
    <n v="200"/>
    <n v="115001056"/>
    <s v="NJA30 FRYPAN 30 OVIENCE                           "/>
    <s v="S"/>
    <d v="2012-01-09T00:00:00"/>
    <m/>
    <s v="X"/>
    <x v="63"/>
    <n v="5.7027999999999999"/>
    <n v="7"/>
    <d v="2012-01-24T00:00:00"/>
    <d v="2012-01-10T00:00:00"/>
    <n v="1008"/>
    <d v="2012-01-10T00:00:00"/>
    <n v="1008"/>
    <m/>
    <d v="2012-01-08T00:00:00"/>
    <n v="1008"/>
    <d v="2012-01-22T00:00:00"/>
    <d v="2012-01-08T00:00:00"/>
    <n v="1008"/>
    <n v="1008"/>
    <x v="23"/>
    <d v="2012-01-22T00:00:00"/>
    <m/>
    <n v="9321667281"/>
    <n v="10"/>
    <s v="OOLU3789754"/>
    <s v="HANJIN MANILA 0082W"/>
    <m/>
    <s v="HO CHI MINH CITY"/>
    <m/>
    <m/>
    <s v="AGNES NUNES"/>
    <s v="FO9"/>
    <s v="COOKWARE                      "/>
    <s v="CONFIRMED"/>
    <n v="1"/>
    <n v="1"/>
    <d v="2012-01-08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6312/000010"/>
    <n v="1370151233"/>
    <n v="10"/>
    <x v="8"/>
    <x v="8"/>
    <s v="L4"/>
    <n v="1830002742"/>
    <n v="131"/>
    <s v="CF7362D0       "/>
    <s v="CF7362D0 HANDY STRAIGHTENER ELITE                 "/>
    <s v="S"/>
    <d v="2012-01-07T00:00:00"/>
    <m/>
    <s v="X"/>
    <x v="63"/>
    <n v="7.73"/>
    <n v="298"/>
    <d v="2012-02-28T00:00:00"/>
    <d v="2012-01-10T00:00:00"/>
    <n v="3000"/>
    <d v="2012-01-10T00:00:00"/>
    <n v="3000"/>
    <m/>
    <d v="2012-01-06T00:00:00"/>
    <n v="3000"/>
    <d v="2012-02-24T00:00:00"/>
    <d v="2012-01-06T00:00:00"/>
    <n v="3000"/>
    <n v="3000"/>
    <x v="6"/>
    <d v="2012-02-23T00:00:00"/>
    <m/>
    <n v="9321667327"/>
    <n v="10"/>
    <s v="DFSU6659262"/>
    <s v="MOL MAXIM/010W"/>
    <m/>
    <s v="YANTIAN"/>
    <m/>
    <m/>
    <s v="KENUS WONG"/>
    <s v="FO9"/>
    <s v="PERSONAL CARE                 "/>
    <s v="CONFIRMED"/>
    <n v="1"/>
    <n v="1"/>
    <d v="2012-01-05T00:00:00"/>
    <s v="LINEN PERS HOME CARE          "/>
    <s v="PERSONAL CARE   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82/039760"/>
    <n v="1370149679"/>
    <n v="10"/>
    <x v="79"/>
    <x v="79"/>
    <s v="N3"/>
    <n v="1500578146"/>
    <n v="53"/>
    <n v="578146"/>
    <s v="OX160850 OVEN QUARZTECH 9L BLK CO                 "/>
    <s v="S"/>
    <d v="2012-01-31T00:00:00"/>
    <m/>
    <s v="X"/>
    <x v="63"/>
    <n v="14.94"/>
    <n v="17"/>
    <d v="2012-03-30T00:00:00"/>
    <d v="2012-02-24T00:00:00"/>
    <n v="1861"/>
    <d v="2012-01-13T00:00:00"/>
    <n v="1861"/>
    <m/>
    <d v="2012-01-19T00:00:00"/>
    <n v="2946"/>
    <d v="2012-02-23T00:00:00"/>
    <d v="2012-01-19T00:00:00"/>
    <n v="1861"/>
    <n v="1861"/>
    <x v="1"/>
    <d v="2012-02-27T00:00:00"/>
    <m/>
    <n v="9321667384"/>
    <n v="10"/>
    <s v="MRKU3420438"/>
    <s v="MAERSK SARNIA 1203"/>
    <m/>
    <s v="YANTIAN"/>
    <s v="BU-ETD-TEMP/BU-ETD-TEMP/SP-MTL/SP-MTL/"/>
    <m/>
    <s v="THOMAS HO"/>
    <s v="FO9"/>
    <s v="ELECTRICAL COOKING            "/>
    <s v="CONFIRMED"/>
    <n v="1"/>
    <n v="4"/>
    <d v="2012-01-23T00:00:00"/>
    <s v="KITCHEN ELECTRICS             "/>
    <s v="ELECTRICAL COOKING            "/>
    <x v="4"/>
    <x v="1"/>
    <x v="9"/>
    <s v="BU-ETD-TEMP"/>
    <n v="1"/>
    <n v="-3"/>
    <x v="3"/>
    <n v="4"/>
    <x v="0"/>
    <x v="0"/>
    <x v="0"/>
    <n v="1"/>
    <n v="0"/>
    <n v="0"/>
    <n v="0"/>
    <n v="0"/>
    <n v="0"/>
    <x v="0"/>
    <x v="1"/>
    <x v="1"/>
    <x v="0"/>
  </r>
  <r>
    <s v="Shipment"/>
    <n v="99007325"/>
    <s v="Spedition Hendricks GmbH &amp; Co.KG                  "/>
    <n v="99008300"/>
    <x v="15"/>
    <s v="4500262308/000010"/>
    <n v="1370149499"/>
    <n v="10"/>
    <x v="26"/>
    <x v="26"/>
    <s v="P1"/>
    <n v="1500831590"/>
    <n v="105"/>
    <n v="831590"/>
    <s v="JU585G31 JUI EASY FRUIT 700W RED/SS EUR           "/>
    <s v="S"/>
    <d v="2012-01-10T00:00:00"/>
    <m/>
    <s v="X"/>
    <x v="64"/>
    <n v="35.020000000000003"/>
    <n v="30"/>
    <d v="2012-02-06T00:00:00"/>
    <d v="2012-01-02T00:00:00"/>
    <n v="1164"/>
    <d v="2012-01-02T00:00:00"/>
    <n v="1164"/>
    <m/>
    <d v="2012-03-09T00:00:00"/>
    <n v="1164"/>
    <d v="2012-02-06T00:00:00"/>
    <d v="2012-01-02T00:00:00"/>
    <n v="1164"/>
    <n v="1164"/>
    <x v="0"/>
    <d v="2012-02-13T00:00:00"/>
    <m/>
    <n v="9321667611"/>
    <n v="10"/>
    <s v="CAIU4066081"/>
    <s v="HYUNDAI FORCE/017W"/>
    <m/>
    <s v="YANTIAN"/>
    <s v="SP-BOTTLENECK/"/>
    <m/>
    <s v="AGNES NUNES"/>
    <s v="FO9"/>
    <s v="FOOD PREPARATION              "/>
    <s v="CONFIRMED"/>
    <n v="1"/>
    <n v="2"/>
    <d v="2012-01-09T00:00:00"/>
    <s v="KITCHEN ELECTRICS             "/>
    <s v="FOOD PREPARATION              "/>
    <x v="1"/>
    <x v="1"/>
    <x v="6"/>
    <s v="SP-BOTTLENECK"/>
    <n v="1"/>
    <n v="1"/>
    <x v="16"/>
    <n v="1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5216/000010"/>
    <n v="1370151591"/>
    <n v="10"/>
    <x v="80"/>
    <x v="80"/>
    <s v="A3"/>
    <n v="2100061057"/>
    <n v="200"/>
    <s v="A7972364       "/>
    <s v="A7972364 GET A GRIP NS BLACK 2QT SP               "/>
    <s v="S"/>
    <d v="2012-01-10T00:00:00"/>
    <m/>
    <s v="X"/>
    <x v="65"/>
    <n v="4.5599999999999996"/>
    <n v="5"/>
    <d v="2012-02-10T00:00:00"/>
    <d v="2012-01-06T00:00:00"/>
    <n v="1000"/>
    <d v="2012-01-06T00:00:00"/>
    <n v="1000"/>
    <m/>
    <d v="2012-01-05T00:00:00"/>
    <n v="1000"/>
    <d v="2012-02-09T00:00:00"/>
    <d v="2012-01-05T00:00:00"/>
    <n v="1000"/>
    <n v="1000"/>
    <x v="12"/>
    <d v="2012-02-11T00:00:00"/>
    <m/>
    <n v="9321667626"/>
    <n v="10"/>
    <s v="TGHU8894979"/>
    <s v="ARTHUR MAERSK/553S"/>
    <m/>
    <s v="NINGBO"/>
    <s v="C-SHORTL/T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2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1282/000010"/>
    <n v="1370150342"/>
    <n v="10"/>
    <x v="80"/>
    <x v="80"/>
    <s v="A3"/>
    <n v="2100061070"/>
    <n v="200"/>
    <s v="A796SA64       "/>
    <s v="A796SA64 GET A GRIP NS RED 10PC SET               "/>
    <s v="S"/>
    <d v="2012-01-10T00:00:00"/>
    <m/>
    <s v="X"/>
    <x v="57"/>
    <n v="21.34"/>
    <n v="25"/>
    <d v="2012-02-06T00:00:00"/>
    <d v="2012-01-02T00:00:00"/>
    <n v="3000"/>
    <d v="2012-01-04T00:00:00"/>
    <n v="3000"/>
    <m/>
    <d v="2012-01-05T00:00:00"/>
    <n v="3000"/>
    <d v="2012-02-09T00:00:00"/>
    <d v="2012-01-05T00:00:00"/>
    <n v="3000"/>
    <n v="1300"/>
    <x v="12"/>
    <d v="2012-02-11T00:00:00"/>
    <m/>
    <n v="9321667628"/>
    <n v="10"/>
    <s v="TGHU8894979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1282/000010"/>
    <n v="1370150342"/>
    <n v="10"/>
    <x v="80"/>
    <x v="80"/>
    <s v="A3"/>
    <n v="2100061070"/>
    <n v="200"/>
    <s v="A796SA64       "/>
    <s v="A796SA64 GET A GRIP NS RED 10PC SET               "/>
    <s v="S"/>
    <d v="2012-01-10T00:00:00"/>
    <m/>
    <s v="X"/>
    <x v="57"/>
    <n v="21.34"/>
    <n v="25"/>
    <d v="2012-02-06T00:00:00"/>
    <d v="2012-01-02T00:00:00"/>
    <n v="3000"/>
    <d v="2012-01-04T00:00:00"/>
    <n v="3000"/>
    <m/>
    <d v="2012-01-05T00:00:00"/>
    <n v="3000"/>
    <d v="2012-02-09T00:00:00"/>
    <d v="2012-01-05T00:00:00"/>
    <n v="3000"/>
    <n v="1700"/>
    <x v="12"/>
    <d v="2012-02-11T00:00:00"/>
    <m/>
    <n v="9321667628"/>
    <n v="10"/>
    <s v="FSCU6480586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1262/000010"/>
    <n v="1370150350"/>
    <n v="10"/>
    <x v="80"/>
    <x v="80"/>
    <s v="A3"/>
    <n v="2100061067"/>
    <n v="200"/>
    <s v="A7962464       "/>
    <s v="A7962464 GET A GRIP NE RED 3QT SP                 "/>
    <s v="S"/>
    <d v="2012-01-10T00:00:00"/>
    <m/>
    <s v="X"/>
    <x v="57"/>
    <n v="5.19"/>
    <n v="6"/>
    <d v="2012-02-06T00:00:00"/>
    <d v="2012-01-02T00:00:00"/>
    <n v="4000"/>
    <d v="2012-01-04T00:00:00"/>
    <n v="4002"/>
    <m/>
    <d v="2012-01-05T00:00:00"/>
    <n v="4002"/>
    <d v="2012-02-09T00:00:00"/>
    <d v="2012-01-05T00:00:00"/>
    <n v="4002"/>
    <n v="102"/>
    <x v="12"/>
    <d v="2012-02-11T00:00:00"/>
    <m/>
    <n v="9321667629"/>
    <n v="10"/>
    <s v="TGHU8894979"/>
    <s v="ARTHUR MAERSK/553S"/>
    <m/>
    <s v="NINGBO"/>
    <s v="SP-PROD-ISSUE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1262/000010"/>
    <n v="1370150350"/>
    <n v="10"/>
    <x v="80"/>
    <x v="80"/>
    <s v="A3"/>
    <n v="2100061067"/>
    <n v="200"/>
    <s v="A7962464       "/>
    <s v="A7962464 GET A GRIP NE RED 3QT SP                 "/>
    <s v="S"/>
    <d v="2012-01-10T00:00:00"/>
    <m/>
    <s v="X"/>
    <x v="57"/>
    <n v="5.19"/>
    <n v="6"/>
    <d v="2012-02-06T00:00:00"/>
    <d v="2012-01-02T00:00:00"/>
    <n v="4000"/>
    <d v="2012-01-04T00:00:00"/>
    <n v="4002"/>
    <m/>
    <d v="2012-01-05T00:00:00"/>
    <n v="4002"/>
    <d v="2012-02-09T00:00:00"/>
    <d v="2012-01-05T00:00:00"/>
    <n v="4002"/>
    <n v="3900"/>
    <x v="12"/>
    <d v="2012-02-11T00:00:00"/>
    <m/>
    <n v="9321667629"/>
    <n v="10"/>
    <s v="ECMU9154318"/>
    <s v="ARTHUR MAERSK/553S"/>
    <m/>
    <s v="NINGBO"/>
    <s v="SP-PROD-ISSUE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073/000130"/>
    <n v="1370149103"/>
    <n v="130"/>
    <x v="8"/>
    <x v="8"/>
    <s v="L4"/>
    <n v="1830003337"/>
    <n v="131"/>
    <s v="SF6150E4       "/>
    <s v="SF6150E4 LISS &amp; CURL PRO STRAIGHTENER             "/>
    <s v="S"/>
    <d v="2012-02-02T00:00:00"/>
    <m/>
    <s v="X"/>
    <x v="64"/>
    <n v="14.57"/>
    <n v="17"/>
    <d v="2012-02-06T00:00:00"/>
    <d v="2012-01-09T00:00:00"/>
    <n v="7200"/>
    <d v="2012-01-09T00:00:00"/>
    <n v="7200"/>
    <m/>
    <d v="2012-01-13T00:00:00"/>
    <n v="7200"/>
    <d v="2012-02-21T00:00:00"/>
    <d v="2012-01-24T00:00:00"/>
    <n v="7200"/>
    <n v="7200"/>
    <x v="18"/>
    <d v="2012-02-24T00:00:00"/>
    <m/>
    <n v="9321667728"/>
    <n v="10"/>
    <s v="OOLU7401152"/>
    <s v="LOS ANGELES EXPRESS"/>
    <m/>
    <s v="YANTIAN"/>
    <s v="SP-TOOLING/C-PULLIN-CONF/"/>
    <m/>
    <s v="JASON FAN"/>
    <s v="FO9"/>
    <s v="PERSONAL CARE                 "/>
    <s v="CONFIRMED"/>
    <n v="1"/>
    <n v="4"/>
    <d v="2012-01-27T00:00:00"/>
    <s v="LINEN PERS HOME CARE          "/>
    <s v="PERSONAL CARE                 "/>
    <x v="4"/>
    <x v="1"/>
    <x v="15"/>
    <s v="SP-TOOLING"/>
    <n v="1"/>
    <n v="1"/>
    <x v="21"/>
    <n v="2"/>
    <x v="0"/>
    <x v="0"/>
    <x v="1"/>
    <n v="0"/>
    <n v="0"/>
    <n v="0"/>
    <n v="0"/>
    <n v="0"/>
    <n v="0"/>
    <x v="1"/>
    <x v="0"/>
    <x v="1"/>
    <x v="0"/>
  </r>
  <r>
    <s v="Shipment"/>
    <n v="99007325"/>
    <s v="Spedition Hendricks GmbH &amp; Co.KG                  "/>
    <n v="99008300"/>
    <x v="15"/>
    <s v="4500262894/000010"/>
    <n v="1370150943"/>
    <n v="10"/>
    <x v="11"/>
    <x v="11"/>
    <s v="N3"/>
    <n v="1500578007"/>
    <n v="53"/>
    <n v="578007"/>
    <s v="OX110230 OVEN UNO S GRILL SILV EUR                "/>
    <s v="S"/>
    <d v="2012-01-30T00:00:00"/>
    <m/>
    <s v="X"/>
    <x v="64"/>
    <n v="24.1"/>
    <n v="21"/>
    <d v="2012-02-16T00:00:00"/>
    <d v="2012-01-12T00:00:00"/>
    <n v="550"/>
    <d v="2012-01-12T00:00:00"/>
    <n v="540"/>
    <m/>
    <d v="2012-01-12T00:00:00"/>
    <n v="540"/>
    <d v="2012-02-19T00:00:00"/>
    <d v="2012-01-15T00:00:00"/>
    <n v="540"/>
    <n v="540"/>
    <x v="1"/>
    <d v="2012-02-27T00:00:00"/>
    <m/>
    <n v="9321667849"/>
    <n v="10"/>
    <s v="TCKU9307175"/>
    <s v="OOCL LONG BEACH/65W0"/>
    <m/>
    <s v="XIAMEN"/>
    <s v="C-ETD-TEMP/"/>
    <m/>
    <s v="AGNES NUNES"/>
    <s v="FO9"/>
    <s v="ELECTRICAL COOKING            "/>
    <s v="CONFIRMED"/>
    <n v="1"/>
    <n v="4"/>
    <d v="2012-01-23T00:00:00"/>
    <s v="KITCHEN ELECTRICS             "/>
    <s v="ELECTRICAL COOKING            "/>
    <x v="1"/>
    <x v="1"/>
    <x v="16"/>
    <s v="C-ETD-TEMP"/>
    <n v="-3"/>
    <n v="-3"/>
    <x v="7"/>
    <n v="1"/>
    <x v="0"/>
    <x v="0"/>
    <x v="1"/>
    <n v="0"/>
    <n v="0"/>
    <n v="0"/>
    <n v="0"/>
    <n v="0"/>
    <n v="0"/>
    <x v="1"/>
    <x v="0"/>
    <x v="1"/>
    <x v="0"/>
  </r>
  <r>
    <s v="Shipment"/>
    <n v="99008200"/>
    <s v="GROUPE SEB IBERICA                                "/>
    <n v="99008200"/>
    <x v="21"/>
    <s v="9321667479/000010"/>
    <n v="1370151510"/>
    <n v="10"/>
    <x v="10"/>
    <x v="10"/>
    <s v="P1"/>
    <n v="1500818460"/>
    <n v="104"/>
    <n v="818460"/>
    <s v="A320R1 MLTT 1.2.3 A320 WHT GSE                    "/>
    <s v="S"/>
    <d v="2012-01-18T00:00:00"/>
    <m/>
    <s v="X"/>
    <x v="64"/>
    <n v="14.26"/>
    <n v="12"/>
    <d v="2012-02-13T00:00:00"/>
    <d v="2012-01-09T00:00:00"/>
    <n v="2516"/>
    <d v="2012-01-09T00:00:00"/>
    <n v="2516"/>
    <m/>
    <d v="2012-01-16T00:00:00"/>
    <n v="2516"/>
    <d v="2012-02-20T00:00:00"/>
    <d v="2012-01-16T00:00:00"/>
    <n v="2516"/>
    <n v="2516"/>
    <x v="8"/>
    <d v="2012-02-20T00:00:00"/>
    <m/>
    <n v="9321667875"/>
    <n v="10"/>
    <s v="MAEU6326943"/>
    <s v="CMA CGM DEBUSSY 812W"/>
    <m/>
    <s v="JAKARTA"/>
    <m/>
    <m/>
    <s v="JASON FAN"/>
    <s v="FO9"/>
    <s v="FOOD PREPARATION              "/>
    <s v="CONFIRMED"/>
    <n v="1"/>
    <n v="3"/>
    <d v="2012-01-16T00:00:00"/>
    <s v="KITCHEN ELECTRICS             "/>
    <s v="FOOD PREPARATION  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5887/000010"/>
    <n v="1370151512"/>
    <n v="10"/>
    <x v="40"/>
    <x v="40"/>
    <s v="L4"/>
    <n v="1830003060"/>
    <n v="5"/>
    <s v="CV4212F0       "/>
    <s v="CV4212F0 STUDIO DRY HAIR DRYER                    "/>
    <s v="S"/>
    <d v="2012-01-16T00:00:00"/>
    <m/>
    <s v="X"/>
    <x v="64"/>
    <n v="5.33"/>
    <n v="5"/>
    <d v="2012-02-06T00:00:00"/>
    <d v="2012-01-09T00:00:00"/>
    <n v="3000"/>
    <d v="2012-01-14T00:00:00"/>
    <n v="3000"/>
    <m/>
    <d v="2012-01-10T00:00:00"/>
    <n v="3000"/>
    <d v="2012-02-11T00:00:00"/>
    <d v="2012-01-14T00:00:00"/>
    <n v="3000"/>
    <n v="3000"/>
    <x v="9"/>
    <d v="2012-02-11T00:00:00"/>
    <m/>
    <n v="9321667876"/>
    <n v="10"/>
    <s v="MRKU3275448"/>
    <s v="MAERSK SHEERNESS/120"/>
    <m/>
    <s v="YANTIAN"/>
    <s v="CONS-SHIPT/"/>
    <m/>
    <s v="JASON FAN"/>
    <s v="FO9"/>
    <s v="PERSONAL CARE                 "/>
    <s v="CONFIRMED"/>
    <n v="1"/>
    <n v="2"/>
    <d v="2012-01-14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7480/000010"/>
    <n v="1370151526"/>
    <n v="10"/>
    <x v="10"/>
    <x v="10"/>
    <s v="P1"/>
    <n v="1500818461"/>
    <n v="104"/>
    <n v="818461"/>
    <s v="A327R1 MLTT 1.2.3COFFRET A327 WHT GSE             "/>
    <s v="S"/>
    <d v="2012-01-18T00:00:00"/>
    <m/>
    <s v="X"/>
    <x v="64"/>
    <n v="16.93"/>
    <n v="15"/>
    <d v="2012-02-13T00:00:00"/>
    <d v="2012-01-09T00:00:00"/>
    <n v="1344"/>
    <d v="2012-01-09T00:00:00"/>
    <n v="1344"/>
    <m/>
    <d v="2012-01-16T00:00:00"/>
    <n v="1344"/>
    <d v="2012-02-20T00:00:00"/>
    <d v="2012-01-16T00:00:00"/>
    <n v="1344"/>
    <n v="1344"/>
    <x v="8"/>
    <d v="2012-02-20T00:00:00"/>
    <m/>
    <n v="9321667879"/>
    <n v="10"/>
    <s v="MAEU6326943"/>
    <s v="CMA CGM DEBUSSY 812W"/>
    <m/>
    <s v="JAKARTA"/>
    <m/>
    <m/>
    <s v="JASON FAN"/>
    <s v="FO9"/>
    <s v="FOOD PREPARATION              "/>
    <s v="CONFIRMED"/>
    <n v="1"/>
    <n v="3"/>
    <d v="2012-01-16T00:00:00"/>
    <s v="KITCHEN ELECTRICS             "/>
    <s v="FOOD PREPARATION  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76/000001"/>
    <n v="1370151494"/>
    <n v="10"/>
    <x v="48"/>
    <x v="48"/>
    <s v="A3"/>
    <n v="2100068588"/>
    <n v="235"/>
    <s v="K0200684       "/>
    <s v="K0200684 SLOTTED SPOON CHUTNEY ACCESS SI          "/>
    <s v="S"/>
    <d v="2012-02-01T00:00:00"/>
    <m/>
    <s v="X"/>
    <x v="64"/>
    <n v="2.23"/>
    <n v="75"/>
    <d v="2012-02-20T00:00:00"/>
    <d v="2012-01-16T00:00:00"/>
    <n v="2000"/>
    <d v="2012-01-21T00:00:00"/>
    <n v="2000"/>
    <m/>
    <d v="2012-01-31T00:00:00"/>
    <n v="2000"/>
    <d v="2012-02-25T00:00:00"/>
    <d v="2012-01-21T00:00:00"/>
    <n v="2000"/>
    <n v="2000"/>
    <x v="26"/>
    <d v="2012-02-25T00:00:00"/>
    <m/>
    <n v="9321667882"/>
    <n v="10"/>
    <s v="MRKU2166226"/>
    <s v="ST.MARY 1202/"/>
    <m/>
    <s v="HONG KONG"/>
    <s v="C-LCL-SHIPMENT/SP-HOLIDAY/docs received on 1-Feb/TP MISSING"/>
    <m/>
    <s v="TWEETY LEUNG"/>
    <s v="FO9"/>
    <s v="COOKWARE                      "/>
    <s v="CONFIRMED"/>
    <n v="1"/>
    <n v="3"/>
    <d v="2012-01-21T00:00:00"/>
    <s v="COOKWARE                      "/>
    <s v="COOKWARE                      "/>
    <x v="5"/>
    <x v="2"/>
    <x v="7"/>
    <s v="SP-HOLIDAY"/>
    <n v="-3"/>
    <n v="-3"/>
    <x v="6"/>
    <n v="4"/>
    <x v="0"/>
    <x v="1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976/000002"/>
    <n v="1370151494"/>
    <n v="20"/>
    <x v="48"/>
    <x v="48"/>
    <s v="A3"/>
    <n v="2100068589"/>
    <n v="235"/>
    <s v="K0200184       "/>
    <s v="K0200184 SPOON STD CHUTNEY ACCESS SILIC           "/>
    <s v="S"/>
    <d v="2012-02-01T00:00:00"/>
    <m/>
    <s v="X"/>
    <x v="64"/>
    <n v="2.23"/>
    <n v="75"/>
    <d v="2012-02-20T00:00:00"/>
    <d v="2012-01-16T00:00:00"/>
    <n v="2000"/>
    <d v="2012-01-21T00:00:00"/>
    <n v="2000"/>
    <m/>
    <d v="2012-01-31T00:00:00"/>
    <n v="2000"/>
    <d v="2012-02-25T00:00:00"/>
    <d v="2012-01-21T00:00:00"/>
    <n v="2000"/>
    <n v="2000"/>
    <x v="26"/>
    <d v="2012-02-25T00:00:00"/>
    <m/>
    <n v="9321667882"/>
    <n v="20"/>
    <s v="MRKU2166226"/>
    <s v="ST.MARY 1202/"/>
    <m/>
    <s v="HONG KONG"/>
    <s v="C-LCL-SHIPMENT/SP-HOLIDAY/docs received on 1-Feb/TP MISSING"/>
    <m/>
    <s v="TWEETY LEUNG"/>
    <s v="FO9"/>
    <s v="COOKWARE                      "/>
    <s v="CONFIRMED"/>
    <n v="1"/>
    <n v="3"/>
    <d v="2012-01-21T00:00:00"/>
    <s v="COOKWARE                      "/>
    <s v="COOKWARE                      "/>
    <x v="5"/>
    <x v="2"/>
    <x v="7"/>
    <s v="SP-HOLIDAY"/>
    <n v="-3"/>
    <n v="-3"/>
    <x v="6"/>
    <n v="4"/>
    <x v="0"/>
    <x v="1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976/000003"/>
    <n v="1370151494"/>
    <n v="30"/>
    <x v="48"/>
    <x v="48"/>
    <s v="A3"/>
    <n v="2100068591"/>
    <n v="235"/>
    <s v="K0201484       "/>
    <s v="K0201484 WHISK STD CHUTNEY ACCESS SILIC           "/>
    <s v="S"/>
    <d v="2012-02-01T00:00:00"/>
    <m/>
    <s v="X"/>
    <x v="64"/>
    <n v="2.36"/>
    <n v="75"/>
    <d v="2012-02-20T00:00:00"/>
    <d v="2012-01-16T00:00:00"/>
    <n v="2000"/>
    <d v="2012-01-21T00:00:00"/>
    <n v="2000"/>
    <m/>
    <d v="2012-01-31T00:00:00"/>
    <n v="2000"/>
    <d v="2012-02-25T00:00:00"/>
    <d v="2012-01-21T00:00:00"/>
    <n v="2000"/>
    <n v="2000"/>
    <x v="26"/>
    <d v="2012-02-25T00:00:00"/>
    <m/>
    <n v="9321667882"/>
    <n v="30"/>
    <s v="MRKU2166226"/>
    <s v="ST.MARY 1202/"/>
    <m/>
    <s v="HONG KONG"/>
    <s v="C-LCL-SHIPMENT/SP-HOLIDAY/docs received on 1-Feb/TP MISSING"/>
    <m/>
    <s v="TWEETY LEUNG"/>
    <s v="FO9"/>
    <s v="COOKWARE                      "/>
    <s v="CONFIRMED"/>
    <n v="1"/>
    <n v="3"/>
    <d v="2012-01-21T00:00:00"/>
    <s v="COOKWARE                      "/>
    <s v="COOKWARE                      "/>
    <x v="5"/>
    <x v="2"/>
    <x v="7"/>
    <s v="SP-HOLIDAY"/>
    <n v="-3"/>
    <n v="-3"/>
    <x v="6"/>
    <n v="4"/>
    <x v="0"/>
    <x v="1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976/000004"/>
    <n v="1370151494"/>
    <n v="40"/>
    <x v="48"/>
    <x v="48"/>
    <s v="A3"/>
    <n v="2100068592"/>
    <n v="235"/>
    <s v="K0200284       "/>
    <s v="K0200284 LADLE STD CHUTNEY ACCESS SILIC           "/>
    <s v="S"/>
    <d v="2012-02-01T00:00:00"/>
    <m/>
    <s v="X"/>
    <x v="64"/>
    <n v="2.25"/>
    <n v="75"/>
    <d v="2012-02-20T00:00:00"/>
    <d v="2012-01-16T00:00:00"/>
    <n v="2000"/>
    <d v="2012-01-21T00:00:00"/>
    <n v="2000"/>
    <m/>
    <d v="2012-01-31T00:00:00"/>
    <n v="2000"/>
    <d v="2012-02-25T00:00:00"/>
    <d v="2012-01-21T00:00:00"/>
    <n v="2000"/>
    <n v="2000"/>
    <x v="26"/>
    <d v="2012-02-25T00:00:00"/>
    <m/>
    <n v="9321667882"/>
    <n v="40"/>
    <s v="MRKU2166226"/>
    <s v="ST.MARY 1202/"/>
    <m/>
    <s v="HONG KONG"/>
    <s v="C-LCL-SHIPMENT/SP-HOLIDAY/docs received on 1-Feb//TP MISSING"/>
    <m/>
    <s v="TWEETY LEUNG"/>
    <s v="FO9"/>
    <s v="COOKWARE                      "/>
    <s v="CONFIRMED"/>
    <n v="1"/>
    <n v="3"/>
    <d v="2012-01-21T00:00:00"/>
    <s v="COOKWARE                      "/>
    <s v="COOKWARE                      "/>
    <x v="5"/>
    <x v="2"/>
    <x v="7"/>
    <s v="SP-HOLIDAY"/>
    <n v="-3"/>
    <n v="-3"/>
    <x v="6"/>
    <n v="3"/>
    <x v="0"/>
    <x v="1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976/000005"/>
    <n v="1370151494"/>
    <n v="50"/>
    <x v="48"/>
    <x v="48"/>
    <s v="A3"/>
    <n v="2100068593"/>
    <n v="235"/>
    <s v="K0201784       "/>
    <s v="K0201784 PIE SERVER CHUTNEY ACCESS SILIC          "/>
    <s v="S"/>
    <d v="2012-02-01T00:00:00"/>
    <m/>
    <s v="X"/>
    <x v="64"/>
    <n v="2.08"/>
    <n v="75"/>
    <d v="2012-02-20T00:00:00"/>
    <d v="2012-01-16T00:00:00"/>
    <n v="2000"/>
    <d v="2012-01-21T00:00:00"/>
    <n v="2000"/>
    <m/>
    <d v="2012-01-31T00:00:00"/>
    <n v="2000"/>
    <d v="2012-02-25T00:00:00"/>
    <d v="2012-01-21T00:00:00"/>
    <n v="2000"/>
    <n v="2000"/>
    <x v="26"/>
    <d v="2012-02-25T00:00:00"/>
    <m/>
    <n v="9321667882"/>
    <n v="50"/>
    <s v="MRKU2166226"/>
    <s v="ST.MARY 1202/"/>
    <m/>
    <s v="HONG KONG"/>
    <s v="C-LCL-SHIPMENT/SP-HOLIDAY/docs received on 1-Feb/TP MISSING"/>
    <m/>
    <s v="TWEETY LEUNG"/>
    <s v="FO9"/>
    <s v="COOKWARE                      "/>
    <s v="CONFIRMED"/>
    <n v="1"/>
    <n v="3"/>
    <d v="2012-01-21T00:00:00"/>
    <s v="COOKWARE                      "/>
    <s v="COOKWARE                      "/>
    <x v="5"/>
    <x v="2"/>
    <x v="7"/>
    <s v="SP-HOLIDAY"/>
    <n v="-3"/>
    <n v="-3"/>
    <x v="6"/>
    <n v="4"/>
    <x v="0"/>
    <x v="1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976/000006"/>
    <n v="1370151494"/>
    <n v="60"/>
    <x v="48"/>
    <x v="48"/>
    <s v="A3"/>
    <n v="2100068594"/>
    <n v="235"/>
    <s v="K0201284       "/>
    <s v="K0201284 FOOD TONG CHUTNEY ACCESS SILIC           "/>
    <s v="S"/>
    <d v="2012-02-01T00:00:00"/>
    <m/>
    <s v="X"/>
    <x v="64"/>
    <n v="2.98"/>
    <n v="75"/>
    <d v="2012-02-20T00:00:00"/>
    <d v="2012-01-16T00:00:00"/>
    <n v="2000"/>
    <d v="2012-01-21T00:00:00"/>
    <n v="2040"/>
    <m/>
    <d v="2012-01-31T00:00:00"/>
    <n v="2040"/>
    <d v="2012-02-25T00:00:00"/>
    <d v="2012-01-21T00:00:00"/>
    <n v="2040"/>
    <n v="2040"/>
    <x v="26"/>
    <d v="2012-02-25T00:00:00"/>
    <m/>
    <n v="9321667882"/>
    <n v="60"/>
    <s v="MRKU2166226"/>
    <s v="ST.MARY 1202/"/>
    <m/>
    <s v="HONG KONG"/>
    <s v="C-LCL-SHIPMENT/SP-HOLIDAY/docs received on 1-Feb/TP MISSING"/>
    <m/>
    <s v="TWEETY LEUNG"/>
    <s v="FO9"/>
    <s v="COOKWARE                      "/>
    <s v="CONFIRMED"/>
    <n v="1"/>
    <n v="3"/>
    <d v="2012-01-21T00:00:00"/>
    <s v="COOKWARE                      "/>
    <s v="COOKWARE                      "/>
    <x v="5"/>
    <x v="2"/>
    <x v="7"/>
    <s v="SP-HOLIDAY"/>
    <n v="-3"/>
    <n v="-3"/>
    <x v="6"/>
    <n v="4"/>
    <x v="0"/>
    <x v="1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976/000007"/>
    <n v="1370151494"/>
    <n v="70"/>
    <x v="48"/>
    <x v="48"/>
    <s v="A3"/>
    <n v="2100068596"/>
    <n v="235"/>
    <s v="K0200384       "/>
    <s v="K0200384 ANGLE SPATULA CHUTNEY ACCESS SI          "/>
    <s v="S"/>
    <d v="2012-02-01T00:00:00"/>
    <m/>
    <s v="X"/>
    <x v="64"/>
    <n v="2.21"/>
    <n v="75"/>
    <d v="2012-02-20T00:00:00"/>
    <d v="2012-01-16T00:00:00"/>
    <n v="2000"/>
    <d v="2012-01-21T00:00:00"/>
    <n v="2000"/>
    <m/>
    <d v="2012-01-31T00:00:00"/>
    <n v="2000"/>
    <d v="2012-02-25T00:00:00"/>
    <d v="2012-01-21T00:00:00"/>
    <n v="2000"/>
    <n v="2000"/>
    <x v="26"/>
    <d v="2012-02-25T00:00:00"/>
    <m/>
    <n v="9321667882"/>
    <n v="70"/>
    <s v="MRKU2166226"/>
    <s v="ST.MARY 1202/"/>
    <m/>
    <s v="HONG KONG"/>
    <s v="C-LCL-SHIPMENT/SP-HOLIDAY/docs received on 1-Feb/TP MISSING"/>
    <m/>
    <s v="TWEETY LEUNG"/>
    <s v="FO9"/>
    <s v="COOKWARE                      "/>
    <s v="CONFIRMED"/>
    <n v="1"/>
    <n v="3"/>
    <d v="2012-01-21T00:00:00"/>
    <s v="COOKWARE                      "/>
    <s v="COOKWARE                      "/>
    <x v="5"/>
    <x v="2"/>
    <x v="7"/>
    <s v="SP-HOLIDAY"/>
    <n v="-3"/>
    <n v="-3"/>
    <x v="6"/>
    <n v="4"/>
    <x v="0"/>
    <x v="1"/>
    <x v="0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976/000008"/>
    <n v="1370151494"/>
    <n v="80"/>
    <x v="48"/>
    <x v="48"/>
    <s v="A3"/>
    <n v="2100068598"/>
    <n v="235"/>
    <s v="K0200584       "/>
    <s v="K0200584 ICING SPATULA CHUTNEY ACCESS SI          "/>
    <s v="S"/>
    <d v="2012-02-01T00:00:00"/>
    <m/>
    <s v="X"/>
    <x v="64"/>
    <n v="2.0499999999999998"/>
    <n v="75"/>
    <d v="2012-02-20T00:00:00"/>
    <d v="2012-01-16T00:00:00"/>
    <n v="2000"/>
    <d v="2012-01-21T00:00:00"/>
    <n v="2040"/>
    <m/>
    <d v="2012-01-31T00:00:00"/>
    <n v="2040"/>
    <d v="2012-02-25T00:00:00"/>
    <d v="2012-01-21T00:00:00"/>
    <n v="2040"/>
    <n v="2040"/>
    <x v="26"/>
    <d v="2012-02-25T00:00:00"/>
    <m/>
    <n v="9321667882"/>
    <n v="80"/>
    <s v="MRKU2166226"/>
    <s v="ST.MARY 1202/"/>
    <m/>
    <s v="HONG KONG"/>
    <s v="C-LCL-SHIPMENT/SP-HOLIDAY/docs received on 1-Feb/TP MISSING"/>
    <m/>
    <s v="TWEETY LEUNG"/>
    <s v="FO9"/>
    <s v="COOKWARE                      "/>
    <s v="CONFIRMED"/>
    <n v="1"/>
    <n v="3"/>
    <d v="2012-01-21T00:00:00"/>
    <s v="COOKWARE                      "/>
    <s v="COOKWARE                      "/>
    <x v="5"/>
    <x v="2"/>
    <x v="7"/>
    <s v="SP-HOLIDAY"/>
    <n v="-3"/>
    <n v="-3"/>
    <x v="6"/>
    <n v="4"/>
    <x v="0"/>
    <x v="1"/>
    <x v="0"/>
    <n v="1"/>
    <n v="0"/>
    <n v="1"/>
    <n v="0"/>
    <n v="0"/>
    <n v="1"/>
    <x v="0"/>
    <x v="0"/>
    <x v="1"/>
    <x v="1"/>
  </r>
  <r>
    <s v="Shipment"/>
    <n v="99001800"/>
    <s v="GROUPE SEB COLOMBIA                               "/>
    <n v="99001800"/>
    <x v="26"/>
    <s v="22585/039763"/>
    <n v="1370151203"/>
    <n v="10"/>
    <x v="81"/>
    <x v="81"/>
    <s v="M1"/>
    <n v="1830004147"/>
    <n v="8"/>
    <s v="CC3005I0       "/>
    <s v="CC3005I0 BOX FAN ODM 30 CM                        "/>
    <s v="S"/>
    <d v="2012-02-07T00:00:00"/>
    <m/>
    <s v="X"/>
    <x v="64"/>
    <n v="10"/>
    <n v="12"/>
    <d v="2012-02-20T00:00:00"/>
    <d v="2012-01-16T00:00:00"/>
    <n v="3640"/>
    <d v="2012-01-16T00:00:00"/>
    <n v="3607"/>
    <m/>
    <m/>
    <m/>
    <d v="2012-03-09T00:00:00"/>
    <d v="2012-02-03T00:00:00"/>
    <n v="3607"/>
    <n v="1796"/>
    <x v="28"/>
    <d v="2012-03-05T00:00:00"/>
    <m/>
    <n v="9321667940"/>
    <n v="10"/>
    <s v="MSKU6464560"/>
    <s v="SUI DE YANG 2051 888"/>
    <m/>
    <s v="ZHONGSHAN"/>
    <s v="FORWARDER-PROB/NEWREQ-CUSTOMS/FORWARDER-PROB/"/>
    <m/>
    <s v="THOMAS HO"/>
    <s v="FO9"/>
    <s v="HOME COMFORT                  "/>
    <s v="CONFIRMED"/>
    <n v="1"/>
    <n v="5"/>
    <d v="2012-01-30T00:00:00"/>
    <s v="LINEN PERS HOME CARE          "/>
    <s v="HOME COMFORT                  "/>
    <x v="3"/>
    <x v="2"/>
    <x v="0"/>
    <s v="FORWARDER-PROB"/>
    <n v="1"/>
    <n v="1"/>
    <x v="11"/>
    <n v="3"/>
    <x v="0"/>
    <x v="0"/>
    <x v="0"/>
    <n v="0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62388/000010"/>
    <n v="1370150397"/>
    <n v="10"/>
    <x v="21"/>
    <x v="21"/>
    <s v="A8"/>
    <n v="2100043386"/>
    <n v="205"/>
    <n v="50024"/>
    <s v="50024 FOOD MILL 2 QT ST ST INDV - PURCH           "/>
    <s v="S"/>
    <d v="2012-01-11T00:00:00"/>
    <m/>
    <s v="X"/>
    <x v="66"/>
    <n v="7.51"/>
    <n v="9"/>
    <d v="2012-02-13T00:00:00"/>
    <d v="2012-01-09T00:00:00"/>
    <n v="1500"/>
    <d v="2012-01-15T00:00:00"/>
    <n v="2190"/>
    <m/>
    <d v="2012-01-18T00:00:00"/>
    <n v="1500"/>
    <d v="2012-02-14T00:00:00"/>
    <d v="2012-01-10T00:00:00"/>
    <n v="2190"/>
    <n v="2190"/>
    <x v="5"/>
    <d v="2012-02-14T00:00:00"/>
    <m/>
    <n v="9321668508"/>
    <n v="10"/>
    <s v="HLXU3324860"/>
    <s v="ZIM ONTARIO 12E01/"/>
    <m/>
    <s v="YANTIAN"/>
    <m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5"/>
    <x v="2"/>
    <x v="1"/>
    <m/>
    <n v="0"/>
    <n v="0"/>
    <x v="1"/>
    <n v="0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6588/000010"/>
    <n v="1370151613"/>
    <n v="10"/>
    <x v="19"/>
    <x v="19"/>
    <s v="A4"/>
    <n v="8701004082"/>
    <n v="235"/>
    <s v="T200 NEW 2010  "/>
    <s v="T200 NEW 2010 ALL-CLAD INSTANT READ PEN           "/>
    <s v="S"/>
    <d v="2012-01-17T00:00:00"/>
    <m/>
    <s v="X"/>
    <x v="66"/>
    <n v="7.91"/>
    <n v="9"/>
    <d v="2012-03-12T00:00:00"/>
    <d v="2012-02-06T00:00:00"/>
    <n v="3024"/>
    <d v="2012-01-16T00:00:00"/>
    <n v="3024"/>
    <m/>
    <d v="2012-01-13T00:00:00"/>
    <n v="3024"/>
    <d v="2012-02-17T00:00:00"/>
    <d v="2012-01-13T00:00:00"/>
    <n v="3024"/>
    <n v="3024"/>
    <x v="8"/>
    <d v="2012-02-20T00:00:00"/>
    <m/>
    <n v="9321668522"/>
    <n v="10"/>
    <s v="KKFU7273849"/>
    <s v="MOL PARAMOUNT 039A/"/>
    <m/>
    <s v="HONG KONG"/>
    <s v="C-PULLIN-CONF/C-LCL-SHIPT"/>
    <m/>
    <s v="TWEETY LEU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6808/000010"/>
    <n v="1370151642"/>
    <n v="10"/>
    <x v="58"/>
    <x v="58"/>
    <s v="A3"/>
    <n v="2100066696"/>
    <n v="231"/>
    <s v="J0871064       "/>
    <s v="J0871064 PIZZA 40 STEEL COMMERC GREY T-F          "/>
    <s v="S"/>
    <d v="2012-01-19T00:00:00"/>
    <m/>
    <s v="X"/>
    <x v="65"/>
    <n v="1.94"/>
    <n v="3"/>
    <d v="2012-02-23T00:00:00"/>
    <d v="2012-01-19T00:00:00"/>
    <n v="1200"/>
    <d v="2012-01-16T00:00:00"/>
    <n v="1200"/>
    <m/>
    <d v="2012-01-16T00:00:00"/>
    <n v="1200"/>
    <d v="2012-02-20T00:00:00"/>
    <d v="2012-01-16T00:00:00"/>
    <n v="1200"/>
    <n v="1200"/>
    <x v="19"/>
    <d v="2012-02-21T00:00:00"/>
    <m/>
    <n v="9321668524"/>
    <n v="10"/>
    <s v="HLXU6426145"/>
    <s v="NYK NEBULA 25E02/"/>
    <m/>
    <s v="YANTIAN"/>
    <m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6804/000010"/>
    <n v="1370151643"/>
    <n v="10"/>
    <x v="58"/>
    <x v="58"/>
    <s v="A3"/>
    <n v="2100066689"/>
    <n v="231"/>
    <s v="J0875264       "/>
    <s v="J0875264 SQUARE CAKE 23X23 STEEL COMM GR          "/>
    <s v="S"/>
    <d v="2012-01-19T00:00:00"/>
    <m/>
    <s v="X"/>
    <x v="65"/>
    <n v="1.1499999999999999"/>
    <n v="2"/>
    <d v="2012-02-23T00:00:00"/>
    <d v="2012-01-19T00:00:00"/>
    <n v="1200"/>
    <d v="2012-01-16T00:00:00"/>
    <n v="1200"/>
    <m/>
    <d v="2012-01-16T00:00:00"/>
    <n v="1200"/>
    <d v="2012-02-20T00:00:00"/>
    <d v="2012-01-16T00:00:00"/>
    <n v="1200"/>
    <n v="1200"/>
    <x v="19"/>
    <d v="2012-02-21T00:00:00"/>
    <m/>
    <n v="9321668525"/>
    <n v="10"/>
    <s v="HLXU6426145"/>
    <s v="NYK NEBULA 25E02/"/>
    <m/>
    <s v="YANTIAN"/>
    <m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6805/000010"/>
    <n v="1370151592"/>
    <n v="10"/>
    <x v="58"/>
    <x v="58"/>
    <s v="A3"/>
    <n v="2100066690"/>
    <n v="231"/>
    <s v="J0875664       "/>
    <s v="J0875664 OBLONG CAKE 23X36 STEEL COMM GR          "/>
    <s v="S"/>
    <d v="2012-01-19T00:00:00"/>
    <m/>
    <s v="X"/>
    <x v="65"/>
    <n v="1.75"/>
    <n v="3"/>
    <d v="2012-02-23T00:00:00"/>
    <d v="2012-01-19T00:00:00"/>
    <n v="1200"/>
    <d v="2012-01-16T00:00:00"/>
    <n v="1200"/>
    <m/>
    <d v="2012-01-16T00:00:00"/>
    <n v="1200"/>
    <d v="2012-02-20T00:00:00"/>
    <d v="2012-01-16T00:00:00"/>
    <n v="1200"/>
    <n v="1200"/>
    <x v="19"/>
    <d v="2012-02-21T00:00:00"/>
    <m/>
    <n v="9321668526"/>
    <n v="10"/>
    <s v="HLXU6426145"/>
    <s v="NYK NEBULA 25E02/"/>
    <m/>
    <s v="YANTIAN"/>
    <m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6806/000010"/>
    <n v="1370151610"/>
    <n v="10"/>
    <x v="58"/>
    <x v="58"/>
    <s v="A3"/>
    <n v="2100066693"/>
    <n v="231"/>
    <s v="J0875364       "/>
    <s v="J0875364 LOAF PAN 24X14 STEEL COMM GREY           "/>
    <s v="S"/>
    <d v="2012-01-19T00:00:00"/>
    <m/>
    <s v="X"/>
    <x v="65"/>
    <n v="1.0900000000000001"/>
    <n v="2"/>
    <d v="2012-02-23T00:00:00"/>
    <d v="2012-01-19T00:00:00"/>
    <n v="1200"/>
    <d v="2012-01-16T00:00:00"/>
    <n v="1200"/>
    <m/>
    <d v="2012-01-16T00:00:00"/>
    <n v="1200"/>
    <d v="2012-02-20T00:00:00"/>
    <d v="2012-01-16T00:00:00"/>
    <n v="1200"/>
    <n v="1200"/>
    <x v="19"/>
    <d v="2012-02-21T00:00:00"/>
    <m/>
    <n v="9321668527"/>
    <n v="10"/>
    <s v="HLXU6426145"/>
    <s v="NYK NEBULA 25E02/"/>
    <m/>
    <s v="YANTIAN"/>
    <m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6807/000010"/>
    <n v="1370151609"/>
    <n v="10"/>
    <x v="58"/>
    <x v="58"/>
    <s v="A3"/>
    <n v="2100066695"/>
    <n v="231"/>
    <s v="J0879664       "/>
    <s v="J0879664 ROUND CAKE24 STEEL COMM GREY T-          "/>
    <s v="S"/>
    <d v="2012-01-19T00:00:00"/>
    <m/>
    <s v="X"/>
    <x v="65"/>
    <n v="1.1399999999999999"/>
    <n v="2"/>
    <d v="2012-02-23T00:00:00"/>
    <d v="2012-01-19T00:00:00"/>
    <n v="1200"/>
    <d v="2012-01-16T00:00:00"/>
    <n v="1200"/>
    <m/>
    <d v="2012-01-16T00:00:00"/>
    <n v="1200"/>
    <d v="2012-02-20T00:00:00"/>
    <d v="2012-01-16T00:00:00"/>
    <n v="1200"/>
    <n v="1200"/>
    <x v="19"/>
    <d v="2012-02-21T00:00:00"/>
    <m/>
    <n v="9321668528"/>
    <n v="10"/>
    <s v="HLXU6426145"/>
    <s v="NYK NEBULA 25E02/"/>
    <m/>
    <s v="YANTIAN"/>
    <m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36/000010"/>
    <n v="1370150323"/>
    <n v="10"/>
    <x v="72"/>
    <x v="72"/>
    <s v="A3"/>
    <n v="2100065039"/>
    <n v="211"/>
    <s v="E6019764       "/>
    <s v="E6019764 DOUBLE BURNER 45X31 ENAM BLACK           "/>
    <s v="S"/>
    <d v="2012-01-12T00:00:00"/>
    <m/>
    <s v="X"/>
    <x v="66"/>
    <n v="10.63"/>
    <n v="12"/>
    <d v="2012-02-15T00:00:00"/>
    <d v="2012-01-11T00:00:00"/>
    <n v="2892"/>
    <d v="2012-01-11T00:00:00"/>
    <n v="2892"/>
    <m/>
    <d v="2012-01-11T00:00:00"/>
    <n v="4634"/>
    <d v="2012-02-14T00:00:00"/>
    <d v="2012-01-10T00:00:00"/>
    <n v="2892"/>
    <n v="1300"/>
    <x v="5"/>
    <d v="2012-02-14T00:00:00"/>
    <m/>
    <n v="9321668534"/>
    <n v="10"/>
    <s v="HLXU4132157"/>
    <s v="KARMEN/038E"/>
    <m/>
    <s v="XINGANG"/>
    <s v="SAILING-SCHED-UPDATE/SAILING-SCHED-UPDATE/SAILING-SCHED-UPDATE/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5"/>
    <x v="2"/>
    <x v="1"/>
    <m/>
    <n v="0"/>
    <n v="0"/>
    <x v="1"/>
    <n v="3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36/000010"/>
    <n v="1370150323"/>
    <n v="10"/>
    <x v="72"/>
    <x v="72"/>
    <s v="A3"/>
    <n v="2100065039"/>
    <n v="211"/>
    <s v="E6019764       "/>
    <s v="E6019764 DOUBLE BURNER 45X31 ENAM BLACK           "/>
    <s v="S"/>
    <d v="2012-01-12T00:00:00"/>
    <m/>
    <s v="X"/>
    <x v="66"/>
    <n v="10.63"/>
    <n v="12"/>
    <d v="2012-02-15T00:00:00"/>
    <d v="2012-01-11T00:00:00"/>
    <n v="2892"/>
    <d v="2012-01-11T00:00:00"/>
    <n v="2892"/>
    <m/>
    <d v="2012-01-11T00:00:00"/>
    <n v="4634"/>
    <d v="2012-02-14T00:00:00"/>
    <d v="2012-01-10T00:00:00"/>
    <n v="2892"/>
    <n v="442"/>
    <x v="5"/>
    <d v="2012-02-14T00:00:00"/>
    <m/>
    <n v="9321668534"/>
    <n v="10"/>
    <s v="CSQU4413913"/>
    <s v="KARMEN/038E"/>
    <m/>
    <s v="XINGANG"/>
    <s v="SAILING-SCHED-UPDATE/SAILING-SCHED-UPDATE/SAILING-SCHED-UPDATE/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5"/>
    <x v="2"/>
    <x v="1"/>
    <m/>
    <n v="0"/>
    <n v="0"/>
    <x v="1"/>
    <n v="3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36/000010"/>
    <n v="1370150323"/>
    <n v="10"/>
    <x v="72"/>
    <x v="72"/>
    <s v="A3"/>
    <n v="2100065039"/>
    <n v="211"/>
    <s v="E6019764       "/>
    <s v="E6019764 DOUBLE BURNER 45X31 ENAM BLACK           "/>
    <s v="S"/>
    <d v="2012-01-12T00:00:00"/>
    <m/>
    <s v="X"/>
    <x v="66"/>
    <n v="10.63"/>
    <n v="12"/>
    <d v="2012-02-15T00:00:00"/>
    <d v="2012-01-11T00:00:00"/>
    <n v="2892"/>
    <d v="2012-01-11T00:00:00"/>
    <n v="2892"/>
    <m/>
    <d v="2012-01-11T00:00:00"/>
    <n v="4634"/>
    <d v="2012-02-14T00:00:00"/>
    <d v="2012-01-10T00:00:00"/>
    <n v="2892"/>
    <n v="1150"/>
    <x v="5"/>
    <d v="2012-02-14T00:00:00"/>
    <m/>
    <n v="9321668534"/>
    <n v="10"/>
    <s v="HLXU4466621"/>
    <s v="KARMEN/038E"/>
    <m/>
    <s v="XINGANG"/>
    <s v="SAILING-SCHED-UPDATE/SAILING-SCHED-UPDATE/SAILING-SCHED-UPDATE/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5"/>
    <x v="2"/>
    <x v="1"/>
    <m/>
    <n v="0"/>
    <n v="0"/>
    <x v="1"/>
    <n v="3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2328/000010"/>
    <n v="1370150325"/>
    <n v="10"/>
    <x v="72"/>
    <x v="72"/>
    <s v="A7"/>
    <n v="2100065048"/>
    <n v="211"/>
    <s v="E9640564       "/>
    <s v="E9640564 FP26 EMERIL CAST IRON PRE-SEASO          "/>
    <s v="S"/>
    <d v="2012-01-12T00:00:00"/>
    <m/>
    <s v="X"/>
    <x v="66"/>
    <n v="4.93"/>
    <n v="6"/>
    <d v="2012-02-18T00:00:00"/>
    <d v="2012-01-14T00:00:00"/>
    <n v="1200"/>
    <d v="2012-01-14T00:00:00"/>
    <n v="1200"/>
    <m/>
    <d v="2012-01-14T00:00:00"/>
    <n v="1200"/>
    <d v="2012-02-14T00:00:00"/>
    <d v="2012-01-10T00:00:00"/>
    <n v="1200"/>
    <n v="1200"/>
    <x v="5"/>
    <d v="2012-02-14T00:00:00"/>
    <m/>
    <n v="9321668535"/>
    <n v="10"/>
    <s v="HLXU4466621"/>
    <s v="KARMEN/038E"/>
    <m/>
    <s v="XINGANG"/>
    <s v="SAILING-SCHED-UPDATE/"/>
    <m/>
    <s v="TWEETY LEUNG"/>
    <s v="FO9"/>
    <s v="COOKWARE                      "/>
    <s v="CONFIRMED"/>
    <n v="1"/>
    <n v="2"/>
    <d v="2012-01-10T00:00:00"/>
    <s v="COOKWARE                      "/>
    <s v="COOKWARE                      "/>
    <x v="5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5809/000010"/>
    <n v="1370151004"/>
    <n v="10"/>
    <x v="1"/>
    <x v="1"/>
    <s v="P1"/>
    <n v="1500833031"/>
    <n v="105"/>
    <n v="833031"/>
    <s v="ZU300131 PRES INFINI PRESS WHT FR                 "/>
    <s v="S"/>
    <d v="2012-01-31T00:00:00"/>
    <m/>
    <s v="X"/>
    <x v="66"/>
    <n v="102"/>
    <n v="3699"/>
    <d v="2012-02-20T00:00:00"/>
    <d v="2012-01-09T00:00:00"/>
    <n v="637"/>
    <d v="2012-01-09T00:00:00"/>
    <n v="570"/>
    <m/>
    <d v="2012-01-13T00:00:00"/>
    <n v="570"/>
    <d v="2012-03-05T00:00:00"/>
    <d v="2012-01-23T00:00:00"/>
    <n v="570"/>
    <n v="570"/>
    <x v="1"/>
    <d v="2012-03-05T00:00:00"/>
    <m/>
    <n v="9321668537"/>
    <n v="10"/>
    <s v="APZU3961628"/>
    <s v="HYUNDAI MERCURY 017W"/>
    <m/>
    <s v="BUSAN"/>
    <s v="SP-NO-FORECAST/"/>
    <m/>
    <s v="KENUS WONG"/>
    <s v="FO9"/>
    <s v="FOOD PREPARATION              "/>
    <s v="CONFIRMED"/>
    <n v="1"/>
    <n v="4"/>
    <d v="2012-01-23T00:00:00"/>
    <s v="KITCHEN ELECTRICS             "/>
    <s v="FOOD PREPARATION              "/>
    <x v="0"/>
    <x v="0"/>
    <x v="14"/>
    <s v="SP-NO-FORECAST"/>
    <n v="-3"/>
    <n v="-3"/>
    <x v="15"/>
    <n v="1"/>
    <x v="0"/>
    <x v="0"/>
    <x v="1"/>
    <n v="0"/>
    <n v="0"/>
    <n v="0"/>
    <n v="0"/>
    <n v="0"/>
    <n v="0"/>
    <x v="1"/>
    <x v="0"/>
    <x v="1"/>
    <x v="0"/>
  </r>
  <r>
    <s v="Shipment"/>
    <n v="93171778"/>
    <s v="HOME GOODS DI 0001/ APL LOGISTICS                 "/>
    <n v="99008400"/>
    <x v="12"/>
    <s v="9321668226/000010"/>
    <n v="1370151815"/>
    <n v="10"/>
    <x v="0"/>
    <x v="0"/>
    <s v="A1"/>
    <n v="2100060742"/>
    <n v="201"/>
    <n v="116000733"/>
    <s v="C115SPDX T-FAL TNS BLACK TJMAX 2QT/3QT S          "/>
    <s v="S"/>
    <d v="2012-01-09T00:00:00"/>
    <m/>
    <s v="X"/>
    <x v="66"/>
    <n v="14.834899999999999"/>
    <n v="16"/>
    <d v="2011-12-15T00:00:00"/>
    <d v="2011-12-15T00:00:00"/>
    <n v="174"/>
    <d v="2012-01-13T00:00:00"/>
    <n v="174"/>
    <m/>
    <d v="2012-01-13T00:00:00"/>
    <n v="174"/>
    <d v="2012-01-13T00:00:00"/>
    <d v="2012-01-13T00:00:00"/>
    <n v="174"/>
    <n v="174"/>
    <x v="10"/>
    <d v="2012-01-12T00:00:00"/>
    <m/>
    <n v="9321668551"/>
    <n v="10"/>
    <s v="NYKU44243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26/000020"/>
    <n v="1370151815"/>
    <n v="20"/>
    <x v="0"/>
    <x v="0"/>
    <s v="A1"/>
    <n v="2100060743"/>
    <n v="201"/>
    <n v="116000732"/>
    <s v="C115JCDX TFAL TNS BLACK TJMAX 5QT JC/10&quot;          "/>
    <s v="S"/>
    <d v="2012-01-09T00:00:00"/>
    <m/>
    <s v="X"/>
    <x v="66"/>
    <n v="19.6859"/>
    <n v="16"/>
    <d v="2011-12-15T00:00:00"/>
    <d v="2011-12-15T00:00:00"/>
    <n v="71"/>
    <d v="2012-01-13T00:00:00"/>
    <n v="71"/>
    <m/>
    <d v="2012-01-13T00:00:00"/>
    <n v="71"/>
    <d v="2012-01-13T00:00:00"/>
    <d v="2012-01-13T00:00:00"/>
    <n v="71"/>
    <n v="71"/>
    <x v="10"/>
    <d v="2012-01-12T00:00:00"/>
    <m/>
    <n v="9321668551"/>
    <n v="20"/>
    <s v="NYKU83135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26/000030"/>
    <n v="1370151815"/>
    <n v="30"/>
    <x v="0"/>
    <x v="0"/>
    <s v="A1"/>
    <n v="2100061021"/>
    <n v="200"/>
    <n v="116000740"/>
    <s v="C168SPDX TFAL TNS RED TJM 2QT/3QT SAUCE           "/>
    <s v="S"/>
    <d v="2012-01-09T00:00:00"/>
    <m/>
    <s v="X"/>
    <x v="66"/>
    <n v="14.5402"/>
    <n v="16"/>
    <d v="2011-12-15T00:00:00"/>
    <d v="2011-12-15T00:00:00"/>
    <n v="110"/>
    <d v="2012-01-13T00:00:00"/>
    <n v="110"/>
    <m/>
    <d v="2012-01-13T00:00:00"/>
    <n v="110"/>
    <d v="2012-01-13T00:00:00"/>
    <d v="2012-01-13T00:00:00"/>
    <n v="110"/>
    <n v="110"/>
    <x v="10"/>
    <d v="2012-01-12T00:00:00"/>
    <m/>
    <n v="9321668551"/>
    <n v="30"/>
    <s v="NYKU44243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26/000040"/>
    <n v="1370151815"/>
    <n v="40"/>
    <x v="0"/>
    <x v="0"/>
    <s v="A1"/>
    <n v="2100061023"/>
    <n v="200"/>
    <n v="116000739"/>
    <s v="C168JCDX TFAL TNS RED TJM 5QT JC/10&quot; CVD          "/>
    <s v="S"/>
    <d v="2012-01-09T00:00:00"/>
    <m/>
    <s v="X"/>
    <x v="66"/>
    <n v="19.7728"/>
    <n v="16"/>
    <d v="2011-12-15T00:00:00"/>
    <d v="2011-12-15T00:00:00"/>
    <n v="71"/>
    <d v="2012-01-13T00:00:00"/>
    <n v="71"/>
    <m/>
    <d v="2012-01-13T00:00:00"/>
    <n v="71"/>
    <d v="2012-01-13T00:00:00"/>
    <d v="2012-01-13T00:00:00"/>
    <n v="71"/>
    <n v="71"/>
    <x v="10"/>
    <d v="2012-01-12T00:00:00"/>
    <m/>
    <n v="9321668551"/>
    <n v="40"/>
    <s v="NYKU83135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30/000010"/>
    <n v="1370151813"/>
    <n v="10"/>
    <x v="0"/>
    <x v="0"/>
    <s v="A1"/>
    <n v="2100060742"/>
    <n v="201"/>
    <n v="116000733"/>
    <s v="C115SPDX T-FAL TNS BLACK TJMAX 2QT/3QT S          "/>
    <s v="S"/>
    <d v="2012-01-09T00:00:00"/>
    <m/>
    <s v="X"/>
    <x v="66"/>
    <n v="14.834899999999999"/>
    <n v="16"/>
    <d v="2011-12-19T00:00:00"/>
    <d v="2011-12-19T00:00:00"/>
    <n v="344"/>
    <d v="2012-01-13T00:00:00"/>
    <n v="344"/>
    <m/>
    <d v="2012-01-13T00:00:00"/>
    <n v="344"/>
    <d v="2012-01-13T00:00:00"/>
    <d v="2012-01-13T00:00:00"/>
    <n v="344"/>
    <n v="344"/>
    <x v="10"/>
    <d v="2012-01-12T00:00:00"/>
    <m/>
    <n v="9321668552"/>
    <n v="10"/>
    <s v="NYKU44243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30/000020"/>
    <n v="1370151813"/>
    <n v="20"/>
    <x v="0"/>
    <x v="0"/>
    <s v="A1"/>
    <n v="2100060743"/>
    <n v="201"/>
    <n v="116000732"/>
    <s v="C115JCDX TFAL TNS BLACK TJMAX 5QT JC/10&quot;          "/>
    <s v="S"/>
    <d v="2012-01-09T00:00:00"/>
    <m/>
    <s v="X"/>
    <x v="66"/>
    <n v="19.686"/>
    <n v="16"/>
    <d v="2011-12-19T00:00:00"/>
    <d v="2011-12-19T00:00:00"/>
    <n v="141"/>
    <d v="2012-01-13T00:00:00"/>
    <n v="141"/>
    <m/>
    <d v="2012-01-13T00:00:00"/>
    <n v="141"/>
    <d v="2012-01-13T00:00:00"/>
    <d v="2012-01-13T00:00:00"/>
    <n v="141"/>
    <n v="141"/>
    <x v="10"/>
    <d v="2012-01-12T00:00:00"/>
    <m/>
    <n v="9321668552"/>
    <n v="20"/>
    <s v="NYKU83135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30/000030"/>
    <n v="1370151813"/>
    <n v="30"/>
    <x v="0"/>
    <x v="0"/>
    <s v="A1"/>
    <n v="2100061021"/>
    <n v="200"/>
    <n v="116000740"/>
    <s v="C168SPDX TFAL TNS RED TJM 2QT/3QT SAUCE           "/>
    <s v="S"/>
    <d v="2012-01-09T00:00:00"/>
    <m/>
    <s v="X"/>
    <x v="66"/>
    <n v="14.5402"/>
    <n v="16"/>
    <d v="2011-12-19T00:00:00"/>
    <d v="2011-12-19T00:00:00"/>
    <n v="217"/>
    <d v="2012-01-13T00:00:00"/>
    <n v="217"/>
    <m/>
    <d v="2012-01-13T00:00:00"/>
    <n v="217"/>
    <d v="2012-01-13T00:00:00"/>
    <d v="2012-01-13T00:00:00"/>
    <n v="217"/>
    <n v="217"/>
    <x v="10"/>
    <d v="2012-01-12T00:00:00"/>
    <m/>
    <n v="9321668552"/>
    <n v="30"/>
    <s v="NYKU83135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30/000040"/>
    <n v="1370151813"/>
    <n v="40"/>
    <x v="0"/>
    <x v="0"/>
    <s v="A1"/>
    <n v="2100061023"/>
    <n v="200"/>
    <n v="116000739"/>
    <s v="C168JCDX TFAL TNS RED TJM 5QT JC/10&quot; CVD          "/>
    <s v="S"/>
    <d v="2012-01-09T00:00:00"/>
    <m/>
    <s v="X"/>
    <x v="66"/>
    <n v="19.7728"/>
    <n v="16"/>
    <d v="2011-12-19T00:00:00"/>
    <d v="2011-12-19T00:00:00"/>
    <n v="141"/>
    <d v="2012-01-13T00:00:00"/>
    <n v="141"/>
    <m/>
    <d v="2012-01-13T00:00:00"/>
    <n v="141"/>
    <d v="2012-01-13T00:00:00"/>
    <d v="2012-01-13T00:00:00"/>
    <n v="141"/>
    <n v="141"/>
    <x v="10"/>
    <d v="2012-01-12T00:00:00"/>
    <m/>
    <n v="9321668552"/>
    <n v="40"/>
    <s v="NYKU83135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25/000010"/>
    <n v="1370151818"/>
    <n v="10"/>
    <x v="0"/>
    <x v="0"/>
    <s v="A1"/>
    <n v="2100060742"/>
    <n v="201"/>
    <n v="116000733"/>
    <s v="C115SPDX T-FAL TNS BLACK TJMAX 2QT/3QT S          "/>
    <s v="S"/>
    <d v="2012-01-09T00:00:00"/>
    <m/>
    <s v="X"/>
    <x v="66"/>
    <n v="14.834899999999999"/>
    <n v="16"/>
    <d v="2011-12-19T00:00:00"/>
    <d v="2011-12-19T00:00:00"/>
    <n v="226"/>
    <d v="2012-01-13T00:00:00"/>
    <n v="226"/>
    <m/>
    <d v="2012-01-13T00:00:00"/>
    <n v="226"/>
    <d v="2012-01-13T00:00:00"/>
    <d v="2012-01-13T00:00:00"/>
    <n v="226"/>
    <n v="226"/>
    <x v="10"/>
    <d v="2012-01-12T00:00:00"/>
    <m/>
    <n v="9321668553"/>
    <n v="10"/>
    <s v="NYKU83135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25/000020"/>
    <n v="1370151818"/>
    <n v="20"/>
    <x v="0"/>
    <x v="0"/>
    <s v="A1"/>
    <n v="2100060743"/>
    <n v="201"/>
    <n v="116000732"/>
    <s v="C115JCDX TFAL TNS BLACK TJMAX 5QT JC/10&quot;          "/>
    <s v="S"/>
    <d v="2012-01-09T00:00:00"/>
    <m/>
    <s v="X"/>
    <x v="66"/>
    <n v="19.686"/>
    <n v="16"/>
    <d v="2011-12-19T00:00:00"/>
    <d v="2011-12-19T00:00:00"/>
    <n v="94"/>
    <d v="2012-01-13T00:00:00"/>
    <n v="94"/>
    <m/>
    <d v="2012-01-13T00:00:00"/>
    <n v="94"/>
    <d v="2012-01-13T00:00:00"/>
    <d v="2012-01-13T00:00:00"/>
    <n v="94"/>
    <n v="94"/>
    <x v="10"/>
    <d v="2012-01-12T00:00:00"/>
    <m/>
    <n v="9321668553"/>
    <n v="20"/>
    <s v="NYKU44243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25/000030"/>
    <n v="1370151818"/>
    <n v="30"/>
    <x v="0"/>
    <x v="0"/>
    <s v="A1"/>
    <n v="2100061021"/>
    <n v="200"/>
    <n v="116000740"/>
    <s v="C168SPDX TFAL TNS RED TJM 2QT/3QT SAUCE           "/>
    <s v="S"/>
    <d v="2012-01-09T00:00:00"/>
    <m/>
    <s v="X"/>
    <x v="66"/>
    <n v="14.5402"/>
    <n v="16"/>
    <d v="2011-12-19T00:00:00"/>
    <d v="2011-12-19T00:00:00"/>
    <n v="146"/>
    <d v="2012-01-13T00:00:00"/>
    <n v="146"/>
    <m/>
    <d v="2012-01-13T00:00:00"/>
    <n v="146"/>
    <d v="2012-01-13T00:00:00"/>
    <d v="2012-01-13T00:00:00"/>
    <n v="146"/>
    <n v="146"/>
    <x v="10"/>
    <d v="2012-01-12T00:00:00"/>
    <m/>
    <n v="9321668553"/>
    <n v="30"/>
    <s v="NYKU44243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25/000040"/>
    <n v="1370151818"/>
    <n v="40"/>
    <x v="0"/>
    <x v="0"/>
    <s v="A1"/>
    <n v="2100061023"/>
    <n v="200"/>
    <n v="116000739"/>
    <s v="C168JCDX TFAL TNS RED TJM 5QT JC/10&quot; CVD          "/>
    <s v="S"/>
    <d v="2012-01-09T00:00:00"/>
    <m/>
    <s v="X"/>
    <x v="66"/>
    <n v="19.7729"/>
    <n v="16"/>
    <d v="2011-12-19T00:00:00"/>
    <d v="2011-12-19T00:00:00"/>
    <n v="94"/>
    <d v="2012-01-13T00:00:00"/>
    <n v="94"/>
    <m/>
    <d v="2012-01-13T00:00:00"/>
    <n v="94"/>
    <d v="2012-01-13T00:00:00"/>
    <d v="2012-01-13T00:00:00"/>
    <n v="94"/>
    <n v="94"/>
    <x v="10"/>
    <d v="2012-01-12T00:00:00"/>
    <m/>
    <n v="9321668553"/>
    <n v="40"/>
    <s v="NYKU44243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28/000010"/>
    <n v="1370151814"/>
    <n v="10"/>
    <x v="0"/>
    <x v="0"/>
    <s v="A1"/>
    <n v="2100060742"/>
    <n v="201"/>
    <n v="116000733"/>
    <s v="C115SPDX T-FAL TNS BLACK TJMAX 2QT/3QT S          "/>
    <s v="S"/>
    <d v="2012-01-09T00:00:00"/>
    <m/>
    <s v="X"/>
    <x v="66"/>
    <n v="14.834899999999999"/>
    <n v="16"/>
    <d v="2011-12-15T00:00:00"/>
    <d v="2011-12-15T00:00:00"/>
    <n v="356"/>
    <d v="2012-01-13T00:00:00"/>
    <n v="356"/>
    <m/>
    <d v="2012-01-13T00:00:00"/>
    <n v="356"/>
    <d v="2012-01-13T00:00:00"/>
    <d v="2012-01-13T00:00:00"/>
    <n v="356"/>
    <n v="356"/>
    <x v="10"/>
    <d v="2012-01-12T00:00:00"/>
    <m/>
    <n v="9321668554"/>
    <n v="10"/>
    <s v="NYKU83135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28/000020"/>
    <n v="1370151814"/>
    <n v="20"/>
    <x v="0"/>
    <x v="0"/>
    <s v="A1"/>
    <n v="2100060743"/>
    <n v="201"/>
    <n v="116000732"/>
    <s v="C115JCDX TFAL TNS BLACK TJMAX 5QT JC/10&quot;          "/>
    <s v="S"/>
    <d v="2012-01-09T00:00:00"/>
    <m/>
    <s v="X"/>
    <x v="66"/>
    <n v="19.686"/>
    <n v="16"/>
    <d v="2011-12-15T00:00:00"/>
    <d v="2011-12-15T00:00:00"/>
    <n v="144"/>
    <d v="2012-01-13T00:00:00"/>
    <n v="144"/>
    <m/>
    <d v="2012-01-13T00:00:00"/>
    <n v="144"/>
    <d v="2012-01-13T00:00:00"/>
    <d v="2012-01-13T00:00:00"/>
    <n v="144"/>
    <n v="144"/>
    <x v="10"/>
    <d v="2012-01-12T00:00:00"/>
    <m/>
    <n v="9321668554"/>
    <n v="20"/>
    <s v="NYKU44243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28/000030"/>
    <n v="1370151814"/>
    <n v="30"/>
    <x v="0"/>
    <x v="0"/>
    <s v="A1"/>
    <n v="2100061021"/>
    <n v="200"/>
    <n v="116000740"/>
    <s v="C168SPDX TFAL TNS RED TJM 2QT/3QT SAUCE           "/>
    <s v="S"/>
    <d v="2012-01-09T00:00:00"/>
    <m/>
    <s v="X"/>
    <x v="66"/>
    <n v="14.5402"/>
    <n v="16"/>
    <d v="2011-12-15T00:00:00"/>
    <d v="2011-12-15T00:00:00"/>
    <n v="223"/>
    <d v="2012-01-13T00:00:00"/>
    <n v="223"/>
    <m/>
    <d v="2012-01-13T00:00:00"/>
    <n v="223"/>
    <d v="2012-01-13T00:00:00"/>
    <d v="2012-01-13T00:00:00"/>
    <n v="223"/>
    <n v="223"/>
    <x v="10"/>
    <d v="2012-01-12T00:00:00"/>
    <m/>
    <n v="9321668554"/>
    <n v="30"/>
    <s v="NYKU83135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28/000040"/>
    <n v="1370151814"/>
    <n v="40"/>
    <x v="0"/>
    <x v="0"/>
    <s v="A1"/>
    <n v="2100061023"/>
    <n v="200"/>
    <n v="116000739"/>
    <s v="C168JCDX TFAL TNS RED TJM 5QT JC/10&quot; CVD          "/>
    <s v="S"/>
    <d v="2012-01-09T00:00:00"/>
    <m/>
    <s v="X"/>
    <x v="66"/>
    <n v="19.7728"/>
    <n v="16"/>
    <d v="2011-12-15T00:00:00"/>
    <d v="2011-12-15T00:00:00"/>
    <n v="144"/>
    <d v="2012-01-13T00:00:00"/>
    <n v="144"/>
    <m/>
    <d v="2012-01-13T00:00:00"/>
    <n v="144"/>
    <d v="2012-01-13T00:00:00"/>
    <d v="2012-01-13T00:00:00"/>
    <n v="144"/>
    <n v="144"/>
    <x v="10"/>
    <d v="2012-01-12T00:00:00"/>
    <m/>
    <n v="9321668554"/>
    <n v="40"/>
    <s v="NYKU44243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3203"/>
    <s v="CANADIAN TIRE CORPORATION LTD                     "/>
    <n v="99003200"/>
    <x v="27"/>
    <s v="22588/039768"/>
    <n v="1370151847"/>
    <n v="10"/>
    <x v="0"/>
    <x v="0"/>
    <s v="A1"/>
    <n v="2100060680"/>
    <n v="201"/>
    <n v="115002587"/>
    <s v="A8428454 JUMBO COOK30LID VIVA BLACK CN            "/>
    <s v="S"/>
    <d v="2012-01-16T00:00:00"/>
    <m/>
    <s v="X"/>
    <x v="66"/>
    <n v="9.516"/>
    <n v="10"/>
    <d v="2012-02-07T00:00:00"/>
    <d v="2012-01-10T00:00:00"/>
    <n v="9132"/>
    <d v="2012-01-10T00:00:00"/>
    <n v="3044"/>
    <m/>
    <d v="2012-01-10T00:00:00"/>
    <n v="9132"/>
    <d v="2012-02-07T00:00:00"/>
    <d v="2012-01-10T00:00:00"/>
    <n v="3044"/>
    <n v="3044"/>
    <x v="8"/>
    <d v="2012-02-13T00:00:00"/>
    <m/>
    <n v="9321668573"/>
    <n v="10"/>
    <s v="BMOU4475602"/>
    <s v="EVER ULTRA 0224-117E"/>
    <m/>
    <s v="NINGBO"/>
    <s v="C-CLX-CONF/"/>
    <m/>
    <s v="TWEETY LEUNG"/>
    <s v="FO9"/>
    <s v="COOKWARE                      "/>
    <s v="CONFIRMED"/>
    <n v="1"/>
    <n v="3"/>
    <d v="2012-01-16T00:00:00"/>
    <s v="COOKWARE                      "/>
    <s v="COOKWARE                      "/>
    <x v="0"/>
    <x v="0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3203"/>
    <s v="CANADIAN TIRE CORPORATION LTD                     "/>
    <n v="99003200"/>
    <x v="27"/>
    <s v="22589/039769"/>
    <n v="1370151846"/>
    <n v="10"/>
    <x v="0"/>
    <x v="0"/>
    <s v="A1"/>
    <n v="2100060680"/>
    <n v="201"/>
    <n v="115002587"/>
    <s v="A8428454 JUMBO COOK30LID VIVA BLACK CN            "/>
    <s v="S"/>
    <d v="2012-01-16T00:00:00"/>
    <m/>
    <s v="X"/>
    <x v="66"/>
    <n v="9.516"/>
    <n v="10"/>
    <d v="2012-02-07T00:00:00"/>
    <d v="2012-01-10T00:00:00"/>
    <n v="3044"/>
    <d v="2012-01-10T00:00:00"/>
    <n v="3044"/>
    <m/>
    <d v="2012-01-10T00:00:00"/>
    <n v="3044"/>
    <d v="2012-02-07T00:00:00"/>
    <d v="2012-01-10T00:00:00"/>
    <n v="3044"/>
    <n v="3044"/>
    <x v="8"/>
    <d v="2012-02-13T00:00:00"/>
    <m/>
    <n v="9321668575"/>
    <n v="10"/>
    <s v="BSIU9254786"/>
    <s v="EVER ULTRA 0224-117E"/>
    <m/>
    <s v="NINGBO"/>
    <m/>
    <m/>
    <s v="TWEETY LEUNG"/>
    <s v="FO9"/>
    <s v="COOKWARE                      "/>
    <s v="CONFIRMED"/>
    <n v="1"/>
    <n v="3"/>
    <d v="2012-01-16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3171781"/>
    <s v="ROSS DI 0001/DHL LOGISTICS                        "/>
    <n v="99008400"/>
    <x v="12"/>
    <s v="9321668231/000010"/>
    <n v="1370151811"/>
    <n v="10"/>
    <x v="0"/>
    <x v="0"/>
    <s v="A1"/>
    <n v="2100060481"/>
    <n v="201"/>
    <n v="116000721"/>
    <s v="A852SADR TNS CHARCOAL 10PC SET DI                 "/>
    <s v="S"/>
    <d v="2012-01-11T00:00:00"/>
    <m/>
    <s v="X"/>
    <x v="66"/>
    <n v="33.428100000000001"/>
    <n v="35"/>
    <d v="2012-01-15T00:00:00"/>
    <d v="2012-01-01T00:00:00"/>
    <n v="1188"/>
    <d v="2012-01-12T00:00:00"/>
    <n v="1188"/>
    <m/>
    <d v="2012-01-01T00:00:00"/>
    <n v="1188"/>
    <d v="2012-01-26T00:00:00"/>
    <d v="2012-01-12T00:00:00"/>
    <n v="1188"/>
    <n v="1188"/>
    <x v="10"/>
    <d v="2012-01-26T00:00:00"/>
    <m/>
    <n v="9321668577"/>
    <n v="10"/>
    <s v="CCLU6537426"/>
    <s v="TBC"/>
    <m/>
    <s v="NINGBO"/>
    <s v="FORWARDER-PROB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0"/>
    <s v="FORWARDER-PROB"/>
    <n v="1"/>
    <n v="1"/>
    <x v="11"/>
    <n v="1"/>
    <x v="0"/>
    <x v="0"/>
    <x v="1"/>
    <n v="0"/>
    <n v="1"/>
    <n v="0"/>
    <n v="0"/>
    <n v="0"/>
    <n v="1"/>
    <x v="0"/>
    <x v="0"/>
    <x v="0"/>
    <x v="0"/>
  </r>
  <r>
    <s v="Shipment"/>
    <n v="99001900"/>
    <s v="GROUPE SEB VENEZUELA SA                           "/>
    <n v="99001900"/>
    <x v="34"/>
    <s v="22577/039753"/>
    <n v="1370149576"/>
    <n v="10"/>
    <x v="11"/>
    <x v="11"/>
    <s v="J4"/>
    <n v="1830003366"/>
    <n v="1"/>
    <s v="IM1210I0       "/>
    <s v="IM1210I0 STEAM IRON ACCESS 10                     "/>
    <s v="S"/>
    <d v="2012-01-30T00:00:00"/>
    <m/>
    <s v="X"/>
    <x v="67"/>
    <n v="7.12"/>
    <n v="8"/>
    <d v="2012-02-26T00:00:00"/>
    <d v="2012-01-15T00:00:00"/>
    <n v="4320"/>
    <d v="2012-01-15T00:00:00"/>
    <n v="4320"/>
    <m/>
    <d v="2012-01-15T00:00:00"/>
    <n v="4320"/>
    <d v="2012-02-26T00:00:00"/>
    <d v="2012-01-15T00:00:00"/>
    <n v="4320"/>
    <n v="4320"/>
    <x v="29"/>
    <d v="2012-03-10T00:00:00"/>
    <m/>
    <n v="9321669280"/>
    <n v="10"/>
    <s v="SUDU8993757"/>
    <s v="CCNI ANTARTICO 204E/"/>
    <m/>
    <s v="XIAMEN"/>
    <s v="FORWARDER-PROB"/>
    <m/>
    <s v="THOMAS HO"/>
    <s v="FO9"/>
    <s v="LINEN CARE                    "/>
    <s v="CONFIRMED"/>
    <n v="1"/>
    <n v="4"/>
    <d v="2012-01-28T00:00:00"/>
    <s v="LINEN PERS HOME CARE          "/>
    <s v="LINEN CARE                    "/>
    <x v="5"/>
    <x v="2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1900"/>
    <s v="GROUPE SEB VENEZUELA SA                           "/>
    <n v="99001900"/>
    <x v="34"/>
    <s v="22577/039754"/>
    <n v="1370149576"/>
    <n v="20"/>
    <x v="11"/>
    <x v="11"/>
    <s v="J4"/>
    <n v="1830003347"/>
    <n v="1"/>
    <s v="IM1215I0       "/>
    <s v="IM1215I0 STEAM IRON ACCESS                        "/>
    <s v="S"/>
    <d v="2012-01-30T00:00:00"/>
    <m/>
    <s v="X"/>
    <x v="67"/>
    <n v="7.31"/>
    <n v="8"/>
    <d v="2012-02-26T00:00:00"/>
    <d v="2012-01-15T00:00:00"/>
    <n v="4320"/>
    <d v="2012-01-15T00:00:00"/>
    <n v="4320"/>
    <m/>
    <d v="2012-01-15T00:00:00"/>
    <n v="4320"/>
    <d v="2012-02-26T00:00:00"/>
    <d v="2012-01-15T00:00:00"/>
    <n v="4320"/>
    <n v="4320"/>
    <x v="29"/>
    <d v="2012-03-10T00:00:00"/>
    <m/>
    <n v="9321669280"/>
    <n v="20"/>
    <s v="SUDU8993757"/>
    <s v="CCNI ANTARTICO 204E/"/>
    <m/>
    <s v="XIAMEN"/>
    <s v="FORWARDER-PROB"/>
    <m/>
    <s v="THOMAS HO"/>
    <s v="FO9"/>
    <s v="LINEN CARE                    "/>
    <s v="CONFIRMED"/>
    <n v="1"/>
    <n v="4"/>
    <d v="2012-01-28T00:00:00"/>
    <s v="LINEN PERS HOME CARE          "/>
    <s v="LINEN CARE                    "/>
    <x v="5"/>
    <x v="2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1800"/>
    <s v="GROUPE SEB COLOMBIA                               "/>
    <n v="99001800"/>
    <x v="26"/>
    <s v="22590/039770"/>
    <n v="1370151918"/>
    <n v="10"/>
    <x v="24"/>
    <x v="24"/>
    <s v="N1"/>
    <n v="2100056244"/>
    <n v="52"/>
    <s v="SM155082       "/>
    <s v="SM155082 SANDWICH ULTRACOMPACT WHITE SAM          "/>
    <s v="S"/>
    <d v="2012-01-16T00:00:00"/>
    <m/>
    <s v="X"/>
    <x v="67"/>
    <n v="6.77"/>
    <n v="8"/>
    <d v="2012-02-09T00:00:00"/>
    <d v="2012-01-05T00:00:00"/>
    <n v="2940"/>
    <d v="2012-01-05T00:00:00"/>
    <n v="2940"/>
    <m/>
    <d v="2012-01-05T00:00:00"/>
    <n v="2940"/>
    <d v="2012-02-14T00:00:00"/>
    <d v="2012-01-10T00:00:00"/>
    <n v="2940"/>
    <n v="2940"/>
    <x v="17"/>
    <d v="2012-02-15T00:00:00"/>
    <m/>
    <n v="9321669346"/>
    <n v="10"/>
    <s v="HDLU2002248"/>
    <s v="MAERSK SANA 1203/"/>
    <m/>
    <s v="NINGBO"/>
    <s v="C-PULLIN-CONF/"/>
    <m/>
    <s v="THOMAS HO"/>
    <s v="FO9"/>
    <s v="ELECTRICAL COOKING            "/>
    <s v="CONFIRMED"/>
    <n v="1"/>
    <n v="2"/>
    <d v="2012-01-11T00:00:00"/>
    <s v="KITCHEN ELECTRICS             "/>
    <s v="ELECTRICAL COOKING            "/>
    <x v="1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53160/000010"/>
    <n v="1370148169"/>
    <n v="10"/>
    <x v="27"/>
    <x v="27"/>
    <s v="N1"/>
    <n v="2100055542"/>
    <n v="59"/>
    <s v="F2307051       "/>
    <s v="F2307051 EGG COOKER WHITE ROUND                   "/>
    <s v="S"/>
    <d v="2012-01-19T00:00:00"/>
    <m/>
    <s v="X"/>
    <x v="67"/>
    <n v="8.64"/>
    <n v="10"/>
    <d v="2012-02-21T00:00:00"/>
    <d v="2012-01-17T00:00:00"/>
    <n v="3000"/>
    <d v="2012-01-17T00:00:00"/>
    <n v="3000"/>
    <m/>
    <d v="2012-01-17T00:00:00"/>
    <n v="3000"/>
    <d v="2012-02-21T00:00:00"/>
    <d v="2012-01-17T00:00:00"/>
    <n v="3000"/>
    <n v="3000"/>
    <x v="19"/>
    <d v="2012-02-21T00:00:00"/>
    <m/>
    <n v="9321669384"/>
    <n v="10"/>
    <s v="HLXU6424055"/>
    <s v="NYK NEBULA 25E02/"/>
    <m/>
    <s v="YANTIAN"/>
    <s v="TP MISSING"/>
    <m/>
    <s v="TWEETY LEUNG"/>
    <s v="FO9"/>
    <s v="ELECTRICAL COOKING            "/>
    <s v="CONFIRMED"/>
    <n v="1"/>
    <n v="3"/>
    <d v="2012-01-17T00:00:00"/>
    <s v="KITCHEN ELECTRICS             "/>
    <s v="ELECTRICAL COOKING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3487/000010"/>
    <n v="1370151568"/>
    <n v="10"/>
    <x v="82"/>
    <x v="82"/>
    <s v="P1"/>
    <n v="1500833440"/>
    <n v="105"/>
    <n v="833440"/>
    <s v="ZX720K40 CTP COMPACT ORA US                       "/>
    <s v="S"/>
    <d v="2012-02-01T00:00:00"/>
    <m/>
    <s v="X"/>
    <x v="67"/>
    <n v="18.05"/>
    <n v="22"/>
    <d v="2012-02-23T00:00:00"/>
    <d v="2012-01-19T00:00:00"/>
    <n v="2040"/>
    <d v="2012-01-19T00:00:00"/>
    <n v="2040"/>
    <m/>
    <d v="2012-02-10T00:00:00"/>
    <n v="2040"/>
    <d v="2012-02-27T00:00:00"/>
    <d v="2012-01-23T00:00:00"/>
    <n v="2040"/>
    <n v="2040"/>
    <x v="27"/>
    <d v="2012-02-29T00:00:00"/>
    <m/>
    <n v="9321669385"/>
    <n v="10"/>
    <s v="TRLU2775329"/>
    <s v="NYK RIGEL 16E03/"/>
    <m/>
    <s v="YANTIAN"/>
    <s v="SP-MTL/"/>
    <m/>
    <s v="TWEETY LEUNG"/>
    <s v="FO9"/>
    <s v="FOOD PREPARATION              "/>
    <s v="CONFIRMED"/>
    <n v="1"/>
    <n v="4"/>
    <d v="2012-01-25T00:00:00"/>
    <s v="KITCHEN ELECTRICS             "/>
    <s v="FOOD PREPARATION              "/>
    <x v="1"/>
    <x v="1"/>
    <x v="9"/>
    <s v="SP-MTL"/>
    <n v="1"/>
    <n v="1"/>
    <x v="10"/>
    <n v="1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65/000010"/>
    <n v="1370150339"/>
    <n v="10"/>
    <x v="58"/>
    <x v="58"/>
    <s v="A3"/>
    <n v="2100043516"/>
    <n v="231"/>
    <n v="68202"/>
    <s v="68202 COMM OBLONG CAKE LT GRAY (6)                "/>
    <s v="S"/>
    <d v="2012-01-05T00:00:00"/>
    <m/>
    <s v="X"/>
    <x v="67"/>
    <n v="2.37"/>
    <n v="3212"/>
    <d v="2012-02-05T00:00:00"/>
    <d v="2012-01-01T00:00:00"/>
    <n v="3000"/>
    <d v="2012-01-01T00:00:00"/>
    <n v="3000"/>
    <m/>
    <d v="2012-01-02T00:00:00"/>
    <n v="3000"/>
    <d v="2012-02-06T00:00:00"/>
    <d v="2012-01-02T00:00:00"/>
    <n v="3000"/>
    <n v="3000"/>
    <x v="3"/>
    <d v="2012-02-06T00:00:00"/>
    <m/>
    <n v="9321669386"/>
    <n v="10"/>
    <s v="CLHU2365798"/>
    <s v="NYK REMUS 16E52/"/>
    <m/>
    <s v="YANTIAN"/>
    <s v="C-SHORTL/T"/>
    <m/>
    <s v="TWEETY LEUNG"/>
    <s v="FO9"/>
    <s v="COOKWARE                      "/>
    <s v="CONFIRMED"/>
    <n v="1"/>
    <n v="1"/>
    <d v="2012-01-02T00:00:00"/>
    <s v="COOKWARE                      "/>
    <s v="COOKWARE                      "/>
    <x v="5"/>
    <x v="2"/>
    <x v="1"/>
    <m/>
    <n v="0"/>
    <n v="0"/>
    <x v="1"/>
    <n v="2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4181/000010"/>
    <n v="1370152006"/>
    <n v="10"/>
    <x v="13"/>
    <x v="13"/>
    <s v="A3"/>
    <n v="2100068044"/>
    <n v="205"/>
    <s v="A6079054       "/>
    <s v="A6079054 SET 10PC SIMPLE CHEF SS UNCOAT           "/>
    <s v="S"/>
    <d v="2012-01-10T00:00:00"/>
    <m/>
    <s v="X"/>
    <x v="67"/>
    <n v="37.15"/>
    <n v="76"/>
    <d v="2012-02-10T00:00:00"/>
    <d v="2012-01-06T00:00:00"/>
    <n v="2000"/>
    <d v="2012-01-06T00:00:00"/>
    <n v="2000"/>
    <m/>
    <d v="2012-01-06T00:00:00"/>
    <n v="2000"/>
    <d v="2012-02-10T00:00:00"/>
    <d v="2012-01-06T00:00:00"/>
    <n v="2000"/>
    <n v="1400"/>
    <x v="13"/>
    <d v="2012-02-05T00:00:00"/>
    <m/>
    <n v="9321669478"/>
    <n v="10"/>
    <s v="MRKU0377913"/>
    <s v="CMA CGM NERVAL/811W"/>
    <m/>
    <s v="YANTIAN"/>
    <m/>
    <m/>
    <s v="KENUS WO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4181/000010"/>
    <n v="1370152006"/>
    <n v="10"/>
    <x v="13"/>
    <x v="13"/>
    <s v="A3"/>
    <n v="2100068044"/>
    <n v="205"/>
    <s v="A6079054       "/>
    <s v="A6079054 SET 10PC SIMPLE CHEF SS UNCOAT           "/>
    <s v="S"/>
    <d v="2012-01-10T00:00:00"/>
    <m/>
    <s v="X"/>
    <x v="67"/>
    <n v="37.15"/>
    <n v="76"/>
    <d v="2012-02-10T00:00:00"/>
    <d v="2012-01-06T00:00:00"/>
    <n v="2000"/>
    <d v="2012-01-06T00:00:00"/>
    <n v="2000"/>
    <m/>
    <d v="2012-01-06T00:00:00"/>
    <n v="2000"/>
    <d v="2012-02-10T00:00:00"/>
    <d v="2012-01-06T00:00:00"/>
    <n v="2000"/>
    <n v="600"/>
    <x v="13"/>
    <d v="2012-02-05T00:00:00"/>
    <m/>
    <n v="9321669478"/>
    <n v="10"/>
    <s v="MSKU7067336"/>
    <s v="CMA CGM NERVAL/811W"/>
    <m/>
    <s v="YANTIAN"/>
    <m/>
    <m/>
    <s v="KENUS WONG"/>
    <s v="FO9"/>
    <s v="COOKWARE                      "/>
    <s v="CONFIRMED"/>
    <n v="1"/>
    <n v="52"/>
    <d v="2012-01-01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8246/000010"/>
    <n v="1370151805"/>
    <n v="10"/>
    <x v="8"/>
    <x v="8"/>
    <s v="K9"/>
    <n v="8000033731"/>
    <n v="38"/>
    <s v="KP210611B      "/>
    <s v="KP210611 NDG MELODY 2 RED EUR                     "/>
    <s v="S"/>
    <d v="2012-01-09T00:00:00"/>
    <m/>
    <s v="X"/>
    <x v="68"/>
    <n v="44.13"/>
    <n v="37"/>
    <d v="2012-02-10T00:00:00"/>
    <d v="2012-01-06T00:00:00"/>
    <n v="1240"/>
    <d v="2012-01-06T00:00:00"/>
    <n v="1240"/>
    <m/>
    <d v="2012-01-06T00:00:00"/>
    <n v="1240"/>
    <d v="2012-02-10T00:00:00"/>
    <d v="2012-01-06T00:00:00"/>
    <n v="1240"/>
    <n v="1240"/>
    <x v="2"/>
    <d v="2012-02-08T00:00:00"/>
    <m/>
    <n v="9321669950"/>
    <n v="10"/>
    <s v="PONU1901420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4200"/>
    <s v="GROUP SEB AUSTRALIA PTY LTD                       "/>
    <n v="99004200"/>
    <x v="4"/>
    <s v="2281/000001"/>
    <n v="1370149529"/>
    <n v="10"/>
    <x v="22"/>
    <x v="22"/>
    <s v="R2"/>
    <n v="7211000872"/>
    <n v="55"/>
    <n v="211000872"/>
    <s v="BI812524 KET MINI 0.8L SS BLK AU                  "/>
    <s v="S"/>
    <d v="2012-01-10T00:00:00"/>
    <m/>
    <s v="X"/>
    <x v="68"/>
    <n v="15.7103"/>
    <n v="16"/>
    <d v="2012-01-18T00:00:00"/>
    <d v="2011-12-28T00:00:00"/>
    <n v="2700"/>
    <d v="2011-12-28T00:00:00"/>
    <n v="2700"/>
    <m/>
    <d v="2012-01-04T00:00:00"/>
    <n v="2700"/>
    <d v="2012-01-25T00:00:00"/>
    <d v="2012-01-04T00:00:00"/>
    <n v="2700"/>
    <n v="2700"/>
    <x v="12"/>
    <d v="2012-01-28T00:00:00"/>
    <m/>
    <n v="9321669980"/>
    <n v="10"/>
    <s v="FCIU2386320"/>
    <s v="MAERSK DIADEMA/202W"/>
    <m/>
    <s v="NINGBO"/>
    <m/>
    <m/>
    <s v="AGNES NUNES"/>
    <s v="FO9"/>
    <s v="BEVERAGE                      "/>
    <s v="CONFIRMED"/>
    <n v="1"/>
    <n v="1"/>
    <d v="2012-01-07T00:00:00"/>
    <s v="KITCHEN ELECTRICS             "/>
    <s v="BREAKFAST &amp; BREVAGE PREP      "/>
    <x v="0"/>
    <x v="0"/>
    <x v="1"/>
    <m/>
    <n v="0"/>
    <n v="0"/>
    <x v="1"/>
    <n v="0"/>
    <x v="0"/>
    <x v="0"/>
    <x v="1"/>
    <n v="0"/>
    <n v="0"/>
    <n v="0"/>
    <n v="0"/>
    <n v="0"/>
    <n v="0"/>
    <x v="1"/>
    <x v="0"/>
    <x v="1"/>
    <x v="0"/>
  </r>
  <r>
    <s v="Shipment"/>
    <n v="99008200"/>
    <s v="GROUPE SEB IBERICA                                "/>
    <n v="99008200"/>
    <x v="21"/>
    <s v="9321665937/000010"/>
    <n v="1370151520"/>
    <n v="10"/>
    <x v="8"/>
    <x v="8"/>
    <s v="L4"/>
    <n v="1830004107"/>
    <n v="131"/>
    <s v="SF7870E5       "/>
    <s v="SF7870E5 RESPECTISSIM LISS STRAIGHTENER           "/>
    <s v="S"/>
    <d v="2012-01-29T00:00:00"/>
    <m/>
    <s v="X"/>
    <x v="68"/>
    <n v="20.02"/>
    <n v="17"/>
    <d v="2012-02-13T00:00:00"/>
    <d v="2012-01-16T00:00:00"/>
    <n v="3000"/>
    <d v="2012-01-16T00:00:00"/>
    <n v="3000"/>
    <m/>
    <d v="2012-01-13T00:00:00"/>
    <n v="3000"/>
    <d v="2012-02-18T00:00:00"/>
    <d v="2012-01-21T00:00:00"/>
    <n v="3000"/>
    <n v="3000"/>
    <x v="26"/>
    <d v="2012-02-18T00:00:00"/>
    <m/>
    <n v="9321669985"/>
    <n v="10"/>
    <s v="MRKU3281076"/>
    <s v="MAERSK TANJONG/1202"/>
    <m/>
    <s v="YANTIAN"/>
    <m/>
    <m/>
    <s v="JASON FAN"/>
    <s v="FO9"/>
    <s v="PERSONAL CARE                 "/>
    <s v="CONFIRMED"/>
    <n v="1"/>
    <n v="3"/>
    <d v="2012-01-21T00:00:00"/>
    <s v="LINEN PERS HOME CARE          "/>
    <s v="PERSONAL CARE   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69563/000010"/>
    <n v="1370152099"/>
    <n v="10"/>
    <x v="47"/>
    <x v="47"/>
    <s v="P4"/>
    <n v="8000034552"/>
    <n v="24"/>
    <s v="DO250D40       "/>
    <s v="DO250D40 FDP STORE INN SS 2L GB                   "/>
    <s v="S"/>
    <d v="2012-01-12T00:00:00"/>
    <m/>
    <s v="X"/>
    <x v="68"/>
    <n v="31.92"/>
    <n v="25"/>
    <d v="2012-02-22T00:00:00"/>
    <d v="2012-01-18T00:00:00"/>
    <n v="912"/>
    <d v="2012-01-18T00:00:00"/>
    <n v="912"/>
    <m/>
    <d v="2012-01-18T00:00:00"/>
    <n v="1012"/>
    <d v="2012-02-22T00:00:00"/>
    <d v="2012-01-18T00:00:00"/>
    <n v="912"/>
    <n v="100"/>
    <x v="24"/>
    <d v="2012-02-17T00:00:00"/>
    <m/>
    <n v="9321669986"/>
    <n v="10"/>
    <m/>
    <m/>
    <m/>
    <s v="YANTIAN"/>
    <s v="ERROR EAI - PACKING LIST"/>
    <m/>
    <s v="KENUS WONG"/>
    <s v="FO9"/>
    <s v="FOOD PREPARATION              "/>
    <s v="CONFIRMED"/>
    <n v="1"/>
    <n v="2"/>
    <d v="2012-01-13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5936/000010"/>
    <n v="1370151519"/>
    <n v="10"/>
    <x v="17"/>
    <x v="17"/>
    <s v="L4"/>
    <n v="1830004106"/>
    <n v="5"/>
    <s v="CV8655E5       "/>
    <s v="CV8655E5 HAIR DRYER AC MOTOR INIFINIPRO           "/>
    <s v="S"/>
    <d v="2012-02-02T00:00:00"/>
    <m/>
    <s v="X"/>
    <x v="68"/>
    <n v="13"/>
    <n v="11"/>
    <d v="2012-02-13T00:00:00"/>
    <d v="2012-01-16T00:00:00"/>
    <n v="1000"/>
    <d v="2012-01-21T00:00:00"/>
    <n v="1000"/>
    <m/>
    <d v="2012-01-16T00:00:00"/>
    <n v="1000"/>
    <d v="2012-02-18T00:00:00"/>
    <d v="2012-01-21T00:00:00"/>
    <n v="1000"/>
    <n v="1000"/>
    <x v="26"/>
    <d v="2012-02-18T00:00:00"/>
    <m/>
    <n v="9321669987"/>
    <n v="10"/>
    <s v="MSKU6029516"/>
    <s v="MAERSK TANJONG/1202"/>
    <m/>
    <s v="HONG KONG"/>
    <s v="CONS-SHIPT/"/>
    <m/>
    <s v="JASON FAN"/>
    <s v="FO9"/>
    <s v="PERSONAL CARE                 "/>
    <s v="CONFIRMED"/>
    <n v="1"/>
    <n v="3"/>
    <d v="2012-01-21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5909/000010"/>
    <n v="1370151496"/>
    <n v="10"/>
    <x v="17"/>
    <x v="17"/>
    <s v="L4"/>
    <n v="1830003759"/>
    <n v="5"/>
    <s v="CV4930F5       "/>
    <s v="CV4930F5 POWERLINE HAIR DRYER                     "/>
    <s v="S"/>
    <d v="2012-02-02T00:00:00"/>
    <m/>
    <s v="X"/>
    <x v="68"/>
    <n v="8.23"/>
    <n v="7"/>
    <d v="2012-02-13T00:00:00"/>
    <d v="2012-01-16T00:00:00"/>
    <n v="1000"/>
    <d v="2012-01-21T00:00:00"/>
    <n v="1000"/>
    <m/>
    <d v="2012-01-16T00:00:00"/>
    <n v="1000"/>
    <d v="2012-02-18T00:00:00"/>
    <d v="2012-01-21T00:00:00"/>
    <n v="1000"/>
    <n v="1000"/>
    <x v="26"/>
    <d v="2012-02-18T00:00:00"/>
    <m/>
    <n v="9321669988"/>
    <n v="10"/>
    <s v="MSKU6029516"/>
    <s v="MAERSK TANJONG/1202"/>
    <m/>
    <s v="HONG KONG"/>
    <s v="CONS-SHIPT/"/>
    <m/>
    <s v="JASON FAN"/>
    <s v="FO9"/>
    <s v="PERSONAL CARE                 "/>
    <s v="CONFIRMED"/>
    <n v="1"/>
    <n v="3"/>
    <d v="2012-01-21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7474/000010"/>
    <n v="1370151524"/>
    <n v="10"/>
    <x v="60"/>
    <x v="60"/>
    <s v="L4"/>
    <n v="1830003761"/>
    <n v="5"/>
    <s v="CV3502F0       "/>
    <s v="CV3502F0 NOMAD HAIR DRYER                         "/>
    <s v="S"/>
    <d v="2012-01-17T00:00:00"/>
    <m/>
    <s v="X"/>
    <x v="68"/>
    <n v="4.8099999999999996"/>
    <n v="4"/>
    <d v="2012-02-13T00:00:00"/>
    <d v="2012-01-16T00:00:00"/>
    <n v="3000"/>
    <d v="2012-01-16T00:00:00"/>
    <n v="3000"/>
    <m/>
    <d v="2012-01-14T00:00:00"/>
    <n v="3000"/>
    <d v="2012-02-11T00:00:00"/>
    <d v="2012-01-14T00:00:00"/>
    <n v="3000"/>
    <n v="3000"/>
    <x v="9"/>
    <d v="2012-02-11T00:00:00"/>
    <m/>
    <n v="9321670079"/>
    <n v="10"/>
    <s v="NYKU6402834"/>
    <s v="APL HAMBURG/015W"/>
    <m/>
    <s v="NINGBO"/>
    <s v="LCL"/>
    <m/>
    <s v="JASON FAN"/>
    <s v="FO9"/>
    <s v="PERSONAL CARE                 "/>
    <s v="CONFIRMED"/>
    <n v="1"/>
    <n v="2"/>
    <d v="2012-01-14T00:00:00"/>
    <s v="LINEN PERS HOME CARE          "/>
    <s v="PERSONAL CARE                 "/>
    <x v="6"/>
    <x v="2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3870/000010"/>
    <n v="1370151869"/>
    <n v="10"/>
    <x v="55"/>
    <x v="55"/>
    <s v="P1"/>
    <n v="1500818341"/>
    <n v="78"/>
    <n v="818341"/>
    <s v="GVS241 ICE CREAM MAKER                            "/>
    <s v="S"/>
    <d v="2012-02-01T00:00:00"/>
    <m/>
    <s v="X"/>
    <x v="69"/>
    <n v="24.36"/>
    <n v="21"/>
    <d v="2012-02-20T00:00:00"/>
    <d v="2012-01-16T00:00:00"/>
    <n v="3342"/>
    <d v="2012-01-16T00:00:00"/>
    <n v="3342"/>
    <m/>
    <d v="2012-01-23T00:00:00"/>
    <n v="3342"/>
    <d v="2012-03-01T00:00:00"/>
    <d v="2012-01-26T00:00:00"/>
    <n v="3342"/>
    <n v="3342"/>
    <x v="15"/>
    <d v="2012-03-01T00:00:00"/>
    <m/>
    <n v="9321670591"/>
    <n v="10"/>
    <s v="MOFU0557995"/>
    <s v="MOL MARVEL/008W"/>
    <m/>
    <s v="YANTIAN"/>
    <s v="FORWARDER-PROB/"/>
    <m/>
    <s v="AGNES NUNES"/>
    <s v="FO9"/>
    <s v="FOOD PREPARATION              "/>
    <s v="CONFIRMED"/>
    <n v="1"/>
    <n v="4"/>
    <d v="2012-01-26T00:00:00"/>
    <s v="KITCHEN ELECTRICS             "/>
    <s v="FOOD PREPARATION              "/>
    <x v="4"/>
    <x v="1"/>
    <x v="0"/>
    <s v="FORWARDER-PROB"/>
    <n v="1"/>
    <n v="1"/>
    <x v="11"/>
    <n v="1"/>
    <x v="0"/>
    <x v="0"/>
    <x v="1"/>
    <n v="0"/>
    <n v="0"/>
    <n v="0"/>
    <n v="0"/>
    <n v="0"/>
    <n v="0"/>
    <x v="1"/>
    <x v="0"/>
    <x v="1"/>
    <x v="0"/>
  </r>
  <r>
    <s v="Shipment"/>
    <n v="99001621"/>
    <s v="GRUPO SEB DO BRASIL                               "/>
    <n v="99001600"/>
    <x v="2"/>
    <s v="9820641201/000010"/>
    <n v="1370150916"/>
    <n v="10"/>
    <x v="16"/>
    <x v="16"/>
    <s v="L4"/>
    <n v="1830002309"/>
    <n v="5"/>
    <s v="CV4842B0       "/>
    <s v="CV4842B0 HAIR DRYER COMPACT PRO                   "/>
    <s v="S"/>
    <d v="2012-01-21T00:00:00"/>
    <m/>
    <s v="X"/>
    <x v="69"/>
    <n v="8.11"/>
    <n v="10"/>
    <d v="2012-01-30T00:00:00"/>
    <d v="2011-12-19T00:00:00"/>
    <n v="1002"/>
    <d v="2012-01-18T00:00:00"/>
    <n v="1002"/>
    <m/>
    <d v="2012-01-18T00:00:00"/>
    <n v="1002"/>
    <d v="2012-02-29T00:00:00"/>
    <d v="2012-01-18T00:00:00"/>
    <n v="1002"/>
    <n v="1002"/>
    <x v="21"/>
    <d v="2012-02-29T00:00:00"/>
    <m/>
    <n v="9321670595"/>
    <n v="10"/>
    <s v="SUDU5640695"/>
    <s v="MAERSK LUZ 202W/"/>
    <m/>
    <s v="SHENZHEN"/>
    <s v="SP-NO-FORECAST/"/>
    <m/>
    <s v="THOMAS HO"/>
    <s v="FO9"/>
    <s v="PERSONAL CARE                 "/>
    <s v="CONFIRMED"/>
    <n v="1"/>
    <n v="3"/>
    <d v="2012-01-18T00:00:00"/>
    <s v="LINEN PERS HOME CARE          "/>
    <s v="PERSONAL CARE                 "/>
    <x v="3"/>
    <x v="2"/>
    <x v="14"/>
    <s v="SP-NO-FORECAST"/>
    <n v="-3"/>
    <n v="-3"/>
    <x v="15"/>
    <n v="1"/>
    <x v="0"/>
    <x v="0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1294/000010"/>
    <n v="1370150932"/>
    <n v="10"/>
    <x v="16"/>
    <x v="16"/>
    <s v="L4"/>
    <n v="1830003211"/>
    <n v="5"/>
    <s v="CV9135B4       "/>
    <s v="CV9135B4 LISSIMA CLIP&amp;PRESS HAIR DRYER            "/>
    <s v="S"/>
    <d v="2012-01-21T00:00:00"/>
    <m/>
    <s v="X"/>
    <x v="69"/>
    <n v="12.4"/>
    <n v="14"/>
    <d v="2012-02-23T00:00:00"/>
    <d v="2012-01-12T00:00:00"/>
    <n v="1002"/>
    <d v="2012-01-18T00:00:00"/>
    <n v="1002"/>
    <m/>
    <d v="2012-01-12T00:00:00"/>
    <n v="1002"/>
    <d v="2012-02-23T00:00:00"/>
    <d v="2012-01-12T00:00:00"/>
    <n v="1002"/>
    <n v="1002"/>
    <x v="21"/>
    <d v="2012-02-29T00:00:00"/>
    <m/>
    <n v="9321670596"/>
    <n v="10"/>
    <s v="SUDU5640695"/>
    <s v="MAERSK LUZ 202W/"/>
    <m/>
    <s v="SHENZHEN"/>
    <m/>
    <m/>
    <s v="THOMAS HO"/>
    <s v="FO9"/>
    <s v="PERSONAL CARE                 "/>
    <s v="CONFIRMED"/>
    <n v="1"/>
    <n v="3"/>
    <d v="2012-01-18T00:00:00"/>
    <s v="LINEN PERS HOME CARE          "/>
    <s v="PERSONAL CARE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93/000010"/>
    <n v="1370150933"/>
    <n v="10"/>
    <x v="16"/>
    <x v="16"/>
    <s v="L4"/>
    <n v="1830003210"/>
    <n v="5"/>
    <s v="CV9135B5       "/>
    <s v="CV9135B5 LISSIMA CLIP&amp;PRESS HAIR DRYER            "/>
    <s v="S"/>
    <d v="2012-01-21T00:00:00"/>
    <m/>
    <s v="X"/>
    <x v="69"/>
    <n v="12.87"/>
    <n v="15"/>
    <d v="2012-02-23T00:00:00"/>
    <d v="2012-01-12T00:00:00"/>
    <n v="2442"/>
    <d v="2012-01-18T00:00:00"/>
    <n v="2442"/>
    <m/>
    <d v="2012-01-12T00:00:00"/>
    <n v="2442"/>
    <d v="2012-02-23T00:00:00"/>
    <d v="2012-01-12T00:00:00"/>
    <n v="2442"/>
    <n v="2442"/>
    <x v="21"/>
    <d v="2012-02-29T00:00:00"/>
    <m/>
    <n v="9321670598"/>
    <n v="10"/>
    <s v="SUDU5640695"/>
    <s v="MAERSK LUZ 202W/"/>
    <m/>
    <s v="SHENZHEN"/>
    <m/>
    <m/>
    <s v="THOMAS HO"/>
    <s v="FO9"/>
    <s v="PERSONAL CARE                 "/>
    <s v="CONFIRMED"/>
    <n v="1"/>
    <n v="3"/>
    <d v="2012-01-18T00:00:00"/>
    <s v="LINEN PERS HOME CARE          "/>
    <s v="PERSONAL CARE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00/000010"/>
    <n v="1370151433"/>
    <n v="10"/>
    <x v="16"/>
    <x v="16"/>
    <s v="L4"/>
    <n v="1830002308"/>
    <n v="5"/>
    <s v="CV4842B1       "/>
    <s v="CV4842B1 HAIR DRYER COMPACT PRO                   "/>
    <s v="S"/>
    <d v="2012-01-21T00:00:00"/>
    <m/>
    <s v="X"/>
    <x v="69"/>
    <n v="8.48"/>
    <n v="10"/>
    <d v="2012-02-06T00:00:00"/>
    <d v="2011-12-26T00:00:00"/>
    <n v="3204"/>
    <d v="2012-01-18T00:00:00"/>
    <n v="3204"/>
    <m/>
    <d v="2011-12-29T00:00:00"/>
    <n v="3204"/>
    <d v="2012-02-09T00:00:00"/>
    <d v="2011-12-29T00:00:00"/>
    <n v="3204"/>
    <n v="3204"/>
    <x v="21"/>
    <d v="2012-02-29T00:00:00"/>
    <m/>
    <n v="9321670603"/>
    <n v="10"/>
    <s v="SUDU5640695"/>
    <s v="MAERSK LUZ 202W/"/>
    <m/>
    <s v="SHENZHEN"/>
    <m/>
    <m/>
    <s v="THOMAS HO"/>
    <s v="FO9"/>
    <s v="PERSONAL CARE                 "/>
    <s v="CONFIRMED"/>
    <n v="1"/>
    <n v="3"/>
    <d v="2012-01-18T00:00:00"/>
    <s v="LINEN PERS HOME CARE          "/>
    <s v="PERSONAL CARE                 "/>
    <x v="3"/>
    <x v="2"/>
    <x v="1"/>
    <m/>
    <n v="0"/>
    <n v="0"/>
    <x v="1"/>
    <n v="0"/>
    <x v="0"/>
    <x v="0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03/000010"/>
    <n v="1370151432"/>
    <n v="10"/>
    <x v="16"/>
    <x v="16"/>
    <s v="L4"/>
    <n v="1830003210"/>
    <n v="5"/>
    <s v="CV9135B5       "/>
    <s v="CV9135B5 LISSIMA CLIP&amp;PRESS HAIR DRYER            "/>
    <s v="S"/>
    <d v="2012-01-21T00:00:00"/>
    <m/>
    <s v="X"/>
    <x v="69"/>
    <n v="12.87"/>
    <n v="15"/>
    <d v="2012-03-29T00:00:00"/>
    <d v="2012-02-16T00:00:00"/>
    <n v="7398"/>
    <d v="2012-02-23T00:00:00"/>
    <n v="7398"/>
    <m/>
    <m/>
    <m/>
    <d v="2012-04-05T00:00:00"/>
    <d v="2012-02-23T00:00:00"/>
    <n v="7398"/>
    <n v="2640"/>
    <x v="21"/>
    <d v="2012-02-29T00:00:00"/>
    <m/>
    <n v="9321670605"/>
    <n v="10"/>
    <s v="SUDU5640695"/>
    <s v="MAERSK LUZ 202W/"/>
    <m/>
    <s v="SHENZHEN"/>
    <s v="NEWREQ-CUSTOMS/SP-NO-FORECAST/SP-NO-FORECAST/"/>
    <m/>
    <s v="THOMAS HO"/>
    <s v="FO9"/>
    <s v="PERSONAL CARE                 "/>
    <s v="CONFIRMED"/>
    <n v="1"/>
    <n v="3"/>
    <d v="2012-01-18T00:00:00"/>
    <s v="LINEN PERS HOME CARE          "/>
    <s v="PERSONAL CARE                 "/>
    <x v="3"/>
    <x v="2"/>
    <x v="8"/>
    <s v="SP-NO-FORECAST"/>
    <n v="1"/>
    <n v="-3"/>
    <x v="15"/>
    <n v="3"/>
    <x v="0"/>
    <x v="0"/>
    <x v="0"/>
    <n v="0"/>
    <n v="0"/>
    <n v="0"/>
    <n v="0"/>
    <n v="0"/>
    <n v="0"/>
    <x v="0"/>
    <x v="1"/>
    <x v="1"/>
    <x v="0"/>
  </r>
  <r>
    <s v="Shipment"/>
    <n v="99006601"/>
    <s v="GROUPE SEB SINGAPORE PTE LTD                      "/>
    <n v="99006601"/>
    <x v="11"/>
    <s v="855/000001"/>
    <n v="1370152129"/>
    <n v="10"/>
    <x v="33"/>
    <x v="33"/>
    <s v="N3"/>
    <n v="1500577912"/>
    <n v="53"/>
    <n v="577912"/>
    <s v="OF273170 OVEN DELICE 30L WHT JKQ                  "/>
    <s v="S"/>
    <d v="2012-01-03T00:00:00"/>
    <m/>
    <s v="X"/>
    <x v="69"/>
    <n v="60.42"/>
    <n v="85441"/>
    <d v="2012-01-25T00:00:00"/>
    <d v="2012-01-18T00:00:00"/>
    <n v="516"/>
    <d v="2012-01-03T00:00:00"/>
    <n v="516"/>
    <m/>
    <d v="2012-01-18T00:00:00"/>
    <n v="516"/>
    <d v="2012-01-10T00:00:00"/>
    <d v="2012-01-03T00:00:00"/>
    <n v="516"/>
    <n v="516"/>
    <x v="16"/>
    <d v="2012-01-10T00:00:00"/>
    <m/>
    <n v="9321670612"/>
    <n v="10"/>
    <s v="OOLU5789352"/>
    <s v="THORSCAPE V.010S"/>
    <m/>
    <s v="ZHUHAI"/>
    <s v="C-PULLIN-CONF/"/>
    <m/>
    <s v="AGNES NUNES"/>
    <s v="FO9"/>
    <s v="ELECTRICAL COOKING            "/>
    <s v="CONFIRMED"/>
    <n v="1"/>
    <n v="1"/>
    <d v="2012-01-03T00:00:00"/>
    <s v="KITCHEN ELECTRICS             "/>
    <s v="ELECTRICAL COOKING            "/>
    <x v="1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70/000010"/>
    <n v="1370150937"/>
    <n v="10"/>
    <x v="8"/>
    <x v="8"/>
    <s v="K9"/>
    <n v="8000033895"/>
    <n v="38"/>
    <s v="PJ2100B1B      "/>
    <s v="PJ2100B1 NDG MELODY 2 127V BLK BR                 "/>
    <s v="S"/>
    <d v="2012-01-21T00:00:00"/>
    <m/>
    <s v="X"/>
    <x v="69"/>
    <n v="46.25"/>
    <n v="52"/>
    <d v="2012-02-23T00:00:00"/>
    <d v="2012-01-12T00:00:00"/>
    <n v="1240"/>
    <d v="2012-01-12T00:00:00"/>
    <n v="1240"/>
    <m/>
    <d v="2012-01-19T00:00:00"/>
    <n v="1240"/>
    <d v="2012-02-29T00:00:00"/>
    <d v="2012-01-18T00:00:00"/>
    <n v="1240"/>
    <n v="1240"/>
    <x v="21"/>
    <d v="2012-02-29T00:00:00"/>
    <m/>
    <n v="9321670615"/>
    <n v="10"/>
    <s v="SUDU6522969"/>
    <s v="MAERSK LUZ 202W/"/>
    <m/>
    <s v="YANTIAN"/>
    <m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77/000010"/>
    <n v="1370150918"/>
    <n v="10"/>
    <x v="8"/>
    <x v="8"/>
    <s v="K9"/>
    <n v="8000033894"/>
    <n v="38"/>
    <s v="PJ2106B2B      "/>
    <s v="PJ2106B2 NDG MELODY 2 220V RED BR                 "/>
    <s v="S"/>
    <d v="2012-01-31T00:00:00"/>
    <m/>
    <s v="X"/>
    <x v="69"/>
    <n v="44.55"/>
    <n v="50"/>
    <d v="2012-02-13T00:00:00"/>
    <d v="2012-01-02T00:00:00"/>
    <n v="1240"/>
    <d v="2012-01-11T00:00:00"/>
    <n v="1240"/>
    <m/>
    <d v="2012-01-06T00:00:00"/>
    <n v="1240"/>
    <d v="2012-02-22T00:00:00"/>
    <d v="2012-01-11T00:00:00"/>
    <n v="1240"/>
    <n v="1240"/>
    <x v="17"/>
    <d v="2012-02-22T00:00:00"/>
    <m/>
    <n v="9321670617"/>
    <n v="10"/>
    <s v="HASU4051492"/>
    <s v="COSCO VIETNAM 201W"/>
    <m/>
    <s v="YANTIAN"/>
    <s v="NEWREQ-CUSTOMS/"/>
    <m/>
    <s v="THOMAS HO"/>
    <s v="FO9"/>
    <s v="BEVERAGE                      "/>
    <s v="CONFIRMED"/>
    <n v="1"/>
    <n v="2"/>
    <d v="2012-01-11T00:00:00"/>
    <s v="KITCHEN ELECTRICS             "/>
    <s v="BREAKFAST &amp; BREVAGE PREP      "/>
    <x v="4"/>
    <x v="1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5874/000010"/>
    <n v="1370151301"/>
    <n v="10"/>
    <x v="8"/>
    <x v="8"/>
    <s v="K9"/>
    <n v="8000033999"/>
    <n v="38"/>
    <s v="KP210110       "/>
    <s v="KP210110 NDG MELODY 2 PIANO BLK EUR               "/>
    <s v="S"/>
    <d v="2012-01-09T00:00:00"/>
    <m/>
    <s v="X"/>
    <x v="69"/>
    <n v="44.49"/>
    <n v="37"/>
    <d v="2012-02-10T00:00:00"/>
    <d v="2012-01-06T00:00:00"/>
    <n v="1240"/>
    <d v="2012-01-06T00:00:00"/>
    <n v="1240"/>
    <m/>
    <d v="2012-01-06T00:00:00"/>
    <n v="1240"/>
    <d v="2012-02-10T00:00:00"/>
    <d v="2012-01-06T00:00:00"/>
    <n v="1240"/>
    <n v="1240"/>
    <x v="2"/>
    <d v="2012-02-08T00:00:00"/>
    <m/>
    <n v="9321670618"/>
    <n v="10"/>
    <s v="MRKU0331980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5943/000010"/>
    <n v="1370151318"/>
    <n v="10"/>
    <x v="8"/>
    <x v="8"/>
    <s v="K9"/>
    <n v="8000033943"/>
    <n v="30"/>
    <s v="XN200310       "/>
    <s v="XN200310 NES ESSENZA MANUAL BLK EUR               "/>
    <s v="S"/>
    <d v="2012-01-16T00:00:00"/>
    <m/>
    <s v="X"/>
    <x v="69"/>
    <n v="40.79"/>
    <n v="35"/>
    <d v="2012-02-17T00:00:00"/>
    <d v="2012-01-13T00:00:00"/>
    <n v="2040"/>
    <d v="2012-01-13T00:00:00"/>
    <n v="2040"/>
    <m/>
    <d v="2012-01-13T00:00:00"/>
    <n v="2040"/>
    <d v="2012-02-15T00:00:00"/>
    <d v="2012-01-11T00:00:00"/>
    <n v="2040"/>
    <n v="2040"/>
    <x v="17"/>
    <d v="2012-02-15T00:00:00"/>
    <m/>
    <n v="9321670619"/>
    <n v="10"/>
    <s v="MSKU6135185"/>
    <s v="GRETE MAERSK 121W/"/>
    <m/>
    <s v="YANTIAN"/>
    <m/>
    <m/>
    <s v="JASON FAN"/>
    <s v="FO9"/>
    <s v="BEVERAGE                      "/>
    <s v="CONFIRMED"/>
    <n v="1"/>
    <n v="2"/>
    <d v="2012-01-11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006/000010"/>
    <n v="1370151304"/>
    <n v="10"/>
    <x v="8"/>
    <x v="8"/>
    <s v="R1"/>
    <n v="8000032918"/>
    <n v="103"/>
    <s v="VB5020FRCN     "/>
    <s v="VB5020FR BTD  B90 BLK FR                          "/>
    <s v="S"/>
    <d v="2012-01-09T00:00:00"/>
    <m/>
    <s v="X"/>
    <x v="69"/>
    <n v="76.23"/>
    <n v="65"/>
    <d v="2012-02-10T00:00:00"/>
    <d v="2012-01-06T00:00:00"/>
    <n v="1410"/>
    <d v="2012-01-06T00:00:00"/>
    <n v="1410"/>
    <m/>
    <d v="2012-01-06T00:00:00"/>
    <n v="1410"/>
    <d v="2012-02-10T00:00:00"/>
    <d v="2012-01-06T00:00:00"/>
    <n v="1410"/>
    <n v="705"/>
    <x v="2"/>
    <d v="2012-02-08T00:00:00"/>
    <m/>
    <n v="9321670620"/>
    <n v="10"/>
    <s v="PONU1480039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006/000010"/>
    <n v="1370151304"/>
    <n v="10"/>
    <x v="8"/>
    <x v="8"/>
    <s v="R1"/>
    <n v="8000032918"/>
    <n v="103"/>
    <s v="VB5020FRCN     "/>
    <s v="VB5020FR BTD  B90 BLK FR                          "/>
    <s v="S"/>
    <d v="2012-01-09T00:00:00"/>
    <m/>
    <s v="X"/>
    <x v="69"/>
    <n v="76.23"/>
    <n v="65"/>
    <d v="2012-02-10T00:00:00"/>
    <d v="2012-01-06T00:00:00"/>
    <n v="1410"/>
    <d v="2012-01-06T00:00:00"/>
    <n v="1410"/>
    <m/>
    <d v="2012-01-06T00:00:00"/>
    <n v="1410"/>
    <d v="2012-02-10T00:00:00"/>
    <d v="2012-01-06T00:00:00"/>
    <n v="1410"/>
    <n v="705"/>
    <x v="2"/>
    <d v="2012-02-08T00:00:00"/>
    <m/>
    <n v="9321670620"/>
    <n v="10"/>
    <s v="PONU1307912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3625/000010"/>
    <n v="1370151112"/>
    <n v="10"/>
    <x v="8"/>
    <x v="8"/>
    <s v="K9"/>
    <n v="8000033727"/>
    <n v="38"/>
    <s v="KP210211B      "/>
    <s v="KP210211 NDG MELODY 2 WHT EUR                     "/>
    <s v="S"/>
    <d v="2012-01-14T00:00:00"/>
    <m/>
    <s v="X"/>
    <x v="69"/>
    <n v="44.13"/>
    <n v="37"/>
    <d v="2012-02-13T00:00:00"/>
    <d v="2012-01-09T00:00:00"/>
    <n v="2480"/>
    <d v="2012-01-09T00:00:00"/>
    <n v="2480"/>
    <m/>
    <d v="2012-01-16T00:00:00"/>
    <n v="2480"/>
    <d v="2012-02-17T00:00:00"/>
    <d v="2012-01-13T00:00:00"/>
    <n v="2480"/>
    <n v="1240"/>
    <x v="10"/>
    <d v="2012-02-16T00:00:00"/>
    <m/>
    <n v="9321670621"/>
    <n v="10"/>
    <s v="TCLU4254059"/>
    <s v="MOL MISSION/006W"/>
    <m/>
    <s v="YANTIAN"/>
    <m/>
    <m/>
    <s v="AGNES NUNES"/>
    <s v="FO9"/>
    <s v="BEVERAGE                      "/>
    <s v="CONFIRMED"/>
    <n v="1"/>
    <n v="2"/>
    <d v="2012-01-12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3625/000010"/>
    <n v="1370151112"/>
    <n v="10"/>
    <x v="8"/>
    <x v="8"/>
    <s v="K9"/>
    <n v="8000033727"/>
    <n v="38"/>
    <s v="KP210211B      "/>
    <s v="KP210211 NDG MELODY 2 WHT EUR                     "/>
    <s v="S"/>
    <d v="2012-01-14T00:00:00"/>
    <m/>
    <s v="X"/>
    <x v="69"/>
    <n v="44.13"/>
    <n v="37"/>
    <d v="2012-02-13T00:00:00"/>
    <d v="2012-01-09T00:00:00"/>
    <n v="2480"/>
    <d v="2012-01-09T00:00:00"/>
    <n v="2480"/>
    <m/>
    <d v="2012-01-16T00:00:00"/>
    <n v="2480"/>
    <d v="2012-02-17T00:00:00"/>
    <d v="2012-01-13T00:00:00"/>
    <n v="2480"/>
    <n v="1240"/>
    <x v="10"/>
    <d v="2012-02-16T00:00:00"/>
    <m/>
    <n v="9321670621"/>
    <n v="10"/>
    <s v="MOFU0548648"/>
    <s v="MOL MISSION/006W"/>
    <m/>
    <s v="YANTIAN"/>
    <m/>
    <m/>
    <s v="AGNES NUNES"/>
    <s v="FO9"/>
    <s v="BEVERAGE                      "/>
    <s v="CONFIRMED"/>
    <n v="1"/>
    <n v="2"/>
    <d v="2012-01-12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3613/000010"/>
    <n v="1370151117"/>
    <n v="10"/>
    <x v="8"/>
    <x v="8"/>
    <s v="K9"/>
    <n v="8000033706"/>
    <n v="38"/>
    <s v="KP500010       "/>
    <s v="KP500010 NDG CIRCOLO ANTH EUR                     "/>
    <s v="S"/>
    <d v="2012-01-19T00:00:00"/>
    <m/>
    <s v="X"/>
    <x v="69"/>
    <n v="50.22"/>
    <n v="42"/>
    <d v="2012-02-13T00:00:00"/>
    <d v="2012-01-09T00:00:00"/>
    <n v="1240"/>
    <d v="2012-01-19T00:00:00"/>
    <n v="1240"/>
    <m/>
    <d v="2012-01-16T00:00:00"/>
    <n v="1240"/>
    <d v="2012-02-23T00:00:00"/>
    <d v="2012-01-19T00:00:00"/>
    <n v="1240"/>
    <n v="1240"/>
    <x v="21"/>
    <d v="2012-02-22T00:00:00"/>
    <m/>
    <n v="9321670622"/>
    <n v="10"/>
    <s v="TCKU4521570"/>
    <s v="OOCL CALIFORNIA/29W0"/>
    <m/>
    <s v="YANTIAN"/>
    <s v="C-SHORTL/T/SP-OVERCAP/C-SHORTL/T/"/>
    <m/>
    <s v="AGNES NUNES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1"/>
    <s v="SP-OVERCAP"/>
    <n v="-3"/>
    <n v="-3"/>
    <x v="9"/>
    <n v="5"/>
    <x v="0"/>
    <x v="0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3611/000010"/>
    <n v="1370151116"/>
    <n v="10"/>
    <x v="8"/>
    <x v="8"/>
    <s v="K9"/>
    <n v="8000034358"/>
    <n v="38"/>
    <s v="KP100010       "/>
    <s v="KP100010 NDG PICCOLO BLK EUR                      "/>
    <s v="S"/>
    <d v="2012-01-14T00:00:00"/>
    <m/>
    <s v="X"/>
    <x v="69"/>
    <n v="33.79"/>
    <n v="28"/>
    <d v="2012-02-13T00:00:00"/>
    <d v="2012-01-09T00:00:00"/>
    <n v="2160"/>
    <d v="2012-01-09T00:00:00"/>
    <n v="2160"/>
    <m/>
    <d v="2011-12-30T00:00:00"/>
    <n v="2160"/>
    <d v="2012-02-09T00:00:00"/>
    <d v="2012-01-05T00:00:00"/>
    <n v="2160"/>
    <n v="2160"/>
    <x v="10"/>
    <d v="2012-02-16T00:00:00"/>
    <m/>
    <n v="9321670623"/>
    <n v="10"/>
    <s v="TGHU4464199"/>
    <s v="MOL MISSION/006W"/>
    <m/>
    <s v="YANTIAN"/>
    <s v="SP-HOLIDAY/"/>
    <m/>
    <s v="AGNES NUNES"/>
    <s v="FO9"/>
    <s v="BEVERAGE                      "/>
    <s v="CONFIRMED"/>
    <n v="1"/>
    <n v="2"/>
    <d v="2012-01-12T00:00:00"/>
    <s v="KITCHEN ELECTRICS             "/>
    <s v="BREAKFAST &amp; BREVAGE PREP      "/>
    <x v="4"/>
    <x v="1"/>
    <x v="7"/>
    <s v="SP-HOLIDAY"/>
    <n v="-3"/>
    <n v="-3"/>
    <x v="6"/>
    <n v="1"/>
    <x v="0"/>
    <x v="1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5875/000010"/>
    <n v="1370151319"/>
    <n v="10"/>
    <x v="8"/>
    <x v="8"/>
    <s v="K9"/>
    <n v="8000034357"/>
    <n v="38"/>
    <s v="KP260610       "/>
    <s v="KP260610 NDG CREATIVA+ RED EUR                    "/>
    <s v="S"/>
    <d v="2012-01-16T00:00:00"/>
    <m/>
    <s v="X"/>
    <x v="69"/>
    <n v="70.45"/>
    <n v="59"/>
    <d v="2012-02-17T00:00:00"/>
    <d v="2012-01-13T00:00:00"/>
    <n v="1240"/>
    <d v="2012-01-13T00:00:00"/>
    <n v="1240"/>
    <m/>
    <d v="2012-01-13T00:00:00"/>
    <n v="1240"/>
    <d v="2012-02-17T00:00:00"/>
    <d v="2012-01-13T00:00:00"/>
    <n v="1240"/>
    <n v="1240"/>
    <x v="17"/>
    <d v="2012-02-15T00:00:00"/>
    <m/>
    <n v="9321670624"/>
    <n v="10"/>
    <s v="MRKU0595047"/>
    <s v="GRETE MAERSK 121W/"/>
    <m/>
    <s v="YANTIAN"/>
    <m/>
    <m/>
    <s v="JASON FAN"/>
    <s v="FO9"/>
    <s v="BEVERAGE                      "/>
    <s v="CONFIRMED"/>
    <n v="1"/>
    <n v="2"/>
    <d v="2012-01-11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5868/000010"/>
    <n v="1370151300"/>
    <n v="10"/>
    <x v="8"/>
    <x v="8"/>
    <s v="K9"/>
    <n v="8000033731"/>
    <n v="38"/>
    <s v="KP210611B      "/>
    <s v="KP210611 NDG MELODY 2 RED EUR                     "/>
    <s v="S"/>
    <d v="2012-01-09T00:00:00"/>
    <m/>
    <s v="X"/>
    <x v="69"/>
    <n v="44.13"/>
    <n v="37"/>
    <d v="2012-02-10T00:00:00"/>
    <d v="2012-01-06T00:00:00"/>
    <n v="1240"/>
    <d v="2012-01-06T00:00:00"/>
    <n v="1240"/>
    <m/>
    <d v="2012-01-06T00:00:00"/>
    <n v="1240"/>
    <d v="2012-02-10T00:00:00"/>
    <d v="2012-01-06T00:00:00"/>
    <n v="1240"/>
    <n v="1240"/>
    <x v="2"/>
    <d v="2012-02-08T00:00:00"/>
    <m/>
    <n v="9321670625"/>
    <n v="10"/>
    <s v="MRKU0393560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5942/000010"/>
    <n v="1370151241"/>
    <n v="10"/>
    <x v="8"/>
    <x v="8"/>
    <s v="K9"/>
    <n v="8000033943"/>
    <n v="30"/>
    <s v="XN200310       "/>
    <s v="XN200310 NES ESSENZA MANUAL BLK EUR               "/>
    <s v="S"/>
    <d v="2012-01-06T00:00:00"/>
    <m/>
    <s v="X"/>
    <x v="69"/>
    <n v="41.4"/>
    <n v="35"/>
    <d v="2012-02-10T00:00:00"/>
    <d v="2012-01-06T00:00:00"/>
    <n v="2040"/>
    <d v="2012-01-06T00:00:00"/>
    <n v="2040"/>
    <m/>
    <d v="2012-01-06T00:00:00"/>
    <n v="2040"/>
    <d v="2012-02-08T00:00:00"/>
    <d v="2012-01-04T00:00:00"/>
    <n v="2040"/>
    <n v="2040"/>
    <x v="16"/>
    <d v="2012-02-07T00:00:00"/>
    <m/>
    <n v="9321670626"/>
    <n v="10"/>
    <s v="NYKU6467096"/>
    <s v="NYK VESTA 28W51/"/>
    <m/>
    <s v="YANTIAN"/>
    <m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3930/000010"/>
    <n v="1370151207"/>
    <n v="10"/>
    <x v="8"/>
    <x v="8"/>
    <s v="K9"/>
    <n v="8000034358"/>
    <n v="38"/>
    <s v="KP100010       "/>
    <s v="KP100010 NDG PICCOLO BLK EUR                      "/>
    <s v="S"/>
    <d v="2012-01-17T00:00:00"/>
    <m/>
    <s v="X"/>
    <x v="69"/>
    <n v="33.79"/>
    <n v="28"/>
    <d v="2012-01-30T00:00:00"/>
    <d v="2012-01-02T00:00:00"/>
    <n v="2160"/>
    <d v="2012-01-02T00:00:00"/>
    <n v="2160"/>
    <m/>
    <d v="2011-12-23T00:00:00"/>
    <n v="2160"/>
    <d v="2012-01-30T00:00:00"/>
    <d v="2012-01-02T00:00:00"/>
    <n v="2160"/>
    <n v="2160"/>
    <x v="8"/>
    <d v="2012-02-13T00:00:00"/>
    <m/>
    <n v="9321670627"/>
    <n v="10"/>
    <s v="MAEU6171461"/>
    <s v="MAERSK TUKANG 1202/"/>
    <m/>
    <s v="YANTIAN"/>
    <s v="C-SHORTL/T/SP-HOLIDAY/"/>
    <m/>
    <s v="KENUS WONG"/>
    <s v="FO9"/>
    <s v="BEVERAGE                      "/>
    <s v="CONFIRMED"/>
    <n v="1"/>
    <n v="3"/>
    <d v="2012-01-16T00:00:00"/>
    <s v="KITCHEN ELECTRICS             "/>
    <s v="BREAKFAST &amp; BREVAGE PREP      "/>
    <x v="4"/>
    <x v="1"/>
    <x v="7"/>
    <s v="SP-HOLIDAY"/>
    <n v="-3"/>
    <n v="-3"/>
    <x v="6"/>
    <n v="3"/>
    <x v="0"/>
    <x v="0"/>
    <x v="1"/>
    <n v="1"/>
    <n v="0"/>
    <n v="0"/>
    <n v="0"/>
    <n v="0"/>
    <n v="0"/>
    <x v="0"/>
    <x v="1"/>
    <x v="1"/>
    <x v="0"/>
  </r>
  <r>
    <s v="Shipment"/>
    <n v="99002501"/>
    <s v="GROUPE SEB NEDERLAND BV                           "/>
    <n v="99002501"/>
    <x v="30"/>
    <s v="9321663934/000010"/>
    <n v="1370151216"/>
    <n v="10"/>
    <x v="8"/>
    <x v="8"/>
    <s v="K9"/>
    <n v="8000033702"/>
    <n v="38"/>
    <s v="KP500610       "/>
    <s v="KP500610 NDG CIRCOLO RED EUR                      "/>
    <s v="S"/>
    <d v="2012-01-07T00:00:00"/>
    <m/>
    <s v="X"/>
    <x v="69"/>
    <n v="52.28"/>
    <n v="44"/>
    <d v="2012-01-30T00:00:00"/>
    <d v="2012-01-02T00:00:00"/>
    <n v="600"/>
    <d v="2012-01-02T00:00:00"/>
    <n v="600"/>
    <m/>
    <d v="2012-01-06T00:00:00"/>
    <n v="600"/>
    <d v="2012-01-29T00:00:00"/>
    <d v="2012-01-01T00:00:00"/>
    <n v="600"/>
    <n v="600"/>
    <x v="13"/>
    <d v="2012-01-29T00:00:00"/>
    <m/>
    <n v="9321670628"/>
    <n v="10"/>
    <s v="PONU1528364"/>
    <s v="CHARLOTTE MAERSK 120"/>
    <m/>
    <s v="YANTIAN"/>
    <s v="LATE EDI"/>
    <m/>
    <s v="KENUS WONG"/>
    <s v="FO9"/>
    <s v="BEVERAGE                      "/>
    <s v="CONFIRMED"/>
    <n v="1"/>
    <n v="52"/>
    <d v="2012-01-01T00:00:00"/>
    <s v="KITCHEN ELECTRICS             "/>
    <s v="BREAKFAST &amp; BREVAGE PREP      "/>
    <x v="4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3940/000010"/>
    <n v="1370151217"/>
    <n v="10"/>
    <x v="8"/>
    <x v="8"/>
    <s v="K9"/>
    <n v="8000033706"/>
    <n v="38"/>
    <s v="KP500010       "/>
    <s v="KP500010 NDG CIRCOLO ANTH EUR                     "/>
    <s v="S"/>
    <d v="2012-01-17T00:00:00"/>
    <m/>
    <s v="X"/>
    <x v="69"/>
    <n v="50.22"/>
    <n v="42"/>
    <d v="2012-01-30T00:00:00"/>
    <d v="2012-01-02T00:00:00"/>
    <n v="1240"/>
    <d v="2012-01-16T00:00:00"/>
    <n v="1240"/>
    <m/>
    <d v="2012-01-09T00:00:00"/>
    <n v="1240"/>
    <d v="2012-02-13T00:00:00"/>
    <d v="2012-01-16T00:00:00"/>
    <n v="1240"/>
    <n v="1240"/>
    <x v="8"/>
    <d v="2012-02-13T00:00:00"/>
    <m/>
    <n v="9321670629"/>
    <n v="10"/>
    <s v="MSKU6123570"/>
    <s v="MAERSK TUKANG 1202/"/>
    <m/>
    <s v="YANTIAN"/>
    <s v="C-SHORTL/T/SP-OVERCAP/C-SHORTL/T/"/>
    <m/>
    <s v="KENUS WONG"/>
    <s v="FO9"/>
    <s v="BEVERAGE                      "/>
    <s v="CONFIRMED"/>
    <n v="1"/>
    <n v="3"/>
    <d v="2012-01-16T00:00:00"/>
    <s v="KITCHEN ELECTRICS             "/>
    <s v="BREAKFAST &amp; BREVAGE PREP      "/>
    <x v="4"/>
    <x v="1"/>
    <x v="11"/>
    <s v="SP-OVERCAP"/>
    <n v="-3"/>
    <n v="-3"/>
    <x v="9"/>
    <n v="5"/>
    <x v="0"/>
    <x v="0"/>
    <x v="1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3938/000010"/>
    <n v="1370151210"/>
    <n v="10"/>
    <x v="8"/>
    <x v="8"/>
    <s v="K9"/>
    <n v="8000033961"/>
    <n v="38"/>
    <s v="KP500910       "/>
    <s v="KP500910 NDG CIRCOLO TIT EUR                      "/>
    <s v="S"/>
    <d v="2012-01-07T00:00:00"/>
    <m/>
    <s v="X"/>
    <x v="69"/>
    <n v="52.24"/>
    <n v="44"/>
    <d v="2012-01-30T00:00:00"/>
    <d v="2012-01-02T00:00:00"/>
    <n v="1240"/>
    <d v="2012-01-02T00:00:00"/>
    <n v="1240"/>
    <m/>
    <d v="2012-01-06T00:00:00"/>
    <n v="1240"/>
    <d v="2012-01-29T00:00:00"/>
    <d v="2012-01-01T00:00:00"/>
    <n v="1240"/>
    <n v="1240"/>
    <x v="13"/>
    <d v="2012-01-29T00:00:00"/>
    <m/>
    <n v="9321670630"/>
    <n v="10"/>
    <s v="MRKU0058834"/>
    <s v="CHARLOTTE MAERSK 120"/>
    <m/>
    <s v="YANTIAN"/>
    <s v="LATE DOC/LATE EDI"/>
    <m/>
    <s v="KENUS WONG"/>
    <s v="FO9"/>
    <s v="BEVERAGE                      "/>
    <s v="CONFIRMED"/>
    <n v="1"/>
    <n v="52"/>
    <d v="2012-01-01T00:00:00"/>
    <s v="KITCHEN ELECTRICS             "/>
    <s v="BREAKFAST &amp; BREVAGE PREP      "/>
    <x v="4"/>
    <x v="1"/>
    <x v="1"/>
    <m/>
    <n v="0"/>
    <n v="0"/>
    <x v="1"/>
    <n v="2"/>
    <x v="0"/>
    <x v="1"/>
    <x v="1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5157/000010"/>
    <n v="1370151218"/>
    <n v="10"/>
    <x v="8"/>
    <x v="8"/>
    <s v="R1"/>
    <n v="8000033525"/>
    <n v="103"/>
    <s v="VB5000NE       "/>
    <s v="VB5000NE BTD  B90 BLK EUR                         "/>
    <s v="S"/>
    <d v="2012-01-17T00:00:00"/>
    <m/>
    <s v="X"/>
    <x v="69"/>
    <n v="82.14"/>
    <n v="85"/>
    <d v="2012-02-03T00:00:00"/>
    <d v="2012-01-06T00:00:00"/>
    <n v="705"/>
    <d v="2012-01-06T00:00:00"/>
    <n v="705"/>
    <m/>
    <d v="2012-01-13T00:00:00"/>
    <n v="705"/>
    <d v="2012-02-10T00:00:00"/>
    <d v="2012-01-13T00:00:00"/>
    <n v="705"/>
    <n v="705"/>
    <x v="24"/>
    <d v="2012-02-10T00:00:00"/>
    <m/>
    <n v="9321670631"/>
    <n v="10"/>
    <s v="MRKU0190007"/>
    <s v="CMA CGM A VESPUCCI 1"/>
    <m/>
    <s v="YANTIAN"/>
    <m/>
    <m/>
    <s v="KENUS WONG"/>
    <s v="FO9"/>
    <s v="BEVERAGE                      "/>
    <s v="CONFIRMED"/>
    <n v="1"/>
    <n v="2"/>
    <d v="2012-01-13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5867/000010"/>
    <n v="1370151270"/>
    <n v="10"/>
    <x v="8"/>
    <x v="8"/>
    <s v="K9"/>
    <n v="8000033702"/>
    <n v="38"/>
    <s v="KP500610       "/>
    <s v="KP500610 NDG CIRCOLO RED EUR                      "/>
    <s v="S"/>
    <d v="2012-01-06T00:00:00"/>
    <m/>
    <s v="X"/>
    <x v="69"/>
    <n v="52.28"/>
    <n v="44"/>
    <d v="2012-02-10T00:00:00"/>
    <d v="2012-01-06T00:00:00"/>
    <n v="1240"/>
    <d v="2012-01-06T00:00:00"/>
    <n v="1240"/>
    <m/>
    <d v="2012-01-06T00:00:00"/>
    <n v="1240"/>
    <d v="2012-02-05T00:00:00"/>
    <d v="2012-01-01T00:00:00"/>
    <n v="1240"/>
    <n v="1240"/>
    <x v="16"/>
    <d v="2012-02-07T00:00:00"/>
    <m/>
    <n v="9321670632"/>
    <n v="10"/>
    <s v="NYKU6302590"/>
    <s v="NYK VESTA 28W51/"/>
    <m/>
    <s v="YANTIAN"/>
    <m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3935/000010"/>
    <n v="1370151213"/>
    <n v="10"/>
    <x v="8"/>
    <x v="8"/>
    <s v="K9"/>
    <n v="8000034369"/>
    <n v="38"/>
    <s v="KP260910       "/>
    <s v="KP260910 NDG CREATIVA+ TIT EUR                    "/>
    <s v="S"/>
    <d v="2012-01-07T00:00:00"/>
    <m/>
    <s v="X"/>
    <x v="69"/>
    <n v="74.52"/>
    <n v="62"/>
    <d v="2012-01-30T00:00:00"/>
    <d v="2012-01-02T00:00:00"/>
    <n v="600"/>
    <d v="2012-01-02T00:00:00"/>
    <n v="600"/>
    <m/>
    <d v="2011-12-30T00:00:00"/>
    <n v="600"/>
    <d v="2012-01-30T00:00:00"/>
    <d v="2012-01-02T00:00:00"/>
    <n v="600"/>
    <n v="600"/>
    <x v="13"/>
    <d v="2012-01-29T00:00:00"/>
    <m/>
    <n v="9321670633"/>
    <n v="10"/>
    <s v="PONU1528364"/>
    <s v="CHARLOTTE MAERSK 120"/>
    <m/>
    <s v="YANTIAN"/>
    <s v="LATE EDI"/>
    <m/>
    <s v="KENUS WONG"/>
    <s v="FO9"/>
    <s v="BEVERAGE                      "/>
    <s v="CONFIRMED"/>
    <n v="1"/>
    <n v="52"/>
    <d v="2012-01-01T00:00:00"/>
    <s v="KITCHEN ELECTRICS             "/>
    <s v="BREAKFAST &amp; BREVAGE PREP      "/>
    <x v="4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5872/000010"/>
    <n v="1370151243"/>
    <n v="10"/>
    <x v="8"/>
    <x v="8"/>
    <s v="K9"/>
    <n v="8000033965"/>
    <n v="38"/>
    <s v="KP100610       "/>
    <s v="KP100610 NDG PICCOLO RED EUR                      "/>
    <s v="S"/>
    <d v="2012-01-06T00:00:00"/>
    <m/>
    <s v="X"/>
    <x v="69"/>
    <n v="33.79"/>
    <n v="28"/>
    <d v="2012-02-10T00:00:00"/>
    <d v="2012-01-06T00:00:00"/>
    <n v="2160"/>
    <d v="2012-01-06T00:00:00"/>
    <n v="2160"/>
    <m/>
    <d v="2011-12-30T00:00:00"/>
    <n v="2160"/>
    <d v="2012-02-08T00:00:00"/>
    <d v="2012-01-04T00:00:00"/>
    <n v="2160"/>
    <n v="2160"/>
    <x v="16"/>
    <d v="2012-02-07T00:00:00"/>
    <m/>
    <n v="9321670634"/>
    <n v="10"/>
    <s v="NYKU8043100"/>
    <s v="NYK VESTA 28W51/"/>
    <m/>
    <s v="YANTIAN"/>
    <m/>
    <m/>
    <s v="JASON FAN"/>
    <s v="FO9"/>
    <s v="BEVERAGE                      "/>
    <s v="CONFIRMED"/>
    <n v="1"/>
    <n v="1"/>
    <d v="2012-01-03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5866/000010"/>
    <n v="1370151244"/>
    <n v="10"/>
    <x v="8"/>
    <x v="8"/>
    <s v="K9"/>
    <n v="8000033702"/>
    <n v="38"/>
    <s v="KP500610       "/>
    <s v="KP500610 NDG CIRCOLO RED EUR                      "/>
    <s v="S"/>
    <d v="2012-01-09T00:00:00"/>
    <m/>
    <s v="X"/>
    <x v="69"/>
    <n v="52.28"/>
    <n v="44"/>
    <d v="2012-02-10T00:00:00"/>
    <d v="2012-01-06T00:00:00"/>
    <n v="1240"/>
    <d v="2012-01-06T00:00:00"/>
    <n v="1240"/>
    <m/>
    <d v="2012-01-06T00:00:00"/>
    <n v="1240"/>
    <d v="2012-02-05T00:00:00"/>
    <d v="2012-01-01T00:00:00"/>
    <n v="1240"/>
    <n v="1240"/>
    <x v="2"/>
    <d v="2012-02-08T00:00:00"/>
    <m/>
    <n v="9321670635"/>
    <n v="10"/>
    <s v="MSKU6156233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3612/000010"/>
    <n v="1370151111"/>
    <n v="10"/>
    <x v="8"/>
    <x v="8"/>
    <s v="K9"/>
    <n v="8000033965"/>
    <n v="38"/>
    <s v="KP100610       "/>
    <s v="KP100610 NDG PICCOLO RED EUR                      "/>
    <s v="S"/>
    <d v="2012-01-06T00:00:00"/>
    <m/>
    <s v="X"/>
    <x v="69"/>
    <n v="33.79"/>
    <n v="28"/>
    <d v="2012-02-13T00:00:00"/>
    <d v="2012-01-09T00:00:00"/>
    <n v="2160"/>
    <d v="2012-01-09T00:00:00"/>
    <n v="2160"/>
    <m/>
    <d v="2011-12-30T00:00:00"/>
    <n v="2160"/>
    <d v="2012-02-09T00:00:00"/>
    <d v="2012-01-05T00:00:00"/>
    <n v="2160"/>
    <n v="2160"/>
    <x v="6"/>
    <d v="2012-02-09T00:00:00"/>
    <m/>
    <n v="9321670636"/>
    <n v="10"/>
    <s v="CLHU4612813"/>
    <s v="MOL MAXIM/010W"/>
    <m/>
    <s v="YANTIAN"/>
    <s v="SP-HOLIDAY/"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7"/>
    <s v="SP-HOLIDAY"/>
    <n v="-3"/>
    <n v="-3"/>
    <x v="6"/>
    <n v="1"/>
    <x v="0"/>
    <x v="1"/>
    <x v="1"/>
    <n v="1"/>
    <n v="0"/>
    <n v="1"/>
    <n v="0"/>
    <n v="0"/>
    <n v="1"/>
    <x v="0"/>
    <x v="0"/>
    <x v="1"/>
    <x v="1"/>
  </r>
  <r>
    <s v="Shipment"/>
    <n v="99008300"/>
    <s v="KRUPS GmbH &amp; Co. KG                               "/>
    <n v="99008300"/>
    <x v="15"/>
    <s v="4500263618/000010"/>
    <n v="1370151113"/>
    <n v="10"/>
    <x v="8"/>
    <x v="8"/>
    <s v="K9"/>
    <n v="8000033963"/>
    <n v="38"/>
    <s v="KP100210       "/>
    <s v="KP100210 NDG PICCOLO WHT EUR                      "/>
    <s v="S"/>
    <d v="2012-01-07T00:00:00"/>
    <m/>
    <s v="X"/>
    <x v="69"/>
    <n v="33.869999999999997"/>
    <n v="28"/>
    <d v="2012-02-13T00:00:00"/>
    <d v="2012-01-09T00:00:00"/>
    <n v="2160"/>
    <d v="2012-01-09T00:00:00"/>
    <n v="2160"/>
    <m/>
    <d v="2011-12-30T00:00:00"/>
    <n v="2160"/>
    <d v="2012-02-09T00:00:00"/>
    <d v="2012-01-05T00:00:00"/>
    <n v="2160"/>
    <n v="2160"/>
    <x v="6"/>
    <d v="2012-02-09T00:00:00"/>
    <m/>
    <n v="9321670637"/>
    <n v="10"/>
    <s v="MOFU6731229"/>
    <s v="MOL MAXIM/010W"/>
    <m/>
    <s v="YANTIAN"/>
    <s v="SP-HOLIDAY/"/>
    <m/>
    <s v="AGNES NUNES"/>
    <s v="FO9"/>
    <s v="BEVERAGE                      "/>
    <s v="CONFIRMED"/>
    <n v="1"/>
    <n v="1"/>
    <d v="2012-01-05T00:00:00"/>
    <s v="KITCHEN ELECTRICS             "/>
    <s v="BREAKFAST &amp; BREVAGE PREP      "/>
    <x v="4"/>
    <x v="1"/>
    <x v="7"/>
    <s v="SP-HOLIDAY"/>
    <n v="-3"/>
    <n v="-3"/>
    <x v="6"/>
    <n v="1"/>
    <x v="0"/>
    <x v="1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5850/000010"/>
    <n v="1370151294"/>
    <n v="10"/>
    <x v="8"/>
    <x v="8"/>
    <s v="K9"/>
    <n v="8000033700"/>
    <n v="38"/>
    <s v="KP500510       "/>
    <s v="KP500510 NDG CIRCOLO MET EUR                      "/>
    <s v="S"/>
    <d v="2012-01-09T00:00:00"/>
    <m/>
    <s v="X"/>
    <x v="69"/>
    <n v="50.75"/>
    <n v="42"/>
    <d v="2012-02-10T00:00:00"/>
    <d v="2012-01-06T00:00:00"/>
    <n v="1240"/>
    <d v="2012-01-06T00:00:00"/>
    <n v="1240"/>
    <m/>
    <d v="2012-01-06T00:00:00"/>
    <n v="1240"/>
    <d v="2012-02-05T00:00:00"/>
    <d v="2012-01-01T00:00:00"/>
    <n v="1240"/>
    <n v="1240"/>
    <x v="2"/>
    <d v="2012-02-08T00:00:00"/>
    <m/>
    <n v="9321670638"/>
    <n v="10"/>
    <s v="MRKU0212472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8247/000010"/>
    <n v="1370151803"/>
    <n v="10"/>
    <x v="8"/>
    <x v="8"/>
    <s v="K9"/>
    <n v="8000033731"/>
    <n v="38"/>
    <s v="KP210611B      "/>
    <s v="KP210611 NDG MELODY 2 RED EUR                     "/>
    <s v="S"/>
    <d v="2012-01-20T00:00:00"/>
    <m/>
    <s v="X"/>
    <x v="69"/>
    <n v="44.13"/>
    <n v="37"/>
    <d v="2012-02-17T00:00:00"/>
    <d v="2012-01-13T00:00:00"/>
    <n v="1240"/>
    <d v="2012-01-13T00:00:00"/>
    <n v="1240"/>
    <m/>
    <d v="2012-01-20T00:00:00"/>
    <n v="1240"/>
    <d v="2012-02-23T00:00:00"/>
    <d v="2012-01-19T00:00:00"/>
    <n v="1240"/>
    <n v="1240"/>
    <x v="21"/>
    <d v="2012-02-22T00:00:00"/>
    <m/>
    <n v="9321670639"/>
    <n v="10"/>
    <s v="MSKU6231635"/>
    <s v="GJERTRUD MAERSK 121W"/>
    <m/>
    <s v="YANTIAN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8252/000010"/>
    <n v="1370151799"/>
    <n v="10"/>
    <x v="8"/>
    <x v="8"/>
    <s v="K9"/>
    <n v="8000033999"/>
    <n v="38"/>
    <s v="KP210110       "/>
    <s v="KP210110 NDG MELODY 2 PIANO BLK EUR               "/>
    <s v="S"/>
    <d v="2012-01-20T00:00:00"/>
    <m/>
    <s v="X"/>
    <x v="69"/>
    <n v="44.49"/>
    <n v="37"/>
    <d v="2012-02-17T00:00:00"/>
    <d v="2012-01-13T00:00:00"/>
    <n v="1240"/>
    <d v="2012-01-13T00:00:00"/>
    <n v="1240"/>
    <m/>
    <d v="2012-01-20T00:00:00"/>
    <n v="1240"/>
    <d v="2012-02-24T00:00:00"/>
    <d v="2012-01-20T00:00:00"/>
    <n v="1240"/>
    <n v="1240"/>
    <x v="21"/>
    <d v="2012-02-22T00:00:00"/>
    <m/>
    <n v="9321670640"/>
    <n v="10"/>
    <s v="MRKU0394335"/>
    <s v="GJERTRUD MAERSK 121W"/>
    <m/>
    <s v="YANTIAN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8254/000010"/>
    <n v="1370151804"/>
    <n v="10"/>
    <x v="8"/>
    <x v="8"/>
    <s v="K9"/>
    <n v="8000034358"/>
    <n v="38"/>
    <s v="KP100010       "/>
    <s v="KP100010 NDG PICCOLO BLK EUR                      "/>
    <s v="S"/>
    <d v="2012-01-20T00:00:00"/>
    <m/>
    <s v="X"/>
    <x v="69"/>
    <n v="33.79"/>
    <n v="28"/>
    <d v="2012-02-17T00:00:00"/>
    <d v="2012-01-13T00:00:00"/>
    <n v="2160"/>
    <d v="2012-01-13T00:00:00"/>
    <n v="2160"/>
    <m/>
    <d v="2012-01-13T00:00:00"/>
    <n v="2160"/>
    <d v="2012-02-17T00:00:00"/>
    <d v="2012-01-13T00:00:00"/>
    <n v="2160"/>
    <n v="2160"/>
    <x v="21"/>
    <d v="2012-02-22T00:00:00"/>
    <m/>
    <n v="9321670641"/>
    <n v="10"/>
    <s v="MRKU0664786"/>
    <s v="GJERTRUD MAERSK 121W"/>
    <m/>
    <s v="YANTIAN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67943/000010"/>
    <n v="1370151796"/>
    <n v="10"/>
    <x v="8"/>
    <x v="8"/>
    <s v="K9"/>
    <n v="8000033729"/>
    <n v="38"/>
    <s v="KP210240B      "/>
    <s v="KP210240 NDG MELODY 2 WHT UK                      "/>
    <s v="S"/>
    <d v="2012-01-18T00:00:00"/>
    <m/>
    <s v="X"/>
    <x v="69"/>
    <n v="44.86"/>
    <n v="32"/>
    <d v="2012-02-13T00:00:00"/>
    <d v="2012-01-09T00:00:00"/>
    <n v="1240"/>
    <d v="2012-01-09T00:00:00"/>
    <n v="1240"/>
    <m/>
    <d v="2012-01-16T00:00:00"/>
    <n v="1240"/>
    <d v="2012-02-17T00:00:00"/>
    <d v="2012-01-13T00:00:00"/>
    <n v="1240"/>
    <n v="1240"/>
    <x v="8"/>
    <d v="2012-02-20T00:00:00"/>
    <m/>
    <n v="9321670642"/>
    <n v="10"/>
    <s v="MSKU6768497"/>
    <s v="MAERSK TUKANG 1202/"/>
    <m/>
    <s v="YANTIAN"/>
    <m/>
    <m/>
    <s v="KENUS WONG"/>
    <s v="FO9"/>
    <s v="BEVERAGE                      "/>
    <s v="CONFIRMED"/>
    <n v="1"/>
    <n v="3"/>
    <d v="2012-01-16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8245/000010"/>
    <n v="1370151800"/>
    <n v="10"/>
    <x v="8"/>
    <x v="8"/>
    <s v="K9"/>
    <n v="8000033727"/>
    <n v="38"/>
    <s v="KP210211B      "/>
    <s v="KP210211 NDG MELODY 2 WHT EUR                     "/>
    <s v="S"/>
    <d v="2012-01-20T00:00:00"/>
    <m/>
    <s v="X"/>
    <x v="69"/>
    <n v="44.13"/>
    <n v="37"/>
    <d v="2012-02-17T00:00:00"/>
    <d v="2012-01-13T00:00:00"/>
    <n v="1240"/>
    <d v="2012-01-13T00:00:00"/>
    <n v="1240"/>
    <m/>
    <d v="2012-01-20T00:00:00"/>
    <n v="1240"/>
    <d v="2012-02-24T00:00:00"/>
    <d v="2012-01-20T00:00:00"/>
    <n v="1240"/>
    <n v="1240"/>
    <x v="21"/>
    <d v="2012-02-22T00:00:00"/>
    <m/>
    <n v="9321670643"/>
    <n v="10"/>
    <s v="MRKU0079884"/>
    <s v="GJERTRUD MAERSK 121W"/>
    <m/>
    <s v="YANTIAN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8250/000010"/>
    <n v="1370151802"/>
    <n v="10"/>
    <x v="8"/>
    <x v="8"/>
    <s v="K9"/>
    <n v="8000033963"/>
    <n v="38"/>
    <s v="KP100210       "/>
    <s v="KP100210 NDG PICCOLO WHT EUR                      "/>
    <s v="S"/>
    <d v="2012-01-16T00:00:00"/>
    <m/>
    <s v="X"/>
    <x v="69"/>
    <n v="33.869999999999997"/>
    <n v="28"/>
    <d v="2012-02-17T00:00:00"/>
    <d v="2012-01-13T00:00:00"/>
    <n v="2160"/>
    <d v="2012-01-13T00:00:00"/>
    <n v="2160"/>
    <m/>
    <d v="2012-01-13T00:00:00"/>
    <n v="2160"/>
    <d v="2012-02-17T00:00:00"/>
    <d v="2012-01-13T00:00:00"/>
    <n v="2160"/>
    <n v="2160"/>
    <x v="17"/>
    <d v="2012-02-15T00:00:00"/>
    <m/>
    <n v="9321670644"/>
    <n v="10"/>
    <s v="MSKU6011008"/>
    <s v="GRETE MAERSK 121W/"/>
    <m/>
    <s v="YANTIAN"/>
    <m/>
    <m/>
    <s v="JASON FAN"/>
    <s v="FO9"/>
    <s v="BEVERAGE                      "/>
    <s v="CONFIRMED"/>
    <n v="1"/>
    <n v="2"/>
    <d v="2012-01-11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8244/000010"/>
    <n v="1370151806"/>
    <n v="10"/>
    <x v="8"/>
    <x v="8"/>
    <s v="K9"/>
    <n v="8000033706"/>
    <n v="38"/>
    <s v="KP500010       "/>
    <s v="KP500010 NDG CIRCOLO ANTH EUR                     "/>
    <s v="S"/>
    <d v="2012-01-20T00:00:00"/>
    <m/>
    <s v="X"/>
    <x v="69"/>
    <n v="50.22"/>
    <n v="42"/>
    <d v="2012-02-17T00:00:00"/>
    <d v="2012-01-13T00:00:00"/>
    <n v="1240"/>
    <d v="2012-01-13T00:00:00"/>
    <n v="1240"/>
    <m/>
    <d v="2012-01-20T00:00:00"/>
    <n v="1240"/>
    <d v="2012-02-24T00:00:00"/>
    <d v="2012-01-20T00:00:00"/>
    <n v="1240"/>
    <n v="1240"/>
    <x v="21"/>
    <d v="2012-02-22T00:00:00"/>
    <m/>
    <n v="9321670645"/>
    <n v="10"/>
    <s v="MRKU0649605"/>
    <s v="GJERTRUD MAERSK 121W"/>
    <m/>
    <s v="YANTIAN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8243/000010"/>
    <n v="1370151801"/>
    <n v="10"/>
    <x v="8"/>
    <x v="8"/>
    <s v="K9"/>
    <n v="8000033702"/>
    <n v="38"/>
    <s v="KP500610       "/>
    <s v="KP500610 NDG CIRCOLO RED EUR                      "/>
    <s v="S"/>
    <d v="2012-01-09T00:00:00"/>
    <m/>
    <s v="X"/>
    <x v="69"/>
    <n v="52.28"/>
    <n v="44"/>
    <d v="2012-02-10T00:00:00"/>
    <d v="2012-01-06T00:00:00"/>
    <n v="1240"/>
    <d v="2012-01-06T00:00:00"/>
    <n v="1240"/>
    <m/>
    <d v="2012-01-06T00:00:00"/>
    <n v="1240"/>
    <d v="2012-02-05T00:00:00"/>
    <d v="2012-01-01T00:00:00"/>
    <n v="1240"/>
    <n v="1240"/>
    <x v="2"/>
    <d v="2012-02-08T00:00:00"/>
    <m/>
    <n v="9321670646"/>
    <n v="10"/>
    <s v="MAEU6257040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8251/000010"/>
    <n v="1370151807"/>
    <n v="10"/>
    <x v="8"/>
    <x v="8"/>
    <s v="K9"/>
    <n v="8000033965"/>
    <n v="38"/>
    <s v="KP100610       "/>
    <s v="KP100610 NDG PICCOLO RED EUR                      "/>
    <s v="S"/>
    <d v="2012-01-16T00:00:00"/>
    <m/>
    <s v="X"/>
    <x v="69"/>
    <n v="33.79"/>
    <n v="28"/>
    <d v="2012-02-17T00:00:00"/>
    <d v="2012-01-13T00:00:00"/>
    <n v="2160"/>
    <d v="2012-01-13T00:00:00"/>
    <n v="2160"/>
    <m/>
    <d v="2012-01-13T00:00:00"/>
    <n v="2160"/>
    <d v="2012-02-17T00:00:00"/>
    <d v="2012-01-13T00:00:00"/>
    <n v="2160"/>
    <n v="2160"/>
    <x v="17"/>
    <d v="2012-02-15T00:00:00"/>
    <m/>
    <n v="9321670647"/>
    <n v="10"/>
    <s v="MRKU0263588"/>
    <s v="GRETE MAERSK 121W/"/>
    <m/>
    <s v="YANTIAN"/>
    <m/>
    <m/>
    <s v="JASON FAN"/>
    <s v="FO9"/>
    <s v="BEVERAGE                      "/>
    <s v="CONFIRMED"/>
    <n v="1"/>
    <n v="2"/>
    <d v="2012-01-11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68055/000010"/>
    <n v="1370151798"/>
    <n v="10"/>
    <x v="8"/>
    <x v="8"/>
    <s v="K9"/>
    <n v="8000033725"/>
    <n v="38"/>
    <s v="KP210040B      "/>
    <s v="KP210040 NDG MELODY 2 BLK UK                      "/>
    <s v="S"/>
    <d v="2012-01-10T00:00:00"/>
    <m/>
    <s v="X"/>
    <x v="69"/>
    <n v="44.86"/>
    <n v="32"/>
    <d v="2012-02-13T00:00:00"/>
    <d v="2012-01-09T00:00:00"/>
    <n v="1240"/>
    <d v="2012-01-09T00:00:00"/>
    <n v="1240"/>
    <m/>
    <d v="2012-01-16T00:00:00"/>
    <n v="1240"/>
    <d v="2012-02-17T00:00:00"/>
    <d v="2012-01-13T00:00:00"/>
    <n v="1240"/>
    <n v="1240"/>
    <x v="23"/>
    <d v="2012-02-12T00:00:00"/>
    <m/>
    <n v="9321670648"/>
    <n v="10"/>
    <s v="MSKU6745167"/>
    <s v="SVENDBORG MAERSK 120"/>
    <m/>
    <s v="YANTIAN"/>
    <m/>
    <m/>
    <s v="KENUS WONG"/>
    <s v="FO9"/>
    <s v="BEVERAGE                      "/>
    <s v="CONFIRMED"/>
    <n v="1"/>
    <n v="1"/>
    <d v="2012-01-08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3678/000010"/>
    <n v="1370151854"/>
    <n v="10"/>
    <x v="8"/>
    <x v="8"/>
    <s v="L4"/>
    <n v="1830002335"/>
    <n v="175"/>
    <s v="CF9220N0       "/>
    <s v="CF9220N0 ROTATIVE HAIR BRUSH                      "/>
    <s v="S"/>
    <d v="2012-01-19T00:00:00"/>
    <m/>
    <s v="X"/>
    <x v="69"/>
    <n v="16.95"/>
    <n v="14"/>
    <d v="2012-02-20T00:00:00"/>
    <d v="2012-01-16T00:00:00"/>
    <n v="4620"/>
    <d v="2012-01-16T00:00:00"/>
    <n v="4620"/>
    <m/>
    <d v="2012-01-13T00:00:00"/>
    <n v="4620"/>
    <d v="2012-02-22T00:00:00"/>
    <d v="2012-01-18T00:00:00"/>
    <n v="4620"/>
    <n v="4620"/>
    <x v="21"/>
    <d v="2012-02-22T00:00:00"/>
    <m/>
    <n v="9321670649"/>
    <n v="10"/>
    <s v="TCKU4523187"/>
    <s v="OOCL CALIFORNIA/29W0"/>
    <m/>
    <s v="HONG KONG"/>
    <m/>
    <m/>
    <s v="AGNES NUNES"/>
    <s v="FO9"/>
    <s v="PERSONAL CARE                 "/>
    <s v="CONFIRMED"/>
    <n v="1"/>
    <n v="3"/>
    <d v="2012-01-18T00:00:00"/>
    <s v="LINEN PERS HOME CARE          "/>
    <s v="PERSONAL CARE           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287/000001"/>
    <n v="1370152191"/>
    <n v="10"/>
    <x v="35"/>
    <x v="35"/>
    <s v="R1"/>
    <n v="1500635001"/>
    <n v="55"/>
    <n v="635001"/>
    <s v="BF813070 KET MINI MICROBAN 0.8L WHT KR            "/>
    <s v="S"/>
    <d v="2012-01-20T00:00:00"/>
    <m/>
    <s v="X"/>
    <x v="69"/>
    <n v="12.9"/>
    <n v="11"/>
    <d v="2012-02-20T00:00:00"/>
    <d v="2012-02-06T00:00:00"/>
    <n v="2880"/>
    <d v="2012-01-22T00:00:00"/>
    <n v="2880"/>
    <m/>
    <d v="2012-02-06T00:00:00"/>
    <n v="2880"/>
    <d v="2012-02-05T00:00:00"/>
    <d v="2012-01-22T00:00:00"/>
    <n v="2880"/>
    <n v="2880"/>
    <x v="4"/>
    <d v="2012-02-05T00:00:00"/>
    <m/>
    <n v="9321670651"/>
    <n v="10"/>
    <s v="MRKU0368892"/>
    <s v="ST.MARY/1202"/>
    <m/>
    <s v="YANTIAN"/>
    <s v="C-PULLIN-CONF/"/>
    <m/>
    <s v="AGNES NUNES"/>
    <s v="FO9"/>
    <s v="BEVERAGE                      "/>
    <s v="CONFIRMED"/>
    <n v="1"/>
    <n v="3"/>
    <d v="2012-01-22T00:00:00"/>
    <s v="KITCHEN ELECTRICS             "/>
    <s v="BREAKFAST &amp; BREVAGE PREP      "/>
    <x v="2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296/000003"/>
    <n v="1370152273"/>
    <n v="30"/>
    <x v="35"/>
    <x v="35"/>
    <s v="R1"/>
    <n v="1500635001"/>
    <n v="55"/>
    <n v="635001"/>
    <s v="BF813070 KET MINI MICROBAN 0.8L WHT KR            "/>
    <s v="S"/>
    <d v="2012-01-20T00:00:00"/>
    <m/>
    <s v="X"/>
    <x v="69"/>
    <n v="12.9"/>
    <n v="11"/>
    <d v="2012-02-20T00:00:00"/>
    <d v="2012-02-06T00:00:00"/>
    <n v="2880"/>
    <d v="2012-01-22T00:00:00"/>
    <n v="2880"/>
    <m/>
    <d v="2012-02-06T00:00:00"/>
    <n v="2880"/>
    <d v="2012-02-05T00:00:00"/>
    <d v="2012-01-22T00:00:00"/>
    <n v="2880"/>
    <n v="2880"/>
    <x v="4"/>
    <d v="2012-02-05T00:00:00"/>
    <m/>
    <n v="9321670652"/>
    <n v="10"/>
    <s v="MRKU0368892"/>
    <s v="ST.MARY/1202"/>
    <m/>
    <s v="YANTIAN"/>
    <s v="C-PULLIN-CONF/"/>
    <m/>
    <s v="AGNES NUNES"/>
    <s v="FO9"/>
    <s v="BEVERAGE                      "/>
    <s v="CONFIRMED"/>
    <n v="1"/>
    <n v="3"/>
    <d v="2012-01-22T00:00:00"/>
    <s v="KITCHEN ELECTRICS             "/>
    <s v="BREAKFAST &amp; BREVAGE PREP      "/>
    <x v="2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6352/000010"/>
    <n v="1370151214"/>
    <n v="10"/>
    <x v="27"/>
    <x v="27"/>
    <s v="N1"/>
    <n v="2100032649"/>
    <n v="52"/>
    <s v="SM150211       "/>
    <s v="SM150211 SAND MAKER CP30 GREY ITALIA              "/>
    <s v="S"/>
    <d v="2012-01-17T00:00:00"/>
    <m/>
    <s v="X"/>
    <x v="69"/>
    <n v="9.9"/>
    <n v="8"/>
    <d v="2012-02-14T00:00:00"/>
    <d v="2012-01-17T00:00:00"/>
    <n v="2352"/>
    <d v="2012-01-17T00:00:00"/>
    <n v="2352"/>
    <m/>
    <d v="2012-01-17T00:00:00"/>
    <n v="2352"/>
    <d v="2012-02-14T00:00:00"/>
    <d v="2012-01-17T00:00:00"/>
    <n v="2352"/>
    <n v="2352"/>
    <x v="8"/>
    <d v="2012-02-13T00:00:00"/>
    <m/>
    <n v="9321670654"/>
    <n v="10"/>
    <s v="MSKU2636580"/>
    <s v="MAERSK TUKANG 1202/"/>
    <m/>
    <s v="YANTIAN"/>
    <m/>
    <m/>
    <s v="KENUS WONG"/>
    <s v="FO9"/>
    <s v="ELECTRICAL COOKING            "/>
    <s v="CONFIRMED"/>
    <n v="1"/>
    <n v="3"/>
    <d v="2012-01-16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3791/000010"/>
    <n v="1370151864"/>
    <n v="10"/>
    <x v="27"/>
    <x v="27"/>
    <s v="N1"/>
    <n v="2100029029"/>
    <n v="52"/>
    <s v="FDK241         "/>
    <s v="FDK241 WAFFLE MAKER KRUPS EUROPE                  "/>
    <s v="S"/>
    <d v="2012-01-17T00:00:00"/>
    <m/>
    <s v="X"/>
    <x v="69"/>
    <n v="14.11"/>
    <n v="12"/>
    <d v="2012-02-20T00:00:00"/>
    <d v="2012-01-16T00:00:00"/>
    <n v="1680"/>
    <d v="2012-01-16T00:00:00"/>
    <n v="1680"/>
    <m/>
    <d v="2012-01-16T00:00:00"/>
    <n v="1680"/>
    <d v="2012-02-20T00:00:00"/>
    <d v="2012-01-16T00:00:00"/>
    <n v="1680"/>
    <n v="1680"/>
    <x v="8"/>
    <d v="2012-02-20T00:00:00"/>
    <m/>
    <n v="9321670655"/>
    <n v="10"/>
    <s v="MOFU0477061"/>
    <s v="HYUNDAI BRAVE/023W"/>
    <m/>
    <s v="YANTIAN"/>
    <m/>
    <m/>
    <s v="AGNES NUNES"/>
    <s v="FO9"/>
    <s v="ELECTRICAL COOKING            "/>
    <s v="CONFIRMED"/>
    <n v="1"/>
    <n v="3"/>
    <d v="2012-01-16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3782/000010"/>
    <n v="1370151865"/>
    <n v="10"/>
    <x v="27"/>
    <x v="27"/>
    <s v="N1"/>
    <n v="2100052277"/>
    <n v="59"/>
    <s v="EB2347010      "/>
    <s v="F2347010 WHITE EGG BOILER KRUPS                   "/>
    <s v="S"/>
    <d v="2012-01-17T00:00:00"/>
    <m/>
    <s v="X"/>
    <x v="69"/>
    <n v="7.81"/>
    <n v="7"/>
    <d v="2012-02-20T00:00:00"/>
    <d v="2012-01-16T00:00:00"/>
    <n v="3444"/>
    <d v="2012-01-16T00:00:00"/>
    <n v="3444"/>
    <m/>
    <d v="2012-01-16T00:00:00"/>
    <n v="3444"/>
    <d v="2012-02-20T00:00:00"/>
    <d v="2012-01-16T00:00:00"/>
    <n v="3444"/>
    <n v="3444"/>
    <x v="8"/>
    <d v="2012-02-20T00:00:00"/>
    <m/>
    <n v="9321670656"/>
    <n v="10"/>
    <s v="MOFU0477061"/>
    <s v="HYUNDAI BRAVE/023W"/>
    <m/>
    <s v="YANTIAN"/>
    <m/>
    <m/>
    <s v="AGNES NUNES"/>
    <s v="FO9"/>
    <s v="ELECTRICAL COOKING            "/>
    <s v="CONFIRMED"/>
    <n v="1"/>
    <n v="3"/>
    <d v="2012-01-16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3932/000010"/>
    <n v="1370151862"/>
    <n v="10"/>
    <x v="27"/>
    <x v="27"/>
    <s v="K9"/>
    <n v="8000033811"/>
    <n v="29"/>
    <s v="XP224010       "/>
    <s v="XP224010 ESP SERIE XP2200 SS/BLK EUR              "/>
    <s v="S"/>
    <d v="2012-02-01T00:00:00"/>
    <m/>
    <s v="X"/>
    <x v="69"/>
    <n v="90.54"/>
    <n v="81"/>
    <d v="2012-02-22T00:00:00"/>
    <d v="2012-01-18T00:00:00"/>
    <n v="350"/>
    <d v="2012-01-18T00:00:00"/>
    <n v="350"/>
    <m/>
    <d v="2012-02-17T00:00:00"/>
    <n v="350"/>
    <d v="2012-02-27T00:00:00"/>
    <d v="2012-01-23T00:00:00"/>
    <n v="350"/>
    <n v="350"/>
    <x v="1"/>
    <d v="2012-02-27T00:00:00"/>
    <m/>
    <n v="9321670657"/>
    <n v="10"/>
    <s v="MOFU0767630"/>
    <s v="HYUNDAI NAVARINO/006"/>
    <m/>
    <s v="YANTIAN"/>
    <s v="SP-NO-FORECAST/"/>
    <m/>
    <s v="AGNES NUNES"/>
    <s v="FO9"/>
    <s v="BEVERAGE                      "/>
    <s v="CONFIRMED"/>
    <n v="1"/>
    <n v="4"/>
    <d v="2012-01-23T00:00:00"/>
    <s v="KITCHEN ELECTRICS             "/>
    <s v="BREAKFAST &amp; BREVAGE PREP      "/>
    <x v="2"/>
    <x v="1"/>
    <x v="14"/>
    <s v="SP-NO-FORECAST"/>
    <n v="-3"/>
    <n v="-3"/>
    <x v="15"/>
    <n v="1"/>
    <x v="0"/>
    <x v="1"/>
    <x v="0"/>
    <n v="1"/>
    <n v="0"/>
    <n v="1"/>
    <n v="0"/>
    <n v="0"/>
    <n v="1"/>
    <x v="0"/>
    <x v="0"/>
    <x v="1"/>
    <x v="1"/>
  </r>
  <r>
    <s v="Shipment"/>
    <n v="99007325"/>
    <s v="Spedition Hendricks GmbH &amp; Co.KG                  "/>
    <n v="99008300"/>
    <x v="15"/>
    <s v="4500264219/000010"/>
    <n v="1370152028"/>
    <n v="10"/>
    <x v="27"/>
    <x v="27"/>
    <s v="N1"/>
    <n v="2100052277"/>
    <n v="59"/>
    <s v="EB2347010      "/>
    <s v="F2347010 WHITE EGG BOILER KRUPS                   "/>
    <s v="S"/>
    <d v="2012-01-17T00:00:00"/>
    <m/>
    <s v="X"/>
    <x v="69"/>
    <n v="7.81"/>
    <n v="7"/>
    <d v="2012-02-20T00:00:00"/>
    <d v="2012-01-16T00:00:00"/>
    <n v="3444"/>
    <d v="2012-01-16T00:00:00"/>
    <n v="3444"/>
    <m/>
    <d v="2012-01-16T00:00:00"/>
    <n v="3444"/>
    <d v="2012-02-20T00:00:00"/>
    <d v="2012-01-16T00:00:00"/>
    <n v="3444"/>
    <n v="3444"/>
    <x v="8"/>
    <d v="2012-02-20T00:00:00"/>
    <m/>
    <n v="9321670658"/>
    <n v="10"/>
    <s v="MOFU0477061"/>
    <s v="HYUNDAI BRAVE/023W"/>
    <m/>
    <s v="YANTIAN"/>
    <m/>
    <m/>
    <s v="AGNES NUNES"/>
    <s v="FO9"/>
    <s v="ELECTRICAL COOKING            "/>
    <s v="CONFIRMED"/>
    <n v="1"/>
    <n v="3"/>
    <d v="2012-01-16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9696/000010"/>
    <n v="1370152100"/>
    <n v="10"/>
    <x v="27"/>
    <x v="27"/>
    <s v="K9"/>
    <n v="8000033470"/>
    <n v="29"/>
    <s v="XP522030       "/>
    <s v="XP522030 ESP XP5200 SERIES BLK RU                 "/>
    <s v="S"/>
    <d v="2012-02-03T00:00:00"/>
    <m/>
    <s v="X"/>
    <x v="69"/>
    <n v="60.55"/>
    <n v="2192"/>
    <d v="2012-03-05T00:00:00"/>
    <d v="2012-01-16T00:00:00"/>
    <n v="876"/>
    <d v="2012-01-16T00:00:00"/>
    <n v="876"/>
    <m/>
    <d v="2012-02-16T00:00:00"/>
    <n v="876"/>
    <d v="2012-03-12T00:00:00"/>
    <d v="2012-01-23T00:00:00"/>
    <n v="876"/>
    <n v="876"/>
    <x v="15"/>
    <d v="2012-03-15T00:00:00"/>
    <m/>
    <n v="9321670659"/>
    <n v="10"/>
    <s v="BHCU3055320"/>
    <s v="MOL MARVEL/008W"/>
    <m/>
    <s v="YANTIAN"/>
    <s v="SP-NO-FORECAST/SUPPLIER WRONG DOC"/>
    <m/>
    <s v="KENUS WONG"/>
    <s v="FO9"/>
    <s v="BEVERAGE                      "/>
    <s v="CONFIRMED"/>
    <n v="1"/>
    <n v="4"/>
    <d v="2012-01-26T00:00:00"/>
    <s v="KITCHEN ELECTRICS             "/>
    <s v="BREAKFAST &amp; BREVAGE PREP      "/>
    <x v="2"/>
    <x v="1"/>
    <x v="14"/>
    <s v="SP-NO-FORECAST"/>
    <n v="-3"/>
    <n v="-3"/>
    <x v="15"/>
    <n v="2"/>
    <x v="0"/>
    <x v="0"/>
    <x v="1"/>
    <n v="1"/>
    <n v="0"/>
    <n v="0"/>
    <n v="0"/>
    <n v="0"/>
    <n v="0"/>
    <x v="0"/>
    <x v="1"/>
    <x v="1"/>
    <x v="0"/>
  </r>
  <r>
    <s v="Shipment"/>
    <n v="99102353"/>
    <s v="THE BRANCH OF ZAO &quot;GROUPE SEB                     "/>
    <n v="99004801"/>
    <x v="1"/>
    <s v="9321669693/000010"/>
    <n v="1370152112"/>
    <n v="10"/>
    <x v="27"/>
    <x v="27"/>
    <s v="K9"/>
    <n v="8000032882"/>
    <n v="29"/>
    <s v="ES060010       "/>
    <s v="ES060010 ESP ALLEGRO BLK RU                       "/>
    <s v="S"/>
    <d v="2012-01-19T00:00:00"/>
    <m/>
    <s v="X"/>
    <x v="69"/>
    <n v="16.88"/>
    <n v="622"/>
    <d v="2012-03-05T00:00:00"/>
    <d v="2012-01-16T00:00:00"/>
    <n v="1100"/>
    <d v="2012-01-16T00:00:00"/>
    <n v="1100"/>
    <m/>
    <d v="2012-01-16T00:00:00"/>
    <n v="1100"/>
    <d v="2012-03-05T00:00:00"/>
    <d v="2012-01-16T00:00:00"/>
    <n v="1100"/>
    <n v="1100"/>
    <x v="21"/>
    <d v="2012-03-07T00:00:00"/>
    <m/>
    <n v="9321670660"/>
    <n v="10"/>
    <s v="OOLU1318360"/>
    <s v="OOCL CALIFORNIA/29W0"/>
    <m/>
    <s v="YANTIAN"/>
    <m/>
    <m/>
    <s v="KENUS WONG"/>
    <s v="FO9"/>
    <s v="BEVERAGE                      "/>
    <s v="CONFIRMED"/>
    <n v="1"/>
    <n v="3"/>
    <d v="2012-01-18T00:00:00"/>
    <s v="KITCHEN ELECTRICS             "/>
    <s v="BREAKFAST &amp; BREVAGE PREP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017/000010"/>
    <n v="1370151283"/>
    <n v="10"/>
    <x v="27"/>
    <x v="27"/>
    <s v="K9"/>
    <n v="8000033521"/>
    <n v="29"/>
    <s v="XP5240FR       "/>
    <s v="XP5240FR ESP XP5200 SERIES BLK/SS FR              "/>
    <s v="S"/>
    <d v="2012-01-20T00:00:00"/>
    <m/>
    <s v="X"/>
    <x v="69"/>
    <n v="66.95"/>
    <n v="58"/>
    <d v="2012-02-20T00:00:00"/>
    <d v="2012-01-16T00:00:00"/>
    <n v="876"/>
    <d v="2012-01-16T00:00:00"/>
    <n v="876"/>
    <m/>
    <d v="2012-01-16T00:00:00"/>
    <n v="876"/>
    <d v="2012-02-20T00:00:00"/>
    <d v="2012-01-16T00:00:00"/>
    <n v="876"/>
    <n v="876"/>
    <x v="21"/>
    <d v="2012-02-22T00:00:00"/>
    <m/>
    <n v="9321670663"/>
    <n v="10"/>
    <s v="PONU1923986"/>
    <s v="GJERTRUD MAERSK 121W"/>
    <m/>
    <s v="YANTIAN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5063/000010"/>
    <n v="1370151252"/>
    <n v="10"/>
    <x v="27"/>
    <x v="27"/>
    <s v="K9"/>
    <n v="8000033811"/>
    <n v="29"/>
    <s v="XP224010       "/>
    <s v="XP224010 ESP SERIE XP2200 SS/BLK EUR              "/>
    <s v="S"/>
    <d v="2012-01-27T00:00:00"/>
    <m/>
    <s v="X"/>
    <x v="69"/>
    <n v="90.54"/>
    <n v="81"/>
    <d v="2012-02-20T00:00:00"/>
    <d v="2012-01-16T00:00:00"/>
    <n v="750"/>
    <d v="2012-01-16T00:00:00"/>
    <n v="750"/>
    <m/>
    <d v="2012-02-16T00:00:00"/>
    <n v="750"/>
    <d v="2012-02-27T00:00:00"/>
    <d v="2012-01-23T00:00:00"/>
    <n v="750"/>
    <n v="750"/>
    <x v="14"/>
    <d v="2012-02-24T00:00:00"/>
    <m/>
    <n v="9321670664"/>
    <n v="10"/>
    <s v="MSKU9356786"/>
    <s v="MAERSK EINDHOVEN"/>
    <m/>
    <s v="YANTIAN"/>
    <s v="SP-NO-FORECAST/"/>
    <m/>
    <s v="JASON FAN"/>
    <s v="FO9"/>
    <s v="BEVERAGE                      "/>
    <s v="CONFIRMED"/>
    <n v="1"/>
    <n v="3"/>
    <d v="2012-01-20T00:00:00"/>
    <s v="KITCHEN ELECTRICS             "/>
    <s v="BREAKFAST &amp; BREVAGE PREP      "/>
    <x v="2"/>
    <x v="1"/>
    <x v="14"/>
    <s v="SP-NO-FORECAST"/>
    <n v="-3"/>
    <n v="-3"/>
    <x v="15"/>
    <n v="1"/>
    <x v="0"/>
    <x v="1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4438/000010"/>
    <n v="1370151289"/>
    <n v="10"/>
    <x v="27"/>
    <x v="27"/>
    <s v="N1"/>
    <n v="2100068771"/>
    <n v="52"/>
    <s v="WD160811       "/>
    <s v="WD160811 WMK CP30 ACCESSIMO BLK/RED EUR           "/>
    <s v="S"/>
    <d v="2012-01-20T00:00:00"/>
    <m/>
    <s v="X"/>
    <x v="69"/>
    <n v="11.15"/>
    <n v="9"/>
    <d v="2012-02-20T00:00:00"/>
    <d v="2012-01-16T00:00:00"/>
    <n v="2352"/>
    <d v="2012-01-16T00:00:00"/>
    <n v="2352"/>
    <m/>
    <d v="2012-01-16T00:00:00"/>
    <n v="2352"/>
    <d v="2012-02-20T00:00:00"/>
    <d v="2012-01-16T00:00:00"/>
    <n v="2352"/>
    <n v="2352"/>
    <x v="21"/>
    <d v="2012-02-22T00:00:00"/>
    <m/>
    <n v="9321670665"/>
    <n v="10"/>
    <s v="PONU1923986"/>
    <s v="GJERTRUD MAERSK 121W"/>
    <m/>
    <s v="YANTIAN"/>
    <s v="C-ETD-TEMP/"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6"/>
    <s v="C-ETD-TEMP"/>
    <n v="-3"/>
    <n v="-3"/>
    <x v="7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020/000010"/>
    <n v="1370151317"/>
    <n v="10"/>
    <x v="27"/>
    <x v="27"/>
    <s v="K9"/>
    <n v="8000033590"/>
    <n v="29"/>
    <s v="XP5280FR       "/>
    <s v="XP5280FR ESP XP5200 S.AUTOCAP BLK/MET FR          "/>
    <s v="S"/>
    <d v="2012-01-27T00:00:00"/>
    <m/>
    <s v="X"/>
    <x v="69"/>
    <n v="86.61"/>
    <n v="74"/>
    <d v="2012-02-20T00:00:00"/>
    <d v="2012-01-16T00:00:00"/>
    <n v="876"/>
    <d v="2012-01-16T00:00:00"/>
    <n v="876"/>
    <m/>
    <d v="2012-02-17T00:00:00"/>
    <n v="876"/>
    <d v="2012-02-27T00:00:00"/>
    <d v="2012-01-23T00:00:00"/>
    <n v="876"/>
    <n v="876"/>
    <x v="14"/>
    <d v="2012-02-24T00:00:00"/>
    <m/>
    <n v="9321670666"/>
    <n v="10"/>
    <s v="PONU1573825"/>
    <s v="MAERSK EINDHOVEN"/>
    <m/>
    <s v="YANTIAN"/>
    <s v="SP-NO-FORECAST/"/>
    <m/>
    <s v="JASON FAN"/>
    <s v="FO9"/>
    <s v="BEVERAGE                      "/>
    <s v="CONFIRMED"/>
    <n v="1"/>
    <n v="3"/>
    <d v="2012-01-20T00:00:00"/>
    <s v="KITCHEN ELECTRICS             "/>
    <s v="BREAKFAST &amp; BREVAGE PREP      "/>
    <x v="2"/>
    <x v="1"/>
    <x v="14"/>
    <s v="SP-NO-FORECAST"/>
    <n v="-3"/>
    <n v="-3"/>
    <x v="15"/>
    <n v="1"/>
    <x v="0"/>
    <x v="1"/>
    <x v="1"/>
    <n v="1"/>
    <n v="0"/>
    <n v="1"/>
    <n v="0"/>
    <n v="0"/>
    <n v="1"/>
    <x v="0"/>
    <x v="0"/>
    <x v="1"/>
    <x v="1"/>
  </r>
  <r>
    <s v="Shipment"/>
    <n v="99003500"/>
    <s v="G.S.E.B. MEXICANA  S.A. DE C.V.                   "/>
    <n v="99003500"/>
    <x v="19"/>
    <s v="37350986/000001"/>
    <n v="1370152252"/>
    <n v="10"/>
    <x v="7"/>
    <x v="7"/>
    <s v="M1"/>
    <n v="1830004098"/>
    <n v="8"/>
    <s v="VU6555X0       "/>
    <s v="VU6555X0 TOWER FAN EOLE CRYSTAL                   "/>
    <s v="S"/>
    <d v="2012-01-28T00:00:00"/>
    <m/>
    <s v="X"/>
    <x v="69"/>
    <n v="28.25"/>
    <n v="415"/>
    <d v="2012-02-20T00:00:00"/>
    <d v="2012-01-16T00:00:00"/>
    <n v="1500"/>
    <d v="2012-01-16T00:00:00"/>
    <n v="1400"/>
    <m/>
    <d v="2012-01-16T00:00:00"/>
    <n v="1500"/>
    <d v="2012-02-21T00:00:00"/>
    <d v="2012-01-17T00:00:00"/>
    <n v="1400"/>
    <n v="1400"/>
    <x v="14"/>
    <d v="2012-02-24T00:00:00"/>
    <m/>
    <n v="9321670675"/>
    <n v="10"/>
    <s v="SUDU4919854"/>
    <s v="MONTE VERDE 203E/"/>
    <m/>
    <s v="YANTIAN"/>
    <m/>
    <m/>
    <s v="TWEETY LEUNG"/>
    <s v="FO9"/>
    <s v="HOME COMFORT                  "/>
    <s v="CONFIRMED"/>
    <n v="1"/>
    <n v="3"/>
    <d v="2012-01-20T00:00:00"/>
    <s v="LINEN PERS HOME CARE          "/>
    <s v="HOME COMFORT 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9646/000010"/>
    <n v="1370152113"/>
    <n v="10"/>
    <x v="52"/>
    <x v="52"/>
    <s v="P1"/>
    <n v="1500675901"/>
    <n v="106"/>
    <n v="675901"/>
    <s v="HM555131 HMX/STD EASYMAXPOWER 450W WE             "/>
    <s v="S"/>
    <d v="2012-01-21T00:00:00"/>
    <m/>
    <s v="X"/>
    <x v="69"/>
    <n v="16.670000000000002"/>
    <n v="602"/>
    <d v="2012-03-05T00:00:00"/>
    <d v="2012-01-16T00:00:00"/>
    <n v="1276"/>
    <d v="2012-01-16T00:00:00"/>
    <n v="1276"/>
    <m/>
    <d v="2012-01-16T00:00:00"/>
    <n v="1276"/>
    <d v="2012-03-08T00:00:00"/>
    <d v="2012-01-19T00:00:00"/>
    <n v="1276"/>
    <n v="1276"/>
    <x v="14"/>
    <d v="2012-03-09T00:00:00"/>
    <m/>
    <n v="9321670679"/>
    <n v="10"/>
    <s v="APZU3848801"/>
    <s v="MOL MATRIX/010W"/>
    <m/>
    <s v="YANTIAN"/>
    <s v="SAILING-SCHED-UPDATE/"/>
    <m/>
    <s v="KENUS WONG"/>
    <s v="FO9"/>
    <s v="FOOD PREPARATION              "/>
    <s v="CONFIRMED"/>
    <n v="1"/>
    <n v="3"/>
    <d v="2012-01-20T00:00:00"/>
    <s v="KITCHEN ELECTRICS             "/>
    <s v="FOOD PREPARATION              "/>
    <x v="1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4185/000010"/>
    <n v="1370152038"/>
    <n v="10"/>
    <x v="52"/>
    <x v="52"/>
    <s v="P1"/>
    <n v="1500813263"/>
    <n v="104"/>
    <n v="813263"/>
    <s v="AR100G31 CFG 180W METAL RED EUR                   "/>
    <s v="S"/>
    <d v="2012-01-29T00:00:00"/>
    <m/>
    <s v="X"/>
    <x v="69"/>
    <n v="10.53"/>
    <n v="9"/>
    <d v="2012-02-22T00:00:00"/>
    <d v="2012-01-18T00:00:00"/>
    <n v="3162"/>
    <d v="2012-01-23T00:00:00"/>
    <n v="3162"/>
    <m/>
    <d v="2012-01-18T00:00:00"/>
    <n v="3162"/>
    <d v="2012-02-27T00:00:00"/>
    <d v="2012-01-23T00:00:00"/>
    <n v="3162"/>
    <n v="3162"/>
    <x v="4"/>
    <d v="2012-02-26T00:00:00"/>
    <m/>
    <n v="9321670680"/>
    <n v="10"/>
    <s v="CAXU7451458"/>
    <s v="HYUNDAI NAVARINO/006"/>
    <m/>
    <s v="YANTIAN"/>
    <s v="CONS-SHIPT/"/>
    <m/>
    <s v="AGNES NUNES"/>
    <s v="FO9"/>
    <s v="FOOD PREPARATION              "/>
    <s v="CONFIRMED"/>
    <n v="1"/>
    <n v="3"/>
    <d v="2012-01-22T00:00:00"/>
    <s v="KITCHEN ELECTRICS             "/>
    <s v="FOOD PREPARATION              "/>
    <x v="1"/>
    <x v="1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5225/000010"/>
    <n v="1370151006"/>
    <n v="10"/>
    <x v="40"/>
    <x v="40"/>
    <s v="L4"/>
    <n v="1830003383"/>
    <n v="5"/>
    <s v="CV8538D4       "/>
    <s v="CV8538D4 INFINIPRO 2000W HAIR DRYER               "/>
    <s v="S"/>
    <d v="2012-01-18T00:00:00"/>
    <m/>
    <s v="X"/>
    <x v="69"/>
    <n v="13.27"/>
    <n v="473"/>
    <d v="2012-03-06T00:00:00"/>
    <d v="2012-01-17T00:00:00"/>
    <n v="2682"/>
    <d v="2012-01-17T00:00:00"/>
    <n v="2682"/>
    <m/>
    <d v="2012-01-17T00:00:00"/>
    <n v="2682"/>
    <d v="2012-03-03T00:00:00"/>
    <d v="2012-01-14T00:00:00"/>
    <n v="2682"/>
    <n v="2682"/>
    <x v="19"/>
    <d v="2012-03-06T00:00:00"/>
    <m/>
    <n v="9321670685"/>
    <n v="10"/>
    <s v="GLDU5655790"/>
    <s v="MOL COMPETENCE/021W"/>
    <m/>
    <s v="YANTIAN"/>
    <s v="CONS-SHIPT/"/>
    <m/>
    <s v="KENUS WONG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3689/000010"/>
    <n v="1370151857"/>
    <n v="10"/>
    <x v="40"/>
    <x v="40"/>
    <s v="L4"/>
    <n v="1830003060"/>
    <n v="5"/>
    <s v="CV4212F0       "/>
    <s v="CV4212F0 STUDIO DRY HAIR DRYER                    "/>
    <s v="S"/>
    <d v="2012-01-29T00:00:00"/>
    <m/>
    <s v="X"/>
    <x v="69"/>
    <n v="5.33"/>
    <n v="5"/>
    <d v="2012-02-20T00:00:00"/>
    <d v="2012-01-16T00:00:00"/>
    <n v="3000"/>
    <d v="2012-01-23T00:00:00"/>
    <n v="3000"/>
    <m/>
    <d v="2012-01-16T00:00:00"/>
    <n v="3000"/>
    <d v="2012-02-27T00:00:00"/>
    <d v="2012-01-23T00:00:00"/>
    <n v="3000"/>
    <n v="3000"/>
    <x v="1"/>
    <d v="2012-02-27T00:00:00"/>
    <m/>
    <n v="9321670686"/>
    <n v="10"/>
    <s v="MOFU0555101"/>
    <s v="HYUNDAI NAVARINO/006"/>
    <m/>
    <s v="YANTIAN"/>
    <s v="CONS-SHIPT/"/>
    <m/>
    <s v="AGNES NUNES"/>
    <s v="FO9"/>
    <s v="PERSONAL CARE                 "/>
    <s v="CONFIRMED"/>
    <n v="1"/>
    <n v="4"/>
    <d v="2012-01-23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09/000010"/>
    <n v="1370151430"/>
    <n v="10"/>
    <x v="40"/>
    <x v="40"/>
    <s v="L4"/>
    <n v="1830003085"/>
    <n v="131"/>
    <s v="CF7710B4       "/>
    <s v="CF7710B4 STRAIGHTENER RESPECT                     "/>
    <s v="S"/>
    <d v="2012-02-02T00:00:00"/>
    <m/>
    <s v="X"/>
    <x v="69"/>
    <n v="18.78"/>
    <n v="22"/>
    <d v="2012-02-20T00:00:00"/>
    <d v="2012-01-09T00:00:00"/>
    <n v="3000"/>
    <d v="2012-01-18T00:00:00"/>
    <n v="3000"/>
    <m/>
    <d v="2012-01-18T00:00:00"/>
    <n v="3000"/>
    <d v="2012-03-07T00:00:00"/>
    <d v="2012-01-25T00:00:00"/>
    <n v="3000"/>
    <n v="3000"/>
    <x v="27"/>
    <d v="2012-03-07T00:00:00"/>
    <m/>
    <n v="9321670687"/>
    <n v="10"/>
    <s v="SUDU8756570"/>
    <s v="MAERSK LA PAZ 203W/"/>
    <m/>
    <s v="YANTIAN"/>
    <s v="SP-INSP-BOOKING/SP-HOLIDAY/"/>
    <m/>
    <s v="THOMAS HO"/>
    <s v="FO9"/>
    <s v="PERSONAL CARE                 "/>
    <s v="CONFIRMED"/>
    <n v="1"/>
    <n v="4"/>
    <d v="2012-01-25T00:00:00"/>
    <s v="LINEN PERS HOME CARE          "/>
    <s v="PERSONAL CARE                 "/>
    <x v="3"/>
    <x v="2"/>
    <x v="21"/>
    <s v="SP-HOLIDAY"/>
    <n v="1"/>
    <n v="-3"/>
    <x v="6"/>
    <n v="2"/>
    <x v="0"/>
    <x v="0"/>
    <x v="1"/>
    <n v="1"/>
    <n v="0"/>
    <n v="1"/>
    <n v="0"/>
    <n v="0"/>
    <n v="1"/>
    <x v="0"/>
    <x v="0"/>
    <x v="1"/>
    <x v="1"/>
  </r>
  <r>
    <s v="Shipment"/>
    <n v="99007325"/>
    <s v="Spedition Hendricks GmbH &amp; Co.KG                  "/>
    <n v="99007300"/>
    <x v="17"/>
    <s v="4500263919/000010"/>
    <n v="1370151856"/>
    <n v="10"/>
    <x v="40"/>
    <x v="40"/>
    <s v="L4"/>
    <n v="1830003961"/>
    <n v="131"/>
    <s v="SF6012F0       "/>
    <s v="SF6012F0 STRAIGHTENER EASY STYLIST                "/>
    <s v="S"/>
    <d v="2012-01-29T00:00:00"/>
    <m/>
    <s v="X"/>
    <x v="69"/>
    <n v="11.19"/>
    <n v="9"/>
    <d v="2012-02-22T00:00:00"/>
    <d v="2012-01-18T00:00:00"/>
    <n v="3000"/>
    <d v="2012-01-23T00:00:00"/>
    <n v="3000"/>
    <m/>
    <d v="2012-01-18T00:00:00"/>
    <n v="3000"/>
    <d v="2012-02-20T00:00:00"/>
    <d v="2012-01-16T00:00:00"/>
    <n v="3000"/>
    <n v="3000"/>
    <x v="1"/>
    <d v="2012-02-27T00:00:00"/>
    <m/>
    <n v="9321670688"/>
    <n v="10"/>
    <s v="MOFU0555101"/>
    <s v="HYUNDAI NAVARINO/006"/>
    <m/>
    <s v="YANTIAN"/>
    <s v="CONS-SHIPT/"/>
    <m/>
    <s v="AGNES NUNES"/>
    <s v="FO9"/>
    <s v="PERSONAL CARE                 "/>
    <s v="CONFIRMED"/>
    <n v="1"/>
    <n v="4"/>
    <d v="2012-01-23T00:00:00"/>
    <s v="LINEN PERS HOME CARE          "/>
    <s v="PERSONAL CARE                 "/>
    <x v="3"/>
    <x v="2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5870/000010"/>
    <n v="1370151529"/>
    <n v="10"/>
    <x v="61"/>
    <x v="61"/>
    <s v="L2"/>
    <n v="2100062620"/>
    <n v="54"/>
    <s v="PP1200V0       "/>
    <s v="PP1200V0 BATHROOM SCALES PREMIO GREY TEF          "/>
    <s v="S"/>
    <d v="2012-01-17T00:00:00"/>
    <m/>
    <s v="X"/>
    <x v="69"/>
    <n v="7.13"/>
    <n v="6"/>
    <d v="2012-02-13T00:00:00"/>
    <d v="2012-01-16T00:00:00"/>
    <n v="5000"/>
    <d v="2012-01-16T00:00:00"/>
    <n v="5000"/>
    <m/>
    <d v="2012-01-16T00:00:00"/>
    <n v="5000"/>
    <d v="2012-02-13T00:00:00"/>
    <d v="2012-01-16T00:00:00"/>
    <n v="5000"/>
    <n v="5000"/>
    <x v="8"/>
    <d v="2012-02-13T00:00:00"/>
    <m/>
    <n v="9321670693"/>
    <n v="10"/>
    <s v="POCU0441517"/>
    <s v="MAERSK TANJONG/1202"/>
    <m/>
    <s v="SHANGHAI"/>
    <m/>
    <m/>
    <s v="JASON FAN"/>
    <s v="FO9"/>
    <s v="PERSONAL CARE                 "/>
    <s v="CONFIRMED"/>
    <n v="1"/>
    <n v="3"/>
    <d v="2012-01-16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9647/000010"/>
    <n v="1370152109"/>
    <n v="10"/>
    <x v="26"/>
    <x v="26"/>
    <s v="P1"/>
    <n v="1500831383"/>
    <n v="105"/>
    <n v="831383"/>
    <s v="JU32013E JUI JU320 WHT/RED RU                     "/>
    <s v="S"/>
    <d v="2012-01-31T00:00:00"/>
    <m/>
    <s v="X"/>
    <x v="69"/>
    <n v="16.05"/>
    <n v="576"/>
    <d v="2012-03-05T00:00:00"/>
    <d v="2012-01-16T00:00:00"/>
    <n v="1632"/>
    <d v="2012-01-16T00:00:00"/>
    <n v="1628"/>
    <m/>
    <d v="2012-01-21T00:00:00"/>
    <n v="1628"/>
    <d v="2012-03-10T00:00:00"/>
    <d v="2012-01-21T00:00:00"/>
    <n v="1628"/>
    <n v="1628"/>
    <x v="21"/>
    <d v="2012-03-07T00:00:00"/>
    <m/>
    <n v="9321670697"/>
    <n v="10"/>
    <s v="OOLU3043209"/>
    <s v="OOCL CALIFORNIA29W03"/>
    <m/>
    <s v="SHENZHEN"/>
    <s v="SP-PROD-ISSUE/"/>
    <m/>
    <s v="KENUS WONG"/>
    <s v="FO9"/>
    <s v="FOOD PREPARATION              "/>
    <s v="CONFIRMED"/>
    <n v="1"/>
    <n v="3"/>
    <d v="2012-01-18T00:00:00"/>
    <s v="KITCHEN ELECTRICS             "/>
    <s v="FOOD PREPARATION              "/>
    <x v="1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5858/000010"/>
    <n v="1370151528"/>
    <n v="10"/>
    <x v="46"/>
    <x v="46"/>
    <s v="L4"/>
    <n v="1830003139"/>
    <n v="175"/>
    <s v="CF4032E0       "/>
    <s v="CF4032E0 MULTI STYLER APPLIANCE                   "/>
    <s v="S"/>
    <d v="2012-01-16T00:00:00"/>
    <m/>
    <s v="X"/>
    <x v="69"/>
    <n v="14.91"/>
    <n v="12"/>
    <d v="2012-02-13T00:00:00"/>
    <d v="2012-01-16T00:00:00"/>
    <n v="3000"/>
    <d v="2012-01-14T00:00:00"/>
    <n v="3000"/>
    <m/>
    <d v="2012-01-16T00:00:00"/>
    <n v="3000"/>
    <d v="2012-02-11T00:00:00"/>
    <d v="2012-01-14T00:00:00"/>
    <n v="3000"/>
    <n v="3000"/>
    <x v="9"/>
    <d v="2012-02-11T00:00:00"/>
    <m/>
    <n v="9321670700"/>
    <n v="10"/>
    <s v="MRKU3275448"/>
    <s v="MAERSK SHEERNESS/120"/>
    <m/>
    <s v="YANTIAN"/>
    <s v="CONS-SHIPT/"/>
    <m/>
    <s v="JASON FAN"/>
    <s v="FO9"/>
    <s v="PERSONAL CARE                 "/>
    <s v="CONFIRMED"/>
    <n v="1"/>
    <n v="2"/>
    <d v="2012-01-14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4397/000010"/>
    <n v="1370152195"/>
    <n v="10"/>
    <x v="46"/>
    <x v="46"/>
    <s v="L4"/>
    <n v="1830001512"/>
    <n v="175"/>
    <s v="CF2002E0       "/>
    <s v="CF2002E0 CURLING IRON STRUCTURE                   "/>
    <s v="S"/>
    <d v="2012-01-29T00:00:00"/>
    <m/>
    <s v="X"/>
    <x v="69"/>
    <n v="3.14"/>
    <n v="3"/>
    <d v="2012-02-20T00:00:00"/>
    <d v="2012-01-16T00:00:00"/>
    <n v="3000"/>
    <d v="2012-01-23T00:00:00"/>
    <n v="3000"/>
    <m/>
    <d v="2012-01-16T00:00:00"/>
    <n v="3000"/>
    <d v="2012-02-27T00:00:00"/>
    <d v="2012-01-23T00:00:00"/>
    <n v="3000"/>
    <n v="3000"/>
    <x v="1"/>
    <d v="2012-02-27T00:00:00"/>
    <m/>
    <n v="9321670701"/>
    <n v="10"/>
    <s v="MOFU0555101"/>
    <s v="HYUNDAI NAVARINO/006"/>
    <m/>
    <s v="YANTIAN"/>
    <s v="CONS-SHIPT/"/>
    <m/>
    <s v="AGNES NUNES"/>
    <s v="FO9"/>
    <s v="PERSONAL CARE                 "/>
    <s v="CONFIRMED"/>
    <n v="1"/>
    <n v="4"/>
    <d v="2012-01-23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4754/000010"/>
    <n v="1370151212"/>
    <n v="10"/>
    <x v="47"/>
    <x v="47"/>
    <s v="P4"/>
    <n v="8000034542"/>
    <n v="24"/>
    <s v="DO250DAN       "/>
    <s v="DO250DAN FDP STORE INN REIBEKUCHEN MET N          "/>
    <s v="S"/>
    <d v="2012-02-02T00:00:00"/>
    <m/>
    <s v="X"/>
    <x v="69"/>
    <n v="32.020000000000003"/>
    <n v="29"/>
    <d v="2012-02-14T00:00:00"/>
    <d v="2012-01-17T00:00:00"/>
    <n v="912"/>
    <d v="2012-01-17T00:00:00"/>
    <n v="912"/>
    <m/>
    <d v="2012-01-19T00:00:00"/>
    <n v="912"/>
    <d v="2012-02-16T00:00:00"/>
    <d v="2012-01-19T00:00:00"/>
    <n v="912"/>
    <n v="912"/>
    <x v="18"/>
    <d v="2012-02-24T00:00:00"/>
    <m/>
    <n v="9321670704"/>
    <n v="10"/>
    <s v="MRKU8231740"/>
    <s v="CMA CGM CORTE REAL 1"/>
    <m/>
    <s v="YANTIAN"/>
    <s v="BU-ETD-TEMP/docs received on 1-Feb"/>
    <m/>
    <s v="KENUS WONG"/>
    <s v="FO9"/>
    <s v="FOOD PREPARATION              "/>
    <s v="CONFIRMED"/>
    <n v="1"/>
    <n v="4"/>
    <d v="2012-01-27T00:00:00"/>
    <s v="KITCHEN ELECTRICS             "/>
    <s v="FOOD PREPARATION              "/>
    <x v="2"/>
    <x v="1"/>
    <x v="4"/>
    <s v="BU-ETD-TEMP"/>
    <n v="-3"/>
    <n v="-3"/>
    <x v="3"/>
    <n v="2"/>
    <x v="0"/>
    <x v="0"/>
    <x v="0"/>
    <n v="0"/>
    <n v="0"/>
    <n v="0"/>
    <n v="0"/>
    <n v="0"/>
    <n v="0"/>
    <x v="1"/>
    <x v="0"/>
    <x v="1"/>
    <x v="0"/>
  </r>
  <r>
    <s v="Shipment"/>
    <n v="99006601"/>
    <s v="GROUPE SEB SINGAPORE PTE LTD                      "/>
    <n v="99006601"/>
    <x v="11"/>
    <s v="856/000001"/>
    <n v="1370152119"/>
    <n v="10"/>
    <x v="47"/>
    <x v="47"/>
    <s v="P1"/>
    <n v="1500677802"/>
    <n v="36"/>
    <n v="677802"/>
    <s v="BL530831 BLD EVIDENCE BLK/GRE FR                  "/>
    <s v="S"/>
    <d v="2012-01-19T00:00:00"/>
    <m/>
    <s v="X"/>
    <x v="69"/>
    <n v="22.2"/>
    <n v="33"/>
    <d v="2012-02-01T00:00:00"/>
    <d v="2012-01-18T00:00:00"/>
    <n v="1134"/>
    <d v="2012-01-18T00:00:00"/>
    <n v="1134"/>
    <m/>
    <d v="2012-01-18T00:00:00"/>
    <n v="1134"/>
    <d v="2012-02-01T00:00:00"/>
    <d v="2012-01-18T00:00:00"/>
    <n v="1134"/>
    <n v="1134"/>
    <x v="26"/>
    <d v="2012-02-04T00:00:00"/>
    <m/>
    <n v="9321670706"/>
    <n v="10"/>
    <s v="OOLU1665610"/>
    <s v="OOCL BEIJING 007W"/>
    <m/>
    <s v="SHENZHEN"/>
    <m/>
    <m/>
    <s v="AGNES NUNES"/>
    <s v="FO9"/>
    <s v="FOOD PREPARATION              "/>
    <s v="CONFIRMED"/>
    <n v="1"/>
    <n v="3"/>
    <d v="2012-01-21T00:00:00"/>
    <s v="KITCHEN ELECTRICS             "/>
    <s v="FOOD PREPARATION  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77/000010"/>
    <n v="1370151368"/>
    <n v="10"/>
    <x v="25"/>
    <x v="25"/>
    <s v="R9"/>
    <n v="1500573423"/>
    <n v="23"/>
    <n v="573423"/>
    <s v="TT356152 TOAS EXPRESS 2F SS/BLK BR                "/>
    <s v="S"/>
    <d v="2012-01-30T00:00:00"/>
    <m/>
    <s v="X"/>
    <x v="69"/>
    <n v="9.82"/>
    <n v="11"/>
    <d v="2012-02-23T00:00:00"/>
    <d v="2012-01-12T00:00:00"/>
    <n v="2252"/>
    <d v="2012-01-18T00:00:00"/>
    <n v="2252"/>
    <m/>
    <d v="2012-01-12T00:00:00"/>
    <n v="2252"/>
    <d v="2012-02-29T00:00:00"/>
    <d v="2012-01-18T00:00:00"/>
    <n v="2252"/>
    <n v="2252"/>
    <x v="21"/>
    <d v="2012-02-29T00:00:00"/>
    <m/>
    <n v="9321670710"/>
    <n v="10"/>
    <s v="SUDU4943629"/>
    <s v="MAERSK LUZ 203W"/>
    <m/>
    <s v="YANTIAN"/>
    <s v="NEWREQ-CUSTOMS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8"/>
    <s v="NEWREQ-CUSTOMS"/>
    <n v="1"/>
    <n v="1"/>
    <x v="14"/>
    <n v="1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76/000010"/>
    <n v="1370151369"/>
    <n v="10"/>
    <x v="25"/>
    <x v="25"/>
    <s v="R9"/>
    <n v="1500573422"/>
    <n v="23"/>
    <n v="573422"/>
    <s v="TT356151 TOAS EXPRESS 2F 127V SS/BLK BR           "/>
    <s v="S"/>
    <d v="2012-02-01T00:00:00"/>
    <m/>
    <s v="X"/>
    <x v="69"/>
    <n v="9.82"/>
    <n v="11"/>
    <d v="2012-02-27T00:00:00"/>
    <d v="2012-01-16T00:00:00"/>
    <n v="2252"/>
    <d v="2012-01-18T00:00:00"/>
    <n v="2252"/>
    <m/>
    <d v="2012-01-16T00:00:00"/>
    <n v="2252"/>
    <d v="2012-02-29T00:00:00"/>
    <d v="2012-01-18T00:00:00"/>
    <n v="2252"/>
    <n v="2252"/>
    <x v="21"/>
    <d v="2012-02-29T00:00:00"/>
    <m/>
    <n v="9321670711"/>
    <n v="10"/>
    <s v="SUDU5946073"/>
    <s v="MAERSK LUZ 202W/"/>
    <m/>
    <s v="YANTIAN"/>
    <s v="NEWREQ-CUSTOMS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8"/>
    <s v="NEWREQ-CUSTOMS"/>
    <n v="1"/>
    <n v="1"/>
    <x v="14"/>
    <n v="1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75/000010"/>
    <n v="1370151370"/>
    <n v="10"/>
    <x v="25"/>
    <x v="25"/>
    <s v="R1"/>
    <n v="1500576674"/>
    <n v="23"/>
    <n v="576674"/>
    <s v="TT110251 TOAS PRINCIP.1B 110V 2S BLK BR           "/>
    <s v="S"/>
    <d v="2012-01-30T00:00:00"/>
    <m/>
    <s v="X"/>
    <x v="69"/>
    <n v="6.68"/>
    <n v="8"/>
    <d v="2012-02-27T00:00:00"/>
    <d v="2012-01-16T00:00:00"/>
    <n v="2880"/>
    <d v="2012-01-18T00:00:00"/>
    <n v="2880"/>
    <m/>
    <d v="2012-01-16T00:00:00"/>
    <n v="2880"/>
    <d v="2012-02-29T00:00:00"/>
    <d v="2012-01-18T00:00:00"/>
    <n v="2880"/>
    <n v="2880"/>
    <x v="21"/>
    <d v="2012-02-29T00:00:00"/>
    <m/>
    <n v="9321670712"/>
    <n v="10"/>
    <s v="SUDU4943629"/>
    <s v="MAERSK LUZ 203W"/>
    <m/>
    <s v="YANTIAN"/>
    <m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82/000010"/>
    <n v="1370151410"/>
    <n v="10"/>
    <x v="25"/>
    <x v="25"/>
    <s v="R9"/>
    <n v="1500573422"/>
    <n v="23"/>
    <n v="573422"/>
    <s v="TT356151 TOAS EXPRESS 2F 127V SS/BLK BR           "/>
    <s v="S"/>
    <d v="2012-02-01T00:00:00"/>
    <m/>
    <s v="X"/>
    <x v="69"/>
    <n v="9.82"/>
    <n v="11"/>
    <d v="2012-02-20T00:00:00"/>
    <d v="2012-01-09T00:00:00"/>
    <n v="2252"/>
    <d v="2012-01-18T00:00:00"/>
    <n v="2252"/>
    <m/>
    <d v="2012-01-09T00:00:00"/>
    <n v="2252"/>
    <d v="2012-02-29T00:00:00"/>
    <d v="2012-01-18T00:00:00"/>
    <n v="2252"/>
    <n v="2252"/>
    <x v="21"/>
    <d v="2012-02-29T00:00:00"/>
    <m/>
    <n v="9321670713"/>
    <n v="10"/>
    <s v="SUDU5946073"/>
    <s v="MAERSK LUZ 202W/"/>
    <m/>
    <s v="YANTIAN"/>
    <s v="NEWREQ-CUSTOMS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3928/000010"/>
    <n v="1370151858"/>
    <n v="10"/>
    <x v="25"/>
    <x v="25"/>
    <s v="R1"/>
    <n v="1500576651"/>
    <n v="23"/>
    <n v="576651"/>
    <s v="TT110131 TOAS PRIN1BIS BLK DE                     "/>
    <s v="S"/>
    <d v="2012-01-29T00:00:00"/>
    <m/>
    <s v="X"/>
    <x v="69"/>
    <n v="7.31"/>
    <n v="6"/>
    <d v="2012-02-23T00:00:00"/>
    <d v="2012-01-19T00:00:00"/>
    <n v="2820"/>
    <d v="2012-01-23T00:00:00"/>
    <n v="2820"/>
    <m/>
    <d v="2012-01-19T00:00:00"/>
    <n v="2820"/>
    <d v="2012-02-27T00:00:00"/>
    <d v="2012-01-23T00:00:00"/>
    <n v="2820"/>
    <n v="2820"/>
    <x v="4"/>
    <d v="2012-02-26T00:00:00"/>
    <m/>
    <n v="9321670714"/>
    <n v="10"/>
    <s v="CAXU7451458"/>
    <s v="HYUNDAI NAVARINO/006"/>
    <m/>
    <s v="YANTIAN"/>
    <s v="CONS-SHIPT/"/>
    <m/>
    <s v="AGNES NUNES"/>
    <s v="FO9"/>
    <s v="BEVERAGE                      "/>
    <s v="CONFIRMED"/>
    <n v="1"/>
    <n v="3"/>
    <d v="2012-01-22T00:00:00"/>
    <s v="KITCHEN ELECTRICS             "/>
    <s v="BREAKFAST &amp; BREVAGE PREP      "/>
    <x v="4"/>
    <x v="1"/>
    <x v="10"/>
    <s v="CONS-SHIPT"/>
    <n v="-3"/>
    <n v="-3"/>
    <x v="8"/>
    <n v="1"/>
    <x v="0"/>
    <x v="1"/>
    <x v="0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36/000001"/>
    <n v="1370152117"/>
    <n v="10"/>
    <x v="25"/>
    <x v="25"/>
    <s v="R9"/>
    <n v="1500578105"/>
    <n v="23"/>
    <n v="578105"/>
    <s v="TT111070 TOAS PRINCIPIO1BIS 2S LID WHT/G          "/>
    <s v="S"/>
    <d v="2012-01-18T00:00:00"/>
    <m/>
    <s v="X"/>
    <x v="69"/>
    <n v="7.58"/>
    <n v="27"/>
    <d v="2012-02-20T00:00:00"/>
    <d v="2012-02-06T00:00:00"/>
    <n v="2140"/>
    <d v="2012-01-22T00:00:00"/>
    <n v="2140"/>
    <m/>
    <d v="2012-02-06T00:00:00"/>
    <n v="2140"/>
    <d v="2012-02-05T00:00:00"/>
    <d v="2012-01-22T00:00:00"/>
    <n v="2140"/>
    <n v="2140"/>
    <x v="4"/>
    <d v="2012-02-05T00:00:00"/>
    <m/>
    <n v="9321670715"/>
    <n v="10"/>
    <s v="MBIU8229998"/>
    <s v="TS JAPAN 12001S"/>
    <m/>
    <s v="YANTIAN"/>
    <s v="C-PULLIN-CONF/"/>
    <m/>
    <s v="TWEETY LEUNG"/>
    <s v="FO9"/>
    <s v="BEVERAGE                      "/>
    <s v="CONFIRMED"/>
    <n v="1"/>
    <n v="3"/>
    <d v="2012-01-22T00:00:00"/>
    <s v="KITCHEN ELECTRICS             "/>
    <s v="BREAKFAST &amp; BREVAGE PREP      "/>
    <x v="4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85/000010"/>
    <n v="1370151360"/>
    <n v="10"/>
    <x v="18"/>
    <x v="18"/>
    <s v="M5"/>
    <n v="2210015679"/>
    <n v="161"/>
    <s v="AP3063Z1       "/>
    <s v="AP3063Z1 VAC CLEANERCOMPACTEO CYCLONIC            "/>
    <s v="S"/>
    <d v="2012-02-01T00:00:00"/>
    <m/>
    <s v="X"/>
    <x v="69"/>
    <n v="31.67"/>
    <n v="37"/>
    <d v="2012-02-27T00:00:00"/>
    <d v="2012-01-16T00:00:00"/>
    <n v="1530"/>
    <d v="2012-01-16T00:00:00"/>
    <n v="1530"/>
    <m/>
    <d v="2012-01-21T00:00:00"/>
    <n v="1530"/>
    <d v="2012-02-25T00:00:00"/>
    <d v="2012-01-14T00:00:00"/>
    <n v="1530"/>
    <n v="1530"/>
    <x v="4"/>
    <d v="2012-03-04T00:00:00"/>
    <m/>
    <n v="9321670718"/>
    <n v="10"/>
    <s v="MSKU6053641"/>
    <s v="MAERSK LA PAZ 203W/"/>
    <m/>
    <s v="SHANGHAI"/>
    <m/>
    <m/>
    <s v="THOMAS HO"/>
    <s v="FO9"/>
    <s v="HOME CLEANING                 "/>
    <s v="CONFIRMED"/>
    <n v="1"/>
    <n v="3"/>
    <d v="2012-01-22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9665/000010"/>
    <n v="1370152111"/>
    <n v="10"/>
    <x v="18"/>
    <x v="18"/>
    <s v="M5"/>
    <n v="2210016732"/>
    <n v="161"/>
    <s v="RO332101       "/>
    <s v="RO332101 VAC CLEANER MINISPACE CYCLONICR          "/>
    <s v="S"/>
    <d v="2012-01-16T00:00:00"/>
    <m/>
    <s v="X"/>
    <x v="69"/>
    <n v="23.47"/>
    <n v="859"/>
    <d v="2012-03-05T00:00:00"/>
    <d v="2012-01-16T00:00:00"/>
    <n v="800"/>
    <d v="2012-01-16T00:00:00"/>
    <n v="800"/>
    <m/>
    <d v="2012-01-21T00:00:00"/>
    <n v="800"/>
    <d v="2012-03-04T00:00:00"/>
    <d v="2012-01-15T00:00:00"/>
    <n v="800"/>
    <n v="800"/>
    <x v="8"/>
    <d v="2012-03-05T00:00:00"/>
    <m/>
    <n v="9321670722"/>
    <n v="10"/>
    <s v="OOLU1478497"/>
    <s v="OOCL CALIFORNIA/29W0"/>
    <m/>
    <s v="SHANGHAI"/>
    <m/>
    <m/>
    <s v="KENUS WONG"/>
    <s v="FO9"/>
    <s v="HOME CLEANING                 "/>
    <s v="CONFIRMED"/>
    <n v="1"/>
    <n v="3"/>
    <d v="2012-01-16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4394/000010"/>
    <n v="1370152194"/>
    <n v="10"/>
    <x v="18"/>
    <x v="18"/>
    <s v="M5"/>
    <n v="2210016697"/>
    <n v="160"/>
    <s v="RO2125GA       "/>
    <s v="RO2125GA VAC CLEANER POWER SPACE RO2125G          "/>
    <s v="S"/>
    <d v="2012-01-16T00:00:00"/>
    <m/>
    <s v="X"/>
    <x v="69"/>
    <n v="33.07"/>
    <n v="28"/>
    <d v="2012-02-20T00:00:00"/>
    <d v="2012-01-16T00:00:00"/>
    <n v="640"/>
    <d v="2012-01-16T00:00:00"/>
    <n v="640"/>
    <m/>
    <d v="2012-01-16T00:00:00"/>
    <n v="640"/>
    <d v="2012-02-18T00:00:00"/>
    <d v="2012-01-14T00:00:00"/>
    <n v="640"/>
    <n v="640"/>
    <x v="8"/>
    <d v="2012-02-20T00:00:00"/>
    <m/>
    <n v="9321670723"/>
    <n v="10"/>
    <s v="ALLU5213840"/>
    <s v="OOCL CALIFORNIA/29W0"/>
    <m/>
    <s v="SHANGHAI"/>
    <m/>
    <m/>
    <s v="AGNES NUNES"/>
    <s v="FO9"/>
    <s v="HOME CLEANING                 "/>
    <s v="CONFIRMED"/>
    <n v="1"/>
    <n v="3"/>
    <d v="2012-01-16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3932/000010"/>
    <n v="1370151261"/>
    <n v="10"/>
    <x v="18"/>
    <x v="18"/>
    <s v="M5"/>
    <n v="2210015542"/>
    <n v="161"/>
    <s v="MO454301       "/>
    <s v="MO454301 VAC CLEANER COMPACTEO CYCLONIC           "/>
    <s v="S"/>
    <d v="2012-01-19T00:00:00"/>
    <m/>
    <s v="X"/>
    <x v="69"/>
    <n v="31.18"/>
    <n v="27"/>
    <d v="2012-02-20T00:00:00"/>
    <d v="2012-01-16T00:00:00"/>
    <n v="1530"/>
    <d v="2012-01-16T00:00:00"/>
    <n v="1530"/>
    <m/>
    <d v="2012-01-16T00:00:00"/>
    <n v="1530"/>
    <d v="2012-02-21T00:00:00"/>
    <d v="2012-01-17T00:00:00"/>
    <n v="1530"/>
    <n v="1530"/>
    <x v="19"/>
    <d v="2012-02-21T00:00:00"/>
    <m/>
    <n v="9321670724"/>
    <n v="10"/>
    <s v="MSKU6220097"/>
    <s v="MAERSK EINDHOVEN 120"/>
    <m/>
    <s v="SHANGHAI"/>
    <m/>
    <m/>
    <s v="JASON FAN"/>
    <s v="FO9"/>
    <s v="HOME CLEANING                 "/>
    <s v="CONFIRMED"/>
    <n v="1"/>
    <n v="3"/>
    <d v="2012-01-17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3931/000010"/>
    <n v="1370151312"/>
    <n v="10"/>
    <x v="18"/>
    <x v="18"/>
    <s v="M5"/>
    <n v="2210015542"/>
    <n v="161"/>
    <s v="MO454301       "/>
    <s v="MO454301 VAC CLEANER COMPACTEO CYCLONIC           "/>
    <s v="S"/>
    <d v="2012-01-19T00:00:00"/>
    <m/>
    <s v="X"/>
    <x v="69"/>
    <n v="31.18"/>
    <n v="27"/>
    <d v="2012-02-20T00:00:00"/>
    <d v="2012-01-16T00:00:00"/>
    <n v="1530"/>
    <d v="2012-01-16T00:00:00"/>
    <n v="1530"/>
    <m/>
    <d v="2012-01-16T00:00:00"/>
    <n v="1530"/>
    <d v="2012-02-21T00:00:00"/>
    <d v="2012-01-17T00:00:00"/>
    <n v="1530"/>
    <n v="1530"/>
    <x v="19"/>
    <d v="2012-02-21T00:00:00"/>
    <m/>
    <n v="9321670725"/>
    <n v="10"/>
    <s v="MRKU0456416"/>
    <s v="MAERSK EINDHOVEN 120"/>
    <m/>
    <s v="SHANGHAI"/>
    <m/>
    <m/>
    <s v="JASON FAN"/>
    <s v="FO9"/>
    <s v="HOME CLEANING                 "/>
    <s v="CONFIRMED"/>
    <n v="1"/>
    <n v="3"/>
    <d v="2012-01-17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96/000010"/>
    <n v="1370151442"/>
    <n v="10"/>
    <x v="18"/>
    <x v="18"/>
    <s v="M5"/>
    <n v="2210015679"/>
    <n v="161"/>
    <s v="AP3063Z1       "/>
    <s v="AP3063Z1 VAC CLEANERCOMPACTEO CYCLONIC            "/>
    <s v="S"/>
    <d v="2012-01-17T00:00:00"/>
    <m/>
    <s v="X"/>
    <x v="69"/>
    <n v="31.67"/>
    <n v="37"/>
    <d v="2012-02-27T00:00:00"/>
    <d v="2012-01-16T00:00:00"/>
    <n v="1530"/>
    <d v="2012-01-16T00:00:00"/>
    <n v="1530"/>
    <m/>
    <d v="2012-01-21T00:00:00"/>
    <n v="1530"/>
    <d v="2012-02-25T00:00:00"/>
    <d v="2012-01-14T00:00:00"/>
    <n v="1530"/>
    <n v="1530"/>
    <x v="9"/>
    <d v="2012-02-25T00:00:00"/>
    <m/>
    <n v="9321670726"/>
    <n v="10"/>
    <s v="ALMU4512264"/>
    <s v="MAERSK LUZ 202W/"/>
    <m/>
    <s v="SHANGHAI"/>
    <m/>
    <m/>
    <s v="THOMAS HO"/>
    <s v="FO9"/>
    <s v="HOME CLEANING                 "/>
    <s v="CONFIRMED"/>
    <n v="1"/>
    <n v="2"/>
    <d v="2012-01-14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97/000010"/>
    <n v="1370151443"/>
    <n v="10"/>
    <x v="18"/>
    <x v="18"/>
    <s v="M5"/>
    <n v="2210015680"/>
    <n v="161"/>
    <s v="AP3063Z2       "/>
    <s v="AP3063Z2 VAC CLEANERCOMPACTEO CYCLONIC            "/>
    <s v="S"/>
    <d v="2012-01-17T00:00:00"/>
    <m/>
    <s v="X"/>
    <x v="69"/>
    <n v="31.67"/>
    <n v="37"/>
    <d v="2012-02-27T00:00:00"/>
    <d v="2012-01-16T00:00:00"/>
    <n v="730"/>
    <d v="2012-01-16T00:00:00"/>
    <n v="730"/>
    <m/>
    <d v="2012-01-21T00:00:00"/>
    <n v="730"/>
    <d v="2012-02-25T00:00:00"/>
    <d v="2012-01-14T00:00:00"/>
    <n v="730"/>
    <n v="730"/>
    <x v="9"/>
    <d v="2012-02-25T00:00:00"/>
    <m/>
    <n v="9321670727"/>
    <n v="10"/>
    <s v="ALMU4512080"/>
    <s v="MAERSK LUZ 202W/"/>
    <m/>
    <s v="SHANGHAI"/>
    <m/>
    <m/>
    <s v="THOMAS HO"/>
    <s v="FO9"/>
    <s v="HOME CLEANING                 "/>
    <s v="CONFIRMED"/>
    <n v="1"/>
    <n v="2"/>
    <d v="2012-01-14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95/000010"/>
    <n v="1370151441"/>
    <n v="10"/>
    <x v="18"/>
    <x v="18"/>
    <s v="M5"/>
    <n v="2210016365"/>
    <n v="160"/>
    <s v="AP2523Z5       "/>
    <s v="AP2523Z5 RED VAC CLEANER COMPACTEO                "/>
    <s v="S"/>
    <d v="2012-01-17T00:00:00"/>
    <m/>
    <s v="X"/>
    <x v="69"/>
    <n v="23.23"/>
    <n v="28"/>
    <d v="2012-02-27T00:00:00"/>
    <d v="2012-01-16T00:00:00"/>
    <n v="730"/>
    <d v="2012-01-16T00:00:00"/>
    <n v="730"/>
    <m/>
    <d v="2012-01-21T00:00:00"/>
    <n v="730"/>
    <d v="2012-02-25T00:00:00"/>
    <d v="2012-01-14T00:00:00"/>
    <n v="730"/>
    <n v="730"/>
    <x v="9"/>
    <d v="2012-02-25T00:00:00"/>
    <m/>
    <n v="9321670728"/>
    <n v="10"/>
    <s v="ALMU4512080"/>
    <s v="MAERSK LUZ 202W/"/>
    <m/>
    <s v="SHANGHAI"/>
    <m/>
    <m/>
    <s v="THOMAS HO"/>
    <s v="FO9"/>
    <s v="HOME CLEANING                 "/>
    <s v="CONFIRMED"/>
    <n v="1"/>
    <n v="2"/>
    <d v="2012-01-14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64/000001"/>
    <n v="1370152122"/>
    <n v="10"/>
    <x v="29"/>
    <x v="29"/>
    <s v="P1"/>
    <n v="1500831585"/>
    <n v="105"/>
    <n v="831585"/>
    <s v="ZN25013E JUI TORAJA WHT RU                        "/>
    <s v="S"/>
    <d v="2012-01-16T00:00:00"/>
    <m/>
    <s v="X"/>
    <x v="69"/>
    <n v="16.850000000000001"/>
    <n v="23"/>
    <d v="2012-02-01T00:00:00"/>
    <d v="2012-01-18T00:00:00"/>
    <n v="1200"/>
    <d v="2012-01-18T00:00:00"/>
    <n v="1200"/>
    <m/>
    <d v="2012-01-18T00:00:00"/>
    <n v="1200"/>
    <d v="2012-02-01T00:00:00"/>
    <d v="2012-01-18T00:00:00"/>
    <n v="1200"/>
    <n v="1200"/>
    <x v="9"/>
    <d v="2012-01-28T00:00:00"/>
    <m/>
    <n v="9321670732"/>
    <n v="10"/>
    <s v="CLHU2715860"/>
    <s v="COSCO THAILAND 011W"/>
    <m/>
    <s v="YANTIAN"/>
    <m/>
    <m/>
    <s v="AGNES NUNES"/>
    <s v="FO9"/>
    <s v="FOOD PREPARATION              "/>
    <s v="CONFIRMED"/>
    <n v="1"/>
    <n v="2"/>
    <d v="2012-01-14T00:00:00"/>
    <s v="KITCHEN ELECTRICS             "/>
    <s v="FOOD PREPARATION        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7452/000010"/>
    <n v="1370151500"/>
    <n v="10"/>
    <x v="11"/>
    <x v="11"/>
    <s v="N3"/>
    <n v="1500578005"/>
    <n v="53"/>
    <n v="578005"/>
    <s v="OX150230 OVEN UNO GRILL L 20L SILV                "/>
    <s v="S"/>
    <d v="2012-01-30T00:00:00"/>
    <m/>
    <s v="X"/>
    <x v="69"/>
    <n v="31.87"/>
    <n v="27"/>
    <d v="2012-02-13T00:00:00"/>
    <d v="2012-01-16T00:00:00"/>
    <n v="329"/>
    <d v="2012-01-16T00:00:00"/>
    <n v="329"/>
    <m/>
    <d v="2012-01-18T00:00:00"/>
    <n v="329"/>
    <d v="2012-02-15T00:00:00"/>
    <d v="2012-01-18T00:00:00"/>
    <n v="329"/>
    <n v="329"/>
    <x v="30"/>
    <d v="2012-02-26T00:00:00"/>
    <m/>
    <n v="9321670733"/>
    <n v="10"/>
    <s v="UACU8205025"/>
    <s v="JAZAN/1203W"/>
    <m/>
    <s v="XIAMEN"/>
    <s v="FORWARDER-PROB"/>
    <m/>
    <s v="JASON FAN"/>
    <s v="FO9"/>
    <s v="ELECTRICAL COOKING            "/>
    <s v="CONFIRMED"/>
    <n v="1"/>
    <n v="4"/>
    <d v="2012-01-29T00:00:00"/>
    <s v="KITCHEN ELECTRICS             "/>
    <s v="ELECTRICAL COOKING            "/>
    <x v="1"/>
    <x v="1"/>
    <x v="0"/>
    <s v="FORWARDER-PROB"/>
    <n v="1"/>
    <n v="1"/>
    <x v="11"/>
    <n v="1"/>
    <x v="0"/>
    <x v="0"/>
    <x v="1"/>
    <n v="0"/>
    <n v="0"/>
    <n v="0"/>
    <n v="0"/>
    <n v="0"/>
    <n v="0"/>
    <x v="1"/>
    <x v="0"/>
    <x v="1"/>
    <x v="0"/>
  </r>
  <r>
    <s v="Shipment"/>
    <n v="99008200"/>
    <s v="GROUPE SEB IBERICA                                "/>
    <n v="99008200"/>
    <x v="21"/>
    <s v="9321667462/000010"/>
    <n v="1370151508"/>
    <n v="10"/>
    <x v="11"/>
    <x v="11"/>
    <s v="N1"/>
    <n v="2100039731"/>
    <n v="50"/>
    <s v="CB500512       "/>
    <s v="CB500512 PLANCHA COMPACTE 900                     "/>
    <s v="S"/>
    <d v="2012-01-30T00:00:00"/>
    <m/>
    <s v="X"/>
    <x v="69"/>
    <n v="11.72"/>
    <n v="10"/>
    <d v="2012-02-13T00:00:00"/>
    <d v="2012-01-16T00:00:00"/>
    <n v="1312"/>
    <d v="2012-01-16T00:00:00"/>
    <n v="1312"/>
    <m/>
    <d v="2012-01-18T00:00:00"/>
    <n v="1312"/>
    <d v="2012-02-15T00:00:00"/>
    <d v="2012-01-18T00:00:00"/>
    <n v="1312"/>
    <n v="1312"/>
    <x v="30"/>
    <d v="2012-02-26T00:00:00"/>
    <m/>
    <n v="9321670734"/>
    <n v="10"/>
    <s v="UACU8205025"/>
    <s v="JAZAN/1203W"/>
    <m/>
    <s v="NINGBO"/>
    <s v="FORWARDER-PROB"/>
    <m/>
    <s v="JASON FAN"/>
    <s v="FO9"/>
    <s v="ELECTRICAL COOKING            "/>
    <s v="CONFIRMED"/>
    <n v="1"/>
    <n v="4"/>
    <d v="2012-01-29T00:00:00"/>
    <s v="KITCHEN ELECTRICS             "/>
    <s v="ELECTRICAL COOKING            "/>
    <x v="1"/>
    <x v="1"/>
    <x v="0"/>
    <s v="FORWARDER-PROB"/>
    <n v="1"/>
    <n v="1"/>
    <x v="11"/>
    <n v="1"/>
    <x v="0"/>
    <x v="0"/>
    <x v="1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63476/000010"/>
    <n v="1370151616"/>
    <n v="10"/>
    <x v="11"/>
    <x v="11"/>
    <s v="N1"/>
    <n v="2100056738"/>
    <n v="52"/>
    <s v="F6547551       "/>
    <s v="F6547551 BELGIAN WAFFLE MAKER                     "/>
    <s v="S"/>
    <d v="2012-01-19T00:00:00"/>
    <m/>
    <s v="X"/>
    <x v="69"/>
    <n v="16.29"/>
    <n v="18"/>
    <d v="2012-02-21T00:00:00"/>
    <d v="2012-01-17T00:00:00"/>
    <n v="2001"/>
    <d v="2012-01-17T00:00:00"/>
    <n v="3270"/>
    <m/>
    <d v="2012-01-15T00:00:00"/>
    <n v="2001"/>
    <d v="2012-02-19T00:00:00"/>
    <d v="2012-01-15T00:00:00"/>
    <n v="3270"/>
    <n v="3270"/>
    <x v="14"/>
    <d v="2012-02-24T00:00:00"/>
    <m/>
    <n v="9321670735"/>
    <n v="10"/>
    <s v="HLXU5185254"/>
    <s v="NYK RIGEL"/>
    <m/>
    <s v="XIAMEN"/>
    <m/>
    <m/>
    <s v="TWEETY LEUNG"/>
    <s v="FO9"/>
    <s v="ELECTRICAL COOKING            "/>
    <s v="CONFIRMED"/>
    <n v="1"/>
    <n v="3"/>
    <d v="2012-01-20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7438/000010"/>
    <n v="1370151498"/>
    <n v="10"/>
    <x v="11"/>
    <x v="11"/>
    <s v="J4"/>
    <n v="1830003315"/>
    <n v="1"/>
    <s v="IM1230E0       "/>
    <s v="IM1230E0 STEAM IRON INICIO 30                     "/>
    <s v="S"/>
    <d v="2012-01-21T00:00:00"/>
    <m/>
    <s v="X"/>
    <x v="69"/>
    <n v="7.98"/>
    <n v="6"/>
    <d v="2012-02-13T00:00:00"/>
    <d v="2012-01-16T00:00:00"/>
    <n v="8940"/>
    <d v="2012-01-16T00:00:00"/>
    <n v="4320"/>
    <m/>
    <d v="2012-01-18T00:00:00"/>
    <n v="8940"/>
    <d v="2012-02-15T00:00:00"/>
    <d v="2012-01-18T00:00:00"/>
    <n v="4320"/>
    <n v="4320"/>
    <x v="8"/>
    <d v="2012-02-13T00:00:00"/>
    <m/>
    <n v="9321670736"/>
    <n v="10"/>
    <s v="PONU0647667"/>
    <s v="CMA CGM DEBUSSY/812W"/>
    <m/>
    <s v="XIAMEN"/>
    <m/>
    <m/>
    <s v="JASON FAN"/>
    <s v="FO9"/>
    <s v="LINEN CARE                    "/>
    <s v="CONFIRMED"/>
    <n v="1"/>
    <n v="3"/>
    <d v="2012-01-16T00:00:00"/>
    <s v="LINEN PERS HOME CARE          "/>
    <s v="LINEN CARE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3909/000010"/>
    <n v="1370151863"/>
    <n v="10"/>
    <x v="11"/>
    <x v="11"/>
    <s v="N3"/>
    <n v="1500578000"/>
    <n v="53"/>
    <n v="578000"/>
    <s v="OX130130 OVEN UNO GRILL M 15L NS WHT EUR          "/>
    <s v="S"/>
    <d v="2012-01-30T00:00:00"/>
    <m/>
    <s v="X"/>
    <x v="69"/>
    <n v="25.33"/>
    <n v="22"/>
    <d v="2012-02-22T00:00:00"/>
    <d v="2012-01-18T00:00:00"/>
    <n v="390"/>
    <d v="2012-01-18T00:00:00"/>
    <n v="390"/>
    <m/>
    <d v="2012-01-15T00:00:00"/>
    <n v="390"/>
    <d v="2012-02-19T00:00:00"/>
    <d v="2012-01-15T00:00:00"/>
    <n v="390"/>
    <n v="390"/>
    <x v="1"/>
    <d v="2012-02-27T00:00:00"/>
    <m/>
    <n v="9321670737"/>
    <n v="10"/>
    <s v="TCKU9307175"/>
    <s v="OOCL LONG BEACH/65W0"/>
    <m/>
    <s v="XIAMEN"/>
    <m/>
    <m/>
    <s v="AGNES NUNES"/>
    <s v="FO9"/>
    <s v="ELECTRICAL COOKING            "/>
    <s v="CONFIRMED"/>
    <n v="1"/>
    <n v="4"/>
    <d v="2012-01-23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58/000001"/>
    <n v="1370152121"/>
    <n v="10"/>
    <x v="11"/>
    <x v="11"/>
    <s v="N1"/>
    <n v="2100058217"/>
    <n v="50"/>
    <s v="TG380054       "/>
    <s v="TG380054 PLANCHA  1/3 2/3 SINGAPORE               "/>
    <s v="S"/>
    <d v="2012-01-19T00:00:00"/>
    <m/>
    <s v="X"/>
    <x v="69"/>
    <n v="17.72"/>
    <n v="25"/>
    <d v="2012-02-01T00:00:00"/>
    <d v="2012-01-18T00:00:00"/>
    <n v="900"/>
    <d v="2012-01-18T00:00:00"/>
    <n v="900"/>
    <m/>
    <d v="2012-01-14T00:00:00"/>
    <n v="900"/>
    <d v="2012-01-28T00:00:00"/>
    <d v="2012-01-14T00:00:00"/>
    <n v="900"/>
    <n v="900"/>
    <x v="26"/>
    <d v="2012-02-04T00:00:00"/>
    <m/>
    <n v="9321670738"/>
    <n v="10"/>
    <s v="CMAU1559641"/>
    <s v="MOL CHARISMA 009"/>
    <m/>
    <s v="XIAMEN"/>
    <m/>
    <m/>
    <s v="AGNES NUNES"/>
    <s v="FO9"/>
    <s v="ELECTRICAL COOKING            "/>
    <s v="CONFIRMED"/>
    <n v="1"/>
    <n v="3"/>
    <d v="2012-01-21T00:00:00"/>
    <s v="KITCHEN ELECTRICS             "/>
    <s v="ELECTRICAL COOKING            "/>
    <x v="1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3159/000010"/>
    <n v="1370150788"/>
    <n v="10"/>
    <x v="11"/>
    <x v="11"/>
    <s v="J4"/>
    <n v="1830003715"/>
    <n v="1"/>
    <s v="FV1215E0       "/>
    <s v="FV1215E0 STEAM IRON INICIO 15                     "/>
    <s v="S"/>
    <d v="2012-02-02T00:00:00"/>
    <m/>
    <s v="X"/>
    <x v="69"/>
    <n v="7.6"/>
    <n v="6"/>
    <d v="2012-02-15T00:00:00"/>
    <d v="2012-01-11T00:00:00"/>
    <n v="4680"/>
    <d v="2012-01-11T00:00:00"/>
    <n v="4680"/>
    <m/>
    <d v="2012-01-13T00:00:00"/>
    <n v="4680"/>
    <d v="2012-02-17T00:00:00"/>
    <d v="2012-01-13T00:00:00"/>
    <n v="4680"/>
    <n v="4320"/>
    <x v="11"/>
    <d v="2012-02-19T00:00:00"/>
    <m/>
    <n v="9321670739"/>
    <n v="10"/>
    <s v="OOLU1217317"/>
    <s v="OOCL SHENZHEN/54W02"/>
    <m/>
    <s v="XIAMEN"/>
    <s v="PARTIAL-SHIP (SPLIT DELIVERY  SASL FAILED FOR 2ND DELIVERY)"/>
    <m/>
    <s v="AGNES NUNES"/>
    <s v="FO9"/>
    <s v="LINEN CARE                    "/>
    <s v="CONFIRMED"/>
    <n v="1"/>
    <n v="2"/>
    <d v="2012-01-15T00:00:00"/>
    <s v="LINEN PERS HOME CARE          "/>
    <s v="LINEN CARE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3159/000010"/>
    <n v="1370150788"/>
    <n v="10"/>
    <x v="11"/>
    <x v="11"/>
    <s v="J4"/>
    <n v="1830003715"/>
    <n v="1"/>
    <s v="FV1215E0       "/>
    <s v="FV1215E0 STEAM IRON INICIO 15                     "/>
    <s v="S"/>
    <d v="2012-01-30T00:00:00"/>
    <m/>
    <s v="X"/>
    <x v="69"/>
    <n v="7.6"/>
    <n v="6"/>
    <d v="2012-02-15T00:00:00"/>
    <d v="2012-01-11T00:00:00"/>
    <n v="4680"/>
    <d v="2012-01-11T00:00:00"/>
    <n v="4680"/>
    <m/>
    <d v="2012-01-13T00:00:00"/>
    <n v="4680"/>
    <d v="2012-02-17T00:00:00"/>
    <d v="2012-01-13T00:00:00"/>
    <n v="4680"/>
    <n v="360"/>
    <x v="1"/>
    <d v="2012-02-27T00:00:00"/>
    <m/>
    <n v="9321670739"/>
    <n v="10"/>
    <s v="TCKU9307175"/>
    <s v="OOCL LONG BEACH/65W0"/>
    <m/>
    <s v="XIAMEN"/>
    <s v="PARTIAL-SHIP (SPLIT DELIVERY  SASL FAILED FOR 2ND DELIVERY)"/>
    <m/>
    <s v="AGNES NUNES"/>
    <s v="FO9"/>
    <s v="LINEN CARE                    "/>
    <s v="CONFIRMED"/>
    <n v="1"/>
    <n v="4"/>
    <d v="2012-01-23T00:00:00"/>
    <s v="LINEN PERS HOME CARE          "/>
    <s v="LINEN CARE                    "/>
    <x v="5"/>
    <x v="2"/>
    <x v="1"/>
    <m/>
    <n v="0"/>
    <n v="0"/>
    <x v="1"/>
    <n v="1"/>
    <x v="0"/>
    <x v="0"/>
    <x v="1"/>
    <n v="0"/>
    <n v="0"/>
    <n v="0"/>
    <n v="0"/>
    <n v="0"/>
    <n v="0"/>
    <x v="1"/>
    <x v="0"/>
    <x v="1"/>
    <x v="0"/>
  </r>
  <r>
    <s v="Shipment"/>
    <n v="99008200"/>
    <s v="GROUPE SEB IBERICA                                "/>
    <n v="99008200"/>
    <x v="21"/>
    <s v="9321667445/000010"/>
    <n v="1370151521"/>
    <n v="10"/>
    <x v="53"/>
    <x v="53"/>
    <s v="R1"/>
    <n v="1500577603"/>
    <n v="23"/>
    <n v="577603"/>
    <s v="LS110030 TOAS ACCES LS MET/BLK FR                 "/>
    <s v="S"/>
    <d v="2012-01-17T00:00:00"/>
    <m/>
    <s v="X"/>
    <x v="69"/>
    <n v="10.6"/>
    <n v="9"/>
    <d v="2012-02-13T00:00:00"/>
    <d v="2012-01-16T00:00:00"/>
    <n v="2844"/>
    <d v="2012-01-16T00:00:00"/>
    <n v="2844"/>
    <m/>
    <d v="2012-01-16T00:00:00"/>
    <n v="2844"/>
    <d v="2012-02-11T00:00:00"/>
    <d v="2012-01-14T00:00:00"/>
    <n v="2844"/>
    <n v="2844"/>
    <x v="9"/>
    <d v="2012-02-11T00:00:00"/>
    <m/>
    <n v="9321670745"/>
    <n v="10"/>
    <s v="MRKU0504237"/>
    <s v="MAERSK SHEERNESS/120"/>
    <m/>
    <s v="YANTIAN"/>
    <m/>
    <m/>
    <s v="JASON FAN"/>
    <s v="FO9"/>
    <s v="BEVERAGE                      "/>
    <s v="CONFIRMED"/>
    <n v="1"/>
    <n v="2"/>
    <d v="2012-01-14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9613/000010"/>
    <n v="1370152108"/>
    <n v="10"/>
    <x v="53"/>
    <x v="53"/>
    <s v="R1"/>
    <n v="1500539658"/>
    <n v="23"/>
    <n v="539658"/>
    <s v="539658 TOAS LC GOLD YEL RU                        "/>
    <s v="S"/>
    <d v="2012-01-18T00:00:00"/>
    <m/>
    <s v="X"/>
    <x v="69"/>
    <n v="7.37"/>
    <n v="271"/>
    <d v="2012-03-05T00:00:00"/>
    <d v="2012-01-16T00:00:00"/>
    <n v="2400"/>
    <d v="2012-01-16T00:00:00"/>
    <n v="2400"/>
    <m/>
    <d v="2012-01-16T00:00:00"/>
    <n v="2400"/>
    <d v="2012-03-03T00:00:00"/>
    <d v="2012-01-14T00:00:00"/>
    <n v="2400"/>
    <n v="2400"/>
    <x v="19"/>
    <d v="2012-03-06T00:00:00"/>
    <m/>
    <n v="9321670746"/>
    <n v="10"/>
    <s v="TRLU3203380"/>
    <s v="MOL COMPETENCE/021W"/>
    <m/>
    <s v="YANTIAN"/>
    <m/>
    <m/>
    <s v="KENUS WONG"/>
    <s v="FO9"/>
    <s v="BEVERAGE                      "/>
    <s v="CONFIRMED"/>
    <n v="1"/>
    <n v="3"/>
    <d v="2012-01-17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6922/000010"/>
    <n v="1370151567"/>
    <n v="10"/>
    <x v="49"/>
    <x v="49"/>
    <s v="R1"/>
    <n v="1500576692"/>
    <n v="23"/>
    <n v="576692"/>
    <s v="KH754E50 TOASTER SILVER ART 2S                    "/>
    <s v="S"/>
    <d v="2012-01-19T00:00:00"/>
    <m/>
    <s v="X"/>
    <x v="69"/>
    <n v="34"/>
    <n v="43"/>
    <d v="2012-02-21T00:00:00"/>
    <d v="2012-01-17T00:00:00"/>
    <n v="1100"/>
    <d v="2012-01-17T00:00:00"/>
    <n v="1100"/>
    <m/>
    <d v="2012-01-17T00:00:00"/>
    <n v="1100"/>
    <d v="2012-02-21T00:00:00"/>
    <d v="2012-01-17T00:00:00"/>
    <n v="1100"/>
    <n v="1100"/>
    <x v="19"/>
    <d v="2012-02-21T00:00:00"/>
    <m/>
    <n v="9321670748"/>
    <n v="10"/>
    <s v="CPSU1077123"/>
    <s v="NYK NEBULA 25E02/"/>
    <m/>
    <s v="YANTIAN"/>
    <m/>
    <m/>
    <s v="TWEETY LEUNG"/>
    <s v="FO9"/>
    <s v="BEVERAGE                      "/>
    <s v="CONFIRMED"/>
    <n v="1"/>
    <n v="3"/>
    <d v="2012-01-17T00:00:00"/>
    <s v="KITCHEN ELECTRICS             "/>
    <s v="BREAKFAST &amp; BREVAGE PREP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6202/000010"/>
    <n v="1370151497"/>
    <n v="10"/>
    <x v="4"/>
    <x v="4"/>
    <s v="M5"/>
    <n v="2210016087"/>
    <n v="68"/>
    <s v="RH855201       "/>
    <s v="RH855201 CORDLESS HANDSTICK-18V                   "/>
    <s v="S"/>
    <d v="2012-01-17T00:00:00"/>
    <m/>
    <s v="X"/>
    <x v="69"/>
    <n v="47.98"/>
    <n v="41"/>
    <d v="2012-02-13T00:00:00"/>
    <d v="2012-01-16T00:00:00"/>
    <n v="826"/>
    <d v="2012-01-16T00:00:00"/>
    <n v="826"/>
    <m/>
    <d v="2012-01-16T00:00:00"/>
    <n v="826"/>
    <d v="2012-02-13T00:00:00"/>
    <d v="2012-01-16T00:00:00"/>
    <n v="826"/>
    <n v="826"/>
    <x v="11"/>
    <d v="2012-02-12T00:00:00"/>
    <m/>
    <n v="9321670749"/>
    <n v="10"/>
    <s v="MRKU8228433"/>
    <s v="MAERSK SHEERNESS/120"/>
    <m/>
    <s v="YANTIAN"/>
    <m/>
    <m/>
    <s v="JASON FAN"/>
    <s v="FO9"/>
    <s v="HOME CLEANING                 "/>
    <s v="CONFIRMED"/>
    <n v="1"/>
    <n v="2"/>
    <d v="2012-01-15T00:00:00"/>
    <s v="HOME CLEANING                 "/>
    <s v="HOME CLEANING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9874/000010"/>
    <n v="1370152133"/>
    <n v="10"/>
    <x v="4"/>
    <x v="4"/>
    <s v="M5"/>
    <n v="2210015096"/>
    <n v="68"/>
    <s v="RH856501       "/>
    <s v="RH856501 CORDLESS HANDSTICK-24V                   "/>
    <s v="S"/>
    <d v="2012-01-17T00:00:00"/>
    <m/>
    <s v="X"/>
    <x v="69"/>
    <n v="54.33"/>
    <n v="46"/>
    <d v="2012-02-13T00:00:00"/>
    <d v="2012-01-16T00:00:00"/>
    <n v="1722"/>
    <d v="2012-01-16T00:00:00"/>
    <n v="1722"/>
    <m/>
    <d v="2012-01-16T00:00:00"/>
    <n v="1722"/>
    <d v="2012-02-13T00:00:00"/>
    <d v="2012-01-16T00:00:00"/>
    <n v="1722"/>
    <n v="1722"/>
    <x v="11"/>
    <d v="2012-02-12T00:00:00"/>
    <m/>
    <n v="9321670750"/>
    <n v="10"/>
    <s v="GLDU4074810"/>
    <s v="MAERSK SHEERNESS/120"/>
    <m/>
    <s v="YANTIAN"/>
    <m/>
    <m/>
    <s v="JASON FAN"/>
    <s v="FO9"/>
    <s v="HOME CLEANING                 "/>
    <s v="CONFIRMED"/>
    <n v="1"/>
    <n v="2"/>
    <d v="2012-01-15T00:00:00"/>
    <s v="HOME CLEANING                 "/>
    <s v="HOME CLEANING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7471/000010"/>
    <n v="1370151523"/>
    <n v="10"/>
    <x v="38"/>
    <x v="38"/>
    <s v="L4"/>
    <n v="1830003856"/>
    <n v="76"/>
    <s v="TN5040E4       "/>
    <s v="TN5040E4 WET&amp;DRY PRECISION HAIR CLIPPER           "/>
    <s v="S"/>
    <d v="2012-01-21T00:00:00"/>
    <m/>
    <s v="X"/>
    <x v="69"/>
    <n v="13.59"/>
    <n v="12"/>
    <d v="2012-02-13T00:00:00"/>
    <d v="2012-01-16T00:00:00"/>
    <n v="3000"/>
    <d v="2012-01-21T00:00:00"/>
    <n v="3000"/>
    <m/>
    <d v="2012-01-16T00:00:00"/>
    <n v="3000"/>
    <d v="2012-02-18T00:00:00"/>
    <d v="2012-01-21T00:00:00"/>
    <n v="3000"/>
    <n v="3000"/>
    <x v="26"/>
    <d v="2012-02-18T00:00:00"/>
    <m/>
    <n v="9321670752"/>
    <n v="10"/>
    <s v="MSKU6029516"/>
    <s v="MAERSK TANJONG/1202"/>
    <m/>
    <s v="YANTIAN"/>
    <s v="CONS-SHIPT/"/>
    <m/>
    <s v="JASON FAN"/>
    <s v="FO9"/>
    <s v="PERSONAL CARE                 "/>
    <s v="CONFIRMED"/>
    <n v="1"/>
    <n v="3"/>
    <d v="2012-01-21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9648/000010"/>
    <n v="1370152110"/>
    <n v="10"/>
    <x v="38"/>
    <x v="38"/>
    <s v="L4"/>
    <n v="1830002709"/>
    <n v="76"/>
    <s v="TN1050F0       "/>
    <s v="TN1050F0 HAIR CLIPPER DRIVER                      "/>
    <s v="S"/>
    <d v="2012-01-29T00:00:00"/>
    <m/>
    <s v="X"/>
    <x v="69"/>
    <n v="6.23"/>
    <n v="223"/>
    <d v="2012-03-05T00:00:00"/>
    <d v="2012-01-16T00:00:00"/>
    <n v="3000"/>
    <d v="2012-01-21T00:00:00"/>
    <n v="3000"/>
    <m/>
    <d v="2012-01-16T00:00:00"/>
    <n v="3000"/>
    <d v="2012-03-10T00:00:00"/>
    <d v="2012-01-21T00:00:00"/>
    <n v="3000"/>
    <n v="3000"/>
    <x v="4"/>
    <d v="2012-03-11T00:00:00"/>
    <m/>
    <n v="9321670753"/>
    <n v="10"/>
    <s v="TGHU4857088"/>
    <s v="MOL CHARISMA/009W"/>
    <m/>
    <s v="YANTIAN"/>
    <s v="CONS-SHIPT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77/000010"/>
    <n v="1370151385"/>
    <n v="10"/>
    <x v="13"/>
    <x v="13"/>
    <s v="A3"/>
    <n v="2100063610"/>
    <n v="205"/>
    <s v="C824S264       "/>
    <s v="C824S264 SET 6 PCS  ROCHEDO ELEGANCE LUN          "/>
    <s v="S"/>
    <d v="2012-01-26T00:00:00"/>
    <m/>
    <s v="X"/>
    <x v="69"/>
    <n v="34.51"/>
    <n v="40"/>
    <d v="2012-02-27T00:00:00"/>
    <d v="2012-01-16T00:00:00"/>
    <n v="1152"/>
    <d v="2012-01-16T00:00:00"/>
    <n v="1152"/>
    <m/>
    <d v="2012-01-16T00:00:00"/>
    <n v="1152"/>
    <d v="2012-02-29T00:00:00"/>
    <d v="2012-01-18T00:00:00"/>
    <n v="1152"/>
    <n v="608"/>
    <x v="21"/>
    <d v="2012-02-29T00:00:00"/>
    <m/>
    <n v="9321670755"/>
    <n v="10"/>
    <s v="SUDU6719290"/>
    <s v="MAERSK LUZ 202W/"/>
    <m/>
    <s v="YANTIAN"/>
    <m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77/000010"/>
    <n v="1370151385"/>
    <n v="10"/>
    <x v="13"/>
    <x v="13"/>
    <s v="A3"/>
    <n v="2100063610"/>
    <n v="205"/>
    <s v="C824S264       "/>
    <s v="C824S264 SET 6 PCS  ROCHEDO ELEGANCE LUN          "/>
    <s v="S"/>
    <d v="2012-01-26T00:00:00"/>
    <m/>
    <s v="X"/>
    <x v="69"/>
    <n v="34.51"/>
    <n v="40"/>
    <d v="2012-02-27T00:00:00"/>
    <d v="2012-01-16T00:00:00"/>
    <n v="1152"/>
    <d v="2012-01-16T00:00:00"/>
    <n v="1152"/>
    <m/>
    <d v="2012-01-16T00:00:00"/>
    <n v="1152"/>
    <d v="2012-02-29T00:00:00"/>
    <d v="2012-01-18T00:00:00"/>
    <n v="1152"/>
    <n v="136"/>
    <x v="21"/>
    <d v="2012-02-29T00:00:00"/>
    <m/>
    <n v="9321670755"/>
    <n v="10"/>
    <s v="SUDU5616847"/>
    <s v="MAERSK LUZ 202W/"/>
    <m/>
    <s v="YANTIAN"/>
    <m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77/000010"/>
    <n v="1370151385"/>
    <n v="10"/>
    <x v="13"/>
    <x v="13"/>
    <s v="A3"/>
    <n v="2100063610"/>
    <n v="205"/>
    <s v="C824S264       "/>
    <s v="C824S264 SET 6 PCS  ROCHEDO ELEGANCE LUN          "/>
    <s v="S"/>
    <d v="2012-01-26T00:00:00"/>
    <m/>
    <s v="X"/>
    <x v="69"/>
    <n v="34.51"/>
    <n v="40"/>
    <d v="2012-02-27T00:00:00"/>
    <d v="2012-01-16T00:00:00"/>
    <n v="1152"/>
    <d v="2012-01-16T00:00:00"/>
    <n v="1152"/>
    <m/>
    <d v="2012-01-16T00:00:00"/>
    <n v="1152"/>
    <d v="2012-02-29T00:00:00"/>
    <d v="2012-01-18T00:00:00"/>
    <n v="1152"/>
    <n v="136"/>
    <x v="21"/>
    <d v="2012-02-29T00:00:00"/>
    <m/>
    <n v="9321670755"/>
    <n v="10"/>
    <s v="HASU4003909"/>
    <s v="MAERSK LUZ 202W/"/>
    <m/>
    <s v="YANTIAN"/>
    <m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77/000010"/>
    <n v="1370151385"/>
    <n v="10"/>
    <x v="13"/>
    <x v="13"/>
    <s v="A3"/>
    <n v="2100063610"/>
    <n v="205"/>
    <s v="C824S264       "/>
    <s v="C824S264 SET 6 PCS  ROCHEDO ELEGANCE LUN          "/>
    <s v="S"/>
    <d v="2012-01-26T00:00:00"/>
    <m/>
    <s v="X"/>
    <x v="69"/>
    <n v="34.51"/>
    <n v="40"/>
    <d v="2012-02-27T00:00:00"/>
    <d v="2012-01-16T00:00:00"/>
    <n v="1152"/>
    <d v="2012-01-16T00:00:00"/>
    <n v="1152"/>
    <m/>
    <d v="2012-01-16T00:00:00"/>
    <n v="1152"/>
    <d v="2012-02-29T00:00:00"/>
    <d v="2012-01-18T00:00:00"/>
    <n v="1152"/>
    <n v="136"/>
    <x v="21"/>
    <d v="2012-02-29T00:00:00"/>
    <m/>
    <n v="9321670755"/>
    <n v="10"/>
    <s v="SUDU5829056"/>
    <s v="MAERSK LUZ 202W/"/>
    <m/>
    <s v="YANTIAN"/>
    <m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77/000010"/>
    <n v="1370151385"/>
    <n v="10"/>
    <x v="13"/>
    <x v="13"/>
    <s v="A3"/>
    <n v="2100063610"/>
    <n v="205"/>
    <s v="C824S264       "/>
    <s v="C824S264 SET 6 PCS  ROCHEDO ELEGANCE LUN          "/>
    <s v="S"/>
    <d v="2012-01-26T00:00:00"/>
    <m/>
    <s v="X"/>
    <x v="69"/>
    <n v="34.51"/>
    <n v="40"/>
    <d v="2012-02-27T00:00:00"/>
    <d v="2012-01-16T00:00:00"/>
    <n v="1152"/>
    <d v="2012-01-16T00:00:00"/>
    <n v="1152"/>
    <m/>
    <d v="2012-01-16T00:00:00"/>
    <n v="1152"/>
    <d v="2012-02-29T00:00:00"/>
    <d v="2012-01-18T00:00:00"/>
    <n v="1152"/>
    <n v="136"/>
    <x v="21"/>
    <d v="2012-02-29T00:00:00"/>
    <m/>
    <n v="9321670755"/>
    <n v="10"/>
    <s v="HASU4012958"/>
    <s v="MAERSK LUZ 202W/"/>
    <m/>
    <s v="YANTIAN"/>
    <m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74/000010"/>
    <n v="1370151386"/>
    <n v="10"/>
    <x v="13"/>
    <x v="13"/>
    <s v="A3"/>
    <n v="2100066108"/>
    <n v="205"/>
    <s v="C795S564       "/>
    <s v="C795S564 SET 5P PANEX STAINL ST WELDED B          "/>
    <s v="S"/>
    <d v="2012-01-26T00:00:00"/>
    <m/>
    <s v="X"/>
    <x v="69"/>
    <n v="22.7"/>
    <n v="26"/>
    <d v="2012-02-23T00:00:00"/>
    <d v="2012-01-12T00:00:00"/>
    <n v="1780"/>
    <d v="2012-01-12T00:00:00"/>
    <n v="1780"/>
    <m/>
    <d v="2012-01-12T00:00:00"/>
    <n v="1780"/>
    <d v="2012-02-29T00:00:00"/>
    <d v="2012-01-18T00:00:00"/>
    <n v="1780"/>
    <n v="1252"/>
    <x v="21"/>
    <d v="2012-02-29T00:00:00"/>
    <m/>
    <n v="9321670756"/>
    <n v="10"/>
    <s v="SUDU5817728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74/000010"/>
    <n v="1370151386"/>
    <n v="10"/>
    <x v="13"/>
    <x v="13"/>
    <s v="A3"/>
    <n v="2100066108"/>
    <n v="205"/>
    <s v="C795S564       "/>
    <s v="C795S564 SET 5P PANEX STAINL ST WELDED B          "/>
    <s v="S"/>
    <d v="2012-01-26T00:00:00"/>
    <m/>
    <s v="X"/>
    <x v="69"/>
    <n v="22.7"/>
    <n v="26"/>
    <d v="2012-02-23T00:00:00"/>
    <d v="2012-01-12T00:00:00"/>
    <n v="1780"/>
    <d v="2012-01-12T00:00:00"/>
    <n v="1780"/>
    <m/>
    <d v="2012-01-12T00:00:00"/>
    <n v="1780"/>
    <d v="2012-02-29T00:00:00"/>
    <d v="2012-01-18T00:00:00"/>
    <n v="1780"/>
    <n v="528"/>
    <x v="21"/>
    <d v="2012-02-29T00:00:00"/>
    <m/>
    <n v="9321670756"/>
    <n v="10"/>
    <s v="SUDU6744349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43/000010"/>
    <n v="1370151390"/>
    <n v="10"/>
    <x v="13"/>
    <x v="13"/>
    <s v="A3"/>
    <n v="2100065949"/>
    <n v="205"/>
    <s v="C824S165       "/>
    <s v="C824S165 SET 5 PCS  ROCHEDO ELEGANCE LUN          "/>
    <s v="S"/>
    <d v="2012-01-26T00:00:00"/>
    <m/>
    <s v="X"/>
    <x v="69"/>
    <n v="31.62"/>
    <n v="36"/>
    <d v="2012-02-20T00:00:00"/>
    <d v="2012-01-09T00:00:00"/>
    <n v="1880"/>
    <d v="2012-01-18T00:00:00"/>
    <n v="1880"/>
    <m/>
    <d v="2012-01-09T00:00:00"/>
    <n v="1880"/>
    <d v="2012-02-29T00:00:00"/>
    <d v="2012-01-18T00:00:00"/>
    <n v="1880"/>
    <n v="152"/>
    <x v="21"/>
    <d v="2012-02-29T00:00:00"/>
    <m/>
    <n v="9321670757"/>
    <n v="10"/>
    <s v="SUDU5829056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43/000010"/>
    <n v="1370151390"/>
    <n v="10"/>
    <x v="13"/>
    <x v="13"/>
    <s v="A3"/>
    <n v="2100065949"/>
    <n v="205"/>
    <s v="C824S165       "/>
    <s v="C824S165 SET 5 PCS  ROCHEDO ELEGANCE LUN          "/>
    <s v="S"/>
    <d v="2012-01-26T00:00:00"/>
    <m/>
    <s v="X"/>
    <x v="69"/>
    <n v="31.62"/>
    <n v="36"/>
    <d v="2012-02-20T00:00:00"/>
    <d v="2012-01-09T00:00:00"/>
    <n v="1880"/>
    <d v="2012-01-18T00:00:00"/>
    <n v="1880"/>
    <m/>
    <d v="2012-01-09T00:00:00"/>
    <n v="1880"/>
    <d v="2012-02-29T00:00:00"/>
    <d v="2012-01-18T00:00:00"/>
    <n v="1880"/>
    <n v="1728"/>
    <x v="21"/>
    <d v="2012-02-29T00:00:00"/>
    <m/>
    <n v="9321670757"/>
    <n v="10"/>
    <s v="HASU4012958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80/000010"/>
    <n v="1370151404"/>
    <n v="10"/>
    <x v="13"/>
    <x v="13"/>
    <s v="A3"/>
    <n v="2100065949"/>
    <n v="205"/>
    <s v="C824S165       "/>
    <s v="C824S165 SET 5 PCS  ROCHEDO ELEGANCE LUN          "/>
    <s v="S"/>
    <d v="2012-01-26T00:00:00"/>
    <m/>
    <s v="X"/>
    <x v="69"/>
    <n v="31.62"/>
    <n v="36"/>
    <d v="2012-02-23T00:00:00"/>
    <d v="2012-01-12T00:00:00"/>
    <n v="5640"/>
    <d v="2012-01-12T00:00:00"/>
    <n v="5640"/>
    <m/>
    <d v="2012-01-12T00:00:00"/>
    <n v="5640"/>
    <d v="2012-02-29T00:00:00"/>
    <d v="2012-01-18T00:00:00"/>
    <n v="5640"/>
    <n v="1728"/>
    <x v="21"/>
    <d v="2012-02-29T00:00:00"/>
    <m/>
    <n v="9321670758"/>
    <n v="10"/>
    <s v="HASU4003909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80/000010"/>
    <n v="1370151404"/>
    <n v="10"/>
    <x v="13"/>
    <x v="13"/>
    <s v="A3"/>
    <n v="2100065949"/>
    <n v="205"/>
    <s v="C824S165       "/>
    <s v="C824S165 SET 5 PCS  ROCHEDO ELEGANCE LUN          "/>
    <s v="S"/>
    <d v="2012-01-26T00:00:00"/>
    <m/>
    <s v="X"/>
    <x v="69"/>
    <n v="31.62"/>
    <n v="36"/>
    <d v="2012-02-23T00:00:00"/>
    <d v="2012-01-12T00:00:00"/>
    <n v="5640"/>
    <d v="2012-01-12T00:00:00"/>
    <n v="5640"/>
    <m/>
    <d v="2012-01-12T00:00:00"/>
    <n v="5640"/>
    <d v="2012-02-29T00:00:00"/>
    <d v="2012-01-18T00:00:00"/>
    <n v="5640"/>
    <n v="608"/>
    <x v="21"/>
    <d v="2012-02-29T00:00:00"/>
    <m/>
    <n v="9321670758"/>
    <n v="10"/>
    <s v="GRIU6405351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80/000010"/>
    <n v="1370151404"/>
    <n v="10"/>
    <x v="13"/>
    <x v="13"/>
    <s v="A3"/>
    <n v="2100065949"/>
    <n v="205"/>
    <s v="C824S165       "/>
    <s v="C824S165 SET 5 PCS  ROCHEDO ELEGANCE LUN          "/>
    <s v="S"/>
    <d v="2012-01-26T00:00:00"/>
    <m/>
    <s v="X"/>
    <x v="69"/>
    <n v="31.62"/>
    <n v="36"/>
    <d v="2012-02-23T00:00:00"/>
    <d v="2012-01-12T00:00:00"/>
    <n v="5640"/>
    <d v="2012-01-12T00:00:00"/>
    <n v="5640"/>
    <m/>
    <d v="2012-01-12T00:00:00"/>
    <n v="5640"/>
    <d v="2012-02-29T00:00:00"/>
    <d v="2012-01-18T00:00:00"/>
    <n v="5640"/>
    <n v="1576"/>
    <x v="21"/>
    <d v="2012-02-29T00:00:00"/>
    <m/>
    <n v="9321670758"/>
    <n v="10"/>
    <s v="SUDU5829056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80/000010"/>
    <n v="1370151404"/>
    <n v="10"/>
    <x v="13"/>
    <x v="13"/>
    <s v="A3"/>
    <n v="2100065949"/>
    <n v="205"/>
    <s v="C824S165       "/>
    <s v="C824S165 SET 5 PCS  ROCHEDO ELEGANCE LUN          "/>
    <s v="S"/>
    <d v="2012-01-26T00:00:00"/>
    <m/>
    <s v="X"/>
    <x v="69"/>
    <n v="31.62"/>
    <n v="36"/>
    <d v="2012-02-23T00:00:00"/>
    <d v="2012-01-12T00:00:00"/>
    <n v="5640"/>
    <d v="2012-01-12T00:00:00"/>
    <n v="5640"/>
    <m/>
    <d v="2012-01-12T00:00:00"/>
    <n v="5640"/>
    <d v="2012-02-29T00:00:00"/>
    <d v="2012-01-18T00:00:00"/>
    <n v="5640"/>
    <n v="1728"/>
    <x v="21"/>
    <d v="2012-02-29T00:00:00"/>
    <m/>
    <n v="9321670758"/>
    <n v="10"/>
    <s v="SUDU5616847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445/000010"/>
    <n v="1370151437"/>
    <n v="10"/>
    <x v="13"/>
    <x v="13"/>
    <s v="A3"/>
    <n v="2100065488"/>
    <n v="205"/>
    <s v="C797S564       "/>
    <s v="C797S564 SET 5P ROCHEDO ELEGANCE 2011 BR          "/>
    <s v="S"/>
    <d v="2012-01-26T00:00:00"/>
    <m/>
    <s v="X"/>
    <x v="69"/>
    <n v="29.3"/>
    <n v="34"/>
    <d v="2012-02-13T00:00:00"/>
    <d v="2012-01-02T00:00:00"/>
    <n v="5568"/>
    <d v="2012-01-18T00:00:00"/>
    <n v="5568"/>
    <m/>
    <d v="2012-01-02T00:00:00"/>
    <n v="5568"/>
    <d v="2012-02-29T00:00:00"/>
    <d v="2012-01-18T00:00:00"/>
    <n v="5568"/>
    <n v="336"/>
    <x v="21"/>
    <d v="2012-02-29T00:00:00"/>
    <m/>
    <n v="9321670759"/>
    <n v="10"/>
    <s v="SUDU6719290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445/000010"/>
    <n v="1370151437"/>
    <n v="10"/>
    <x v="13"/>
    <x v="13"/>
    <s v="A3"/>
    <n v="2100065488"/>
    <n v="205"/>
    <s v="C797S564       "/>
    <s v="C797S564 SET 5P ROCHEDO ELEGANCE 2011 BR          "/>
    <s v="S"/>
    <d v="2012-01-26T00:00:00"/>
    <m/>
    <s v="X"/>
    <x v="69"/>
    <n v="29.3"/>
    <n v="34"/>
    <d v="2012-02-13T00:00:00"/>
    <d v="2012-01-02T00:00:00"/>
    <n v="5568"/>
    <d v="2012-01-18T00:00:00"/>
    <n v="5568"/>
    <m/>
    <d v="2012-01-02T00:00:00"/>
    <n v="5568"/>
    <d v="2012-02-29T00:00:00"/>
    <d v="2012-01-18T00:00:00"/>
    <n v="5568"/>
    <n v="1116"/>
    <x v="21"/>
    <d v="2012-02-29T00:00:00"/>
    <m/>
    <n v="9321670759"/>
    <n v="10"/>
    <s v="GRIU6405351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445/000010"/>
    <n v="1370151437"/>
    <n v="10"/>
    <x v="13"/>
    <x v="13"/>
    <s v="A3"/>
    <n v="2100065488"/>
    <n v="205"/>
    <s v="C797S564       "/>
    <s v="C797S564 SET 5P ROCHEDO ELEGANCE 2011 BR          "/>
    <s v="S"/>
    <d v="2012-01-26T00:00:00"/>
    <m/>
    <s v="X"/>
    <x v="69"/>
    <n v="29.3"/>
    <n v="34"/>
    <d v="2012-02-13T00:00:00"/>
    <d v="2012-01-02T00:00:00"/>
    <n v="5568"/>
    <d v="2012-01-18T00:00:00"/>
    <n v="5568"/>
    <m/>
    <d v="2012-01-02T00:00:00"/>
    <n v="5568"/>
    <d v="2012-02-29T00:00:00"/>
    <d v="2012-01-18T00:00:00"/>
    <n v="5568"/>
    <n v="2058"/>
    <x v="21"/>
    <d v="2012-02-29T00:00:00"/>
    <m/>
    <n v="9321670759"/>
    <n v="10"/>
    <s v="SUDU8888026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445/000010"/>
    <n v="1370151437"/>
    <n v="10"/>
    <x v="13"/>
    <x v="13"/>
    <s v="A3"/>
    <n v="2100065488"/>
    <n v="205"/>
    <s v="C797S564       "/>
    <s v="C797S564 SET 5P ROCHEDO ELEGANCE 2011 BR          "/>
    <s v="S"/>
    <d v="2012-01-26T00:00:00"/>
    <m/>
    <s v="X"/>
    <x v="69"/>
    <n v="29.3"/>
    <n v="34"/>
    <d v="2012-02-13T00:00:00"/>
    <d v="2012-01-02T00:00:00"/>
    <n v="5568"/>
    <d v="2012-01-18T00:00:00"/>
    <n v="5568"/>
    <m/>
    <d v="2012-01-02T00:00:00"/>
    <n v="5568"/>
    <d v="2012-02-29T00:00:00"/>
    <d v="2012-01-18T00:00:00"/>
    <n v="5568"/>
    <n v="2058"/>
    <x v="21"/>
    <d v="2012-02-29T00:00:00"/>
    <m/>
    <n v="9321670759"/>
    <n v="10"/>
    <s v="SUDU8712823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76/000010"/>
    <n v="1370151539"/>
    <n v="10"/>
    <x v="13"/>
    <x v="13"/>
    <s v="A3"/>
    <n v="2100066108"/>
    <n v="205"/>
    <s v="C795S564       "/>
    <s v="C795S564 SET 5P PANEX STAINL ST WELDED B          "/>
    <s v="S"/>
    <d v="2012-01-26T00:00:00"/>
    <m/>
    <s v="X"/>
    <x v="69"/>
    <n v="22.7"/>
    <n v="26"/>
    <d v="2012-03-19T00:00:00"/>
    <d v="2012-02-06T00:00:00"/>
    <n v="4100"/>
    <d v="2012-01-18T00:00:00"/>
    <n v="4100"/>
    <m/>
    <d v="2012-01-18T00:00:00"/>
    <n v="4100"/>
    <d v="2012-02-29T00:00:00"/>
    <d v="2012-01-18T00:00:00"/>
    <n v="4100"/>
    <n v="1194"/>
    <x v="21"/>
    <d v="2012-02-29T00:00:00"/>
    <m/>
    <n v="9321670760"/>
    <n v="10"/>
    <s v="SUDU6594927"/>
    <s v="MAERSK LUZ 202W/"/>
    <m/>
    <s v="YANTIAN"/>
    <s v="SP-HOLIDAY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76/000010"/>
    <n v="1370151539"/>
    <n v="10"/>
    <x v="13"/>
    <x v="13"/>
    <s v="A3"/>
    <n v="2100066108"/>
    <n v="205"/>
    <s v="C795S564       "/>
    <s v="C795S564 SET 5P PANEX STAINL ST WELDED B          "/>
    <s v="S"/>
    <d v="2012-01-26T00:00:00"/>
    <m/>
    <s v="X"/>
    <x v="69"/>
    <n v="22.7"/>
    <n v="26"/>
    <d v="2012-03-19T00:00:00"/>
    <d v="2012-02-06T00:00:00"/>
    <n v="4100"/>
    <d v="2012-01-18T00:00:00"/>
    <n v="4100"/>
    <m/>
    <d v="2012-01-18T00:00:00"/>
    <n v="4100"/>
    <d v="2012-02-29T00:00:00"/>
    <d v="2012-01-18T00:00:00"/>
    <n v="4100"/>
    <n v="724"/>
    <x v="21"/>
    <d v="2012-02-29T00:00:00"/>
    <m/>
    <n v="9321670760"/>
    <n v="10"/>
    <s v="CADU7006961"/>
    <s v="MAERSK LUZ 202W/"/>
    <m/>
    <s v="YANTIAN"/>
    <s v="SP-HOLIDAY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76/000010"/>
    <n v="1370151539"/>
    <n v="10"/>
    <x v="13"/>
    <x v="13"/>
    <s v="A3"/>
    <n v="2100066108"/>
    <n v="205"/>
    <s v="C795S564       "/>
    <s v="C795S564 SET 5P PANEX STAINL ST WELDED B          "/>
    <s v="S"/>
    <d v="2012-01-26T00:00:00"/>
    <m/>
    <s v="X"/>
    <x v="69"/>
    <n v="22.7"/>
    <n v="26"/>
    <d v="2012-03-19T00:00:00"/>
    <d v="2012-02-06T00:00:00"/>
    <n v="4100"/>
    <d v="2012-01-18T00:00:00"/>
    <n v="4100"/>
    <m/>
    <d v="2012-01-18T00:00:00"/>
    <n v="4100"/>
    <d v="2012-02-29T00:00:00"/>
    <d v="2012-01-18T00:00:00"/>
    <n v="4100"/>
    <n v="2182"/>
    <x v="21"/>
    <d v="2012-02-29T00:00:00"/>
    <m/>
    <n v="9321670760"/>
    <n v="10"/>
    <s v="HASU4062711"/>
    <s v="MAERSK LUZ 202W/"/>
    <m/>
    <s v="YANTIAN"/>
    <s v="SP-HOLIDAY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1600"/>
    <s v="GRUPO SEB DO BRASIL                               "/>
    <n v="99001600"/>
    <x v="2"/>
    <s v="9820641375/000010"/>
    <n v="1370151540"/>
    <n v="10"/>
    <x v="13"/>
    <x v="13"/>
    <s v="A3"/>
    <n v="2100066108"/>
    <n v="205"/>
    <s v="C795S564       "/>
    <s v="C795S564 SET 5P PANEX STAINL ST WELDED B          "/>
    <s v="S"/>
    <d v="2012-01-26T00:00:00"/>
    <m/>
    <s v="X"/>
    <x v="69"/>
    <n v="22.7"/>
    <n v="26"/>
    <d v="2012-02-27T00:00:00"/>
    <d v="2012-01-16T00:00:00"/>
    <n v="4100"/>
    <d v="2012-01-16T00:00:00"/>
    <n v="4100"/>
    <m/>
    <d v="2012-01-16T00:00:00"/>
    <n v="4100"/>
    <d v="2012-02-29T00:00:00"/>
    <d v="2012-01-18T00:00:00"/>
    <n v="4100"/>
    <n v="930"/>
    <x v="21"/>
    <d v="2012-02-29T00:00:00"/>
    <m/>
    <n v="9321670761"/>
    <n v="10"/>
    <s v="SUDU5817728"/>
    <s v="MAERSK LUZ 202W/"/>
    <m/>
    <s v="YANTIAN"/>
    <m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75/000010"/>
    <n v="1370151540"/>
    <n v="10"/>
    <x v="13"/>
    <x v="13"/>
    <s v="A3"/>
    <n v="2100066108"/>
    <n v="205"/>
    <s v="C795S564       "/>
    <s v="C795S564 SET 5P PANEX STAINL ST WELDED B          "/>
    <s v="S"/>
    <d v="2012-01-26T00:00:00"/>
    <m/>
    <s v="X"/>
    <x v="69"/>
    <n v="22.7"/>
    <n v="26"/>
    <d v="2012-02-27T00:00:00"/>
    <d v="2012-01-16T00:00:00"/>
    <n v="4100"/>
    <d v="2012-01-16T00:00:00"/>
    <n v="4100"/>
    <m/>
    <d v="2012-01-16T00:00:00"/>
    <n v="4100"/>
    <d v="2012-02-29T00:00:00"/>
    <d v="2012-01-18T00:00:00"/>
    <n v="4100"/>
    <n v="2182"/>
    <x v="21"/>
    <d v="2012-02-29T00:00:00"/>
    <m/>
    <n v="9321670761"/>
    <n v="10"/>
    <s v="SUDU8933207"/>
    <s v="MAERSK LUZ 202W/"/>
    <m/>
    <s v="YANTIAN"/>
    <m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75/000010"/>
    <n v="1370151540"/>
    <n v="10"/>
    <x v="13"/>
    <x v="13"/>
    <s v="A3"/>
    <n v="2100066108"/>
    <n v="205"/>
    <s v="C795S564       "/>
    <s v="C795S564 SET 5P PANEX STAINL ST WELDED B          "/>
    <s v="S"/>
    <d v="2012-01-26T00:00:00"/>
    <m/>
    <s v="X"/>
    <x v="69"/>
    <n v="22.7"/>
    <n v="26"/>
    <d v="2012-02-27T00:00:00"/>
    <d v="2012-01-16T00:00:00"/>
    <n v="4100"/>
    <d v="2012-01-16T00:00:00"/>
    <n v="4100"/>
    <m/>
    <d v="2012-01-16T00:00:00"/>
    <n v="4100"/>
    <d v="2012-02-29T00:00:00"/>
    <d v="2012-01-18T00:00:00"/>
    <n v="4100"/>
    <n v="988"/>
    <x v="21"/>
    <d v="2012-02-29T00:00:00"/>
    <m/>
    <n v="9321670761"/>
    <n v="10"/>
    <s v="SUDU6594927"/>
    <s v="MAERSK LUZ 202W/"/>
    <m/>
    <s v="YANTIAN"/>
    <m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2091/000010"/>
    <n v="1370151547"/>
    <n v="10"/>
    <x v="13"/>
    <x v="13"/>
    <s v="A3"/>
    <n v="2100069162"/>
    <n v="205"/>
    <s v="C795A564       "/>
    <s v="C795A564 SET 5P PANEX STAINL ST WELDED B          "/>
    <s v="S"/>
    <d v="2012-01-26T00:00:00"/>
    <m/>
    <s v="X"/>
    <x v="69"/>
    <n v="15.38"/>
    <n v="18"/>
    <d v="2012-02-26T00:00:00"/>
    <d v="2012-01-15T00:00:00"/>
    <n v="2000"/>
    <d v="2012-01-15T00:00:00"/>
    <n v="2000"/>
    <m/>
    <d v="2012-01-15T00:00:00"/>
    <n v="2000"/>
    <d v="2012-02-29T00:00:00"/>
    <d v="2012-01-18T00:00:00"/>
    <n v="2000"/>
    <n v="2000"/>
    <x v="21"/>
    <d v="2012-02-29T00:00:00"/>
    <m/>
    <n v="9321670762"/>
    <n v="10"/>
    <s v="CADU7006961"/>
    <s v="MAERSK LUZ 202W/"/>
    <m/>
    <s v="YANTIAN"/>
    <m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40/000010"/>
    <n v="1370151550"/>
    <n v="10"/>
    <x v="13"/>
    <x v="13"/>
    <s v="A3"/>
    <n v="2100066108"/>
    <n v="205"/>
    <s v="C795S564       "/>
    <s v="C795S564 SET 5P PANEX STAINL ST WELDED B          "/>
    <s v="S"/>
    <d v="2012-01-26T00:00:00"/>
    <m/>
    <s v="X"/>
    <x v="69"/>
    <n v="22.7"/>
    <n v="26"/>
    <d v="2012-02-20T00:00:00"/>
    <d v="2012-01-09T00:00:00"/>
    <n v="4100"/>
    <d v="2012-01-18T00:00:00"/>
    <n v="4100"/>
    <m/>
    <d v="2012-01-09T00:00:00"/>
    <n v="4100"/>
    <d v="2012-02-29T00:00:00"/>
    <d v="2012-01-18T00:00:00"/>
    <n v="4100"/>
    <n v="1654"/>
    <x v="21"/>
    <d v="2012-02-29T00:00:00"/>
    <m/>
    <n v="9321670763"/>
    <n v="10"/>
    <s v="SUDU6744349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40/000010"/>
    <n v="1370151550"/>
    <n v="10"/>
    <x v="13"/>
    <x v="13"/>
    <s v="A3"/>
    <n v="2100066108"/>
    <n v="205"/>
    <s v="C795S564       "/>
    <s v="C795S564 SET 5P PANEX STAINL ST WELDED B          "/>
    <s v="S"/>
    <d v="2012-01-26T00:00:00"/>
    <m/>
    <s v="X"/>
    <x v="69"/>
    <n v="22.7"/>
    <n v="26"/>
    <d v="2012-02-20T00:00:00"/>
    <d v="2012-01-09T00:00:00"/>
    <n v="4100"/>
    <d v="2012-01-18T00:00:00"/>
    <n v="4100"/>
    <m/>
    <d v="2012-01-09T00:00:00"/>
    <n v="4100"/>
    <d v="2012-02-29T00:00:00"/>
    <d v="2012-01-18T00:00:00"/>
    <n v="4100"/>
    <n v="264"/>
    <x v="21"/>
    <d v="2012-02-29T00:00:00"/>
    <m/>
    <n v="9321670763"/>
    <n v="10"/>
    <s v="SUDU5666452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40/000010"/>
    <n v="1370151550"/>
    <n v="10"/>
    <x v="13"/>
    <x v="13"/>
    <s v="A3"/>
    <n v="2100066108"/>
    <n v="205"/>
    <s v="C795S564       "/>
    <s v="C795S564 SET 5P PANEX STAINL ST WELDED B          "/>
    <s v="S"/>
    <d v="2012-01-26T00:00:00"/>
    <m/>
    <s v="X"/>
    <x v="69"/>
    <n v="22.7"/>
    <n v="26"/>
    <d v="2012-02-20T00:00:00"/>
    <d v="2012-01-09T00:00:00"/>
    <n v="4100"/>
    <d v="2012-01-18T00:00:00"/>
    <n v="4100"/>
    <m/>
    <d v="2012-01-09T00:00:00"/>
    <n v="4100"/>
    <d v="2012-02-29T00:00:00"/>
    <d v="2012-01-18T00:00:00"/>
    <n v="4100"/>
    <n v="2182"/>
    <x v="21"/>
    <d v="2012-02-29T00:00:00"/>
    <m/>
    <n v="9321670763"/>
    <n v="10"/>
    <s v="CAXU8025159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39/000010"/>
    <n v="1370151551"/>
    <n v="10"/>
    <x v="13"/>
    <x v="13"/>
    <s v="A3"/>
    <n v="2100066108"/>
    <n v="205"/>
    <s v="C795S564       "/>
    <s v="C795S564 SET 5P PANEX STAINL ST WELDED B          "/>
    <s v="S"/>
    <d v="2012-01-26T00:00:00"/>
    <m/>
    <s v="X"/>
    <x v="69"/>
    <n v="22.7"/>
    <n v="26"/>
    <d v="2012-02-13T00:00:00"/>
    <d v="2012-01-02T00:00:00"/>
    <n v="4100"/>
    <d v="2012-01-18T00:00:00"/>
    <n v="4100"/>
    <m/>
    <d v="2012-01-02T00:00:00"/>
    <n v="4100"/>
    <d v="2012-02-29T00:00:00"/>
    <d v="2012-01-18T00:00:00"/>
    <n v="4100"/>
    <n v="1918"/>
    <x v="21"/>
    <d v="2012-02-29T00:00:00"/>
    <m/>
    <n v="9321670764"/>
    <n v="10"/>
    <s v="SUDU5666452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39/000010"/>
    <n v="1370151551"/>
    <n v="10"/>
    <x v="13"/>
    <x v="13"/>
    <s v="A3"/>
    <n v="2100066108"/>
    <n v="205"/>
    <s v="C795S564       "/>
    <s v="C795S564 SET 5P PANEX STAINL ST WELDED B          "/>
    <s v="S"/>
    <d v="2012-01-26T00:00:00"/>
    <m/>
    <s v="X"/>
    <x v="69"/>
    <n v="22.7"/>
    <n v="26"/>
    <d v="2012-02-13T00:00:00"/>
    <d v="2012-01-02T00:00:00"/>
    <n v="4100"/>
    <d v="2012-01-18T00:00:00"/>
    <n v="4100"/>
    <m/>
    <d v="2012-01-02T00:00:00"/>
    <n v="4100"/>
    <d v="2012-02-29T00:00:00"/>
    <d v="2012-01-18T00:00:00"/>
    <n v="4100"/>
    <n v="2182"/>
    <x v="21"/>
    <d v="2012-02-29T00:00:00"/>
    <m/>
    <n v="9321670764"/>
    <n v="10"/>
    <s v="SUDU8616028"/>
    <s v="MAERSK LUZ 202W/"/>
    <m/>
    <s v="YANTIAN"/>
    <s v="NEWREQ-CUSTOMS/"/>
    <m/>
    <m/>
    <s v="FO9"/>
    <s v="COOKWARE                      "/>
    <s v="CONFIRMED"/>
    <n v="1"/>
    <n v="3"/>
    <d v="2012-01-18T00:00:00"/>
    <s v="COOKWARE                      "/>
    <s v="COOKWARE                      "/>
    <x v="5"/>
    <x v="2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38/000010"/>
    <n v="1370151552"/>
    <n v="10"/>
    <x v="13"/>
    <x v="13"/>
    <s v="A3"/>
    <n v="2100066108"/>
    <n v="205"/>
    <s v="C795S564       "/>
    <s v="C795S564 SET 5P PANEX STAINL ST WELDED B          "/>
    <s v="S"/>
    <d v="2012-01-31T00:00:00"/>
    <m/>
    <s v="X"/>
    <x v="69"/>
    <n v="22.7"/>
    <n v="26"/>
    <d v="2012-02-06T00:00:00"/>
    <d v="2011-12-26T00:00:00"/>
    <n v="4100"/>
    <d v="2012-01-11T00:00:00"/>
    <n v="4100"/>
    <m/>
    <d v="2011-12-26T00:00:00"/>
    <n v="4100"/>
    <d v="2012-02-22T00:00:00"/>
    <d v="2012-01-11T00:00:00"/>
    <n v="4100"/>
    <n v="2050"/>
    <x v="17"/>
    <d v="2012-02-22T00:00:00"/>
    <m/>
    <n v="9321670765"/>
    <n v="10"/>
    <s v="SUDU6552500"/>
    <s v="COSCO VIETNAM 201W"/>
    <m/>
    <s v="YANTIAN"/>
    <m/>
    <m/>
    <m/>
    <s v="FO9"/>
    <s v="COOKWARE                      "/>
    <s v="CONFIRMED"/>
    <n v="1"/>
    <n v="2"/>
    <d v="2012-01-11T00:00:00"/>
    <s v="COOKWARE                      "/>
    <s v="COOKWARE                      "/>
    <x v="5"/>
    <x v="2"/>
    <x v="1"/>
    <m/>
    <n v="0"/>
    <n v="0"/>
    <x v="1"/>
    <n v="0"/>
    <x v="0"/>
    <x v="0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38/000010"/>
    <n v="1370151552"/>
    <n v="10"/>
    <x v="13"/>
    <x v="13"/>
    <s v="A3"/>
    <n v="2100066108"/>
    <n v="205"/>
    <s v="C795S564       "/>
    <s v="C795S564 SET 5P PANEX STAINL ST WELDED B          "/>
    <s v="S"/>
    <d v="2012-01-31T00:00:00"/>
    <m/>
    <s v="X"/>
    <x v="69"/>
    <n v="22.7"/>
    <n v="26"/>
    <d v="2012-02-06T00:00:00"/>
    <d v="2011-12-26T00:00:00"/>
    <n v="4100"/>
    <d v="2012-01-11T00:00:00"/>
    <n v="4100"/>
    <m/>
    <d v="2011-12-26T00:00:00"/>
    <n v="4100"/>
    <d v="2012-02-22T00:00:00"/>
    <d v="2012-01-11T00:00:00"/>
    <n v="4100"/>
    <n v="2050"/>
    <x v="17"/>
    <d v="2012-02-22T00:00:00"/>
    <m/>
    <n v="9321670765"/>
    <n v="10"/>
    <s v="SUDU6706143"/>
    <s v="COSCO VIETNAM 201W"/>
    <m/>
    <s v="YANTIAN"/>
    <m/>
    <m/>
    <m/>
    <s v="FO9"/>
    <s v="COOKWARE                      "/>
    <s v="CONFIRMED"/>
    <n v="1"/>
    <n v="2"/>
    <d v="2012-01-11T00:00:00"/>
    <s v="COOKWARE                      "/>
    <s v="COOKWARE                      "/>
    <x v="5"/>
    <x v="2"/>
    <x v="1"/>
    <m/>
    <n v="0"/>
    <n v="0"/>
    <x v="1"/>
    <n v="0"/>
    <x v="0"/>
    <x v="0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1341/000010"/>
    <n v="1370151391"/>
    <n v="10"/>
    <x v="13"/>
    <x v="13"/>
    <s v="A3"/>
    <n v="2100063610"/>
    <n v="205"/>
    <s v="C824S264       "/>
    <s v="C824S264 SET 6 PCS  ROCHEDO ELEGANCE LUN          "/>
    <s v="S"/>
    <d v="2012-01-31T00:00:00"/>
    <m/>
    <s v="X"/>
    <x v="69"/>
    <n v="34.51"/>
    <n v="40"/>
    <d v="2012-02-09T00:00:00"/>
    <d v="2011-12-29T00:00:00"/>
    <n v="1440"/>
    <d v="2012-01-11T00:00:00"/>
    <n v="1440"/>
    <m/>
    <d v="2011-12-29T00:00:00"/>
    <n v="1440"/>
    <d v="2012-02-22T00:00:00"/>
    <d v="2012-01-11T00:00:00"/>
    <n v="1440"/>
    <n v="1440"/>
    <x v="17"/>
    <d v="2012-02-22T00:00:00"/>
    <m/>
    <n v="9321670770"/>
    <n v="10"/>
    <s v="SUDU6536860"/>
    <s v="COSCO VIETNAM 201W"/>
    <m/>
    <s v="YANTIAN"/>
    <m/>
    <m/>
    <m/>
    <s v="FO9"/>
    <s v="COOKWARE                      "/>
    <s v="CONFIRMED"/>
    <n v="1"/>
    <n v="2"/>
    <d v="2012-01-11T00:00:00"/>
    <s v="COOKWARE                      "/>
    <s v="COOKWARE                      "/>
    <x v="5"/>
    <x v="2"/>
    <x v="1"/>
    <m/>
    <n v="0"/>
    <n v="0"/>
    <x v="1"/>
    <n v="0"/>
    <x v="0"/>
    <x v="0"/>
    <x v="1"/>
    <n v="0"/>
    <n v="1"/>
    <n v="0"/>
    <n v="0"/>
    <n v="0"/>
    <n v="1"/>
    <x v="0"/>
    <x v="0"/>
    <x v="0"/>
    <x v="0"/>
  </r>
  <r>
    <s v="Shipment"/>
    <n v="99001600"/>
    <s v="GRUPO SEB DO BRASIL                               "/>
    <n v="99001600"/>
    <x v="2"/>
    <s v="9820642090/000010"/>
    <n v="1370151530"/>
    <n v="10"/>
    <x v="13"/>
    <x v="13"/>
    <s v="A3"/>
    <n v="2100069162"/>
    <n v="205"/>
    <s v="C795A564       "/>
    <s v="C795A564 SET 5P PANEX STAINL ST WELDED B          "/>
    <s v="S"/>
    <d v="2012-02-02T00:00:00"/>
    <m/>
    <s v="X"/>
    <x v="69"/>
    <n v="15.38"/>
    <n v="18"/>
    <d v="2012-02-09T00:00:00"/>
    <d v="2011-12-29T00:00:00"/>
    <n v="2000"/>
    <d v="2012-01-25T00:00:00"/>
    <n v="2000"/>
    <m/>
    <d v="2011-12-29T00:00:00"/>
    <n v="2000"/>
    <d v="2012-03-07T00:00:00"/>
    <d v="2012-01-25T00:00:00"/>
    <n v="2000"/>
    <n v="2000"/>
    <x v="27"/>
    <d v="2012-03-07T00:00:00"/>
    <m/>
    <n v="9321670771"/>
    <n v="10"/>
    <s v="SUDU5550210"/>
    <s v="MAERSK LA PAZ 203W/"/>
    <m/>
    <s v="YANTIAN"/>
    <s v="NEWREQ-CUSTOMS/"/>
    <m/>
    <m/>
    <s v="FO9"/>
    <s v="COOKWARE                      "/>
    <s v="CONFIRMED"/>
    <n v="1"/>
    <n v="4"/>
    <d v="2012-01-25T00:00:00"/>
    <s v="COOKWARE                      "/>
    <s v="COOKWARE                      "/>
    <x v="5"/>
    <x v="2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200"/>
    <s v="TEFAL SAS                                         "/>
    <n v="99001200"/>
    <x v="31"/>
    <s v="9321670207/000010"/>
    <n v="1370152233"/>
    <n v="10"/>
    <x v="13"/>
    <x v="13"/>
    <s v="A3"/>
    <n v="2100058647"/>
    <n v="205"/>
    <s v="E925S374       "/>
    <s v="E925S374 SET 3SCP+LID JO SS PROF3 UNCOAT          "/>
    <s v="S"/>
    <d v="2012-02-06T00:00:00"/>
    <m/>
    <s v="X"/>
    <x v="69"/>
    <n v="41.68"/>
    <n v="35"/>
    <d v="2012-02-17T00:00:00"/>
    <d v="2012-01-13T00:00:00"/>
    <n v="500"/>
    <d v="2012-01-13T00:00:00"/>
    <n v="500"/>
    <m/>
    <d v="2012-01-13T00:00:00"/>
    <n v="500"/>
    <d v="2012-03-06T00:00:00"/>
    <d v="2012-01-31T00:00:00"/>
    <n v="500"/>
    <n v="500"/>
    <x v="20"/>
    <d v="2012-03-06T00:00:00"/>
    <m/>
    <n v="9321670772"/>
    <n v="10"/>
    <s v="TTNU4360301"/>
    <s v="MOL PREMIUM/029W"/>
    <m/>
    <s v="YANTIAN"/>
    <s v="SP-CONT-BOOKING/"/>
    <m/>
    <s v="JASON FAN"/>
    <s v="FO9"/>
    <s v="COOKWARE                      "/>
    <s v="CONFIRMED"/>
    <n v="1"/>
    <n v="5"/>
    <d v="2012-01-31T00:00:00"/>
    <s v="COOKWARE                      "/>
    <s v="COOKWARE                      "/>
    <x v="5"/>
    <x v="2"/>
    <x v="20"/>
    <s v="SP-CONT-BOOKING"/>
    <n v="1"/>
    <n v="1"/>
    <x v="20"/>
    <n v="1"/>
    <x v="0"/>
    <x v="0"/>
    <x v="1"/>
    <n v="0"/>
    <n v="0"/>
    <n v="0"/>
    <n v="0"/>
    <n v="0"/>
    <n v="0"/>
    <x v="1"/>
    <x v="0"/>
    <x v="1"/>
    <x v="0"/>
  </r>
  <r>
    <s v="Shipment"/>
    <n v="99005400"/>
    <s v="GROUPE SEB KOREA                                  "/>
    <n v="99005400"/>
    <x v="6"/>
    <s v="3296/000001"/>
    <n v="1370152273"/>
    <n v="10"/>
    <x v="13"/>
    <x v="13"/>
    <s v="A3"/>
    <n v="2100054943"/>
    <n v="205"/>
    <s v="C8372312       "/>
    <s v="C8372312 SCP18+CV EASY GRIP SS UNCOAT KO          "/>
    <s v="S"/>
    <d v="2012-01-17T00:00:00"/>
    <m/>
    <s v="X"/>
    <x v="69"/>
    <n v="7.58"/>
    <n v="11"/>
    <d v="2012-02-20T00:00:00"/>
    <d v="2012-02-06T00:00:00"/>
    <n v="2000"/>
    <d v="2012-01-19T00:00:00"/>
    <n v="2000"/>
    <m/>
    <d v="2012-01-19T00:00:00"/>
    <n v="2000"/>
    <d v="2012-01-29T00:00:00"/>
    <d v="2012-01-15T00:00:00"/>
    <n v="2000"/>
    <n v="2000"/>
    <x v="11"/>
    <d v="2012-01-29T00:00:00"/>
    <m/>
    <n v="9321670773"/>
    <n v="10"/>
    <s v="POCU1010833"/>
    <s v="OTTO SCHULTE/1202"/>
    <m/>
    <s v="YANTIAN"/>
    <s v="SP-HOLIDAY/"/>
    <m/>
    <s v="AGNES NUNES"/>
    <s v="FO9"/>
    <s v="COOKWARE                      "/>
    <s v="CONFIRMED"/>
    <n v="1"/>
    <n v="2"/>
    <d v="2012-01-15T00:00:00"/>
    <s v="COOKWARE                      "/>
    <s v="COOKWARE                      "/>
    <x v="5"/>
    <x v="2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296/000002"/>
    <n v="1370152273"/>
    <n v="20"/>
    <x v="13"/>
    <x v="13"/>
    <s v="A3"/>
    <n v="2100057815"/>
    <n v="205"/>
    <s v="C8374312       "/>
    <s v="C8374312 D.OV18LID EASY GRIP SS UNCOAT K          "/>
    <s v="S"/>
    <d v="2012-01-17T00:00:00"/>
    <m/>
    <s v="X"/>
    <x v="69"/>
    <n v="7.78"/>
    <n v="11"/>
    <d v="2012-02-20T00:00:00"/>
    <d v="2012-02-06T00:00:00"/>
    <n v="2000"/>
    <d v="2012-01-19T00:00:00"/>
    <n v="2000"/>
    <m/>
    <d v="2012-01-19T00:00:00"/>
    <n v="2000"/>
    <d v="2012-01-29T00:00:00"/>
    <d v="2012-01-15T00:00:00"/>
    <n v="2000"/>
    <n v="2000"/>
    <x v="11"/>
    <d v="2012-01-29T00:00:00"/>
    <m/>
    <n v="9321670773"/>
    <n v="20"/>
    <s v="POCU1010833"/>
    <s v="OTTO SCHULTE/1202"/>
    <m/>
    <s v="YANTIAN"/>
    <s v="SP-HOLIDAY/"/>
    <m/>
    <s v="AGNES NUNES"/>
    <s v="FO9"/>
    <s v="COOKWARE                      "/>
    <s v="CONFIRMED"/>
    <n v="1"/>
    <n v="2"/>
    <d v="2012-01-15T00:00:00"/>
    <s v="COOKWARE                      "/>
    <s v="COOKWARE                      "/>
    <x v="5"/>
    <x v="2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7551/000010"/>
    <n v="1370151636"/>
    <n v="10"/>
    <x v="39"/>
    <x v="39"/>
    <s v="R1"/>
    <n v="8000032983"/>
    <n v="27"/>
    <s v="KM101050       "/>
    <s v="KM101050 FILTERED COFFEE SS 10CUP                 "/>
    <s v="S"/>
    <d v="2012-02-01T00:00:00"/>
    <m/>
    <s v="X"/>
    <x v="69"/>
    <n v="17.010000000000002"/>
    <n v="19"/>
    <d v="2012-02-22T00:00:00"/>
    <d v="2012-01-18T00:00:00"/>
    <n v="1728"/>
    <d v="2012-01-18T00:00:00"/>
    <n v="1728"/>
    <m/>
    <d v="2012-01-18T00:00:00"/>
    <n v="1728"/>
    <d v="2012-02-22T00:00:00"/>
    <d v="2012-01-18T00:00:00"/>
    <n v="1728"/>
    <n v="1728"/>
    <x v="1"/>
    <d v="2012-02-27T00:00:00"/>
    <m/>
    <n v="9321670774"/>
    <n v="10"/>
    <s v="MAXU6201048"/>
    <s v="NYK RIGEL 16E03/"/>
    <m/>
    <s v="YANTIAN"/>
    <m/>
    <m/>
    <s v="TWEETY LEUNG"/>
    <s v="FO9"/>
    <s v="BEVERAGE                      "/>
    <s v="CONFIRMED"/>
    <n v="1"/>
    <n v="4"/>
    <d v="2012-01-23T00:00:00"/>
    <s v="KITCHEN ELECTRICS             "/>
    <s v="BREAKFAST &amp; BREVAGE PREP      "/>
    <x v="4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60/000010"/>
    <n v="1370151380"/>
    <n v="10"/>
    <x v="2"/>
    <x v="2"/>
    <s v="R1"/>
    <n v="1500634547"/>
    <n v="27"/>
    <n v="634547"/>
    <s v="CM210551 FCM SUBITO 110V 22C BLK/SS BR            "/>
    <s v="S"/>
    <d v="2012-01-23T00:00:00"/>
    <m/>
    <s v="X"/>
    <x v="69"/>
    <n v="8.4499999999999993"/>
    <n v="10"/>
    <d v="2012-03-19T00:00:00"/>
    <d v="2012-02-06T00:00:00"/>
    <n v="4458"/>
    <d v="2012-01-15T00:00:00"/>
    <n v="4458"/>
    <m/>
    <d v="2012-02-06T00:00:00"/>
    <n v="4458"/>
    <d v="2012-02-27T00:00:00"/>
    <d v="2012-01-16T00:00:00"/>
    <n v="4458"/>
    <n v="1332"/>
    <x v="21"/>
    <d v="2012-02-29T00:00:00"/>
    <m/>
    <n v="9321670775"/>
    <n v="10"/>
    <s v="SUDU8616455"/>
    <s v="MAERSK LUZ/202W/"/>
    <m/>
    <s v="YANTIAN"/>
    <s v="SP-OVERCAP/SP-HOLIDAY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1"/>
    <x v="1"/>
    <x v="11"/>
    <s v="SP-OVERCAP"/>
    <n v="-3"/>
    <n v="-3"/>
    <x v="9"/>
    <n v="2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60/000010"/>
    <n v="1370151380"/>
    <n v="10"/>
    <x v="2"/>
    <x v="2"/>
    <s v="R1"/>
    <n v="1500634547"/>
    <n v="27"/>
    <n v="634547"/>
    <s v="CM210551 FCM SUBITO 110V 22C BLK/SS BR            "/>
    <s v="S"/>
    <d v="2012-01-21T00:00:00"/>
    <m/>
    <s v="X"/>
    <x v="69"/>
    <n v="8.4499999999999993"/>
    <n v="10"/>
    <d v="2012-03-19T00:00:00"/>
    <d v="2012-02-06T00:00:00"/>
    <n v="4458"/>
    <d v="2012-01-15T00:00:00"/>
    <n v="4458"/>
    <m/>
    <d v="2012-02-06T00:00:00"/>
    <n v="4458"/>
    <d v="2012-02-27T00:00:00"/>
    <d v="2012-01-16T00:00:00"/>
    <n v="4458"/>
    <n v="3126"/>
    <x v="21"/>
    <d v="2012-02-29T00:00:00"/>
    <m/>
    <n v="9321670775"/>
    <n v="10"/>
    <s v="SUDU6841797"/>
    <s v="MAERSK LUZ/202W/"/>
    <m/>
    <s v="YANTIAN"/>
    <s v="SP-OVERCAP/SP-HOLIDAY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1"/>
    <x v="1"/>
    <x v="11"/>
    <s v="SP-OVERCAP"/>
    <n v="-3"/>
    <n v="-3"/>
    <x v="9"/>
    <n v="2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59/000010"/>
    <n v="1370151403"/>
    <n v="10"/>
    <x v="2"/>
    <x v="2"/>
    <s v="R1"/>
    <n v="1500634586"/>
    <n v="27"/>
    <n v="634586"/>
    <s v="FJ320850 FCM PERFECTTA 220V BLK/SS BR             "/>
    <s v="S"/>
    <d v="2012-01-09T00:00:00"/>
    <m/>
    <s v="X"/>
    <x v="69"/>
    <n v="7.08"/>
    <n v="8"/>
    <d v="2012-02-27T00:00:00"/>
    <d v="2012-01-16T00:00:00"/>
    <n v="2640"/>
    <d v="2012-01-09T00:00:00"/>
    <n v="2640"/>
    <m/>
    <d v="2012-01-16T00:00:00"/>
    <n v="2640"/>
    <d v="2012-02-20T00:00:00"/>
    <d v="2012-01-09T00:00:00"/>
    <n v="2640"/>
    <n v="2640"/>
    <x v="2"/>
    <d v="2012-02-15T00:00:00"/>
    <m/>
    <n v="9321670776"/>
    <n v="10"/>
    <s v="MRKU0527947"/>
    <s v="MAERSK LIMA 152W/"/>
    <m/>
    <s v="YANTIAN"/>
    <s v="SP-OVERCAP/"/>
    <m/>
    <s v="THOMAS HO"/>
    <s v="FO9"/>
    <s v="BEVERAGE                      "/>
    <s v="CONFIRMED"/>
    <n v="1"/>
    <n v="1"/>
    <d v="2012-01-04T00:00:00"/>
    <s v="KITCHEN ELECTRICS             "/>
    <s v="BREAKFAST &amp; BREVAGE PREP      "/>
    <x v="1"/>
    <x v="1"/>
    <x v="11"/>
    <s v="SP-OVERCAP"/>
    <n v="-3"/>
    <n v="-3"/>
    <x v="9"/>
    <n v="1"/>
    <x v="0"/>
    <x v="0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58/000010"/>
    <n v="1370151425"/>
    <n v="10"/>
    <x v="2"/>
    <x v="2"/>
    <s v="R1"/>
    <n v="1500634591"/>
    <n v="27"/>
    <n v="634591"/>
    <s v="FJ320851 FCM PERFECTTA 127V BLK/SS BR             "/>
    <s v="S"/>
    <d v="2012-01-21T00:00:00"/>
    <m/>
    <s v="X"/>
    <x v="69"/>
    <n v="7.08"/>
    <n v="8"/>
    <d v="2012-02-27T00:00:00"/>
    <d v="2012-01-16T00:00:00"/>
    <n v="3060"/>
    <d v="2012-01-18T00:00:00"/>
    <n v="3480"/>
    <m/>
    <d v="2012-01-10T00:00:00"/>
    <n v="3480"/>
    <d v="2012-02-27T00:00:00"/>
    <d v="2012-01-16T00:00:00"/>
    <n v="3480"/>
    <n v="3480"/>
    <x v="21"/>
    <d v="2012-02-29T00:00:00"/>
    <m/>
    <n v="9321670777"/>
    <n v="10"/>
    <s v="SUDU8702213"/>
    <s v="MAERSK LUZ 202W/"/>
    <m/>
    <s v="YANTIAN"/>
    <m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57/000010"/>
    <n v="1370151426"/>
    <n v="10"/>
    <x v="2"/>
    <x v="2"/>
    <s v="R1"/>
    <n v="8000031577"/>
    <n v="27"/>
    <s v="FG3206B2       "/>
    <s v="FG3206B2 FILTER COFFEE MAKER 5-7 T                "/>
    <s v="S"/>
    <d v="2012-01-31T00:00:00"/>
    <m/>
    <s v="X"/>
    <x v="69"/>
    <n v="5.07"/>
    <n v="6"/>
    <d v="2012-02-27T00:00:00"/>
    <d v="2012-01-16T00:00:00"/>
    <n v="6120"/>
    <d v="2012-01-11T00:00:00"/>
    <n v="6120"/>
    <m/>
    <d v="2012-01-16T00:00:00"/>
    <n v="6120"/>
    <d v="2012-02-22T00:00:00"/>
    <d v="2012-01-11T00:00:00"/>
    <n v="6120"/>
    <n v="6120"/>
    <x v="17"/>
    <d v="2012-02-22T00:00:00"/>
    <m/>
    <n v="9321670778"/>
    <n v="10"/>
    <s v="SUDU8973046"/>
    <s v="COSCO VIETNAM 201W"/>
    <m/>
    <s v="SHENZHEN"/>
    <s v="SP-OVERCAP/"/>
    <m/>
    <s v="THOMAS HO"/>
    <s v="FO9"/>
    <s v="BEVERAGE                      "/>
    <s v="CONFIRMED"/>
    <n v="1"/>
    <n v="2"/>
    <d v="2012-01-11T00:00:00"/>
    <s v="KITCHEN ELECTRICS             "/>
    <s v="BREAKFAST &amp; BREVAGE PREP      "/>
    <x v="1"/>
    <x v="1"/>
    <x v="11"/>
    <s v="SP-OVERCAP"/>
    <n v="-3"/>
    <n v="-3"/>
    <x v="9"/>
    <n v="1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56/000010"/>
    <n v="1370151545"/>
    <n v="10"/>
    <x v="2"/>
    <x v="2"/>
    <s v="R1"/>
    <n v="8000031576"/>
    <n v="27"/>
    <s v="FG3206B1       "/>
    <s v="FG3206B1 FILTER COFFEE MAKER 5-7 T                "/>
    <s v="S"/>
    <d v="2012-01-21T00:00:00"/>
    <m/>
    <s v="X"/>
    <x v="69"/>
    <n v="5.07"/>
    <n v="6"/>
    <d v="2012-02-27T00:00:00"/>
    <d v="2012-01-16T00:00:00"/>
    <n v="17940"/>
    <d v="2012-01-18T00:00:00"/>
    <n v="17520"/>
    <m/>
    <d v="2012-01-10T00:00:00"/>
    <n v="17520"/>
    <d v="2012-02-27T00:00:00"/>
    <d v="2012-01-16T00:00:00"/>
    <n v="17520"/>
    <n v="6120"/>
    <x v="21"/>
    <d v="2012-02-29T00:00:00"/>
    <m/>
    <n v="9321670779"/>
    <n v="10"/>
    <s v="SUDU8948110"/>
    <s v="MAERSK LUZ 202W/"/>
    <m/>
    <s v="SHENZHEN"/>
    <m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56/000010"/>
    <n v="1370151545"/>
    <n v="10"/>
    <x v="2"/>
    <x v="2"/>
    <s v="R1"/>
    <n v="8000031576"/>
    <n v="27"/>
    <s v="FG3206B1       "/>
    <s v="FG3206B1 FILTER COFFEE MAKER 5-7 T                "/>
    <s v="S"/>
    <d v="2012-01-21T00:00:00"/>
    <m/>
    <s v="X"/>
    <x v="69"/>
    <n v="5.07"/>
    <n v="6"/>
    <d v="2012-02-27T00:00:00"/>
    <d v="2012-01-16T00:00:00"/>
    <n v="17940"/>
    <d v="2012-01-18T00:00:00"/>
    <n v="17520"/>
    <m/>
    <d v="2012-01-10T00:00:00"/>
    <n v="17520"/>
    <d v="2012-02-27T00:00:00"/>
    <d v="2012-01-16T00:00:00"/>
    <n v="17520"/>
    <n v="5280"/>
    <x v="21"/>
    <d v="2012-02-29T00:00:00"/>
    <m/>
    <n v="9321670779"/>
    <n v="10"/>
    <s v="SUDU6718669"/>
    <s v="MAERSK LUZ 202W/"/>
    <m/>
    <s v="SHENZHEN"/>
    <m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56/000010"/>
    <n v="1370151545"/>
    <n v="10"/>
    <x v="2"/>
    <x v="2"/>
    <s v="R1"/>
    <n v="8000031576"/>
    <n v="27"/>
    <s v="FG3206B1       "/>
    <s v="FG3206B1 FILTER COFFEE MAKER 5-7 T                "/>
    <s v="S"/>
    <d v="2012-01-21T00:00:00"/>
    <m/>
    <s v="X"/>
    <x v="69"/>
    <n v="5.07"/>
    <n v="6"/>
    <d v="2012-02-27T00:00:00"/>
    <d v="2012-01-16T00:00:00"/>
    <n v="17940"/>
    <d v="2012-01-18T00:00:00"/>
    <n v="17520"/>
    <m/>
    <d v="2012-01-10T00:00:00"/>
    <n v="17520"/>
    <d v="2012-02-27T00:00:00"/>
    <d v="2012-01-16T00:00:00"/>
    <n v="17520"/>
    <n v="6120"/>
    <x v="21"/>
    <d v="2012-02-29T00:00:00"/>
    <m/>
    <n v="9321670779"/>
    <n v="10"/>
    <s v="SUDU6569375"/>
    <s v="MAERSK LUZ 202W/"/>
    <m/>
    <s v="SHENZHEN"/>
    <m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2122/000010"/>
    <n v="1370151548"/>
    <n v="10"/>
    <x v="2"/>
    <x v="2"/>
    <s v="R1"/>
    <n v="8000031965"/>
    <n v="27"/>
    <s v="CJ6005B1       "/>
    <s v="CJ6005B1 COFFEE MAKER THERM ARNO                  "/>
    <s v="S"/>
    <d v="2012-01-18T00:00:00"/>
    <m/>
    <s v="X"/>
    <x v="69"/>
    <n v="12.89"/>
    <n v="15"/>
    <d v="2012-02-27T00:00:00"/>
    <d v="2012-01-16T00:00:00"/>
    <n v="1148"/>
    <d v="2012-01-08T00:00:00"/>
    <n v="1148"/>
    <m/>
    <d v="2012-01-16T00:00:00"/>
    <n v="1148"/>
    <d v="2012-02-22T00:00:00"/>
    <d v="2012-01-11T00:00:00"/>
    <n v="1148"/>
    <n v="1148"/>
    <x v="17"/>
    <d v="2012-02-22T00:00:00"/>
    <m/>
    <n v="9321670780"/>
    <n v="10"/>
    <s v="PONU1547390"/>
    <s v="COSCO VIETNAM 201W/"/>
    <m/>
    <s v="YANTIAN"/>
    <s v="SP-OVERCAP/"/>
    <m/>
    <s v="THOMAS HO"/>
    <s v="FO9"/>
    <s v="BEVERAGE                      "/>
    <s v="CONFIRMED"/>
    <n v="1"/>
    <n v="2"/>
    <d v="2012-01-11T00:00:00"/>
    <s v="KITCHEN ELECTRICS             "/>
    <s v="BREAKFAST &amp; BREVAGE PREP      "/>
    <x v="1"/>
    <x v="1"/>
    <x v="11"/>
    <s v="SP-OVERCAP"/>
    <n v="-3"/>
    <n v="-3"/>
    <x v="9"/>
    <n v="1"/>
    <x v="0"/>
    <x v="1"/>
    <x v="1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287/000003"/>
    <n v="1370152191"/>
    <n v="30"/>
    <x v="2"/>
    <x v="2"/>
    <s v="R1"/>
    <n v="1500634578"/>
    <n v="27"/>
    <n v="634578"/>
    <s v="CM331870 FCM MAXI 10/15C GRP/FLW KR               "/>
    <s v="S"/>
    <d v="2012-01-17T00:00:00"/>
    <m/>
    <s v="X"/>
    <x v="69"/>
    <n v="10.44"/>
    <n v="11"/>
    <d v="2012-02-20T00:00:00"/>
    <d v="2012-02-06T00:00:00"/>
    <n v="2589"/>
    <d v="2012-01-15T00:00:00"/>
    <n v="2589"/>
    <m/>
    <d v="2012-02-06T00:00:00"/>
    <n v="2589"/>
    <d v="2012-01-30T00:00:00"/>
    <d v="2012-01-16T00:00:00"/>
    <n v="2589"/>
    <n v="2589"/>
    <x v="8"/>
    <d v="2012-01-30T00:00:00"/>
    <m/>
    <n v="9321670782"/>
    <n v="10"/>
    <s v="MRKU0003739"/>
    <s v="OTTO SCHULTE/1202"/>
    <m/>
    <s v="YANTIAN"/>
    <s v="SP-OVERCAP/SP-HOLIDAY/"/>
    <m/>
    <s v="AGNES NUNES"/>
    <s v="FO9"/>
    <s v="BEVERAGE                      "/>
    <s v="CONFIRMED"/>
    <n v="1"/>
    <n v="3"/>
    <d v="2012-01-16T00:00:00"/>
    <s v="KITCHEN ELECTRICS             "/>
    <s v="BREAKFAST &amp; BREVAGE PREP      "/>
    <x v="1"/>
    <x v="1"/>
    <x v="11"/>
    <s v="SP-OVERCAP"/>
    <n v="-3"/>
    <n v="-3"/>
    <x v="9"/>
    <n v="2"/>
    <x v="0"/>
    <x v="0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45/000010"/>
    <n v="1370150923"/>
    <n v="10"/>
    <x v="2"/>
    <x v="2"/>
    <s v="R1"/>
    <n v="8000031577"/>
    <n v="27"/>
    <s v="FG3206B2       "/>
    <s v="FG3206B2 FILTER COFFEE MAKER 5-7 T                "/>
    <s v="S"/>
    <d v="2012-01-31T00:00:00"/>
    <m/>
    <s v="X"/>
    <x v="69"/>
    <n v="5.07"/>
    <n v="6"/>
    <d v="2012-02-27T00:00:00"/>
    <d v="2012-01-16T00:00:00"/>
    <n v="2640"/>
    <d v="2012-01-16T00:00:00"/>
    <n v="2640"/>
    <m/>
    <d v="2012-01-16T00:00:00"/>
    <n v="2640"/>
    <d v="2012-02-22T00:00:00"/>
    <d v="2012-01-11T00:00:00"/>
    <n v="2640"/>
    <n v="2640"/>
    <x v="17"/>
    <d v="2012-02-22T00:00:00"/>
    <m/>
    <n v="9321670783"/>
    <n v="10"/>
    <s v="SUDU6775566"/>
    <s v="COSCO VIETNAM 201W"/>
    <m/>
    <s v="SHENZHEN"/>
    <s v="SP-OVERCAP/"/>
    <m/>
    <s v="THOMAS HO"/>
    <s v="FO9"/>
    <s v="BEVERAGE                      "/>
    <s v="CONFIRMED"/>
    <n v="1"/>
    <n v="2"/>
    <d v="2012-01-11T00:00:00"/>
    <s v="KITCHEN ELECTRICS             "/>
    <s v="BREAKFAST &amp; BREVAGE PREP      "/>
    <x v="1"/>
    <x v="1"/>
    <x v="11"/>
    <s v="SP-OVERCAP"/>
    <n v="-3"/>
    <n v="-3"/>
    <x v="9"/>
    <n v="1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50/000010"/>
    <n v="1370150922"/>
    <n v="10"/>
    <x v="2"/>
    <x v="2"/>
    <s v="R1"/>
    <n v="1500634546"/>
    <n v="27"/>
    <n v="634546"/>
    <s v="CM210550 FCM SUBITO 220V 22C BLK/SS BR            "/>
    <s v="S"/>
    <d v="2012-01-21T00:00:00"/>
    <m/>
    <s v="X"/>
    <x v="69"/>
    <n v="8.4499999999999993"/>
    <n v="10"/>
    <d v="2012-02-27T00:00:00"/>
    <d v="2012-01-16T00:00:00"/>
    <n v="1332"/>
    <d v="2012-01-18T00:00:00"/>
    <n v="1332"/>
    <m/>
    <d v="2012-01-16T00:00:00"/>
    <n v="1332"/>
    <d v="2012-02-27T00:00:00"/>
    <d v="2012-01-16T00:00:00"/>
    <n v="1332"/>
    <n v="1332"/>
    <x v="21"/>
    <d v="2012-02-29T00:00:00"/>
    <m/>
    <n v="9321670784"/>
    <n v="10"/>
    <s v="SUDU5731835"/>
    <s v="MAERSK LUZ/202W/"/>
    <m/>
    <s v="YANTIAN"/>
    <m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44/000010"/>
    <n v="1370150924"/>
    <n v="10"/>
    <x v="2"/>
    <x v="2"/>
    <s v="R1"/>
    <n v="8000031576"/>
    <n v="27"/>
    <s v="FG3206B1       "/>
    <s v="FG3206B1 FILTER COFFEE MAKER 5-7 T                "/>
    <s v="S"/>
    <d v="2012-01-21T00:00:00"/>
    <m/>
    <s v="X"/>
    <x v="69"/>
    <n v="5.07"/>
    <n v="6"/>
    <d v="2012-02-27T00:00:00"/>
    <d v="2012-01-16T00:00:00"/>
    <n v="2640"/>
    <d v="2012-01-18T00:00:00"/>
    <n v="2640"/>
    <m/>
    <d v="2012-01-16T00:00:00"/>
    <n v="2640"/>
    <d v="2012-02-27T00:00:00"/>
    <d v="2012-01-16T00:00:00"/>
    <n v="2640"/>
    <n v="2640"/>
    <x v="21"/>
    <d v="2012-02-29T00:00:00"/>
    <m/>
    <n v="9321670785"/>
    <n v="10"/>
    <s v="SUDU8702213"/>
    <s v="MAERSK LUZ 202W/"/>
    <m/>
    <s v="SHENZHEN"/>
    <s v="SP-OVERCAP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1"/>
    <x v="1"/>
    <x v="11"/>
    <s v="SP-OVERCAP"/>
    <n v="-3"/>
    <n v="-3"/>
    <x v="9"/>
    <n v="1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49/000010"/>
    <n v="1370151419"/>
    <n v="10"/>
    <x v="2"/>
    <x v="2"/>
    <s v="R1"/>
    <n v="1500634547"/>
    <n v="27"/>
    <n v="634547"/>
    <s v="CM210551 FCM SUBITO 110V 22C BLK/SS BR            "/>
    <s v="S"/>
    <d v="2012-01-23T00:00:00"/>
    <m/>
    <s v="X"/>
    <x v="69"/>
    <n v="8.4499999999999993"/>
    <n v="10"/>
    <d v="2012-02-27T00:00:00"/>
    <d v="2012-01-16T00:00:00"/>
    <n v="4458"/>
    <d v="2012-01-18T00:00:00"/>
    <n v="4458"/>
    <m/>
    <d v="2012-01-09T00:00:00"/>
    <n v="4458"/>
    <d v="2012-02-27T00:00:00"/>
    <d v="2012-01-16T00:00:00"/>
    <n v="4458"/>
    <n v="1332"/>
    <x v="21"/>
    <d v="2012-02-29T00:00:00"/>
    <m/>
    <n v="9321670786"/>
    <n v="10"/>
    <s v="SUDU8616455"/>
    <s v="MAERSK LUZ/202W/"/>
    <m/>
    <s v="YANTIAN"/>
    <s v="SP-OVERCAP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1"/>
    <x v="1"/>
    <x v="11"/>
    <s v="SP-OVERCAP"/>
    <n v="-3"/>
    <n v="-3"/>
    <x v="9"/>
    <n v="1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49/000010"/>
    <n v="1370151419"/>
    <n v="10"/>
    <x v="2"/>
    <x v="2"/>
    <s v="R1"/>
    <n v="1500634547"/>
    <n v="27"/>
    <n v="634547"/>
    <s v="CM210551 FCM SUBITO 110V 22C BLK/SS BR            "/>
    <s v="S"/>
    <d v="2012-01-21T00:00:00"/>
    <m/>
    <s v="X"/>
    <x v="69"/>
    <n v="8.4499999999999993"/>
    <n v="10"/>
    <d v="2012-02-27T00:00:00"/>
    <d v="2012-01-16T00:00:00"/>
    <n v="4458"/>
    <d v="2012-01-18T00:00:00"/>
    <n v="4458"/>
    <m/>
    <d v="2012-01-09T00:00:00"/>
    <n v="4458"/>
    <d v="2012-02-27T00:00:00"/>
    <d v="2012-01-16T00:00:00"/>
    <n v="4458"/>
    <n v="3126"/>
    <x v="21"/>
    <d v="2012-02-29T00:00:00"/>
    <m/>
    <n v="9321670786"/>
    <n v="10"/>
    <s v="SUDU4969480"/>
    <s v="MAERSK LUZ/202W/"/>
    <m/>
    <s v="YANTIAN"/>
    <s v="SP-OVERCAP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1"/>
    <x v="1"/>
    <x v="11"/>
    <s v="SP-OVERCAP"/>
    <n v="-3"/>
    <n v="-3"/>
    <x v="9"/>
    <n v="1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47/000010"/>
    <n v="1370151421"/>
    <n v="10"/>
    <x v="2"/>
    <x v="2"/>
    <s v="R1"/>
    <n v="1500634591"/>
    <n v="27"/>
    <n v="634591"/>
    <s v="FJ320851 FCM PERFECTTA 127V BLK/SS BR             "/>
    <s v="S"/>
    <d v="2012-01-21T00:00:00"/>
    <m/>
    <s v="X"/>
    <x v="69"/>
    <n v="7.08"/>
    <n v="8"/>
    <d v="2012-02-27T00:00:00"/>
    <d v="2012-01-16T00:00:00"/>
    <n v="2640"/>
    <d v="2012-01-18T00:00:00"/>
    <n v="2640"/>
    <m/>
    <d v="2012-01-09T00:00:00"/>
    <n v="2640"/>
    <d v="2012-02-27T00:00:00"/>
    <d v="2012-01-16T00:00:00"/>
    <n v="2640"/>
    <n v="2640"/>
    <x v="21"/>
    <d v="2012-02-29T00:00:00"/>
    <m/>
    <n v="9321670787"/>
    <n v="10"/>
    <s v="SUDU5731835"/>
    <s v="MAERSK LUZ/202W/"/>
    <m/>
    <s v="YANTIAN"/>
    <s v="SP-OVERCAP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1"/>
    <x v="1"/>
    <x v="11"/>
    <s v="SP-OVERCAP"/>
    <n v="-3"/>
    <n v="-3"/>
    <x v="9"/>
    <n v="1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48/000010"/>
    <n v="1370151420"/>
    <n v="10"/>
    <x v="2"/>
    <x v="2"/>
    <s v="R1"/>
    <n v="1500634586"/>
    <n v="27"/>
    <n v="634586"/>
    <s v="FJ320850 FCM PERFECTTA 220V BLK/SS BR             "/>
    <s v="S"/>
    <d v="2012-01-18T00:00:00"/>
    <m/>
    <s v="X"/>
    <x v="69"/>
    <n v="7.08"/>
    <n v="8"/>
    <d v="2012-02-27T00:00:00"/>
    <d v="2012-01-16T00:00:00"/>
    <n v="2640"/>
    <d v="2012-01-09T00:00:00"/>
    <n v="2640"/>
    <m/>
    <d v="2012-01-09T00:00:00"/>
    <n v="2640"/>
    <d v="2012-02-22T00:00:00"/>
    <d v="2012-01-11T00:00:00"/>
    <n v="2640"/>
    <n v="2640"/>
    <x v="17"/>
    <d v="2012-02-22T00:00:00"/>
    <m/>
    <n v="9321670788"/>
    <n v="10"/>
    <s v="PONU1547390"/>
    <s v="COSCO VIETNAM 201W/"/>
    <m/>
    <s v="YANTIAN"/>
    <s v="SP-OVERCAP/"/>
    <m/>
    <s v="THOMAS HO"/>
    <s v="FO9"/>
    <s v="BEVERAGE                      "/>
    <s v="CONFIRMED"/>
    <n v="1"/>
    <n v="2"/>
    <d v="2012-01-11T00:00:00"/>
    <s v="KITCHEN ELECTRICS             "/>
    <s v="BREAKFAST &amp; BREVAGE PREP      "/>
    <x v="1"/>
    <x v="1"/>
    <x v="11"/>
    <s v="SP-OVERCAP"/>
    <n v="-3"/>
    <n v="-3"/>
    <x v="9"/>
    <n v="1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43/000010"/>
    <n v="1370151423"/>
    <n v="10"/>
    <x v="2"/>
    <x v="2"/>
    <s v="R1"/>
    <n v="8000031576"/>
    <n v="27"/>
    <s v="FG3206B1       "/>
    <s v="FG3206B1 FILTER COFFEE MAKER 5-7 T                "/>
    <s v="S"/>
    <d v="2012-01-09T00:00:00"/>
    <m/>
    <s v="X"/>
    <x v="69"/>
    <n v="5.07"/>
    <n v="6"/>
    <d v="2012-02-27T00:00:00"/>
    <d v="2012-01-16T00:00:00"/>
    <n v="12240"/>
    <d v="2012-01-06T00:00:00"/>
    <n v="12240"/>
    <m/>
    <d v="2012-01-09T00:00:00"/>
    <n v="12240"/>
    <d v="2012-02-15T00:00:00"/>
    <d v="2012-01-04T00:00:00"/>
    <n v="12240"/>
    <n v="6120"/>
    <x v="2"/>
    <d v="2012-02-15T00:00:00"/>
    <m/>
    <n v="9321670789"/>
    <n v="10"/>
    <s v="MSKU0425171"/>
    <s v="MAERSK LIMA 152W/"/>
    <m/>
    <s v="SHENZHEN"/>
    <s v="SP-OVERCAP/"/>
    <m/>
    <s v="THOMAS HO"/>
    <s v="FO9"/>
    <s v="BEVERAGE                      "/>
    <s v="CONFIRMED"/>
    <n v="1"/>
    <n v="1"/>
    <d v="2012-01-04T00:00:00"/>
    <s v="KITCHEN ELECTRICS             "/>
    <s v="BREAKFAST &amp; BREVAGE PREP      "/>
    <x v="1"/>
    <x v="1"/>
    <x v="11"/>
    <s v="SP-OVERCAP"/>
    <n v="-3"/>
    <n v="-3"/>
    <x v="9"/>
    <n v="1"/>
    <x v="0"/>
    <x v="0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43/000010"/>
    <n v="1370151423"/>
    <n v="10"/>
    <x v="2"/>
    <x v="2"/>
    <s v="R1"/>
    <n v="8000031576"/>
    <n v="27"/>
    <s v="FG3206B1       "/>
    <s v="FG3206B1 FILTER COFFEE MAKER 5-7 T                "/>
    <s v="S"/>
    <d v="2012-01-09T00:00:00"/>
    <m/>
    <s v="X"/>
    <x v="69"/>
    <n v="5.07"/>
    <n v="6"/>
    <d v="2012-02-27T00:00:00"/>
    <d v="2012-01-16T00:00:00"/>
    <n v="12240"/>
    <d v="2012-01-06T00:00:00"/>
    <n v="12240"/>
    <m/>
    <d v="2012-01-09T00:00:00"/>
    <n v="12240"/>
    <d v="2012-02-15T00:00:00"/>
    <d v="2012-01-04T00:00:00"/>
    <n v="12240"/>
    <n v="6120"/>
    <x v="2"/>
    <d v="2012-02-15T00:00:00"/>
    <m/>
    <n v="9321670789"/>
    <n v="10"/>
    <s v="MAEU8223841"/>
    <s v="MAERSK LIMA 152W/"/>
    <m/>
    <s v="SHENZHEN"/>
    <s v="SP-OVERCAP/"/>
    <m/>
    <s v="THOMAS HO"/>
    <s v="FO9"/>
    <s v="BEVERAGE                      "/>
    <s v="CONFIRMED"/>
    <n v="1"/>
    <n v="1"/>
    <d v="2012-01-04T00:00:00"/>
    <s v="KITCHEN ELECTRICS             "/>
    <s v="BREAKFAST &amp; BREVAGE PREP      "/>
    <x v="1"/>
    <x v="1"/>
    <x v="11"/>
    <s v="SP-OVERCAP"/>
    <n v="-3"/>
    <n v="-3"/>
    <x v="9"/>
    <n v="1"/>
    <x v="0"/>
    <x v="0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46/000010"/>
    <n v="1370151422"/>
    <n v="10"/>
    <x v="2"/>
    <x v="2"/>
    <s v="R1"/>
    <n v="8000031577"/>
    <n v="27"/>
    <s v="FG3206B2       "/>
    <s v="FG3206B2 FILTER COFFEE MAKER 5-7 T                "/>
    <s v="S"/>
    <d v="2012-01-31T00:00:00"/>
    <m/>
    <s v="X"/>
    <x v="69"/>
    <n v="5.07"/>
    <n v="6"/>
    <d v="2012-02-27T00:00:00"/>
    <d v="2012-01-16T00:00:00"/>
    <n v="6120"/>
    <d v="2012-01-08T00:00:00"/>
    <n v="6120"/>
    <m/>
    <d v="2012-01-09T00:00:00"/>
    <n v="6120"/>
    <d v="2012-02-22T00:00:00"/>
    <d v="2012-01-11T00:00:00"/>
    <n v="6120"/>
    <n v="6120"/>
    <x v="17"/>
    <d v="2012-02-22T00:00:00"/>
    <m/>
    <n v="9321670790"/>
    <n v="10"/>
    <s v="DFSU6318610"/>
    <s v="COSCO VIETNAM 201W"/>
    <m/>
    <s v="SHENZHEN"/>
    <s v="SP-OVERCAP/"/>
    <m/>
    <s v="THOMAS HO"/>
    <s v="FO9"/>
    <s v="BEVERAGE                      "/>
    <s v="CONFIRMED"/>
    <n v="1"/>
    <n v="2"/>
    <d v="2012-01-11T00:00:00"/>
    <s v="KITCHEN ELECTRICS             "/>
    <s v="BREAKFAST &amp; BREVAGE PREP      "/>
    <x v="1"/>
    <x v="1"/>
    <x v="11"/>
    <s v="SP-OVERCAP"/>
    <n v="-3"/>
    <n v="-3"/>
    <x v="9"/>
    <n v="1"/>
    <x v="0"/>
    <x v="1"/>
    <x v="1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81/000001"/>
    <n v="1370152246"/>
    <n v="10"/>
    <x v="2"/>
    <x v="2"/>
    <s v="R1"/>
    <n v="8000032511"/>
    <n v="27"/>
    <s v="FG110550       "/>
    <s v="FG110550 FCM MLX CM823 10/15C BLK/STAIN           "/>
    <s v="S"/>
    <d v="2012-01-28T00:00:00"/>
    <m/>
    <s v="X"/>
    <x v="69"/>
    <n v="8.3670000000000009"/>
    <n v="125"/>
    <d v="2012-03-24T00:00:00"/>
    <d v="2012-02-18T00:00:00"/>
    <n v="3126"/>
    <d v="2012-01-15T00:00:00"/>
    <n v="3126"/>
    <m/>
    <m/>
    <m/>
    <d v="2012-02-21T00:00:00"/>
    <d v="2012-01-17T00:00:00"/>
    <n v="3126"/>
    <n v="3126"/>
    <x v="14"/>
    <d v="2012-02-24T00:00:00"/>
    <m/>
    <n v="9321670791"/>
    <n v="10"/>
    <s v="SUDU5847091"/>
    <s v="MONTE VERDE 203E/"/>
    <m/>
    <s v="SHENZHEN"/>
    <s v="SP-OVERCAP/"/>
    <m/>
    <s v="TWEETY LEUNG"/>
    <s v="FO9"/>
    <s v="BEVERAGE                      "/>
    <s v="CONFIRMED"/>
    <n v="1"/>
    <n v="3"/>
    <d v="2012-01-20T00:00:00"/>
    <s v="KITCHEN ELECTRICS             "/>
    <s v="BREAKFAST &amp; BREVAGE PREP      "/>
    <x v="1"/>
    <x v="1"/>
    <x v="11"/>
    <s v="SP-OVERCAP"/>
    <n v="-3"/>
    <n v="-3"/>
    <x v="9"/>
    <n v="1"/>
    <x v="0"/>
    <x v="0"/>
    <x v="0"/>
    <n v="0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1281/000010"/>
    <n v="1370151364"/>
    <n v="10"/>
    <x v="42"/>
    <x v="42"/>
    <s v="N1"/>
    <n v="2100062447"/>
    <n v="50"/>
    <s v="GC205084       "/>
    <s v="GC205084 MINUTE GRILL A12 ARNO 127 V              "/>
    <s v="S"/>
    <d v="2012-01-21T00:00:00"/>
    <m/>
    <s v="X"/>
    <x v="69"/>
    <n v="21.1"/>
    <n v="25"/>
    <d v="2012-02-27T00:00:00"/>
    <d v="2012-01-16T00:00:00"/>
    <n v="3312"/>
    <d v="2012-01-16T00:00:00"/>
    <n v="3312"/>
    <m/>
    <d v="2012-01-16T00:00:00"/>
    <n v="5598"/>
    <d v="2012-02-27T00:00:00"/>
    <d v="2012-01-16T00:00:00"/>
    <n v="3312"/>
    <n v="1026"/>
    <x v="21"/>
    <d v="2012-02-29T00:00:00"/>
    <m/>
    <n v="9321670796"/>
    <n v="10"/>
    <s v="SUDU6806116"/>
    <s v="MAERSK LUZ 202W/"/>
    <m/>
    <s v="YANTIAN"/>
    <m/>
    <m/>
    <s v="THOMAS HO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81/000010"/>
    <n v="1370151364"/>
    <n v="10"/>
    <x v="42"/>
    <x v="42"/>
    <s v="N1"/>
    <n v="2100062447"/>
    <n v="50"/>
    <s v="GC205084       "/>
    <s v="GC205084 MINUTE GRILL A12 ARNO 127 V              "/>
    <s v="S"/>
    <d v="2012-01-21T00:00:00"/>
    <m/>
    <s v="X"/>
    <x v="69"/>
    <n v="21.1"/>
    <n v="25"/>
    <d v="2012-02-27T00:00:00"/>
    <d v="2012-01-16T00:00:00"/>
    <n v="3312"/>
    <d v="2012-01-16T00:00:00"/>
    <n v="3312"/>
    <m/>
    <d v="2012-01-16T00:00:00"/>
    <n v="5598"/>
    <d v="2012-02-27T00:00:00"/>
    <d v="2012-01-16T00:00:00"/>
    <n v="3312"/>
    <n v="2286"/>
    <x v="21"/>
    <d v="2012-02-29T00:00:00"/>
    <m/>
    <n v="9321670796"/>
    <n v="10"/>
    <s v="SUDU6897970"/>
    <s v="MAERSK LUZ 202W/"/>
    <m/>
    <s v="YANTIAN"/>
    <m/>
    <m/>
    <s v="THOMAS HO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4226/000010"/>
    <n v="1370152008"/>
    <n v="10"/>
    <x v="42"/>
    <x v="42"/>
    <s v="N1"/>
    <n v="2100058891"/>
    <n v="50"/>
    <s v="GC205012       "/>
    <s v="GC205012 MINUTE GRILL A12 TEFAL                   "/>
    <s v="S"/>
    <d v="2012-01-20T00:00:00"/>
    <m/>
    <s v="X"/>
    <x v="69"/>
    <n v="20.99"/>
    <n v="79"/>
    <d v="2012-02-29T00:00:00"/>
    <d v="2012-01-18T00:00:00"/>
    <n v="1026"/>
    <d v="2012-01-18T00:00:00"/>
    <n v="1026"/>
    <m/>
    <d v="2012-01-18T00:00:00"/>
    <n v="1026"/>
    <d v="2012-02-29T00:00:00"/>
    <d v="2012-01-18T00:00:00"/>
    <n v="1026"/>
    <n v="1026"/>
    <x v="21"/>
    <d v="2012-02-29T00:00:00"/>
    <m/>
    <n v="9321670797"/>
    <n v="10"/>
    <s v="MRKU8228412"/>
    <s v="EMMA MAERSK 1202/"/>
    <m/>
    <s v="YANTIAN"/>
    <m/>
    <m/>
    <s v="KENUS WONG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91/000010"/>
    <n v="1370151405"/>
    <n v="10"/>
    <x v="42"/>
    <x v="42"/>
    <s v="N1"/>
    <n v="2100062447"/>
    <n v="50"/>
    <s v="GC205084       "/>
    <s v="GC205084 MINUTE GRILL A12 ARNO 127 V              "/>
    <s v="S"/>
    <d v="2012-02-02T00:00:00"/>
    <m/>
    <s v="X"/>
    <x v="69"/>
    <n v="21.1"/>
    <n v="25"/>
    <d v="2012-02-27T00:00:00"/>
    <d v="2012-01-16T00:00:00"/>
    <n v="2286"/>
    <d v="2012-01-16T00:00:00"/>
    <n v="2286"/>
    <m/>
    <d v="2012-01-16T00:00:00"/>
    <n v="2286"/>
    <d v="2012-03-07T00:00:00"/>
    <d v="2012-01-25T00:00:00"/>
    <n v="2286"/>
    <n v="2286"/>
    <x v="27"/>
    <d v="2012-03-07T00:00:00"/>
    <m/>
    <n v="9321670798"/>
    <n v="10"/>
    <s v="FESU5113030"/>
    <s v="MAERSK LA PAZ 203W/"/>
    <m/>
    <s v="YANTIAN"/>
    <s v="SP-PROD-ISSUE/"/>
    <m/>
    <s v="THOMAS HO"/>
    <s v="FO9"/>
    <s v="ELECTRICAL COOKING            "/>
    <s v="CONFIRMED"/>
    <n v="1"/>
    <n v="4"/>
    <d v="2012-01-25T00:00:00"/>
    <s v="KITCHEN ELECTRICS             "/>
    <s v="ELECTRICAL COOKING            "/>
    <x v="2"/>
    <x v="1"/>
    <x v="1"/>
    <m/>
    <n v="0"/>
    <n v="0"/>
    <x v="1"/>
    <n v="1"/>
    <x v="0"/>
    <x v="0"/>
    <x v="1"/>
    <n v="0"/>
    <n v="0"/>
    <n v="0"/>
    <n v="0"/>
    <n v="0"/>
    <n v="0"/>
    <x v="1"/>
    <x v="0"/>
    <x v="1"/>
    <x v="0"/>
  </r>
  <r>
    <s v="Shipment"/>
    <n v="99001621"/>
    <s v="GRUPO SEB DO BRASIL                               "/>
    <n v="99001600"/>
    <x v="2"/>
    <s v="9820641192/000010"/>
    <n v="1370151440"/>
    <n v="10"/>
    <x v="42"/>
    <x v="42"/>
    <s v="N1"/>
    <n v="2100062445"/>
    <n v="50"/>
    <s v="GC205074       "/>
    <s v="GC205074 MINUTE GRILL A12 ARNO 220V               "/>
    <s v="S"/>
    <d v="2012-02-02T00:00:00"/>
    <m/>
    <s v="X"/>
    <x v="69"/>
    <n v="21.1"/>
    <n v="25"/>
    <d v="2012-02-27T00:00:00"/>
    <d v="2012-01-16T00:00:00"/>
    <n v="2031"/>
    <d v="2012-01-25T00:00:00"/>
    <n v="2031"/>
    <m/>
    <d v="2012-01-16T00:00:00"/>
    <n v="2031"/>
    <d v="2012-03-07T00:00:00"/>
    <d v="2012-01-25T00:00:00"/>
    <n v="2031"/>
    <n v="2031"/>
    <x v="27"/>
    <d v="2012-03-07T00:00:00"/>
    <m/>
    <n v="9321670799"/>
    <n v="10"/>
    <s v="SUDU6982270"/>
    <s v="MAERSK LA PAZ 203W/"/>
    <m/>
    <s v="YANTIAN"/>
    <s v="NEWREQ-CUSTOMS/"/>
    <m/>
    <s v="THOMAS HO"/>
    <s v="FO9"/>
    <s v="ELECTRICAL COOKING            "/>
    <s v="CONFIRMED"/>
    <n v="1"/>
    <n v="4"/>
    <d v="2012-01-25T00:00:00"/>
    <s v="KITCHEN ELECTRICS             "/>
    <s v="ELECTRICAL COOKING            "/>
    <x v="2"/>
    <x v="1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568/000010"/>
    <n v="1370151383"/>
    <n v="10"/>
    <x v="70"/>
    <x v="70"/>
    <s v="N3"/>
    <n v="1500634276"/>
    <n v="39"/>
    <n v="634276"/>
    <s v="RK102852 RC RISOTERIA EXPRES 8C BLACK 12          "/>
    <s v="S"/>
    <d v="2012-02-01T00:00:00"/>
    <m/>
    <s v="X"/>
    <x v="69"/>
    <n v="10.210000000000001"/>
    <n v="12"/>
    <d v="2012-02-23T00:00:00"/>
    <d v="2012-01-12T00:00:00"/>
    <n v="1152"/>
    <d v="2012-01-12T00:00:00"/>
    <n v="1152"/>
    <m/>
    <d v="2012-01-12T00:00:00"/>
    <n v="1152"/>
    <d v="2012-02-23T00:00:00"/>
    <d v="2012-01-12T00:00:00"/>
    <n v="1152"/>
    <n v="1152"/>
    <x v="21"/>
    <d v="2012-02-29T00:00:00"/>
    <m/>
    <n v="9321670800"/>
    <n v="10"/>
    <s v="SUDU6801032"/>
    <s v="MAERSK LUZ 202W/"/>
    <m/>
    <s v="YANTIAN"/>
    <m/>
    <m/>
    <s v="THOMAS HO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568/000020"/>
    <n v="1370151383"/>
    <n v="20"/>
    <x v="70"/>
    <x v="70"/>
    <s v="N3"/>
    <n v="1500634275"/>
    <n v="39"/>
    <n v="634275"/>
    <s v="RK102851 RC RISOTERIA EXPRES 8C BLACK 22          "/>
    <s v="S"/>
    <d v="2012-02-01T00:00:00"/>
    <m/>
    <s v="X"/>
    <x v="69"/>
    <n v="10.210000000000001"/>
    <n v="12"/>
    <d v="2012-02-23T00:00:00"/>
    <d v="2012-01-12T00:00:00"/>
    <n v="1152"/>
    <d v="2012-01-12T00:00:00"/>
    <n v="1152"/>
    <m/>
    <d v="2012-01-12T00:00:00"/>
    <n v="1152"/>
    <d v="2012-02-23T00:00:00"/>
    <d v="2012-01-12T00:00:00"/>
    <n v="1152"/>
    <n v="1152"/>
    <x v="21"/>
    <d v="2012-02-29T00:00:00"/>
    <m/>
    <n v="9321670800"/>
    <n v="20"/>
    <s v="SUDU6801032"/>
    <s v="MAERSK LUZ 202W/"/>
    <m/>
    <s v="YANTIAN"/>
    <m/>
    <m/>
    <s v="THOMAS HO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770/000010"/>
    <n v="1370151382"/>
    <n v="10"/>
    <x v="70"/>
    <x v="70"/>
    <s v="N3"/>
    <n v="1500634276"/>
    <n v="39"/>
    <n v="634276"/>
    <s v="RK102852 RC RISOTERIA EXPRES 8C BLACK 12          "/>
    <s v="S"/>
    <d v="2012-02-01T00:00:00"/>
    <m/>
    <s v="X"/>
    <x v="69"/>
    <n v="10.210000000000001"/>
    <n v="12"/>
    <d v="2012-02-27T00:00:00"/>
    <d v="2012-01-16T00:00:00"/>
    <n v="3816"/>
    <d v="2012-01-16T00:00:00"/>
    <n v="3816"/>
    <m/>
    <d v="2012-01-16T00:00:00"/>
    <n v="3816"/>
    <d v="2012-02-27T00:00:00"/>
    <d v="2012-01-16T00:00:00"/>
    <n v="3816"/>
    <n v="2600"/>
    <x v="21"/>
    <d v="2012-02-29T00:00:00"/>
    <m/>
    <n v="9321670801"/>
    <n v="10"/>
    <s v="UESU5077913"/>
    <s v="MAERSK LUZ 202W/"/>
    <m/>
    <s v="YANTIAN"/>
    <m/>
    <m/>
    <s v="THOMAS HO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770/000010"/>
    <n v="1370151382"/>
    <n v="10"/>
    <x v="70"/>
    <x v="70"/>
    <s v="N3"/>
    <n v="1500634276"/>
    <n v="39"/>
    <n v="634276"/>
    <s v="RK102852 RC RISOTERIA EXPRES 8C BLACK 12          "/>
    <s v="S"/>
    <d v="2012-02-01T00:00:00"/>
    <m/>
    <s v="X"/>
    <x v="69"/>
    <n v="10.210000000000001"/>
    <n v="12"/>
    <d v="2012-02-27T00:00:00"/>
    <d v="2012-01-16T00:00:00"/>
    <n v="3816"/>
    <d v="2012-01-16T00:00:00"/>
    <n v="3816"/>
    <m/>
    <d v="2012-01-16T00:00:00"/>
    <n v="3816"/>
    <d v="2012-02-27T00:00:00"/>
    <d v="2012-01-16T00:00:00"/>
    <n v="3816"/>
    <n v="1216"/>
    <x v="21"/>
    <d v="2012-02-29T00:00:00"/>
    <m/>
    <n v="9321670801"/>
    <n v="10"/>
    <s v="SUDU5792300"/>
    <s v="MAERSK LUZ 202W/"/>
    <m/>
    <s v="YANTIAN"/>
    <m/>
    <m/>
    <s v="THOMAS HO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770/000020"/>
    <n v="1370151382"/>
    <n v="20"/>
    <x v="70"/>
    <x v="70"/>
    <s v="N3"/>
    <n v="1500634275"/>
    <n v="39"/>
    <n v="634275"/>
    <s v="RK102851 RC RISOTERIA EXPRES 8C BLACK 22          "/>
    <s v="S"/>
    <d v="2012-02-01T00:00:00"/>
    <m/>
    <s v="X"/>
    <x v="69"/>
    <n v="10.210000000000001"/>
    <n v="12"/>
    <d v="2012-02-27T00:00:00"/>
    <d v="2012-01-16T00:00:00"/>
    <n v="1152"/>
    <d v="2012-01-16T00:00:00"/>
    <n v="1152"/>
    <m/>
    <d v="2012-01-16T00:00:00"/>
    <n v="1152"/>
    <d v="2012-02-27T00:00:00"/>
    <d v="2012-01-16T00:00:00"/>
    <n v="1152"/>
    <n v="1152"/>
    <x v="21"/>
    <d v="2012-02-29T00:00:00"/>
    <m/>
    <n v="9321670801"/>
    <n v="20"/>
    <s v="SUDU5714062"/>
    <s v="MAERSK LUZ 202W/"/>
    <m/>
    <s v="YANTIAN"/>
    <m/>
    <m/>
    <s v="THOMAS HO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566/000010"/>
    <n v="1370151384"/>
    <n v="10"/>
    <x v="70"/>
    <x v="70"/>
    <s v="N3"/>
    <n v="1500634276"/>
    <n v="39"/>
    <n v="634276"/>
    <s v="RK102852 RC RISOTERIA EXPRES 8C BLACK 12          "/>
    <s v="S"/>
    <d v="2012-02-01T00:00:00"/>
    <m/>
    <s v="X"/>
    <x v="69"/>
    <n v="10.210000000000001"/>
    <n v="12"/>
    <d v="2012-02-27T00:00:00"/>
    <d v="2012-01-16T00:00:00"/>
    <n v="3816"/>
    <d v="2012-01-16T00:00:00"/>
    <n v="3816"/>
    <m/>
    <d v="2012-01-16T00:00:00"/>
    <n v="3816"/>
    <d v="2012-02-27T00:00:00"/>
    <d v="2012-01-16T00:00:00"/>
    <n v="3816"/>
    <n v="1216"/>
    <x v="21"/>
    <d v="2012-02-29T00:00:00"/>
    <m/>
    <n v="9321670802"/>
    <n v="10"/>
    <s v="SUDU5792300"/>
    <s v="MAERSK LUZ 202W/"/>
    <m/>
    <s v="YANTIAN"/>
    <m/>
    <m/>
    <s v="THOMAS HO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566/000010"/>
    <n v="1370151384"/>
    <n v="10"/>
    <x v="70"/>
    <x v="70"/>
    <s v="N3"/>
    <n v="1500634276"/>
    <n v="39"/>
    <n v="634276"/>
    <s v="RK102852 RC RISOTERIA EXPRES 8C BLACK 12          "/>
    <s v="S"/>
    <d v="2012-02-01T00:00:00"/>
    <m/>
    <s v="X"/>
    <x v="69"/>
    <n v="10.210000000000001"/>
    <n v="12"/>
    <d v="2012-02-27T00:00:00"/>
    <d v="2012-01-16T00:00:00"/>
    <n v="3816"/>
    <d v="2012-01-16T00:00:00"/>
    <n v="3816"/>
    <m/>
    <d v="2012-01-16T00:00:00"/>
    <n v="3816"/>
    <d v="2012-02-27T00:00:00"/>
    <d v="2012-01-16T00:00:00"/>
    <n v="3816"/>
    <n v="2600"/>
    <x v="21"/>
    <d v="2012-02-29T00:00:00"/>
    <m/>
    <n v="9321670802"/>
    <n v="10"/>
    <s v="FSCU9028517"/>
    <s v="MAERSK LUZ 202W/"/>
    <m/>
    <s v="YANTIAN"/>
    <m/>
    <m/>
    <s v="THOMAS HO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566/000020"/>
    <n v="1370151384"/>
    <n v="20"/>
    <x v="70"/>
    <x v="70"/>
    <s v="N3"/>
    <n v="1500634275"/>
    <n v="39"/>
    <n v="634275"/>
    <s v="RK102851 RC RISOTERIA EXPRES 8C BLACK 22          "/>
    <s v="S"/>
    <d v="2012-02-01T00:00:00"/>
    <m/>
    <s v="X"/>
    <x v="69"/>
    <n v="10.210000000000001"/>
    <n v="12"/>
    <d v="2012-02-27T00:00:00"/>
    <d v="2012-01-16T00:00:00"/>
    <n v="1152"/>
    <d v="2012-01-16T00:00:00"/>
    <n v="1152"/>
    <m/>
    <d v="2012-01-16T00:00:00"/>
    <n v="1152"/>
    <d v="2012-02-27T00:00:00"/>
    <d v="2012-01-16T00:00:00"/>
    <n v="1152"/>
    <n v="1152"/>
    <x v="21"/>
    <d v="2012-02-29T00:00:00"/>
    <m/>
    <n v="9321670802"/>
    <n v="20"/>
    <s v="SUDU5714062"/>
    <s v="MAERSK LUZ 202W/"/>
    <m/>
    <s v="YANTIAN"/>
    <m/>
    <m/>
    <s v="THOMAS HO"/>
    <s v="FO9"/>
    <s v="ELECTRICAL COOKING            "/>
    <s v="CONFIRMED"/>
    <n v="1"/>
    <n v="3"/>
    <d v="2012-01-18T00:00:00"/>
    <s v="KITCHEN ELECTRICS             "/>
    <s v="ELECTRICAL COOKING      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3750/000010"/>
    <n v="1370151555"/>
    <n v="10"/>
    <x v="57"/>
    <x v="57"/>
    <s v="P1"/>
    <n v="1500810131"/>
    <n v="104"/>
    <n v="810131"/>
    <s v="GT300831 CFG SIMPLY INVENTS BLK/GRE DK            "/>
    <s v="S"/>
    <d v="2012-01-30T00:00:00"/>
    <m/>
    <s v="X"/>
    <x v="69"/>
    <n v="7.18"/>
    <n v="47"/>
    <d v="2012-02-21T00:00:00"/>
    <d v="2012-01-17T00:00:00"/>
    <n v="3000"/>
    <d v="2012-01-23T00:00:00"/>
    <n v="3000"/>
    <m/>
    <d v="2012-01-24T00:00:00"/>
    <n v="3000"/>
    <d v="2012-02-28T00:00:00"/>
    <d v="2012-01-24T00:00:00"/>
    <n v="3000"/>
    <n v="3000"/>
    <x v="1"/>
    <d v="2012-02-27T00:00:00"/>
    <m/>
    <n v="9321670803"/>
    <n v="10"/>
    <s v="GLDU7661847"/>
    <s v="COSCO YANTIAN/038W"/>
    <m/>
    <s v="YANTIAN"/>
    <s v="C-LCL-SHIPT"/>
    <m/>
    <s v="KENUS WONG"/>
    <s v="FO9"/>
    <s v="FOOD PREPARATION              "/>
    <s v="CONFIRMED"/>
    <n v="1"/>
    <n v="4"/>
    <d v="2012-01-23T00:00:00"/>
    <s v="KITCHEN ELECTRICS             "/>
    <s v="FOOD PREPARATION              "/>
    <x v="7"/>
    <x v="3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7453/000010"/>
    <n v="1370151522"/>
    <n v="10"/>
    <x v="62"/>
    <x v="62"/>
    <s v="N3"/>
    <n v="1500576700"/>
    <n v="57"/>
    <n v="576700"/>
    <s v="MW700130 28L MICRO BRED S/S H1                    "/>
    <s v="S"/>
    <d v="2012-01-29T00:00:00"/>
    <m/>
    <s v="X"/>
    <x v="69"/>
    <n v="110.37"/>
    <n v="99"/>
    <d v="2012-02-13T00:00:00"/>
    <d v="2012-01-16T00:00:00"/>
    <n v="195"/>
    <d v="2012-01-16T00:00:00"/>
    <n v="195"/>
    <m/>
    <d v="2012-01-16T00:00:00"/>
    <n v="195"/>
    <d v="2012-02-13T00:00:00"/>
    <d v="2012-01-16T00:00:00"/>
    <n v="195"/>
    <n v="195"/>
    <x v="26"/>
    <d v="2012-02-18T00:00:00"/>
    <m/>
    <n v="9321670804"/>
    <n v="10"/>
    <s v="MSKU7135699"/>
    <s v="MAERSK TANJONG/1202"/>
    <m/>
    <s v="YANTIAN"/>
    <m/>
    <m/>
    <s v="JASON FAN"/>
    <s v="FO9"/>
    <s v="ELECTRICAL COOKING            "/>
    <s v="CONFIRMED"/>
    <n v="1"/>
    <n v="3"/>
    <d v="2012-01-21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9645/000010"/>
    <n v="1370152102"/>
    <n v="10"/>
    <x v="62"/>
    <x v="62"/>
    <s v="N3"/>
    <n v="1500576713"/>
    <n v="57"/>
    <n v="576713"/>
    <s v="MW221031 COMP MEGRIL SILVER D1                    "/>
    <s v="S"/>
    <d v="2012-01-19T00:00:00"/>
    <m/>
    <s v="X"/>
    <x v="69"/>
    <n v="36.51"/>
    <n v="1331"/>
    <d v="2012-03-05T00:00:00"/>
    <d v="2012-01-16T00:00:00"/>
    <n v="448"/>
    <d v="2012-01-16T00:00:00"/>
    <n v="448"/>
    <m/>
    <d v="2012-01-16T00:00:00"/>
    <n v="448"/>
    <d v="2012-03-05T00:00:00"/>
    <d v="2012-01-16T00:00:00"/>
    <n v="448"/>
    <n v="448"/>
    <x v="21"/>
    <d v="2012-03-07T00:00:00"/>
    <m/>
    <n v="9321670805"/>
    <n v="10"/>
    <s v="OOLU1035797"/>
    <s v="OOCL CALIFORNIA/29W0"/>
    <m/>
    <s v="YANTIAN"/>
    <m/>
    <m/>
    <s v="KENUS WONG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3676/000010"/>
    <n v="1370151855"/>
    <n v="10"/>
    <x v="17"/>
    <x v="17"/>
    <s v="L4"/>
    <n v="1830003834"/>
    <n v="175"/>
    <s v="CF8212F0       "/>
    <s v="CF8212F0 HAIR BRUSH 1200W                         "/>
    <s v="S"/>
    <d v="2012-01-29T00:00:00"/>
    <m/>
    <s v="X"/>
    <x v="69"/>
    <n v="8.43"/>
    <n v="7"/>
    <d v="2012-02-20T00:00:00"/>
    <d v="2012-01-16T00:00:00"/>
    <n v="1002"/>
    <d v="2012-01-16T00:00:00"/>
    <n v="1002"/>
    <m/>
    <d v="2012-01-16T00:00:00"/>
    <n v="1002"/>
    <d v="2012-02-27T00:00:00"/>
    <d v="2012-01-23T00:00:00"/>
    <n v="1002"/>
    <n v="1002"/>
    <x v="4"/>
    <d v="2012-02-26T00:00:00"/>
    <m/>
    <n v="9321670813"/>
    <n v="10"/>
    <s v="MOFU0555101"/>
    <s v="HYUNDAI NAVARINO/006"/>
    <m/>
    <s v="HONG KONG"/>
    <s v="SP-PROD-ISSUE/"/>
    <m/>
    <s v="AGNES NUNES"/>
    <s v="FO9"/>
    <s v="PERSONAL CARE                 "/>
    <s v="CONFIRMED"/>
    <n v="1"/>
    <n v="3"/>
    <d v="2012-01-22T00:00:00"/>
    <s v="LINEN PERS HOME CARE          "/>
    <s v="PERSONAL CARE                 "/>
    <x v="3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4209/000010"/>
    <n v="1370152016"/>
    <n v="10"/>
    <x v="17"/>
    <x v="17"/>
    <s v="L4"/>
    <n v="1830003099"/>
    <n v="5"/>
    <s v="CV4952F0       "/>
    <s v="CV4952F0 POWERLINE HAIR DRYER                     "/>
    <s v="S"/>
    <d v="2012-01-29T00:00:00"/>
    <m/>
    <s v="X"/>
    <x v="69"/>
    <n v="7.07"/>
    <n v="6"/>
    <d v="2012-02-20T00:00:00"/>
    <d v="2012-01-16T00:00:00"/>
    <n v="3000"/>
    <d v="2012-01-16T00:00:00"/>
    <n v="3000"/>
    <m/>
    <d v="2012-01-16T00:00:00"/>
    <n v="3000"/>
    <d v="2012-02-27T00:00:00"/>
    <d v="2012-01-23T00:00:00"/>
    <n v="3000"/>
    <n v="3000"/>
    <x v="4"/>
    <d v="2012-02-26T00:00:00"/>
    <m/>
    <n v="9321670815"/>
    <n v="10"/>
    <s v="MOFU0555101"/>
    <s v="HYUNDAI NAVARINO/006"/>
    <m/>
    <s v="YANTIAN"/>
    <s v="SP-PROD-ISSUE/"/>
    <m/>
    <s v="AGNES NUNES"/>
    <s v="FO9"/>
    <s v="PERSONAL CARE                 "/>
    <s v="CONFIRMED"/>
    <n v="1"/>
    <n v="3"/>
    <d v="2012-01-22T00:00:00"/>
    <s v="LINEN PERS HOME CARE          "/>
    <s v="PERSONAL CARE                 "/>
    <x v="3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9656/000010"/>
    <n v="1370152103"/>
    <n v="10"/>
    <x v="17"/>
    <x v="17"/>
    <s v="L4"/>
    <n v="1830003664"/>
    <n v="131"/>
    <s v="SF1022F0       "/>
    <s v="SF1022F0 ECO ODM STRAIGHTENER COMPACT LI          "/>
    <s v="S"/>
    <d v="2012-01-19T00:00:00"/>
    <m/>
    <s v="X"/>
    <x v="69"/>
    <n v="5.75"/>
    <n v="207"/>
    <d v="2012-03-05T00:00:00"/>
    <d v="2012-01-16T00:00:00"/>
    <n v="3000"/>
    <d v="2012-01-16T00:00:00"/>
    <n v="3000"/>
    <m/>
    <d v="2012-01-16T00:00:00"/>
    <n v="3000"/>
    <d v="2012-03-07T00:00:00"/>
    <d v="2012-01-18T00:00:00"/>
    <n v="3000"/>
    <n v="3000"/>
    <x v="21"/>
    <d v="2012-03-07T00:00:00"/>
    <m/>
    <n v="9321670816"/>
    <n v="10"/>
    <s v="OOLU8590317"/>
    <s v="OOCL CALIFORNIA/29W0"/>
    <m/>
    <s v="HONG KONG"/>
    <s v="CONS-SHIPT/"/>
    <m/>
    <s v="KENUS WONG"/>
    <s v="FO9"/>
    <s v="PERSONAL CARE                 "/>
    <s v="CONFIRMED"/>
    <n v="1"/>
    <n v="3"/>
    <d v="2012-01-18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9651/000010"/>
    <n v="1370152107"/>
    <n v="10"/>
    <x v="17"/>
    <x v="17"/>
    <s v="L4"/>
    <n v="1830003217"/>
    <n v="131"/>
    <s v="SF4412D4       "/>
    <s v="SF4412D4 LISS &amp; CURL STRAIGHTENER                 "/>
    <s v="S"/>
    <d v="2012-01-19T00:00:00"/>
    <m/>
    <s v="X"/>
    <x v="69"/>
    <n v="10.85"/>
    <n v="394"/>
    <d v="2012-03-05T00:00:00"/>
    <d v="2012-01-16T00:00:00"/>
    <n v="3000"/>
    <d v="2012-01-16T00:00:00"/>
    <n v="3000"/>
    <m/>
    <d v="2012-01-16T00:00:00"/>
    <n v="3000"/>
    <d v="2012-03-07T00:00:00"/>
    <d v="2012-01-18T00:00:00"/>
    <n v="3000"/>
    <n v="3000"/>
    <x v="21"/>
    <d v="2012-03-07T00:00:00"/>
    <m/>
    <n v="9321670817"/>
    <n v="10"/>
    <s v="OOLU8590317"/>
    <s v="OOCL CALIFORNIA/29W0"/>
    <m/>
    <s v="YANTIAN"/>
    <s v="CONS-SHIPT/"/>
    <m/>
    <s v="KENUS WONG"/>
    <s v="FO9"/>
    <s v="PERSONAL CARE                 "/>
    <s v="CONFIRMED"/>
    <n v="1"/>
    <n v="3"/>
    <d v="2012-01-18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7021/000010"/>
    <n v="1370151655"/>
    <n v="10"/>
    <x v="14"/>
    <x v="14"/>
    <s v="J2"/>
    <n v="1110019212"/>
    <n v="64"/>
    <s v="               "/>
    <s v="IS1430U1 GARMENT STEAMER PRO COMPACT              "/>
    <s v="S"/>
    <d v="2012-01-17T00:00:00"/>
    <m/>
    <s v="X"/>
    <x v="69"/>
    <n v="15.57"/>
    <n v="17"/>
    <d v="2012-02-21T00:00:00"/>
    <d v="2012-01-17T00:00:00"/>
    <n v="1000"/>
    <d v="2012-01-17T00:00:00"/>
    <n v="1000"/>
    <m/>
    <d v="2012-01-13T00:00:00"/>
    <n v="1000"/>
    <d v="2012-02-17T00:00:00"/>
    <d v="2012-01-13T00:00:00"/>
    <n v="1000"/>
    <n v="1000"/>
    <x v="9"/>
    <d v="2012-02-18T00:00:00"/>
    <m/>
    <n v="9321670822"/>
    <n v="10"/>
    <s v="GESU5142300"/>
    <s v="CMA CGM TANCREDI/US5"/>
    <m/>
    <s v="NINGBO"/>
    <m/>
    <m/>
    <s v="TWEETY LEUNG"/>
    <s v="FO9"/>
    <s v="LINEN CARE                    "/>
    <s v="CONFIRMED"/>
    <n v="1"/>
    <n v="2"/>
    <d v="2012-01-14T00:00:00"/>
    <s v="LINEN PERS HOME CARE          "/>
    <s v="LINEN CARE                    "/>
    <x v="6"/>
    <x v="2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4395/000010"/>
    <n v="1370152192"/>
    <n v="10"/>
    <x v="14"/>
    <x v="14"/>
    <s v="J2"/>
    <n v="1110019443"/>
    <n v="1"/>
    <s v="               "/>
    <s v="DX1250F1 STEAM IRON                               "/>
    <s v="S"/>
    <d v="2012-01-17T00:00:00"/>
    <m/>
    <s v="X"/>
    <x v="69"/>
    <n v="9.23"/>
    <n v="7"/>
    <d v="2012-02-20T00:00:00"/>
    <d v="2012-01-16T00:00:00"/>
    <n v="6900"/>
    <d v="2012-01-16T00:00:00"/>
    <n v="6900"/>
    <m/>
    <d v="2012-01-14T00:00:00"/>
    <n v="6900"/>
    <d v="2012-02-18T00:00:00"/>
    <d v="2012-01-14T00:00:00"/>
    <n v="6900"/>
    <n v="6900"/>
    <x v="11"/>
    <d v="2012-02-19T00:00:00"/>
    <m/>
    <n v="9321670826"/>
    <n v="10"/>
    <s v="APZU4349833"/>
    <s v="MOL CHARISMA/009W"/>
    <m/>
    <s v="NINGBO"/>
    <m/>
    <m/>
    <s v="AGNES NUNES"/>
    <s v="FO9"/>
    <s v="LINEN CARE                    "/>
    <s v="CONFIRMED"/>
    <n v="1"/>
    <n v="2"/>
    <d v="2012-01-15T00:00:00"/>
    <s v="LINEN PERS HOME CARE          "/>
    <s v="LINEN CARE   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9707/000010"/>
    <n v="1370152101"/>
    <n v="10"/>
    <x v="6"/>
    <x v="6"/>
    <s v="K9"/>
    <n v="8000033779"/>
    <n v="29"/>
    <s v="ES320030       "/>
    <s v="ES320030 ESP OPIO GRE/SS RU                       "/>
    <s v="S"/>
    <d v="2012-01-21T00:00:00"/>
    <m/>
    <s v="X"/>
    <x v="69"/>
    <n v="39.28"/>
    <n v="1435"/>
    <d v="2012-03-05T00:00:00"/>
    <d v="2012-01-16T00:00:00"/>
    <n v="1020"/>
    <d v="2012-01-16T00:00:00"/>
    <n v="1020"/>
    <m/>
    <d v="2012-02-05T00:00:00"/>
    <n v="1020"/>
    <d v="2012-03-09T00:00:00"/>
    <d v="2012-01-20T00:00:00"/>
    <n v="1020"/>
    <n v="1020"/>
    <x v="14"/>
    <d v="2012-03-09T00:00:00"/>
    <m/>
    <n v="9321670830"/>
    <n v="10"/>
    <s v="OOLU2969751"/>
    <s v="JIA HANG 968/032/011"/>
    <m/>
    <s v="ZHUHAI"/>
    <s v="SP-HOLIDAY/"/>
    <m/>
    <s v="KENUS WONG"/>
    <s v="FO9"/>
    <s v="BEVERAGE                      "/>
    <s v="CONFIRMED"/>
    <n v="1"/>
    <n v="3"/>
    <d v="2012-01-20T00:00:00"/>
    <s v="KITCHEN ELECTRICS             "/>
    <s v="BREAKFAST &amp; BREVAGE PREP      "/>
    <x v="2"/>
    <x v="1"/>
    <x v="7"/>
    <s v="SP-HOLIDAY"/>
    <n v="-3"/>
    <n v="-3"/>
    <x v="6"/>
    <n v="1"/>
    <x v="0"/>
    <x v="1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6011/000010"/>
    <n v="1370151293"/>
    <n v="10"/>
    <x v="83"/>
    <x v="83"/>
    <s v="R1"/>
    <n v="8000033498"/>
    <n v="103"/>
    <s v="VB2158F2       "/>
    <s v="VB2158F2 BTD  B80 BLK SEB FR                      "/>
    <s v="S"/>
    <d v="2012-01-06T00:00:00"/>
    <m/>
    <s v="X"/>
    <x v="69"/>
    <n v="42.08"/>
    <n v="36"/>
    <d v="2012-02-10T00:00:00"/>
    <d v="2012-01-06T00:00:00"/>
    <n v="1384"/>
    <d v="2012-01-04T00:00:00"/>
    <n v="1384"/>
    <m/>
    <d v="2011-12-30T00:00:00"/>
    <n v="1384"/>
    <d v="2012-02-03T00:00:00"/>
    <d v="2011-12-30T00:00:00"/>
    <n v="1384"/>
    <n v="692"/>
    <x v="2"/>
    <d v="2012-02-08T00:00:00"/>
    <m/>
    <n v="9321670842"/>
    <n v="10"/>
    <s v="UXXU4317120"/>
    <s v="MAREN MAERSK/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011/000010"/>
    <n v="1370151293"/>
    <n v="10"/>
    <x v="83"/>
    <x v="83"/>
    <s v="R1"/>
    <n v="8000033498"/>
    <n v="103"/>
    <s v="VB2158F2       "/>
    <s v="VB2158F2 BTD  B80 BLK SEB FR                      "/>
    <s v="S"/>
    <d v="2012-01-06T00:00:00"/>
    <m/>
    <s v="X"/>
    <x v="69"/>
    <n v="42.08"/>
    <n v="36"/>
    <d v="2012-02-10T00:00:00"/>
    <d v="2012-01-06T00:00:00"/>
    <n v="1384"/>
    <d v="2012-01-04T00:00:00"/>
    <n v="1384"/>
    <m/>
    <d v="2011-12-30T00:00:00"/>
    <n v="1384"/>
    <d v="2012-02-03T00:00:00"/>
    <d v="2011-12-30T00:00:00"/>
    <n v="1384"/>
    <n v="692"/>
    <x v="2"/>
    <d v="2012-02-08T00:00:00"/>
    <m/>
    <n v="9321670842"/>
    <n v="10"/>
    <s v="PONU1839216"/>
    <s v="MAREN MAERSK/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7481/000010"/>
    <n v="1370151511"/>
    <n v="10"/>
    <x v="44"/>
    <x v="44"/>
    <s v="P1"/>
    <n v="1500833645"/>
    <n v="105"/>
    <n v="833645"/>
    <s v="JU200045 JUI VITAE WHT/YEL ES                     "/>
    <s v="S"/>
    <d v="2012-01-29T00:00:00"/>
    <m/>
    <s v="X"/>
    <x v="69"/>
    <n v="12.7"/>
    <n v="12"/>
    <d v="2012-02-13T00:00:00"/>
    <d v="2012-01-16T00:00:00"/>
    <n v="2320"/>
    <d v="2012-01-16T00:00:00"/>
    <n v="2320"/>
    <m/>
    <d v="2012-01-16T00:00:00"/>
    <n v="2320"/>
    <d v="2012-02-18T00:00:00"/>
    <d v="2012-01-21T00:00:00"/>
    <n v="2320"/>
    <n v="2320"/>
    <x v="26"/>
    <d v="2012-02-18T00:00:00"/>
    <m/>
    <n v="9321670843"/>
    <n v="10"/>
    <s v="SEAU7874207"/>
    <s v="MAERSK TANJONG/1202"/>
    <m/>
    <s v="SHENZHEN"/>
    <s v="SAILING-SCHED-UPDATE/"/>
    <m/>
    <s v="JASON FAN"/>
    <s v="FO9"/>
    <s v="FOOD PREPARATION              "/>
    <s v="CONFIRMED"/>
    <n v="1"/>
    <n v="3"/>
    <d v="2012-01-21T00:00:00"/>
    <s v="KITCHEN ELECTRICS             "/>
    <s v="FOOD PREPARATION              "/>
    <x v="2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7478/000010"/>
    <n v="1370151525"/>
    <n v="10"/>
    <x v="44"/>
    <x v="44"/>
    <s v="P1"/>
    <n v="1500814332"/>
    <n v="106"/>
    <n v="814332"/>
    <s v="HM412131 HMX/STAND PREP'LINE 450W WHT IT          "/>
    <s v="S"/>
    <d v="2012-01-29T00:00:00"/>
    <m/>
    <s v="X"/>
    <x v="69"/>
    <n v="15.01"/>
    <n v="13"/>
    <d v="2012-02-13T00:00:00"/>
    <d v="2012-01-16T00:00:00"/>
    <n v="1400"/>
    <d v="2012-01-16T00:00:00"/>
    <n v="1400"/>
    <m/>
    <d v="2012-01-16T00:00:00"/>
    <n v="1400"/>
    <d v="2012-02-18T00:00:00"/>
    <d v="2012-01-21T00:00:00"/>
    <n v="1400"/>
    <n v="1400"/>
    <x v="26"/>
    <d v="2012-02-18T00:00:00"/>
    <m/>
    <n v="9321670844"/>
    <n v="10"/>
    <s v="SEAU7874207"/>
    <s v="MAERSK TANJONG/1202"/>
    <m/>
    <s v="YANTIAN"/>
    <s v="SAILING-SCHED-UPDATE/"/>
    <m/>
    <s v="JASON FAN"/>
    <s v="FO9"/>
    <s v="FOOD PREPARATION              "/>
    <s v="CONFIRMED"/>
    <n v="1"/>
    <n v="3"/>
    <d v="2012-01-21T00:00:00"/>
    <s v="KITCHEN ELECTRICS             "/>
    <s v="FOOD PREPARATION              "/>
    <x v="2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3877/000010"/>
    <n v="1370151860"/>
    <n v="10"/>
    <x v="44"/>
    <x v="44"/>
    <s v="P1"/>
    <n v="1500814233"/>
    <n v="106"/>
    <n v="814233"/>
    <s v="HT411133 HMX PREPLINE 450W WHT EUR                "/>
    <s v="S"/>
    <d v="2012-02-01T00:00:00"/>
    <m/>
    <s v="X"/>
    <x v="69"/>
    <n v="12.76"/>
    <n v="11"/>
    <d v="2012-02-20T00:00:00"/>
    <d v="2012-01-16T00:00:00"/>
    <n v="3600"/>
    <d v="2012-01-16T00:00:00"/>
    <n v="3600"/>
    <m/>
    <d v="2012-01-16T00:00:00"/>
    <n v="3600"/>
    <d v="2012-02-26T00:00:00"/>
    <d v="2012-01-22T00:00:00"/>
    <n v="3600"/>
    <n v="3582"/>
    <x v="4"/>
    <d v="2012-02-26T00:00:00"/>
    <m/>
    <n v="9321670845"/>
    <n v="10"/>
    <s v="TGHU8254225"/>
    <s v="HYUNDAI NAVARINO/006"/>
    <m/>
    <s v="YANTIAN"/>
    <s v="SAILING-SCHED-UPDATE/"/>
    <m/>
    <s v="AGNES NUNES"/>
    <s v="FO9"/>
    <s v="FOOD PREPARATION              "/>
    <s v="CONFIRMED"/>
    <n v="1"/>
    <n v="3"/>
    <d v="2012-01-22T00:00:00"/>
    <s v="KITCHEN ELECTRICS             "/>
    <s v="FOOD PREPARATION              "/>
    <x v="2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4224/000010"/>
    <n v="1370152013"/>
    <n v="10"/>
    <x v="44"/>
    <x v="44"/>
    <s v="P1"/>
    <n v="1500814133"/>
    <n v="106"/>
    <n v="814133"/>
    <s v="HT410133 HMX PREPLINE 450W WHT EUR                "/>
    <s v="S"/>
    <d v="2012-02-01T00:00:00"/>
    <m/>
    <s v="X"/>
    <x v="69"/>
    <n v="10.81"/>
    <n v="9"/>
    <d v="2012-02-20T00:00:00"/>
    <d v="2012-01-16T00:00:00"/>
    <n v="6258"/>
    <d v="2012-01-16T00:00:00"/>
    <n v="6258"/>
    <m/>
    <d v="2012-01-16T00:00:00"/>
    <n v="6258"/>
    <d v="2012-02-26T00:00:00"/>
    <d v="2012-01-22T00:00:00"/>
    <n v="6258"/>
    <n v="6258"/>
    <x v="4"/>
    <d v="2012-02-26T00:00:00"/>
    <m/>
    <n v="9321670846"/>
    <n v="10"/>
    <s v="TGHU8254225"/>
    <s v="HYUNDAI NAVARINO/006"/>
    <m/>
    <s v="YANTIAN"/>
    <s v="SAILING-SCHED-UPDATE/"/>
    <m/>
    <s v="AGNES NUNES"/>
    <s v="FO9"/>
    <s v="FOOD PREPARATION              "/>
    <s v="CONFIRMED"/>
    <n v="1"/>
    <n v="3"/>
    <d v="2012-01-22T00:00:00"/>
    <s v="KITCHEN ELECTRICS             "/>
    <s v="FOOD PREPARATION              "/>
    <x v="2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57/000001"/>
    <n v="1370152124"/>
    <n v="10"/>
    <x v="44"/>
    <x v="44"/>
    <s v="P1"/>
    <n v="1500814483"/>
    <n v="106"/>
    <n v="814483"/>
    <s v="HT41313E HMX PREPLINE STD/STICK WHT EE            "/>
    <s v="S"/>
    <d v="2012-01-19T00:00:00"/>
    <m/>
    <s v="X"/>
    <x v="69"/>
    <n v="16.5"/>
    <n v="23"/>
    <d v="2012-02-01T00:00:00"/>
    <d v="2012-01-18T00:00:00"/>
    <n v="1000"/>
    <d v="2012-01-18T00:00:00"/>
    <n v="1000"/>
    <m/>
    <d v="2012-01-18T00:00:00"/>
    <n v="1000"/>
    <d v="2012-02-04T00:00:00"/>
    <d v="2012-01-21T00:00:00"/>
    <n v="1000"/>
    <n v="1000"/>
    <x v="26"/>
    <d v="2012-02-04T00:00:00"/>
    <m/>
    <n v="9321670847"/>
    <n v="10"/>
    <s v="OOLU7736304"/>
    <s v="OOCL BEIJING 007W"/>
    <m/>
    <s v="YANTIAN"/>
    <s v="SAILING-SCHED-UPDATE/"/>
    <m/>
    <s v="AGNES NUNES"/>
    <s v="FO9"/>
    <s v="FOOD PREPARATION              "/>
    <s v="CONFIRMED"/>
    <n v="1"/>
    <n v="3"/>
    <d v="2012-01-21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61/000001"/>
    <n v="1370152125"/>
    <n v="10"/>
    <x v="44"/>
    <x v="44"/>
    <s v="P1"/>
    <n v="1500831373"/>
    <n v="105"/>
    <n v="831373"/>
    <s v="ZN350C70 JUI ELEA MET/BLK SG                      "/>
    <s v="S"/>
    <d v="2012-01-19T00:00:00"/>
    <m/>
    <s v="X"/>
    <x v="69"/>
    <n v="21.06"/>
    <n v="29"/>
    <d v="2012-02-01T00:00:00"/>
    <d v="2012-01-18T00:00:00"/>
    <n v="1056"/>
    <d v="2012-01-18T00:00:00"/>
    <n v="1056"/>
    <m/>
    <d v="2012-01-18T00:00:00"/>
    <n v="1056"/>
    <d v="2012-02-04T00:00:00"/>
    <d v="2012-01-21T00:00:00"/>
    <n v="1056"/>
    <n v="1056"/>
    <x v="26"/>
    <d v="2012-02-04T00:00:00"/>
    <m/>
    <n v="9321670848"/>
    <n v="10"/>
    <s v="OOLU7736304"/>
    <s v="OOCL BEIJING 007W"/>
    <m/>
    <s v="YANTIAN"/>
    <s v="SAILING-SCHED-UPDATE/"/>
    <m/>
    <s v="AGNES NUNES"/>
    <s v="FO9"/>
    <s v="FOOD PREPARATION              "/>
    <s v="CONFIRMED"/>
    <n v="1"/>
    <n v="3"/>
    <d v="2012-01-21T00:00:00"/>
    <s v="KITCHEN ELECTRICS             "/>
    <s v="FOOD PREPARATION              "/>
    <x v="2"/>
    <x v="1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0209/000010"/>
    <n v="1370152291"/>
    <n v="10"/>
    <x v="44"/>
    <x v="44"/>
    <s v="P1"/>
    <n v="1500852301"/>
    <n v="25"/>
    <n v="852301"/>
    <s v="852301 KNF WHT/GRG SEB FR                         "/>
    <s v="S"/>
    <d v="2012-01-17T00:00:00"/>
    <m/>
    <s v="X"/>
    <x v="69"/>
    <n v="8.93"/>
    <n v="8"/>
    <d v="2012-02-17T00:00:00"/>
    <d v="2012-01-13T00:00:00"/>
    <n v="8640"/>
    <d v="2012-01-13T00:00:00"/>
    <n v="8640"/>
    <m/>
    <d v="2012-01-13T00:00:00"/>
    <n v="8640"/>
    <d v="2012-02-15T00:00:00"/>
    <d v="2012-01-11T00:00:00"/>
    <n v="8640"/>
    <n v="8640"/>
    <x v="17"/>
    <d v="2012-02-15T00:00:00"/>
    <m/>
    <n v="9321670852"/>
    <n v="10"/>
    <s v="MRKU0249825"/>
    <s v="GRETE MAERSK 121W/"/>
    <m/>
    <s v="SHENZHEN"/>
    <s v="SAILING-SCHED-UPDATE/"/>
    <m/>
    <s v="JASON FAN"/>
    <s v="FO9"/>
    <s v="FOOD PREPARATION              "/>
    <s v="CONFIRMED"/>
    <n v="1"/>
    <n v="2"/>
    <d v="2012-01-11T00:00:00"/>
    <s v="KITCHEN ELECTRICS             "/>
    <s v="FOOD PREPARATION              "/>
    <x v="2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7457/000010"/>
    <n v="1370151501"/>
    <n v="10"/>
    <x v="68"/>
    <x v="68"/>
    <s v="N3"/>
    <n v="1500634219"/>
    <n v="177"/>
    <n v="634219"/>
    <s v="AM101631 EASY PRO S/STEEL 3L                      "/>
    <s v="S"/>
    <d v="2012-01-09T00:00:00"/>
    <m/>
    <s v="X"/>
    <x v="69"/>
    <n v="20.9"/>
    <n v="18"/>
    <d v="2012-02-13T00:00:00"/>
    <d v="2012-01-16T00:00:00"/>
    <n v="746"/>
    <d v="2012-01-16T00:00:00"/>
    <n v="746"/>
    <m/>
    <d v="2012-01-16T00:00:00"/>
    <n v="746"/>
    <d v="2012-02-13T00:00:00"/>
    <d v="2012-01-16T00:00:00"/>
    <n v="746"/>
    <n v="746"/>
    <x v="2"/>
    <d v="2012-02-01T00:00:00"/>
    <m/>
    <n v="9321670862"/>
    <n v="10"/>
    <s v="HDMU2530070"/>
    <s v="CHINA EXPRESS/0008W"/>
    <m/>
    <s v="YANTIAN"/>
    <m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1"/>
    <x v="1"/>
    <x v="1"/>
    <m/>
    <n v="0"/>
    <n v="0"/>
    <x v="1"/>
    <n v="0"/>
    <x v="0"/>
    <x v="0"/>
    <x v="1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58190/000010"/>
    <n v="1370151658"/>
    <n v="10"/>
    <x v="60"/>
    <x v="60"/>
    <s v="L4"/>
    <n v="1830004078"/>
    <n v="175"/>
    <s v="CF3912C0       "/>
    <s v="CF3912C0 HOT AIR BRUSH 300W CURL RELEASE          "/>
    <s v="S"/>
    <d v="2012-02-02T00:00:00"/>
    <m/>
    <s v="X"/>
    <x v="69"/>
    <n v="5.81"/>
    <n v="5"/>
    <d v="2012-02-17T00:00:00"/>
    <d v="2012-01-13T00:00:00"/>
    <n v="3000"/>
    <d v="2012-01-18T00:00:00"/>
    <n v="3000"/>
    <m/>
    <d v="2012-01-10T00:00:00"/>
    <n v="3000"/>
    <d v="2012-02-22T00:00:00"/>
    <d v="2012-01-18T00:00:00"/>
    <n v="3000"/>
    <n v="3000"/>
    <x v="21"/>
    <d v="2012-02-22T00:00:00"/>
    <m/>
    <n v="9321670877"/>
    <n v="10"/>
    <s v="ECMU4070235"/>
    <s v="CMA CGM FIDELIO FM42"/>
    <m/>
    <s v="NINGBO"/>
    <s v="CONS-SHIPT"/>
    <m/>
    <s v="JASON FAN"/>
    <s v="FO9"/>
    <s v="PERSONAL CARE                 "/>
    <s v="CONFIRMED"/>
    <n v="1"/>
    <n v="3"/>
    <d v="2012-01-18T00:00:00"/>
    <s v="LINEN PERS HOME CARE          "/>
    <s v="PERSONAL CARE                 "/>
    <x v="6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199/000010"/>
    <n v="1370150917"/>
    <n v="10"/>
    <x v="60"/>
    <x v="60"/>
    <s v="L4"/>
    <n v="1830003492"/>
    <n v="5"/>
    <s v="CV3512B0       "/>
    <s v="CV3512B0 FASHION TRIP FOLDABLE HAIR DRYE          "/>
    <s v="S"/>
    <d v="2012-02-02T00:00:00"/>
    <m/>
    <s v="X"/>
    <x v="69"/>
    <n v="5.21"/>
    <n v="6"/>
    <d v="2012-02-13T00:00:00"/>
    <d v="2012-01-02T00:00:00"/>
    <n v="3000"/>
    <d v="2012-01-15T00:00:00"/>
    <n v="3000"/>
    <m/>
    <d v="2012-01-05T00:00:00"/>
    <n v="3000"/>
    <d v="2012-02-26T00:00:00"/>
    <d v="2012-01-15T00:00:00"/>
    <n v="3000"/>
    <n v="3000"/>
    <x v="1"/>
    <d v="2012-03-05T00:00:00"/>
    <m/>
    <n v="9321670878"/>
    <n v="10"/>
    <s v="SEAU8247290"/>
    <s v="MAERSK LA PAZ 203W/"/>
    <m/>
    <s v="NINGBO"/>
    <s v="SAILING-SCHED-UPDATE/FORWARDER-PROB/CONS-SHIPT/"/>
    <m/>
    <s v="THOMAS HO"/>
    <s v="FO9"/>
    <s v="PERSONAL CARE                 "/>
    <s v="CONFIRMED"/>
    <n v="1"/>
    <n v="4"/>
    <d v="2012-01-23T00:00:00"/>
    <s v="LINEN PERS HOME CARE          "/>
    <s v="PERSONAL CARE                 "/>
    <x v="6"/>
    <x v="2"/>
    <x v="0"/>
    <s v="CONS-SHIPT"/>
    <n v="1"/>
    <n v="-3"/>
    <x v="8"/>
    <n v="3"/>
    <x v="0"/>
    <x v="0"/>
    <x v="1"/>
    <n v="0"/>
    <n v="0"/>
    <n v="0"/>
    <n v="0"/>
    <n v="0"/>
    <n v="0"/>
    <x v="1"/>
    <x v="0"/>
    <x v="1"/>
    <x v="0"/>
  </r>
  <r>
    <s v="Shipment"/>
    <n v="99001621"/>
    <s v="GRUPO SEB DO BRASIL                               "/>
    <n v="99001600"/>
    <x v="2"/>
    <s v="9820641198/000010"/>
    <n v="1370151434"/>
    <n v="10"/>
    <x v="60"/>
    <x v="60"/>
    <s v="L4"/>
    <n v="1830003492"/>
    <n v="5"/>
    <s v="CV3512B0       "/>
    <s v="CV3512B0 FASHION TRIP FOLDABLE HAIR DRYE          "/>
    <s v="S"/>
    <d v="2012-02-02T00:00:00"/>
    <m/>
    <s v="X"/>
    <x v="69"/>
    <n v="5.21"/>
    <n v="6"/>
    <d v="2012-02-06T00:00:00"/>
    <d v="2011-12-26T00:00:00"/>
    <n v="8940"/>
    <d v="2012-01-15T00:00:00"/>
    <n v="8940"/>
    <m/>
    <d v="2012-01-15T00:00:00"/>
    <n v="8940"/>
    <d v="2012-02-26T00:00:00"/>
    <d v="2012-01-15T00:00:00"/>
    <n v="8940"/>
    <n v="8940"/>
    <x v="1"/>
    <d v="2012-03-05T00:00:00"/>
    <m/>
    <n v="9321670880"/>
    <n v="10"/>
    <s v="SEAU8247290"/>
    <s v="MAERSK LA PAZ 203W/"/>
    <m/>
    <s v="NINGBO"/>
    <s v="SAILING-SCHED-UPDATE/FORWARDER-PROB/SP-NO-FORECAST/"/>
    <m/>
    <s v="THOMAS HO"/>
    <s v="FO9"/>
    <s v="PERSONAL CARE                 "/>
    <s v="CONFIRMED"/>
    <n v="1"/>
    <n v="4"/>
    <d v="2012-01-23T00:00:00"/>
    <s v="LINEN PERS HOME CARE          "/>
    <s v="PERSONAL CARE                 "/>
    <x v="6"/>
    <x v="2"/>
    <x v="0"/>
    <s v="SP-NO-FORECAST"/>
    <n v="1"/>
    <n v="-3"/>
    <x v="15"/>
    <n v="3"/>
    <x v="0"/>
    <x v="0"/>
    <x v="1"/>
    <n v="1"/>
    <n v="0"/>
    <n v="0"/>
    <n v="0"/>
    <n v="0"/>
    <n v="0"/>
    <x v="0"/>
    <x v="1"/>
    <x v="1"/>
    <x v="0"/>
  </r>
  <r>
    <s v="Shipment"/>
    <n v="99007300"/>
    <s v="GROUPE SEB DEUTSCHLAND                            "/>
    <n v="99007300"/>
    <x v="17"/>
    <s v="4500264393/000010"/>
    <n v="1370152193"/>
    <n v="10"/>
    <x v="60"/>
    <x v="60"/>
    <s v="L4"/>
    <n v="1830003934"/>
    <n v="175"/>
    <s v="CF3910F0       "/>
    <s v="CF3910F0 HAIR BRUSH CURL RELEASE                  "/>
    <s v="S"/>
    <d v="2012-01-29T00:00:00"/>
    <m/>
    <s v="X"/>
    <x v="69"/>
    <n v="5.71"/>
    <n v="5"/>
    <d v="2012-02-20T00:00:00"/>
    <d v="2012-01-16T00:00:00"/>
    <n v="3000"/>
    <d v="2012-01-16T00:00:00"/>
    <n v="3000"/>
    <m/>
    <d v="2012-01-16T00:00:00"/>
    <n v="3000"/>
    <d v="2012-02-20T00:00:00"/>
    <d v="2012-01-16T00:00:00"/>
    <n v="3000"/>
    <n v="3000"/>
    <x v="19"/>
    <d v="2012-02-21T00:00:00"/>
    <m/>
    <n v="9321670881"/>
    <n v="10"/>
    <s v="CBHU8737784"/>
    <s v="HANJIN GREECE/005W"/>
    <m/>
    <s v="NINGBO"/>
    <m/>
    <m/>
    <s v="AGNES NUNES"/>
    <s v="FO9"/>
    <s v="PERSONAL CARE                 "/>
    <s v="CONFIRMED"/>
    <n v="1"/>
    <n v="3"/>
    <d v="2012-01-17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3465/000010"/>
    <n v="1370151565"/>
    <n v="10"/>
    <x v="23"/>
    <x v="23"/>
    <s v="J1"/>
    <n v="2820209011"/>
    <n v="1"/>
    <s v="DW2090U1       "/>
    <s v="DW2090U1 EFFECTIVE COMFORT CORDREEL IRON          "/>
    <s v="S"/>
    <d v="2012-01-16T00:00:00"/>
    <m/>
    <s v="X"/>
    <x v="69"/>
    <n v="21.330500000000001"/>
    <n v="24"/>
    <d v="2012-02-21T00:00:00"/>
    <d v="2012-01-17T00:00:00"/>
    <n v="13680"/>
    <d v="2012-01-17T00:00:00"/>
    <n v="13719"/>
    <m/>
    <d v="2012-01-21T00:00:00"/>
    <n v="13719"/>
    <d v="2012-02-25T00:00:00"/>
    <d v="2012-01-21T00:00:00"/>
    <n v="13719"/>
    <n v="2175"/>
    <x v="9"/>
    <d v="2012-02-18T00:00:00"/>
    <m/>
    <n v="9321670885"/>
    <n v="10"/>
    <s v="HLXU5212196"/>
    <s v="NYK CONSTELLATION/26"/>
    <m/>
    <s v="SHANGHAI"/>
    <m/>
    <m/>
    <s v="TWEETY LEUNG"/>
    <s v="FO9"/>
    <s v="LINEN CARE                    "/>
    <s v="CONFIRMED"/>
    <n v="1"/>
    <n v="2"/>
    <d v="2012-01-14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3465/000010"/>
    <n v="1370151565"/>
    <n v="10"/>
    <x v="23"/>
    <x v="23"/>
    <s v="J1"/>
    <n v="2820209011"/>
    <n v="1"/>
    <s v="DW2090U1       "/>
    <s v="DW2090U1 EFFECTIVE COMFORT CORDREEL IRON          "/>
    <s v="S"/>
    <d v="2012-01-16T00:00:00"/>
    <m/>
    <s v="X"/>
    <x v="69"/>
    <n v="21.330500000000001"/>
    <n v="24"/>
    <d v="2012-02-21T00:00:00"/>
    <d v="2012-01-17T00:00:00"/>
    <n v="13680"/>
    <d v="2012-01-17T00:00:00"/>
    <n v="13719"/>
    <m/>
    <d v="2012-01-21T00:00:00"/>
    <n v="13719"/>
    <d v="2012-02-25T00:00:00"/>
    <d v="2012-01-21T00:00:00"/>
    <n v="13719"/>
    <n v="5772"/>
    <x v="9"/>
    <d v="2012-02-18T00:00:00"/>
    <m/>
    <n v="9321670885"/>
    <n v="10"/>
    <s v="TGHU7298492"/>
    <s v="NYK CONSTELLATION/26"/>
    <m/>
    <s v="SHANGHAI"/>
    <m/>
    <m/>
    <s v="TWEETY LEUNG"/>
    <s v="FO9"/>
    <s v="LINEN CARE                    "/>
    <s v="CONFIRMED"/>
    <n v="1"/>
    <n v="2"/>
    <d v="2012-01-14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3465/000010"/>
    <n v="1370151565"/>
    <n v="10"/>
    <x v="23"/>
    <x v="23"/>
    <s v="J1"/>
    <n v="2820209011"/>
    <n v="1"/>
    <s v="DW2090U1       "/>
    <s v="DW2090U1 EFFECTIVE COMFORT CORDREEL IRON          "/>
    <s v="S"/>
    <d v="2012-01-17T00:00:00"/>
    <m/>
    <s v="X"/>
    <x v="69"/>
    <n v="21.330500000000001"/>
    <n v="24"/>
    <d v="2012-02-21T00:00:00"/>
    <d v="2012-01-17T00:00:00"/>
    <n v="13680"/>
    <d v="2012-01-17T00:00:00"/>
    <n v="13719"/>
    <m/>
    <d v="2012-01-21T00:00:00"/>
    <n v="13719"/>
    <d v="2012-02-25T00:00:00"/>
    <d v="2012-01-21T00:00:00"/>
    <n v="13719"/>
    <n v="5772"/>
    <x v="9"/>
    <d v="2012-02-18T00:00:00"/>
    <m/>
    <n v="9321670885"/>
    <n v="10"/>
    <s v="HLXU6597600"/>
    <s v="NYK CONSTELLATION/26"/>
    <m/>
    <s v="SHANGHAI"/>
    <m/>
    <m/>
    <s v="TWEETY LEUNG"/>
    <s v="FO9"/>
    <s v="LINEN CARE                    "/>
    <s v="CONFIRMED"/>
    <n v="1"/>
    <n v="2"/>
    <d v="2012-01-14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3466/000010"/>
    <n v="1370151566"/>
    <n v="10"/>
    <x v="23"/>
    <x v="23"/>
    <s v="J1"/>
    <n v="2820209011"/>
    <n v="1"/>
    <s v="DW2090U1       "/>
    <s v="DW2090U1 EFFECTIVE COMFORT CORDREEL IRON          "/>
    <s v="S"/>
    <d v="2012-01-19T00:00:00"/>
    <m/>
    <s v="X"/>
    <x v="69"/>
    <n v="21.330500000000001"/>
    <n v="24"/>
    <d v="2012-03-13T00:00:00"/>
    <d v="2012-02-07T00:00:00"/>
    <n v="4056"/>
    <d v="2012-02-07T00:00:00"/>
    <n v="4350"/>
    <m/>
    <d v="2012-02-04T00:00:00"/>
    <n v="2175"/>
    <d v="2012-03-05T00:00:00"/>
    <d v="2012-01-30T00:00:00"/>
    <n v="4350"/>
    <n v="4350"/>
    <x v="26"/>
    <d v="2012-02-25T00:00:00"/>
    <m/>
    <n v="9321670886"/>
    <n v="10"/>
    <s v="HLXU5213103"/>
    <s v="NYK RUMINA/10E03"/>
    <m/>
    <s v="SHANGHAI"/>
    <s v="FORWARDER-PROB"/>
    <m/>
    <s v="TWEETY LEUNG"/>
    <s v="FO9"/>
    <s v="LINEN CARE                    "/>
    <s v="CONFIRMED"/>
    <n v="1"/>
    <n v="3"/>
    <d v="2012-01-21T00:00:00"/>
    <s v="LINEN PERS HOME CARE          "/>
    <s v="LINEN CARE                    "/>
    <x v="0"/>
    <x v="0"/>
    <x v="0"/>
    <s v="FORWARDER-PROB"/>
    <n v="1"/>
    <n v="1"/>
    <x v="11"/>
    <n v="1"/>
    <x v="0"/>
    <x v="0"/>
    <x v="0"/>
    <n v="0"/>
    <n v="0"/>
    <n v="0"/>
    <n v="0"/>
    <n v="0"/>
    <n v="0"/>
    <x v="1"/>
    <x v="0"/>
    <x v="1"/>
    <x v="0"/>
  </r>
  <r>
    <s v="Shipment"/>
    <n v="99003800"/>
    <s v="GROUPE SEB POLSKA SP. ZO.O                        "/>
    <n v="99003800"/>
    <x v="20"/>
    <s v="4500263459/000010"/>
    <n v="1370150942"/>
    <n v="10"/>
    <x v="23"/>
    <x v="23"/>
    <s v="J3"/>
    <n v="2820215190"/>
    <n v="1"/>
    <s v="FV2151E0       "/>
    <s v="FV2151E0 STEAM IRON SIMPLY INVENTS FTE E          "/>
    <s v="S"/>
    <d v="2012-01-30T00:00:00"/>
    <m/>
    <s v="X"/>
    <x v="69"/>
    <n v="12.872"/>
    <n v="45"/>
    <d v="2012-03-01T00:00:00"/>
    <d v="2012-01-19T00:00:00"/>
    <n v="2592"/>
    <d v="2012-01-19T00:00:00"/>
    <n v="2592"/>
    <m/>
    <d v="2012-01-21T00:00:00"/>
    <n v="2592"/>
    <d v="2012-03-06T00:00:00"/>
    <d v="2012-01-24T00:00:00"/>
    <n v="2592"/>
    <n v="2592"/>
    <x v="25"/>
    <d v="2012-03-06T00:00:00"/>
    <m/>
    <n v="9321670889"/>
    <n v="10"/>
    <s v="TGHU4986676"/>
    <s v="CMA CGM CORTE REAL V"/>
    <m/>
    <s v="SHANGHAI"/>
    <m/>
    <m/>
    <s v="KENUS WONG"/>
    <s v="FO9"/>
    <s v="LINEN CARE                    "/>
    <s v="CONFIRMED"/>
    <n v="1"/>
    <n v="4"/>
    <d v="2012-01-24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4010/000010"/>
    <n v="1370151849"/>
    <n v="10"/>
    <x v="23"/>
    <x v="23"/>
    <s v="N4"/>
    <n v="2802400330"/>
    <n v="32"/>
    <s v="VC400330       "/>
    <s v="VC400330 STMC STEAM CUISINE VITA+ RU 3B           "/>
    <s v="S"/>
    <d v="2012-01-17T00:00:00"/>
    <m/>
    <s v="X"/>
    <x v="69"/>
    <n v="25.327200000000001"/>
    <n v="88"/>
    <d v="2012-02-27T00:00:00"/>
    <d v="2012-01-16T00:00:00"/>
    <n v="540"/>
    <d v="2012-01-16T00:00:00"/>
    <n v="540"/>
    <m/>
    <d v="2012-01-16T00:00:00"/>
    <n v="540"/>
    <d v="2012-02-27T00:00:00"/>
    <d v="2012-01-16T00:00:00"/>
    <n v="540"/>
    <n v="540"/>
    <x v="11"/>
    <d v="2012-02-26T00:00:00"/>
    <m/>
    <n v="9321670890"/>
    <n v="10"/>
    <s v="PONU1808806"/>
    <s v="EMMA MAERSK 1202/"/>
    <m/>
    <s v="SHANGHAI"/>
    <m/>
    <m/>
    <s v="KENUS WONG"/>
    <s v="FO9"/>
    <s v="ELECTRICAL COOKING            "/>
    <s v="CONFIRMED"/>
    <n v="1"/>
    <n v="2"/>
    <d v="2012-01-15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3422/000010"/>
    <n v="1370151649"/>
    <n v="10"/>
    <x v="23"/>
    <x v="23"/>
    <s v="J1"/>
    <n v="2820105011"/>
    <n v="1"/>
    <s v="DW1050U1       "/>
    <s v="DW1050U1 EFFECTIVE IRON                           "/>
    <s v="S"/>
    <d v="2012-01-16T00:00:00"/>
    <m/>
    <s v="X"/>
    <x v="69"/>
    <n v="17.584299999999999"/>
    <n v="20"/>
    <d v="2012-02-21T00:00:00"/>
    <d v="2012-01-17T00:00:00"/>
    <n v="3405"/>
    <d v="2012-01-17T00:00:00"/>
    <n v="3194"/>
    <m/>
    <d v="2012-01-21T00:00:00"/>
    <n v="3195"/>
    <d v="2012-02-25T00:00:00"/>
    <d v="2012-01-21T00:00:00"/>
    <n v="3194"/>
    <n v="3194"/>
    <x v="9"/>
    <d v="2012-02-18T00:00:00"/>
    <m/>
    <n v="9321670895"/>
    <n v="10"/>
    <s v="HLXU5212196"/>
    <s v="NYK CONSTELLATION/26"/>
    <m/>
    <s v="SHANGHAI"/>
    <m/>
    <m/>
    <s v="TWEETY LEUNG"/>
    <s v="FO9"/>
    <s v="LINEN CARE                    "/>
    <s v="CONFIRMED"/>
    <n v="1"/>
    <n v="2"/>
    <d v="2012-01-14T00:00:00"/>
    <s v="LINEN PERS HOME CARE          "/>
    <s v="LINEN CARE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702/000010"/>
    <n v="1370152293"/>
    <n v="10"/>
    <x v="23"/>
    <x v="23"/>
    <s v="J3"/>
    <n v="2820235030"/>
    <n v="1"/>
    <s v="FV2350C0       "/>
    <s v="FV2350C0 STEAM IRON PRIMA 3 FTK                   "/>
    <s v="S"/>
    <d v="2012-01-19T00:00:00"/>
    <m/>
    <s v="X"/>
    <x v="69"/>
    <n v="12.489599999999999"/>
    <n v="10"/>
    <d v="2012-02-17T00:00:00"/>
    <d v="2012-01-13T00:00:00"/>
    <n v="2574"/>
    <d v="2012-01-13T00:00:00"/>
    <n v="2574"/>
    <m/>
    <d v="2012-01-14T00:00:00"/>
    <n v="2574"/>
    <d v="2012-02-18T00:00:00"/>
    <d v="2012-01-14T00:00:00"/>
    <n v="2574"/>
    <n v="2574"/>
    <x v="19"/>
    <d v="2012-02-21T00:00:00"/>
    <m/>
    <n v="9321670903"/>
    <n v="10"/>
    <s v="MRKU0534680"/>
    <s v="MAERSK EINDHOVEN 120"/>
    <m/>
    <s v="SHANGHAI"/>
    <m/>
    <m/>
    <s v="JASON FAN"/>
    <s v="FO9"/>
    <s v="LINEN CARE                    "/>
    <s v="CONFIRMED"/>
    <n v="1"/>
    <n v="3"/>
    <d v="2012-01-17T00:00:00"/>
    <s v="LINEN PERS HOME CARE          "/>
    <s v="LINEN CARE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710/000010"/>
    <n v="1370152310"/>
    <n v="10"/>
    <x v="23"/>
    <x v="23"/>
    <s v="J3"/>
    <n v="2820254030"/>
    <n v="1"/>
    <s v="FV2540C0       "/>
    <s v="FV2540C0 STEAM IRON PRIMAGLISS 3 FTK              "/>
    <s v="S"/>
    <d v="2012-01-19T00:00:00"/>
    <m/>
    <s v="X"/>
    <x v="69"/>
    <n v="13.613200000000001"/>
    <n v="11"/>
    <d v="2012-02-17T00:00:00"/>
    <d v="2012-01-13T00:00:00"/>
    <n v="2574"/>
    <d v="2012-01-13T00:00:00"/>
    <n v="2574"/>
    <m/>
    <d v="2012-01-14T00:00:00"/>
    <n v="2574"/>
    <d v="2012-02-18T00:00:00"/>
    <d v="2012-01-14T00:00:00"/>
    <n v="2574"/>
    <n v="2574"/>
    <x v="19"/>
    <d v="2012-02-21T00:00:00"/>
    <m/>
    <n v="9321670904"/>
    <n v="10"/>
    <s v="MRKU0534680"/>
    <s v="MAERSK EINDHOVEN 120"/>
    <m/>
    <s v="SHANGHAI"/>
    <m/>
    <m/>
    <s v="JASON FAN"/>
    <s v="FO9"/>
    <s v="LINEN CARE                    "/>
    <s v="CONFIRMED"/>
    <n v="1"/>
    <n v="3"/>
    <d v="2012-01-17T00:00:00"/>
    <s v="LINEN PERS HOME CARE          "/>
    <s v="LINEN CARE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87/039767"/>
    <n v="1370151554"/>
    <n v="10"/>
    <x v="0"/>
    <x v="0"/>
    <s v="A6"/>
    <n v="7114000236"/>
    <n v="253"/>
    <n v="114000236"/>
    <s v="R802K4A1 SLIDE POLISHED 76L   70KPA               "/>
    <s v="S"/>
    <d v="2012-02-06T00:00:00"/>
    <m/>
    <s v="X"/>
    <x v="69"/>
    <n v="15.0616"/>
    <n v="16"/>
    <d v="2012-02-17T00:00:00"/>
    <d v="2012-01-13T00:00:00"/>
    <n v="1160"/>
    <d v="2012-01-19T00:00:00"/>
    <n v="1160"/>
    <m/>
    <d v="2012-02-16T00:00:00"/>
    <n v="1160"/>
    <d v="2012-02-23T00:00:00"/>
    <d v="2012-01-19T00:00:00"/>
    <n v="1160"/>
    <n v="1160"/>
    <x v="14"/>
    <d v="2012-02-24T00:00:00"/>
    <m/>
    <n v="9321670911"/>
    <n v="10"/>
    <s v="APHU6726379"/>
    <s v="SEOUL EXPRESS"/>
    <m/>
    <s v="NINGBO"/>
    <s v="C-PULLIN-CONF/SP-OVERCAP/"/>
    <m/>
    <s v="THOMAS HO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2"/>
    <x v="0"/>
    <x v="1"/>
    <x v="1"/>
    <n v="1"/>
    <n v="0"/>
    <n v="1"/>
    <n v="0"/>
    <n v="0"/>
    <n v="1"/>
    <x v="0"/>
    <x v="0"/>
    <x v="1"/>
    <x v="1"/>
  </r>
  <r>
    <s v="Shipment"/>
    <n v="99001800"/>
    <s v="GROUPE SEB COLOMBIA                               "/>
    <n v="99001800"/>
    <x v="26"/>
    <s v="22587/039765"/>
    <n v="1370151554"/>
    <n v="20"/>
    <x v="0"/>
    <x v="0"/>
    <s v="A6"/>
    <n v="7114000234"/>
    <n v="253"/>
    <n v="114000234"/>
    <s v="R802K1A1 SLIDE POLISHED 4L   70KPA                "/>
    <s v="S"/>
    <d v="2012-02-06T00:00:00"/>
    <m/>
    <s v="X"/>
    <x v="69"/>
    <n v="10.5632"/>
    <n v="16"/>
    <d v="2012-02-17T00:00:00"/>
    <d v="2012-01-13T00:00:00"/>
    <n v="1160"/>
    <d v="2012-01-19T00:00:00"/>
    <n v="1160"/>
    <m/>
    <d v="2012-02-16T00:00:00"/>
    <n v="1160"/>
    <d v="2012-02-23T00:00:00"/>
    <d v="2012-01-19T00:00:00"/>
    <n v="1160"/>
    <n v="350"/>
    <x v="14"/>
    <d v="2012-02-24T00:00:00"/>
    <m/>
    <n v="9321670911"/>
    <n v="20"/>
    <s v="APHU6726379"/>
    <s v="SEOUL EXPRESS"/>
    <m/>
    <s v="NINGBO"/>
    <s v="C-PULLIN-CONF/SP-OVERCAP/"/>
    <m/>
    <s v="THOMAS HO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2"/>
    <x v="0"/>
    <x v="1"/>
    <x v="1"/>
    <n v="1"/>
    <n v="0"/>
    <n v="1"/>
    <n v="0"/>
    <n v="0"/>
    <n v="1"/>
    <x v="0"/>
    <x v="0"/>
    <x v="1"/>
    <x v="1"/>
  </r>
  <r>
    <s v="Shipment"/>
    <n v="99001800"/>
    <s v="GROUPE SEB COLOMBIA                               "/>
    <n v="99001800"/>
    <x v="26"/>
    <s v="22587/039765"/>
    <n v="1370151554"/>
    <n v="20"/>
    <x v="0"/>
    <x v="0"/>
    <s v="A6"/>
    <n v="7114000234"/>
    <n v="253"/>
    <n v="114000234"/>
    <s v="R802K1A1 SLIDE POLISHED 4L   70KPA                "/>
    <s v="S"/>
    <d v="2012-02-06T00:00:00"/>
    <m/>
    <s v="X"/>
    <x v="69"/>
    <n v="10.5632"/>
    <n v="16"/>
    <d v="2012-02-17T00:00:00"/>
    <d v="2012-01-13T00:00:00"/>
    <n v="1160"/>
    <d v="2012-01-19T00:00:00"/>
    <n v="1160"/>
    <m/>
    <d v="2012-02-16T00:00:00"/>
    <n v="1160"/>
    <d v="2012-02-23T00:00:00"/>
    <d v="2012-01-19T00:00:00"/>
    <n v="1160"/>
    <n v="810"/>
    <x v="14"/>
    <d v="2012-02-24T00:00:00"/>
    <m/>
    <n v="9321670911"/>
    <n v="20"/>
    <s v="APHU6742169"/>
    <s v="SEOUL EXPRESS"/>
    <m/>
    <s v="NINGBO"/>
    <s v="C-PULLIN-CONF/SP-OVERCAP/"/>
    <m/>
    <s v="THOMAS HO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2"/>
    <x v="0"/>
    <x v="1"/>
    <x v="1"/>
    <n v="1"/>
    <n v="0"/>
    <n v="1"/>
    <n v="0"/>
    <n v="0"/>
    <n v="1"/>
    <x v="0"/>
    <x v="0"/>
    <x v="1"/>
    <x v="1"/>
  </r>
  <r>
    <s v="Shipment"/>
    <n v="99001800"/>
    <s v="GROUPE SEB COLOMBIA                               "/>
    <n v="99001800"/>
    <x v="26"/>
    <s v="22587/039766"/>
    <n v="1370151554"/>
    <n v="30"/>
    <x v="0"/>
    <x v="0"/>
    <s v="A6"/>
    <n v="7114000235"/>
    <n v="253"/>
    <n v="114000235"/>
    <s v="R802K3A1 SLIDE POLISHED 57L   70KPA               "/>
    <s v="S"/>
    <d v="2012-02-06T00:00:00"/>
    <m/>
    <s v="X"/>
    <x v="69"/>
    <n v="13.0464"/>
    <n v="16"/>
    <d v="2012-02-17T00:00:00"/>
    <d v="2012-01-13T00:00:00"/>
    <n v="1160"/>
    <d v="2012-01-19T00:00:00"/>
    <n v="1160"/>
    <m/>
    <d v="2012-02-16T00:00:00"/>
    <n v="1160"/>
    <d v="2012-02-23T00:00:00"/>
    <d v="2012-01-19T00:00:00"/>
    <n v="1160"/>
    <n v="1160"/>
    <x v="14"/>
    <d v="2012-02-24T00:00:00"/>
    <m/>
    <n v="9321670911"/>
    <n v="30"/>
    <s v="APHU6742169"/>
    <s v="SEOUL EXPRESS"/>
    <m/>
    <s v="NINGBO"/>
    <s v="C-PULLIN-CONF/SP-OVERCAP/"/>
    <m/>
    <s v="THOMAS HO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1"/>
    <s v="SP-OVERCAP"/>
    <n v="-3"/>
    <n v="-3"/>
    <x v="9"/>
    <n v="2"/>
    <x v="0"/>
    <x v="1"/>
    <x v="1"/>
    <n v="1"/>
    <n v="0"/>
    <n v="1"/>
    <n v="0"/>
    <n v="0"/>
    <n v="1"/>
    <x v="0"/>
    <x v="0"/>
    <x v="1"/>
    <x v="1"/>
  </r>
  <r>
    <s v="Shipment"/>
    <n v="99002222"/>
    <s v="GROUPE SEB NORDIC A/S                             "/>
    <n v="99002200"/>
    <x v="5"/>
    <s v="4500263760/000010"/>
    <n v="1370151556"/>
    <n v="10"/>
    <x v="0"/>
    <x v="0"/>
    <s v="A1"/>
    <n v="2100058409"/>
    <n v="207"/>
    <n v="115002311"/>
    <s v="E2063244 STP24LID J-OLIV CAST ALU IND BL          "/>
    <s v="S"/>
    <d v="2012-01-30T00:00:00"/>
    <m/>
    <s v="X"/>
    <x v="69"/>
    <n v="25.496400000000001"/>
    <n v="148"/>
    <d v="2012-02-15T00:00:00"/>
    <d v="2012-01-11T00:00:00"/>
    <n v="1000"/>
    <d v="2012-01-23T00:00:00"/>
    <n v="1000"/>
    <m/>
    <d v="2012-02-13T00:00:00"/>
    <n v="1000"/>
    <d v="2012-02-27T00:00:00"/>
    <d v="2012-01-23T00:00:00"/>
    <n v="1000"/>
    <n v="1000"/>
    <x v="25"/>
    <d v="2012-02-28T00:00:00"/>
    <m/>
    <n v="9321670912"/>
    <n v="10"/>
    <s v="FSCU4597742"/>
    <s v="COSCO ASIA/017W"/>
    <m/>
    <s v="NINGBO"/>
    <s v="C-PULLIN-CONF/SP-OVERCAP/"/>
    <m/>
    <s v="KENUS WONG"/>
    <s v="FO9"/>
    <s v="COOKWARE                      "/>
    <s v="CONFIRMED"/>
    <n v="1"/>
    <n v="4"/>
    <d v="2012-01-24T00:00:00"/>
    <s v="COOKWARE                      "/>
    <s v="COOKWARE                      "/>
    <x v="0"/>
    <x v="0"/>
    <x v="11"/>
    <s v="SP-OVERCAP"/>
    <n v="-3"/>
    <n v="-3"/>
    <x v="9"/>
    <n v="2"/>
    <x v="0"/>
    <x v="0"/>
    <x v="1"/>
    <n v="1"/>
    <n v="0"/>
    <n v="1"/>
    <n v="0"/>
    <n v="0"/>
    <n v="1"/>
    <x v="0"/>
    <x v="0"/>
    <x v="1"/>
    <x v="1"/>
  </r>
  <r>
    <s v="Shipment"/>
    <n v="99002222"/>
    <s v="GROUPE SEB NORDIC A/S                             "/>
    <n v="99002200"/>
    <x v="5"/>
    <s v="4500263757/000010"/>
    <n v="1370151560"/>
    <n v="10"/>
    <x v="0"/>
    <x v="0"/>
    <s v="A1"/>
    <n v="2100058402"/>
    <n v="207"/>
    <n v="115002316"/>
    <s v="E2069744 COC+LID 30X225 JO CAST ALU IND           "/>
    <s v="S"/>
    <d v="2012-01-30T00:00:00"/>
    <m/>
    <s v="X"/>
    <x v="69"/>
    <n v="28.7591"/>
    <n v="166"/>
    <d v="2012-02-15T00:00:00"/>
    <d v="2012-01-11T00:00:00"/>
    <n v="500"/>
    <d v="2012-01-23T00:00:00"/>
    <n v="500"/>
    <m/>
    <m/>
    <m/>
    <d v="2012-04-05T00:00:00"/>
    <d v="2012-03-01T00:00:00"/>
    <n v="500"/>
    <n v="300"/>
    <x v="25"/>
    <d v="2012-02-28T00:00:00"/>
    <m/>
    <n v="9321670913"/>
    <n v="10"/>
    <s v="FSCU4597742"/>
    <s v="COSCO ASIA/017W"/>
    <m/>
    <s v="NINGBO"/>
    <s v="SP-BOTTLENECK/C-PULLIN-CONF/SP-OVERCAP/"/>
    <m/>
    <s v="KENUS WONG"/>
    <s v="FO9"/>
    <s v="COOKWARE                      "/>
    <s v="CONFIRMED"/>
    <n v="1"/>
    <n v="4"/>
    <d v="2012-01-24T00:00:00"/>
    <s v="COOKWARE                      "/>
    <s v="COOKWARE                      "/>
    <x v="0"/>
    <x v="0"/>
    <x v="6"/>
    <s v="SP-OVERCAP"/>
    <n v="1"/>
    <n v="-3"/>
    <x v="9"/>
    <n v="3"/>
    <x v="0"/>
    <x v="0"/>
    <x v="1"/>
    <n v="0"/>
    <n v="0"/>
    <n v="1"/>
    <n v="0"/>
    <n v="0"/>
    <n v="1"/>
    <x v="0"/>
    <x v="0"/>
    <x v="1"/>
    <x v="1"/>
  </r>
  <r>
    <s v="Shipment"/>
    <n v="99002222"/>
    <s v="GROUPE SEB NORDIC A/S                             "/>
    <n v="99002200"/>
    <x v="5"/>
    <s v="4500263758/000010"/>
    <n v="1370151563"/>
    <n v="10"/>
    <x v="0"/>
    <x v="0"/>
    <s v="A1"/>
    <n v="2100058403"/>
    <n v="207"/>
    <n v="115002307"/>
    <s v="E2060244 FP20 J-OLIV CAST ALU IND BLACK           "/>
    <s v="S"/>
    <d v="2012-01-30T00:00:00"/>
    <m/>
    <s v="X"/>
    <x v="69"/>
    <n v="14.3413"/>
    <n v="83"/>
    <d v="2012-02-15T00:00:00"/>
    <d v="2012-01-11T00:00:00"/>
    <n v="500"/>
    <d v="2012-01-23T00:00:00"/>
    <n v="500"/>
    <m/>
    <d v="2012-02-13T00:00:00"/>
    <n v="500"/>
    <d v="2012-02-27T00:00:00"/>
    <d v="2012-01-23T00:00:00"/>
    <n v="500"/>
    <n v="500"/>
    <x v="25"/>
    <d v="2012-02-28T00:00:00"/>
    <m/>
    <n v="9321670914"/>
    <n v="10"/>
    <s v="FSCU4597742"/>
    <s v="COSCO ASIA/017W"/>
    <m/>
    <s v="NINGBO"/>
    <s v="SP-OVERCAP/"/>
    <m/>
    <s v="KENUS WONG"/>
    <s v="FO9"/>
    <s v="COOKWARE                      "/>
    <s v="CONFIRMED"/>
    <n v="1"/>
    <n v="4"/>
    <d v="2012-01-24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2222"/>
    <s v="GROUPE SEB NORDIC A/S                             "/>
    <n v="99002200"/>
    <x v="5"/>
    <s v="4500263754/000010"/>
    <n v="1370151564"/>
    <n v="10"/>
    <x v="0"/>
    <x v="0"/>
    <s v="A1"/>
    <n v="2100048755"/>
    <n v="205"/>
    <n v="115001319"/>
    <s v="E9722852 SCP16 STR PRO SERI SS UNCOAT SP          "/>
    <s v="S"/>
    <d v="2012-01-17T00:00:00"/>
    <m/>
    <s v="X"/>
    <x v="69"/>
    <n v="7.4786000000000001"/>
    <n v="41"/>
    <d v="2012-02-15T00:00:00"/>
    <d v="2012-01-11T00:00:00"/>
    <n v="1500"/>
    <d v="2012-01-11T00:00:00"/>
    <n v="1500"/>
    <m/>
    <d v="2012-01-09T00:00:00"/>
    <n v="1500"/>
    <d v="2012-02-20T00:00:00"/>
    <d v="2012-01-16T00:00:00"/>
    <n v="1500"/>
    <n v="452"/>
    <x v="8"/>
    <d v="2012-02-20T00:00:00"/>
    <m/>
    <n v="9321670915"/>
    <n v="10"/>
    <s v="CBHU8395906"/>
    <s v="COSCO OCEANIA/022W"/>
    <m/>
    <s v="NINGBO"/>
    <m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3754/000010"/>
    <n v="1370151564"/>
    <n v="10"/>
    <x v="0"/>
    <x v="0"/>
    <s v="A1"/>
    <n v="2100048755"/>
    <n v="205"/>
    <n v="115001319"/>
    <s v="E9722852 SCP16 STR PRO SERI SS UNCOAT SP          "/>
    <s v="S"/>
    <d v="2012-01-17T00:00:00"/>
    <m/>
    <s v="X"/>
    <x v="69"/>
    <n v="7.4786000000000001"/>
    <n v="41"/>
    <d v="2012-02-15T00:00:00"/>
    <d v="2012-01-11T00:00:00"/>
    <n v="1500"/>
    <d v="2012-01-11T00:00:00"/>
    <n v="1500"/>
    <m/>
    <d v="2012-01-09T00:00:00"/>
    <n v="1500"/>
    <d v="2012-02-20T00:00:00"/>
    <d v="2012-01-16T00:00:00"/>
    <n v="1500"/>
    <n v="1048"/>
    <x v="8"/>
    <d v="2012-02-20T00:00:00"/>
    <m/>
    <n v="9321670915"/>
    <n v="10"/>
    <s v="CBHU3631450"/>
    <s v="COSCO OCEANIA/022W"/>
    <m/>
    <s v="NINGBO"/>
    <m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3171778"/>
    <s v="HOME GOODS DI 0001/ APL LOGISTICS                 "/>
    <n v="99008400"/>
    <x v="12"/>
    <s v="9321668222/000010"/>
    <n v="1370151812"/>
    <n v="10"/>
    <x v="0"/>
    <x v="0"/>
    <s v="A1"/>
    <n v="2100056178"/>
    <n v="201"/>
    <n v="116000520"/>
    <s v="C161S3DX T-FAL TNS BLACK TJ MAXX FP 8/10          "/>
    <s v="S"/>
    <d v="2012-01-09T00:00:00"/>
    <m/>
    <s v="X"/>
    <x v="69"/>
    <n v="18.504999999999999"/>
    <n v="19"/>
    <d v="2012-01-03T00:00:00"/>
    <d v="2011-12-20T00:00:00"/>
    <n v="372"/>
    <d v="2012-01-13T00:00:00"/>
    <n v="372"/>
    <m/>
    <d v="2012-01-08T00:00:00"/>
    <n v="372"/>
    <d v="2012-01-27T00:00:00"/>
    <d v="2012-01-13T00:00:00"/>
    <n v="372"/>
    <n v="372"/>
    <x v="10"/>
    <d v="2012-01-26T00:00:00"/>
    <m/>
    <n v="9321670928"/>
    <n v="10"/>
    <s v="NYKU44243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22/000020"/>
    <n v="1370151812"/>
    <n v="20"/>
    <x v="0"/>
    <x v="0"/>
    <s v="A1"/>
    <n v="2100056207"/>
    <n v="200"/>
    <n v="116000522"/>
    <s v="C162S3DX T-FAL TNS RED TJ MAXX FP 8/10/1          "/>
    <s v="S"/>
    <d v="2012-01-09T00:00:00"/>
    <m/>
    <s v="X"/>
    <x v="69"/>
    <n v="18.309100000000001"/>
    <n v="19"/>
    <d v="2012-01-03T00:00:00"/>
    <d v="2011-12-20T00:00:00"/>
    <n v="350"/>
    <d v="2012-01-13T00:00:00"/>
    <n v="350"/>
    <m/>
    <d v="2012-01-08T00:00:00"/>
    <n v="350"/>
    <d v="2012-01-27T00:00:00"/>
    <d v="2012-01-13T00:00:00"/>
    <n v="350"/>
    <n v="350"/>
    <x v="10"/>
    <d v="2012-01-26T00:00:00"/>
    <m/>
    <n v="9321670928"/>
    <n v="20"/>
    <s v="TCLU4237386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22/000030"/>
    <n v="1370151812"/>
    <n v="30"/>
    <x v="0"/>
    <x v="0"/>
    <s v="A1"/>
    <n v="2100060479"/>
    <n v="200"/>
    <n v="116000725"/>
    <s v="C166S3DX TNS AVOCADO TJ MAX FP 8/10/12            "/>
    <s v="S"/>
    <d v="2012-01-09T00:00:00"/>
    <m/>
    <s v="X"/>
    <x v="69"/>
    <n v="17.568300000000001"/>
    <n v="19"/>
    <d v="2012-01-03T00:00:00"/>
    <d v="2011-12-20T00:00:00"/>
    <n v="201"/>
    <d v="2012-01-13T00:00:00"/>
    <n v="201"/>
    <m/>
    <d v="2012-01-08T00:00:00"/>
    <n v="201"/>
    <d v="2012-01-27T00:00:00"/>
    <d v="2012-01-13T00:00:00"/>
    <n v="201"/>
    <n v="201"/>
    <x v="10"/>
    <d v="2012-01-26T00:00:00"/>
    <m/>
    <n v="9321670928"/>
    <n v="30"/>
    <s v="NYKU4424325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03/000010"/>
    <n v="1370151816"/>
    <n v="10"/>
    <x v="0"/>
    <x v="0"/>
    <s v="A1"/>
    <n v="2100056178"/>
    <n v="201"/>
    <n v="116000520"/>
    <s v="C161S3DX T-FAL TNS BLACK TJ MAXX FP 8/10          "/>
    <s v="S"/>
    <d v="2012-01-09T00:00:00"/>
    <m/>
    <s v="X"/>
    <x v="69"/>
    <n v="18.504999999999999"/>
    <n v="19"/>
    <d v="2012-01-03T00:00:00"/>
    <d v="2011-12-20T00:00:00"/>
    <n v="161"/>
    <d v="2012-01-13T00:00:00"/>
    <n v="161"/>
    <m/>
    <d v="2012-01-08T00:00:00"/>
    <n v="161"/>
    <d v="2012-01-27T00:00:00"/>
    <d v="2012-01-13T00:00:00"/>
    <n v="161"/>
    <n v="161"/>
    <x v="10"/>
    <d v="2012-01-26T00:00:00"/>
    <m/>
    <n v="9321670929"/>
    <n v="10"/>
    <s v="TCLU4237386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03/000020"/>
    <n v="1370151816"/>
    <n v="20"/>
    <x v="0"/>
    <x v="0"/>
    <s v="A1"/>
    <n v="2100056207"/>
    <n v="200"/>
    <n v="116000522"/>
    <s v="C162S3DX T-FAL TNS RED TJ MAXX FP 8/10/1          "/>
    <s v="S"/>
    <d v="2012-01-09T00:00:00"/>
    <m/>
    <s v="X"/>
    <x v="69"/>
    <n v="18.309100000000001"/>
    <n v="19"/>
    <d v="2012-01-03T00:00:00"/>
    <d v="2011-12-20T00:00:00"/>
    <n v="140"/>
    <d v="2012-01-13T00:00:00"/>
    <n v="140"/>
    <m/>
    <d v="2012-01-08T00:00:00"/>
    <n v="140"/>
    <d v="2012-01-27T00:00:00"/>
    <d v="2012-01-13T00:00:00"/>
    <n v="140"/>
    <n v="140"/>
    <x v="10"/>
    <d v="2012-01-26T00:00:00"/>
    <m/>
    <n v="9321670929"/>
    <n v="20"/>
    <s v="TCLU4237386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03/000030"/>
    <n v="1370151816"/>
    <n v="30"/>
    <x v="0"/>
    <x v="0"/>
    <s v="A1"/>
    <n v="2100060479"/>
    <n v="200"/>
    <n v="116000725"/>
    <s v="C166S3DX TNS AVOCADO TJ MAX FP 8/10/12            "/>
    <s v="S"/>
    <d v="2012-01-09T00:00:00"/>
    <m/>
    <s v="X"/>
    <x v="69"/>
    <n v="17.568300000000001"/>
    <n v="19"/>
    <d v="2012-01-03T00:00:00"/>
    <d v="2011-12-20T00:00:00"/>
    <n v="81"/>
    <d v="2012-01-13T00:00:00"/>
    <n v="81"/>
    <m/>
    <d v="2012-01-08T00:00:00"/>
    <n v="81"/>
    <d v="2012-01-27T00:00:00"/>
    <d v="2012-01-13T00:00:00"/>
    <n v="81"/>
    <n v="81"/>
    <x v="10"/>
    <d v="2012-01-26T00:00:00"/>
    <m/>
    <n v="9321670929"/>
    <n v="30"/>
    <s v="TCLU4237386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08/000010"/>
    <n v="1370151817"/>
    <n v="10"/>
    <x v="0"/>
    <x v="0"/>
    <s v="A1"/>
    <n v="2100056178"/>
    <n v="201"/>
    <n v="116000520"/>
    <s v="C161S3DX T-FAL TNS BLACK TJ MAXX FP 8/10          "/>
    <s v="S"/>
    <d v="2012-01-09T00:00:00"/>
    <m/>
    <s v="X"/>
    <x v="69"/>
    <n v="18.504999999999999"/>
    <n v="19"/>
    <d v="2012-01-03T00:00:00"/>
    <d v="2011-12-20T00:00:00"/>
    <n v="163"/>
    <d v="2012-01-13T00:00:00"/>
    <n v="163"/>
    <m/>
    <d v="2012-01-08T00:00:00"/>
    <n v="163"/>
    <d v="2012-01-27T00:00:00"/>
    <d v="2012-01-13T00:00:00"/>
    <n v="163"/>
    <n v="163"/>
    <x v="10"/>
    <d v="2012-01-26T00:00:00"/>
    <m/>
    <n v="9321670930"/>
    <n v="10"/>
    <s v="TCLU4237386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08/000020"/>
    <n v="1370151817"/>
    <n v="20"/>
    <x v="0"/>
    <x v="0"/>
    <s v="A1"/>
    <n v="2100056207"/>
    <n v="200"/>
    <n v="116000522"/>
    <s v="C162S3DX T-FAL TNS RED TJ MAXX FP 8/10/1          "/>
    <s v="S"/>
    <d v="2012-01-09T00:00:00"/>
    <m/>
    <s v="X"/>
    <x v="69"/>
    <n v="18.309200000000001"/>
    <n v="19"/>
    <d v="2012-01-03T00:00:00"/>
    <d v="2011-12-20T00:00:00"/>
    <n v="142"/>
    <d v="2012-01-13T00:00:00"/>
    <n v="142"/>
    <m/>
    <d v="2012-01-08T00:00:00"/>
    <n v="142"/>
    <d v="2012-01-27T00:00:00"/>
    <d v="2012-01-13T00:00:00"/>
    <n v="142"/>
    <n v="142"/>
    <x v="10"/>
    <d v="2012-01-26T00:00:00"/>
    <m/>
    <n v="9321670930"/>
    <n v="20"/>
    <s v="TCLU4237386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08/000030"/>
    <n v="1370151817"/>
    <n v="30"/>
    <x v="0"/>
    <x v="0"/>
    <s v="A1"/>
    <n v="2100060479"/>
    <n v="200"/>
    <n v="116000725"/>
    <s v="C166S3DX TNS AVOCADO TJ MAX FP 8/10/12            "/>
    <s v="S"/>
    <d v="2012-01-09T00:00:00"/>
    <m/>
    <s v="X"/>
    <x v="69"/>
    <n v="17.568300000000001"/>
    <n v="19"/>
    <d v="2012-01-03T00:00:00"/>
    <d v="2011-12-20T00:00:00"/>
    <n v="82"/>
    <d v="2012-01-13T00:00:00"/>
    <n v="82"/>
    <m/>
    <d v="2012-01-08T00:00:00"/>
    <n v="82"/>
    <d v="2012-01-27T00:00:00"/>
    <d v="2012-01-13T00:00:00"/>
    <n v="82"/>
    <n v="82"/>
    <x v="10"/>
    <d v="2012-01-26T00:00:00"/>
    <m/>
    <n v="9321670930"/>
    <n v="30"/>
    <s v="TCLU4237386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13/000010"/>
    <n v="1370151819"/>
    <n v="10"/>
    <x v="0"/>
    <x v="0"/>
    <s v="A1"/>
    <n v="2100056178"/>
    <n v="201"/>
    <n v="116000520"/>
    <s v="C161S3DX T-FAL TNS BLACK TJ MAXX FP 8/10          "/>
    <s v="S"/>
    <d v="2012-01-09T00:00:00"/>
    <m/>
    <s v="X"/>
    <x v="69"/>
    <n v="18.504999999999999"/>
    <n v="19"/>
    <d v="2012-01-03T00:00:00"/>
    <d v="2011-12-20T00:00:00"/>
    <n v="504"/>
    <d v="2012-01-13T00:00:00"/>
    <n v="504"/>
    <m/>
    <d v="2012-01-08T00:00:00"/>
    <n v="504"/>
    <d v="2012-01-27T00:00:00"/>
    <d v="2012-01-13T00:00:00"/>
    <n v="504"/>
    <n v="504"/>
    <x v="10"/>
    <d v="2012-01-26T00:00:00"/>
    <m/>
    <n v="9321670931"/>
    <n v="10"/>
    <s v="TCLU4237386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13/000020"/>
    <n v="1370151819"/>
    <n v="20"/>
    <x v="0"/>
    <x v="0"/>
    <s v="A1"/>
    <n v="2100056207"/>
    <n v="200"/>
    <n v="116000522"/>
    <s v="C162S3DX T-FAL TNS RED TJ MAXX FP 8/10/1          "/>
    <s v="S"/>
    <d v="2012-01-09T00:00:00"/>
    <m/>
    <s v="X"/>
    <x v="69"/>
    <n v="18.309100000000001"/>
    <n v="19"/>
    <d v="2012-01-03T00:00:00"/>
    <d v="2011-12-20T00:00:00"/>
    <n v="410"/>
    <d v="2012-01-13T00:00:00"/>
    <n v="410"/>
    <m/>
    <d v="2012-01-08T00:00:00"/>
    <n v="410"/>
    <d v="2012-01-27T00:00:00"/>
    <d v="2012-01-13T00:00:00"/>
    <n v="410"/>
    <n v="410"/>
    <x v="10"/>
    <d v="2012-01-26T00:00:00"/>
    <m/>
    <n v="9321670931"/>
    <n v="20"/>
    <s v="TCLU4237386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3171778"/>
    <s v="HOME GOODS DI 0001/ APL LOGISTICS                 "/>
    <n v="99008400"/>
    <x v="12"/>
    <s v="9321668213/000030"/>
    <n v="1370151819"/>
    <n v="30"/>
    <x v="0"/>
    <x v="0"/>
    <s v="A1"/>
    <n v="2100060479"/>
    <n v="200"/>
    <n v="116000725"/>
    <s v="C166S3DX TNS AVOCADO TJ MAX FP 8/10/12            "/>
    <s v="S"/>
    <d v="2012-01-09T00:00:00"/>
    <m/>
    <s v="X"/>
    <x v="69"/>
    <n v="17.568300000000001"/>
    <n v="19"/>
    <d v="2012-01-03T00:00:00"/>
    <d v="2011-12-20T00:00:00"/>
    <n v="236"/>
    <d v="2012-01-13T00:00:00"/>
    <n v="236"/>
    <m/>
    <d v="2012-01-08T00:00:00"/>
    <n v="236"/>
    <d v="2012-01-27T00:00:00"/>
    <d v="2012-01-13T00:00:00"/>
    <n v="236"/>
    <n v="236"/>
    <x v="10"/>
    <d v="2012-01-26T00:00:00"/>
    <m/>
    <n v="9321670931"/>
    <n v="30"/>
    <s v="TCLU4237386"/>
    <s v="TBC"/>
    <m/>
    <s v="NINGBO"/>
    <s v="SP-OVERCAP/"/>
    <m/>
    <s v="TWEETY LEUNG"/>
    <s v="FO9"/>
    <s v="COOKWARE                      "/>
    <s v="CONFIRMED"/>
    <n v="1"/>
    <n v="2"/>
    <d v="2012-01-12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2601"/>
    <s v="GROUPE SEB UK LTD                                 "/>
    <n v="99002601"/>
    <x v="10"/>
    <s v="9321668794/000010"/>
    <n v="1370151920"/>
    <n v="10"/>
    <x v="0"/>
    <x v="0"/>
    <s v="A1"/>
    <n v="2100059594"/>
    <n v="201"/>
    <n v="116000667"/>
    <s v="A157S544 SET 5P SIMPLY ARGOS BLACK TP3 G          "/>
    <s v="S"/>
    <d v="2012-02-02T00:00:00"/>
    <m/>
    <s v="X"/>
    <x v="69"/>
    <n v="23.494900000000001"/>
    <n v="16"/>
    <d v="2012-02-13T00:00:00"/>
    <d v="2012-01-09T00:00:00"/>
    <n v="1750"/>
    <d v="2012-01-21T00:00:00"/>
    <n v="1750"/>
    <m/>
    <d v="2012-02-18T00:00:00"/>
    <n v="1750"/>
    <d v="2012-02-25T00:00:00"/>
    <d v="2012-01-21T00:00:00"/>
    <n v="1750"/>
    <n v="1750"/>
    <x v="1"/>
    <d v="2012-02-27T00:00:00"/>
    <m/>
    <n v="9321670933"/>
    <n v="10"/>
    <s v="CMAU8255229"/>
    <s v="CSCL OCEANIA 0653W/"/>
    <m/>
    <s v="NINGBO"/>
    <s v="C-PULLIN-CONF/SP-OVERCAP/docs received on 1-Feb"/>
    <m/>
    <s v="KENUS WONG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3"/>
    <x v="0"/>
    <x v="0"/>
    <x v="1"/>
    <n v="1"/>
    <n v="0"/>
    <n v="1"/>
    <n v="0"/>
    <n v="0"/>
    <n v="1"/>
    <x v="0"/>
    <x v="0"/>
    <x v="1"/>
    <x v="1"/>
  </r>
  <r>
    <s v="Shipment"/>
    <n v="93172066"/>
    <s v="TARGETDIRECT 3891/APL LOGISTICS LTD               "/>
    <n v="99008400"/>
    <x v="12"/>
    <s v="9321669254/000010"/>
    <n v="1370152039"/>
    <n v="10"/>
    <x v="0"/>
    <x v="0"/>
    <s v="A1"/>
    <n v="2100067461"/>
    <n v="201"/>
    <n v="116001091"/>
    <s v="D193SFFT T-FAL TNS SIMPLY COOK 15PC SET           "/>
    <s v="S"/>
    <d v="2012-01-16T00:00:00"/>
    <m/>
    <s v="X"/>
    <x v="69"/>
    <n v="40.761099999999999"/>
    <n v="43"/>
    <d v="2012-01-30T00:00:00"/>
    <d v="2012-01-16T00:00:00"/>
    <n v="2910"/>
    <d v="2012-01-16T00:00:00"/>
    <n v="2910"/>
    <m/>
    <m/>
    <m/>
    <d v="2012-02-10T00:00:00"/>
    <d v="2012-01-27T00:00:00"/>
    <n v="2910"/>
    <n v="1215"/>
    <x v="14"/>
    <d v="2012-02-03T00:00:00"/>
    <m/>
    <n v="9321670934"/>
    <n v="10"/>
    <s v="DRYU4545697"/>
    <s v="COSCO NAGOYA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1"/>
    <x v="1"/>
    <n v="0"/>
    <n v="0"/>
    <n v="1"/>
    <n v="0"/>
    <n v="0"/>
    <n v="1"/>
    <x v="0"/>
    <x v="0"/>
    <x v="1"/>
    <x v="1"/>
  </r>
  <r>
    <s v="Shipment"/>
    <n v="93172066"/>
    <s v="TARGETDIRECT 3891/APL LOGISTICS LTD               "/>
    <n v="99008400"/>
    <x v="12"/>
    <s v="9321669254/000010"/>
    <n v="1370152039"/>
    <n v="10"/>
    <x v="0"/>
    <x v="0"/>
    <s v="A1"/>
    <n v="2100067461"/>
    <n v="201"/>
    <n v="116001091"/>
    <s v="D193SFFT T-FAL TNS SIMPLY COOK 15PC SET           "/>
    <s v="S"/>
    <d v="2012-01-13T00:00:00"/>
    <m/>
    <s v="X"/>
    <x v="69"/>
    <n v="40.761099999999999"/>
    <n v="43"/>
    <d v="2012-01-30T00:00:00"/>
    <d v="2012-01-16T00:00:00"/>
    <n v="2910"/>
    <d v="2012-01-16T00:00:00"/>
    <n v="2910"/>
    <m/>
    <m/>
    <m/>
    <d v="2012-02-10T00:00:00"/>
    <d v="2012-01-27T00:00:00"/>
    <n v="2910"/>
    <n v="480"/>
    <x v="18"/>
    <d v="2012-02-10T00:00:00"/>
    <m/>
    <n v="9321670934"/>
    <n v="10"/>
    <s v="TBC"/>
    <s v="TIAN YUN HE"/>
    <m/>
    <s v="NINGBO"/>
    <s v="C-FINALCUSTOMER-REQ/"/>
    <m/>
    <s v="TWEETY LEUNG"/>
    <s v="FO9"/>
    <s v="COOKWARE                      "/>
    <s v="CONFIRMED"/>
    <n v="1"/>
    <n v="4"/>
    <d v="2012-01-27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0"/>
    <n v="1"/>
    <n v="1"/>
    <x v="0"/>
    <x v="0"/>
    <x v="1"/>
    <x v="1"/>
  </r>
  <r>
    <s v="Shipment"/>
    <n v="93172066"/>
    <s v="TARGETDIRECT 3891/APL LOGISTICS LTD               "/>
    <n v="99008400"/>
    <x v="12"/>
    <s v="9321669254/000010"/>
    <n v="1370152039"/>
    <n v="10"/>
    <x v="0"/>
    <x v="0"/>
    <s v="A1"/>
    <n v="2100067461"/>
    <n v="201"/>
    <n v="116001091"/>
    <s v="D193SFFT T-FAL TNS SIMPLY COOK 15PC SET           "/>
    <s v="S"/>
    <d v="2012-01-16T00:00:00"/>
    <m/>
    <s v="X"/>
    <x v="69"/>
    <n v="40.761099999999999"/>
    <n v="43"/>
    <d v="2012-01-30T00:00:00"/>
    <d v="2012-01-16T00:00:00"/>
    <n v="2910"/>
    <d v="2012-01-16T00:00:00"/>
    <n v="2910"/>
    <m/>
    <m/>
    <m/>
    <d v="2012-02-10T00:00:00"/>
    <d v="2012-01-27T00:00:00"/>
    <n v="2910"/>
    <n v="1215"/>
    <x v="14"/>
    <d v="2012-02-03T00:00:00"/>
    <m/>
    <n v="9321670934"/>
    <n v="10"/>
    <s v="TTNU9998855"/>
    <s v="COSCO NAGOYA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1"/>
    <x v="1"/>
    <n v="0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69573/000010"/>
    <n v="1370152104"/>
    <n v="10"/>
    <x v="0"/>
    <x v="0"/>
    <s v="A1"/>
    <n v="2100046389"/>
    <n v="205"/>
    <n v="115001162"/>
    <s v="B8010605 FP28 4U SS UNCOATED FCE                  "/>
    <s v="S"/>
    <d v="2012-01-17T00:00:00"/>
    <m/>
    <s v="X"/>
    <x v="69"/>
    <n v="11.042299999999999"/>
    <n v="341"/>
    <d v="2012-03-05T00:00:00"/>
    <d v="2012-01-16T00:00:00"/>
    <n v="1080"/>
    <d v="2012-01-16T00:00:00"/>
    <n v="1080"/>
    <m/>
    <d v="2012-01-14T00:00:00"/>
    <n v="1080"/>
    <d v="2012-03-03T00:00:00"/>
    <d v="2012-01-14T00:00:00"/>
    <n v="1080"/>
    <n v="1080"/>
    <x v="11"/>
    <d v="2012-03-04T00:00:00"/>
    <m/>
    <n v="9321670944"/>
    <n v="10"/>
    <s v="FSCU4587277"/>
    <s v="MOL CHARISMA/009W"/>
    <m/>
    <s v="NINGBO"/>
    <m/>
    <m/>
    <s v="KENUS WO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9731/000010"/>
    <n v="1370152114"/>
    <n v="10"/>
    <x v="0"/>
    <x v="0"/>
    <s v="A1"/>
    <n v="2100046387"/>
    <n v="205"/>
    <n v="115001160"/>
    <s v="B8010405 FP24 4U SS COATED FCE                    "/>
    <s v="S"/>
    <d v="2012-01-17T00:00:00"/>
    <m/>
    <s v="X"/>
    <x v="69"/>
    <n v="9.2345000000000006"/>
    <n v="285"/>
    <d v="2012-03-05T00:00:00"/>
    <d v="2012-01-16T00:00:00"/>
    <n v="1002"/>
    <d v="2012-01-16T00:00:00"/>
    <n v="1002"/>
    <m/>
    <d v="2012-01-14T00:00:00"/>
    <n v="1002"/>
    <d v="2012-03-03T00:00:00"/>
    <d v="2012-01-14T00:00:00"/>
    <n v="1002"/>
    <n v="1002"/>
    <x v="11"/>
    <d v="2012-03-04T00:00:00"/>
    <m/>
    <n v="9321670945"/>
    <n v="10"/>
    <s v="FSCU4587277"/>
    <s v="MOL CHARISMA/009W"/>
    <m/>
    <s v="NINGBO"/>
    <m/>
    <m/>
    <s v="KENUS WO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62/000001"/>
    <n v="1370152123"/>
    <n v="10"/>
    <x v="0"/>
    <x v="0"/>
    <s v="A1"/>
    <n v="2100059357"/>
    <n v="205"/>
    <n v="115002828"/>
    <s v="C9006414 S.POT28LID SB S COOK SS POLI IN          "/>
    <s v="S"/>
    <d v="2012-01-17T00:00:00"/>
    <m/>
    <s v="X"/>
    <x v="69"/>
    <n v="17.1631"/>
    <n v="21"/>
    <d v="2012-02-01T00:00:00"/>
    <d v="2012-01-18T00:00:00"/>
    <n v="1000"/>
    <d v="2012-01-18T00:00:00"/>
    <n v="1000"/>
    <m/>
    <d v="2012-01-18T00:00:00"/>
    <n v="1000"/>
    <d v="2012-02-01T00:00:00"/>
    <d v="2012-01-18T00:00:00"/>
    <n v="1000"/>
    <n v="1000"/>
    <x v="21"/>
    <d v="2012-02-01T00:00:00"/>
    <m/>
    <n v="9321670948"/>
    <n v="10"/>
    <s v="RJCU7552302"/>
    <s v="OOCL BEIJING 007W"/>
    <m/>
    <s v="NINGBO"/>
    <m/>
    <m/>
    <s v="AGNES NUNES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60/000001"/>
    <n v="1370152127"/>
    <n v="10"/>
    <x v="0"/>
    <x v="0"/>
    <s v="A1"/>
    <n v="2100059352"/>
    <n v="205"/>
    <n v="115002209"/>
    <s v="C9002414 SCP20LID SB S COOK SS POLI IND           "/>
    <s v="S"/>
    <d v="2012-01-17T00:00:00"/>
    <m/>
    <s v="X"/>
    <x v="69"/>
    <n v="10.7277"/>
    <n v="13"/>
    <d v="2012-02-01T00:00:00"/>
    <d v="2012-01-18T00:00:00"/>
    <n v="1000"/>
    <d v="2012-01-18T00:00:00"/>
    <n v="1000"/>
    <m/>
    <d v="2012-01-18T00:00:00"/>
    <n v="1000"/>
    <d v="2012-02-01T00:00:00"/>
    <d v="2012-01-18T00:00:00"/>
    <n v="1000"/>
    <n v="1000"/>
    <x v="21"/>
    <d v="2012-02-01T00:00:00"/>
    <m/>
    <n v="9321670950"/>
    <n v="10"/>
    <s v="RJCU7552302"/>
    <s v="OOCL BEIJING 007W"/>
    <m/>
    <s v="NINGBO"/>
    <m/>
    <m/>
    <s v="AGNES NUNES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59/000001"/>
    <n v="1370152130"/>
    <n v="10"/>
    <x v="0"/>
    <x v="0"/>
    <s v="A1"/>
    <n v="2100059347"/>
    <n v="205"/>
    <n v="115002743"/>
    <s v="C9000614 FP28 GOU SO COOK SS POLI IND UN          "/>
    <s v="S"/>
    <d v="2012-01-17T00:00:00"/>
    <m/>
    <s v="X"/>
    <x v="69"/>
    <n v="9.7148000000000003"/>
    <n v="12"/>
    <d v="2012-02-01T00:00:00"/>
    <d v="2012-01-18T00:00:00"/>
    <n v="1002"/>
    <d v="2012-01-18T00:00:00"/>
    <n v="1002"/>
    <m/>
    <d v="2012-01-18T00:00:00"/>
    <n v="1002"/>
    <d v="2012-02-01T00:00:00"/>
    <d v="2012-01-18T00:00:00"/>
    <n v="1002"/>
    <n v="1002"/>
    <x v="21"/>
    <d v="2012-02-01T00:00:00"/>
    <m/>
    <n v="9321670951"/>
    <n v="10"/>
    <s v="RJCU7552302"/>
    <s v="OOCL BEIJING 007W"/>
    <m/>
    <s v="NINGBO"/>
    <m/>
    <m/>
    <s v="AGNES NUNES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3203"/>
    <s v="CANADIAN TIRE CORPORATION LTD                     "/>
    <n v="99003200"/>
    <x v="27"/>
    <s v="22591/039771"/>
    <n v="1370151921"/>
    <n v="10"/>
    <x v="0"/>
    <x v="0"/>
    <s v="A1"/>
    <n v="2100059672"/>
    <n v="201"/>
    <n v="115002630"/>
    <s v="A8048254 STP30+LID J STR N/S BLACK TH3 M          "/>
    <s v="S"/>
    <d v="2012-02-01T00:00:00"/>
    <m/>
    <s v="X"/>
    <x v="69"/>
    <n v="10.126899999999999"/>
    <n v="11"/>
    <d v="2012-01-24T00:00:00"/>
    <d v="2012-01-24T00:00:00"/>
    <n v="18144"/>
    <d v="2012-01-19T00:00:00"/>
    <n v="18144"/>
    <m/>
    <d v="2012-02-15T00:00:00"/>
    <n v="18144"/>
    <d v="2012-01-23T00:00:00"/>
    <d v="2012-01-23T00:00:00"/>
    <n v="18144"/>
    <n v="3024"/>
    <x v="1"/>
    <d v="2012-01-23T00:00:00"/>
    <m/>
    <n v="9321670952"/>
    <n v="10"/>
    <s v="FSCU4340348"/>
    <s v="EVER URSULA"/>
    <m/>
    <s v="NINGBO"/>
    <s v="C-PULLIN-CONF/"/>
    <m/>
    <s v="TWEETY LEUNG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"/>
    <m/>
    <n v="0"/>
    <n v="0"/>
    <x v="1"/>
    <n v="1"/>
    <x v="0"/>
    <x v="1"/>
    <x v="0"/>
    <n v="1"/>
    <n v="0"/>
    <n v="1"/>
    <n v="0"/>
    <n v="0"/>
    <n v="1"/>
    <x v="0"/>
    <x v="0"/>
    <x v="1"/>
    <x v="1"/>
  </r>
  <r>
    <s v="Shipment"/>
    <n v="99003203"/>
    <s v="CANADIAN TIRE CORPORATION LTD                     "/>
    <n v="99003200"/>
    <x v="27"/>
    <s v="22591/039771"/>
    <n v="1370151921"/>
    <n v="10"/>
    <x v="0"/>
    <x v="0"/>
    <s v="A1"/>
    <n v="2100059672"/>
    <n v="201"/>
    <n v="115002630"/>
    <s v="A8048254 STP30+LID J STR N/S BLACK TH3 M          "/>
    <s v="S"/>
    <d v="2012-02-01T00:00:00"/>
    <m/>
    <s v="X"/>
    <x v="69"/>
    <n v="10.126899999999999"/>
    <n v="11"/>
    <d v="2012-01-24T00:00:00"/>
    <d v="2012-01-24T00:00:00"/>
    <n v="18144"/>
    <d v="2012-01-19T00:00:00"/>
    <n v="18144"/>
    <m/>
    <d v="2012-02-15T00:00:00"/>
    <n v="18144"/>
    <d v="2012-01-23T00:00:00"/>
    <d v="2012-01-23T00:00:00"/>
    <n v="18144"/>
    <n v="3024"/>
    <x v="1"/>
    <d v="2012-01-23T00:00:00"/>
    <m/>
    <n v="9321670952"/>
    <n v="10"/>
    <s v="UESU4306907"/>
    <s v="EVER URSULA"/>
    <m/>
    <s v="NINGBO"/>
    <s v="C-PULLIN-CONF/"/>
    <m/>
    <s v="TWEETY LEUNG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"/>
    <m/>
    <n v="0"/>
    <n v="0"/>
    <x v="1"/>
    <n v="1"/>
    <x v="0"/>
    <x v="1"/>
    <x v="0"/>
    <n v="1"/>
    <n v="0"/>
    <n v="1"/>
    <n v="0"/>
    <n v="0"/>
    <n v="1"/>
    <x v="0"/>
    <x v="0"/>
    <x v="1"/>
    <x v="1"/>
  </r>
  <r>
    <s v="Shipment"/>
    <n v="99003203"/>
    <s v="CANADIAN TIRE CORPORATION LTD                     "/>
    <n v="99003200"/>
    <x v="27"/>
    <s v="22591/039771"/>
    <n v="1370151921"/>
    <n v="10"/>
    <x v="0"/>
    <x v="0"/>
    <s v="A1"/>
    <n v="2100059672"/>
    <n v="201"/>
    <n v="115002630"/>
    <s v="A8048254 STP30+LID J STR N/S BLACK TH3 M          "/>
    <s v="S"/>
    <d v="2012-02-01T00:00:00"/>
    <m/>
    <s v="X"/>
    <x v="69"/>
    <n v="10.126899999999999"/>
    <n v="11"/>
    <d v="2012-01-24T00:00:00"/>
    <d v="2012-01-24T00:00:00"/>
    <n v="18144"/>
    <d v="2012-01-19T00:00:00"/>
    <n v="18144"/>
    <m/>
    <d v="2012-02-15T00:00:00"/>
    <n v="18144"/>
    <d v="2012-01-23T00:00:00"/>
    <d v="2012-01-23T00:00:00"/>
    <n v="18144"/>
    <n v="3024"/>
    <x v="1"/>
    <d v="2012-01-23T00:00:00"/>
    <m/>
    <n v="9321670952"/>
    <n v="10"/>
    <s v="EMCU1264704"/>
    <s v="EVER URSULA"/>
    <m/>
    <s v="NINGBO"/>
    <s v="C-PULLIN-CONF/"/>
    <m/>
    <s v="TWEETY LEUNG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"/>
    <m/>
    <n v="0"/>
    <n v="0"/>
    <x v="1"/>
    <n v="1"/>
    <x v="0"/>
    <x v="1"/>
    <x v="0"/>
    <n v="1"/>
    <n v="0"/>
    <n v="1"/>
    <n v="0"/>
    <n v="0"/>
    <n v="1"/>
    <x v="0"/>
    <x v="0"/>
    <x v="1"/>
    <x v="1"/>
  </r>
  <r>
    <s v="Shipment"/>
    <n v="99003203"/>
    <s v="CANADIAN TIRE CORPORATION LTD                     "/>
    <n v="99003200"/>
    <x v="27"/>
    <s v="22591/039771"/>
    <n v="1370151921"/>
    <n v="10"/>
    <x v="0"/>
    <x v="0"/>
    <s v="A1"/>
    <n v="2100059672"/>
    <n v="201"/>
    <n v="115002630"/>
    <s v="A8048254 STP30+LID J STR N/S BLACK TH3 M          "/>
    <s v="S"/>
    <d v="2012-02-01T00:00:00"/>
    <m/>
    <s v="X"/>
    <x v="69"/>
    <n v="10.126899999999999"/>
    <n v="11"/>
    <d v="2012-01-24T00:00:00"/>
    <d v="2012-01-24T00:00:00"/>
    <n v="18144"/>
    <d v="2012-01-19T00:00:00"/>
    <n v="18144"/>
    <m/>
    <d v="2012-02-15T00:00:00"/>
    <n v="18144"/>
    <d v="2012-01-23T00:00:00"/>
    <d v="2012-01-23T00:00:00"/>
    <n v="18144"/>
    <n v="3024"/>
    <x v="1"/>
    <d v="2012-01-23T00:00:00"/>
    <m/>
    <n v="9321670952"/>
    <n v="10"/>
    <s v="EISU1732670"/>
    <s v="EVER URSULA"/>
    <m/>
    <s v="NINGBO"/>
    <s v="C-PULLIN-CONF/"/>
    <m/>
    <s v="TWEETY LEUNG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"/>
    <m/>
    <n v="0"/>
    <n v="0"/>
    <x v="1"/>
    <n v="1"/>
    <x v="0"/>
    <x v="1"/>
    <x v="0"/>
    <n v="1"/>
    <n v="0"/>
    <n v="1"/>
    <n v="0"/>
    <n v="0"/>
    <n v="1"/>
    <x v="0"/>
    <x v="0"/>
    <x v="1"/>
    <x v="1"/>
  </r>
  <r>
    <s v="Shipment"/>
    <n v="99003203"/>
    <s v="CANADIAN TIRE CORPORATION LTD                     "/>
    <n v="99003200"/>
    <x v="27"/>
    <s v="22591/039771"/>
    <n v="1370151921"/>
    <n v="10"/>
    <x v="0"/>
    <x v="0"/>
    <s v="A1"/>
    <n v="2100059672"/>
    <n v="201"/>
    <n v="115002630"/>
    <s v="A8048254 STP30+LID J STR N/S BLACK TH3 M          "/>
    <s v="S"/>
    <d v="2012-02-01T00:00:00"/>
    <m/>
    <s v="X"/>
    <x v="69"/>
    <n v="10.126899999999999"/>
    <n v="11"/>
    <d v="2012-01-24T00:00:00"/>
    <d v="2012-01-24T00:00:00"/>
    <n v="18144"/>
    <d v="2012-01-19T00:00:00"/>
    <n v="18144"/>
    <m/>
    <d v="2012-02-15T00:00:00"/>
    <n v="18144"/>
    <d v="2012-01-23T00:00:00"/>
    <d v="2012-01-23T00:00:00"/>
    <n v="18144"/>
    <n v="3024"/>
    <x v="1"/>
    <d v="2012-01-23T00:00:00"/>
    <m/>
    <n v="9321670952"/>
    <n v="10"/>
    <s v="FSCU4525125"/>
    <s v="EVER URSULA"/>
    <m/>
    <s v="NINGBO"/>
    <s v="C-PULLIN-CONF/"/>
    <m/>
    <s v="TWEETY LEUNG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"/>
    <m/>
    <n v="0"/>
    <n v="0"/>
    <x v="1"/>
    <n v="1"/>
    <x v="0"/>
    <x v="1"/>
    <x v="0"/>
    <n v="1"/>
    <n v="0"/>
    <n v="1"/>
    <n v="0"/>
    <n v="0"/>
    <n v="1"/>
    <x v="0"/>
    <x v="0"/>
    <x v="1"/>
    <x v="1"/>
  </r>
  <r>
    <s v="Shipment"/>
    <n v="99003203"/>
    <s v="CANADIAN TIRE CORPORATION LTD                     "/>
    <n v="99003200"/>
    <x v="27"/>
    <s v="22591/039771"/>
    <n v="1370151921"/>
    <n v="10"/>
    <x v="0"/>
    <x v="0"/>
    <s v="A1"/>
    <n v="2100059672"/>
    <n v="201"/>
    <n v="115002630"/>
    <s v="A8048254 STP30+LID J STR N/S BLACK TH3 M          "/>
    <s v="S"/>
    <d v="2012-02-01T00:00:00"/>
    <m/>
    <s v="X"/>
    <x v="69"/>
    <n v="10.126899999999999"/>
    <n v="11"/>
    <d v="2012-01-24T00:00:00"/>
    <d v="2012-01-24T00:00:00"/>
    <n v="18144"/>
    <d v="2012-01-19T00:00:00"/>
    <n v="18144"/>
    <m/>
    <d v="2012-02-15T00:00:00"/>
    <n v="18144"/>
    <d v="2012-01-23T00:00:00"/>
    <d v="2012-01-23T00:00:00"/>
    <n v="18144"/>
    <n v="3024"/>
    <x v="1"/>
    <d v="2012-01-23T00:00:00"/>
    <m/>
    <n v="9321670952"/>
    <n v="10"/>
    <s v="ECMU1424382"/>
    <s v="EVER URSULA"/>
    <m/>
    <s v="NINGBO"/>
    <s v="C-PULLIN-CONF/"/>
    <m/>
    <s v="TWEETY LEUNG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"/>
    <m/>
    <n v="0"/>
    <n v="0"/>
    <x v="1"/>
    <n v="1"/>
    <x v="0"/>
    <x v="1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70429/000010"/>
    <n v="1370152318"/>
    <n v="10"/>
    <x v="0"/>
    <x v="0"/>
    <s v="A4"/>
    <n v="8701004109"/>
    <n v="209"/>
    <n v="115002669"/>
    <s v="59943 - SS LASAGNA PAN WITH NEW BOX               "/>
    <s v="S"/>
    <d v="2012-01-13T00:00:00"/>
    <m/>
    <s v="X"/>
    <x v="69"/>
    <n v="22.935199999999998"/>
    <n v="24"/>
    <d v="2012-02-27T00:00:00"/>
    <d v="2012-01-23T00:00:00"/>
    <n v="2476"/>
    <d v="2012-01-19T00:00:00"/>
    <n v="2476"/>
    <m/>
    <d v="2012-01-13T00:00:00"/>
    <n v="2476"/>
    <d v="2012-02-17T00:00:00"/>
    <d v="2012-01-13T00:00:00"/>
    <n v="2476"/>
    <n v="2476"/>
    <x v="24"/>
    <d v="2012-02-17T00:00:00"/>
    <m/>
    <n v="9321670954"/>
    <n v="10"/>
    <s v="HLXU4303270"/>
    <s v="NYK CONSTELLATION/26"/>
    <m/>
    <s v="NINGBO"/>
    <m/>
    <m/>
    <s v="TWEETY LEUNG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2501"/>
    <s v="GROUPE SEB NEDERLAND BV                           "/>
    <n v="99002501"/>
    <x v="30"/>
    <s v="9321663974/000010"/>
    <n v="1370151208"/>
    <n v="10"/>
    <x v="22"/>
    <x v="22"/>
    <s v="N5"/>
    <n v="7211000596"/>
    <n v="36"/>
    <n v="211000596"/>
    <s v="LM2201B1 BLD UNO 1.25L WHT FR                     "/>
    <s v="S"/>
    <d v="2012-02-02T00:00:00"/>
    <m/>
    <s v="X"/>
    <x v="69"/>
    <n v="12.1746"/>
    <n v="10"/>
    <d v="2012-02-14T00:00:00"/>
    <d v="2012-01-17T00:00:00"/>
    <n v="2700"/>
    <d v="2012-01-17T00:00:00"/>
    <n v="2700"/>
    <m/>
    <d v="2012-01-20T00:00:00"/>
    <n v="2700"/>
    <d v="2012-02-17T00:00:00"/>
    <d v="2012-01-20T00:00:00"/>
    <n v="2700"/>
    <n v="2700"/>
    <x v="4"/>
    <d v="2012-02-19T00:00:00"/>
    <m/>
    <n v="9321670959"/>
    <n v="10"/>
    <s v="MAEU6186266"/>
    <s v="EUGEN MAERSK 1202/"/>
    <m/>
    <s v="NINGBO"/>
    <s v="docs received on 1-Feb"/>
    <m/>
    <s v="KENUS WONG"/>
    <s v="FO9"/>
    <s v="ELECTRICAL COOKING            "/>
    <s v="CONFIRMED"/>
    <n v="1"/>
    <n v="3"/>
    <d v="2012-01-22T00:00:00"/>
    <s v="KITCHEN ELECTRICS             "/>
    <s v="FOOD PREPARATION              "/>
    <x v="0"/>
    <x v="0"/>
    <x v="1"/>
    <m/>
    <n v="0"/>
    <n v="0"/>
    <x v="1"/>
    <n v="1"/>
    <x v="0"/>
    <x v="1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7455/000010"/>
    <n v="1370151507"/>
    <n v="10"/>
    <x v="22"/>
    <x v="22"/>
    <s v="N4"/>
    <n v="7211000466"/>
    <n v="177"/>
    <n v="211000466"/>
    <s v="AF102630 FRY UNO FIX N.STICK TIM SS/BLK           "/>
    <s v="S"/>
    <d v="2012-01-18T00:00:00"/>
    <m/>
    <s v="X"/>
    <x v="69"/>
    <n v="21.886800000000001"/>
    <n v="17"/>
    <d v="2012-02-13T00:00:00"/>
    <d v="2012-01-16T00:00:00"/>
    <n v="810"/>
    <d v="2012-01-16T00:00:00"/>
    <n v="810"/>
    <m/>
    <d v="2012-01-14T00:00:00"/>
    <n v="810"/>
    <d v="2012-02-11T00:00:00"/>
    <d v="2012-01-14T00:00:00"/>
    <n v="810"/>
    <n v="810"/>
    <x v="21"/>
    <d v="2012-02-15T00:00:00"/>
    <m/>
    <n v="9321670960"/>
    <n v="10"/>
    <s v="MRKU0435856"/>
    <s v="MAERSK TANJONG/1202"/>
    <m/>
    <s v="NINGBO"/>
    <m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2019/000010"/>
    <n v="1370151533"/>
    <n v="10"/>
    <x v="22"/>
    <x v="22"/>
    <s v="N4"/>
    <n v="7211000819"/>
    <n v="116"/>
    <n v="211000819"/>
    <s v="PF310151 BDM UNO 220V WHT/BLK BR                  "/>
    <s v="S"/>
    <d v="2012-02-02T00:00:00"/>
    <m/>
    <s v="X"/>
    <x v="69"/>
    <n v="43.748899999999999"/>
    <n v="46"/>
    <d v="2012-02-23T00:00:00"/>
    <d v="2012-01-12T00:00:00"/>
    <n v="522"/>
    <d v="2012-01-22T00:00:00"/>
    <n v="522"/>
    <m/>
    <m/>
    <m/>
    <d v="2012-03-04T00:00:00"/>
    <d v="2012-01-22T00:00:00"/>
    <n v="522"/>
    <n v="522"/>
    <x v="1"/>
    <d v="2012-03-05T00:00:00"/>
    <m/>
    <n v="9321670961"/>
    <n v="10"/>
    <s v="SUDU6625503"/>
    <s v="MAERSK LA PAZ 203W/"/>
    <m/>
    <s v="NINGBO"/>
    <s v="C-POST-CONF/"/>
    <m/>
    <s v="THOMAS HO"/>
    <s v="FO9"/>
    <s v="ELECTRICAL COOKING            "/>
    <s v="CONFIRMED"/>
    <n v="1"/>
    <n v="4"/>
    <d v="2012-01-23T00:00:00"/>
    <s v="KITCHEN ELECTRICS             "/>
    <s v="ELECTRICAL COOKING            "/>
    <x v="0"/>
    <x v="0"/>
    <x v="3"/>
    <s v="C-POST-CONF"/>
    <n v="-3"/>
    <n v="-3"/>
    <x v="0"/>
    <n v="1"/>
    <x v="0"/>
    <x v="0"/>
    <x v="1"/>
    <n v="0"/>
    <n v="0"/>
    <n v="1"/>
    <n v="0"/>
    <n v="0"/>
    <n v="1"/>
    <x v="0"/>
    <x v="0"/>
    <x v="1"/>
    <x v="1"/>
  </r>
  <r>
    <s v="Shipment"/>
    <n v="99003800"/>
    <s v="GROUPE SEB POLSKA SP. ZO.O                        "/>
    <n v="99003800"/>
    <x v="20"/>
    <s v="4500264007/000010"/>
    <n v="1370151851"/>
    <n v="10"/>
    <x v="22"/>
    <x v="22"/>
    <s v="R2"/>
    <n v="7211000828"/>
    <n v="55"/>
    <n v="211000828"/>
    <s v="KO330830 KET SNOW 1.7L BLK CIS                    "/>
    <s v="S"/>
    <d v="2012-02-03T00:00:00"/>
    <m/>
    <s v="X"/>
    <x v="69"/>
    <n v="13.8786"/>
    <n v="45"/>
    <d v="2012-02-27T00:00:00"/>
    <d v="2012-01-16T00:00:00"/>
    <n v="2415"/>
    <d v="2012-01-16T00:00:00"/>
    <n v="2415"/>
    <m/>
    <d v="2012-01-20T00:00:00"/>
    <n v="2415"/>
    <d v="2012-03-02T00:00:00"/>
    <d v="2012-01-20T00:00:00"/>
    <n v="2415"/>
    <n v="2415"/>
    <x v="4"/>
    <d v="2012-03-04T00:00:00"/>
    <m/>
    <n v="9321670963"/>
    <n v="10"/>
    <s v="MAEU6375336"/>
    <s v="EUGEN MAERSK VOY1202"/>
    <m/>
    <s v="NINGBO"/>
    <s v="docs received on 1-Feb/WRONG EDI"/>
    <m/>
    <s v="KENUS WONG"/>
    <s v="FO9"/>
    <s v="BEVERAGE                      "/>
    <s v="CONFIRMED"/>
    <n v="1"/>
    <n v="3"/>
    <d v="2012-01-22T00:00:00"/>
    <s v="KITCHEN ELECTRICS             "/>
    <s v="BREAKFAST &amp; BREVAGE PREP      "/>
    <x v="0"/>
    <x v="0"/>
    <x v="1"/>
    <m/>
    <n v="0"/>
    <n v="0"/>
    <x v="1"/>
    <n v="2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3849/000010"/>
    <n v="1370151853"/>
    <n v="10"/>
    <x v="22"/>
    <x v="22"/>
    <s v="N4"/>
    <n v="7211000325"/>
    <n v="177"/>
    <n v="211000325"/>
    <s v="FR404630 FRY FILTRA PRO I&amp;D 3L ENA S/S E          "/>
    <s v="S"/>
    <d v="2012-01-17T00:00:00"/>
    <m/>
    <s v="X"/>
    <x v="69"/>
    <n v="33.273000000000003"/>
    <n v="26"/>
    <d v="2012-02-20T00:00:00"/>
    <d v="2012-01-16T00:00:00"/>
    <n v="588"/>
    <d v="2012-01-16T00:00:00"/>
    <n v="588"/>
    <m/>
    <d v="2012-01-14T00:00:00"/>
    <n v="588"/>
    <d v="2012-02-18T00:00:00"/>
    <d v="2012-01-14T00:00:00"/>
    <n v="588"/>
    <n v="588"/>
    <x v="9"/>
    <d v="2012-02-18T00:00:00"/>
    <m/>
    <n v="9321670964"/>
    <n v="10"/>
    <s v="PONU1347514"/>
    <s v="SUSAN MAERSK/1202"/>
    <m/>
    <s v="NINGBO"/>
    <m/>
    <m/>
    <s v="AGNES NUNES"/>
    <s v="FO9"/>
    <s v="ELECTRICAL COOKING            "/>
    <s v="CONFIRMED"/>
    <n v="1"/>
    <n v="2"/>
    <d v="2012-01-14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3845/000010"/>
    <n v="1370151852"/>
    <n v="10"/>
    <x v="22"/>
    <x v="22"/>
    <s v="N4"/>
    <n v="7211000325"/>
    <n v="177"/>
    <n v="211000325"/>
    <s v="FR404630 FRY FILTRA PRO I&amp;D 3L ENA S/S E          "/>
    <s v="S"/>
    <d v="2012-01-17T00:00:00"/>
    <m/>
    <s v="X"/>
    <x v="69"/>
    <n v="33.273000000000003"/>
    <n v="26"/>
    <d v="2012-02-22T00:00:00"/>
    <d v="2012-01-18T00:00:00"/>
    <n v="588"/>
    <d v="2012-01-18T00:00:00"/>
    <n v="588"/>
    <m/>
    <d v="2012-01-14T00:00:00"/>
    <n v="588"/>
    <d v="2012-02-18T00:00:00"/>
    <d v="2012-01-14T00:00:00"/>
    <n v="588"/>
    <n v="588"/>
    <x v="9"/>
    <d v="2012-02-18T00:00:00"/>
    <m/>
    <n v="9321670965"/>
    <n v="10"/>
    <s v="PONU1347514"/>
    <s v="SUSAN MAERSK/1202"/>
    <m/>
    <s v="NINGBO"/>
    <m/>
    <m/>
    <s v="AGNES NUNES"/>
    <s v="FO9"/>
    <s v="ELECTRICAL COOKING            "/>
    <s v="CONFIRMED"/>
    <n v="1"/>
    <n v="2"/>
    <d v="2012-01-14T00:00:00"/>
    <s v="KITCHEN ELECTRICS             "/>
    <s v="ELECTRICAL COOKING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69686/000010"/>
    <n v="1370152116"/>
    <n v="10"/>
    <x v="22"/>
    <x v="22"/>
    <s v="N4"/>
    <n v="7211000351"/>
    <n v="116"/>
    <n v="211000351"/>
    <s v="OW310130 BDM UNO 1KG WHT/RED B1                   "/>
    <s v="S"/>
    <d v="2012-01-18T00:00:00"/>
    <m/>
    <s v="X"/>
    <x v="69"/>
    <n v="42.151299999999999"/>
    <n v="1378"/>
    <d v="2012-03-05T00:00:00"/>
    <d v="2012-01-16T00:00:00"/>
    <n v="1239"/>
    <d v="2012-01-16T00:00:00"/>
    <n v="1239"/>
    <m/>
    <d v="2012-01-19T00:00:00"/>
    <n v="1239"/>
    <d v="2012-03-01T00:00:00"/>
    <d v="2012-01-12T00:00:00"/>
    <n v="1239"/>
    <n v="1239"/>
    <x v="10"/>
    <d v="2012-03-01T00:00:00"/>
    <m/>
    <n v="9321670966"/>
    <n v="10"/>
    <s v="TGHU7980049"/>
    <s v="GJERTRUD MAERSK/121W"/>
    <m/>
    <s v="NINGBO"/>
    <m/>
    <m/>
    <s v="KENUS WONG"/>
    <s v="FO9"/>
    <s v="ELECTRICAL COOKING            "/>
    <s v="CONFIRMED"/>
    <n v="1"/>
    <n v="2"/>
    <d v="2012-01-12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9572/000010"/>
    <n v="1370152132"/>
    <n v="10"/>
    <x v="22"/>
    <x v="22"/>
    <s v="N5"/>
    <n v="7211000596"/>
    <n v="36"/>
    <n v="211000596"/>
    <s v="LM2201B1 BLD UNO 1.25L WHT FR                     "/>
    <s v="S"/>
    <d v="2012-01-18T00:00:00"/>
    <m/>
    <s v="X"/>
    <x v="69"/>
    <n v="12.1746"/>
    <n v="10"/>
    <d v="2012-02-15T00:00:00"/>
    <d v="2012-01-18T00:00:00"/>
    <n v="1407"/>
    <d v="2012-01-18T00:00:00"/>
    <n v="1407"/>
    <m/>
    <d v="2012-01-19T00:00:00"/>
    <n v="1407"/>
    <d v="2012-02-16T00:00:00"/>
    <d v="2012-01-19T00:00:00"/>
    <n v="1407"/>
    <n v="1407"/>
    <x v="21"/>
    <d v="2012-02-15T00:00:00"/>
    <m/>
    <n v="9321670968"/>
    <n v="10"/>
    <s v="MRKU0435856"/>
    <s v="MAERSK TANJONG/1202"/>
    <m/>
    <s v="NINGBO"/>
    <m/>
    <m/>
    <s v="JASON FAN"/>
    <s v="FO9"/>
    <s v="ELECTRICAL COOKING            "/>
    <s v="CONFIRMED"/>
    <n v="1"/>
    <n v="3"/>
    <d v="2012-01-18T00:00:00"/>
    <s v="KITCHEN ELECTRICS             "/>
    <s v="FOOD PREPARATION              "/>
    <x v="0"/>
    <x v="0"/>
    <x v="1"/>
    <m/>
    <n v="0"/>
    <n v="0"/>
    <x v="1"/>
    <n v="0"/>
    <x v="0"/>
    <x v="1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3099/000010"/>
    <n v="1370150449"/>
    <n v="10"/>
    <x v="22"/>
    <x v="22"/>
    <s v="N4"/>
    <n v="7211000466"/>
    <n v="177"/>
    <n v="211000466"/>
    <s v="AF102630 FRY UNO FIX N.STICK TIM SS/BLK           "/>
    <s v="S"/>
    <d v="2012-01-18T00:00:00"/>
    <m/>
    <s v="X"/>
    <x v="69"/>
    <n v="21.886800000000001"/>
    <n v="17"/>
    <d v="2012-02-20T00:00:00"/>
    <d v="2012-01-16T00:00:00"/>
    <n v="1970"/>
    <d v="2012-01-16T00:00:00"/>
    <n v="1970"/>
    <m/>
    <d v="2012-01-15T00:00:00"/>
    <n v="1970"/>
    <d v="2012-02-19T00:00:00"/>
    <d v="2012-01-15T00:00:00"/>
    <n v="1970"/>
    <n v="1970"/>
    <x v="11"/>
    <d v="2012-02-19T00:00:00"/>
    <m/>
    <n v="9321670972"/>
    <n v="10"/>
    <s v="MSKU0966828"/>
    <s v="MAERSK EINDHOVEN 120"/>
    <m/>
    <s v="NINGBO"/>
    <m/>
    <m/>
    <s v="JASON FAN"/>
    <s v="FO9"/>
    <s v="ELECTRICAL COOKING            "/>
    <s v="CONFIRMED"/>
    <n v="1"/>
    <n v="2"/>
    <d v="2012-01-15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2018/000010"/>
    <n v="1370151534"/>
    <n v="10"/>
    <x v="22"/>
    <x v="22"/>
    <s v="N4"/>
    <n v="7211000819"/>
    <n v="116"/>
    <n v="211000819"/>
    <s v="PF310151 BDM UNO 220V WHT/BLK BR                  "/>
    <s v="S"/>
    <d v="2012-02-02T00:00:00"/>
    <m/>
    <s v="X"/>
    <x v="69"/>
    <n v="43.748899999999999"/>
    <n v="46"/>
    <d v="2012-02-27T00:00:00"/>
    <d v="2012-01-16T00:00:00"/>
    <n v="522"/>
    <d v="2012-01-16T00:00:00"/>
    <n v="522"/>
    <m/>
    <m/>
    <m/>
    <d v="2012-03-04T00:00:00"/>
    <d v="2012-01-22T00:00:00"/>
    <n v="522"/>
    <n v="522"/>
    <x v="1"/>
    <d v="2012-03-05T00:00:00"/>
    <m/>
    <n v="9321670973"/>
    <n v="10"/>
    <s v="SUDU6625503"/>
    <s v="MAERSK LA PAZ 203W/"/>
    <m/>
    <s v="NINGBO"/>
    <m/>
    <m/>
    <s v="THOMAS HO"/>
    <s v="FO9"/>
    <s v="ELECTRICAL COOKING            "/>
    <s v="CONFIRMED"/>
    <n v="1"/>
    <n v="4"/>
    <d v="2012-01-23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69737/000010"/>
    <n v="1370152115"/>
    <n v="10"/>
    <x v="30"/>
    <x v="30"/>
    <s v="N4"/>
    <n v="7211000815"/>
    <n v="39"/>
    <n v="211000815"/>
    <s v="MK302E30 RC CEREAL&amp;CO 10C SS RU                   "/>
    <s v="S"/>
    <d v="2012-01-17T00:00:00"/>
    <m/>
    <s v="X"/>
    <x v="69"/>
    <n v="31.197299999999998"/>
    <n v="1011"/>
    <d v="2012-03-05T00:00:00"/>
    <d v="2012-01-16T00:00:00"/>
    <n v="612"/>
    <d v="2012-01-16T00:00:00"/>
    <n v="612"/>
    <m/>
    <d v="2012-01-14T00:00:00"/>
    <n v="612"/>
    <d v="2012-03-03T00:00:00"/>
    <d v="2012-01-14T00:00:00"/>
    <n v="612"/>
    <n v="612"/>
    <x v="11"/>
    <d v="2012-03-04T00:00:00"/>
    <m/>
    <n v="9321670982"/>
    <n v="10"/>
    <s v="APZU3074583"/>
    <s v="MOL CHARISMA/009W"/>
    <m/>
    <s v="NINGBO"/>
    <m/>
    <m/>
    <s v="KENUS WONG"/>
    <s v="FO9"/>
    <s v="ELECTRICAL COOKING            "/>
    <s v="CONFIRMED"/>
    <n v="1"/>
    <n v="2"/>
    <d v="2012-01-15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63/000001"/>
    <n v="1370152128"/>
    <n v="10"/>
    <x v="30"/>
    <x v="30"/>
    <s v="N4"/>
    <n v="7211000660"/>
    <n v="39"/>
    <n v="211000660"/>
    <s v="RK702170 RC FUZZY ELECTRONIC 1L WHT HK            "/>
    <s v="S"/>
    <d v="2012-01-03T00:00:00"/>
    <m/>
    <s v="X"/>
    <x v="69"/>
    <n v="26.567599999999999"/>
    <n v="33098"/>
    <d v="2012-02-01T00:00:00"/>
    <d v="2012-01-18T00:00:00"/>
    <n v="912"/>
    <d v="2012-01-04T00:00:00"/>
    <n v="912"/>
    <m/>
    <d v="2012-01-11T00:00:00"/>
    <n v="912"/>
    <d v="2012-01-18T00:00:00"/>
    <d v="2012-01-04T00:00:00"/>
    <n v="912"/>
    <n v="912"/>
    <x v="2"/>
    <d v="2012-01-18T00:00:00"/>
    <m/>
    <n v="9321670984"/>
    <n v="10"/>
    <s v="TTNU5998461"/>
    <s v="OOCL CANADA 005W"/>
    <m/>
    <s v="NINGBO"/>
    <m/>
    <m/>
    <s v="AGNES NUNES"/>
    <s v="FO9"/>
    <s v="ELECTRICAL COOKING            "/>
    <s v="CONFIRMED"/>
    <n v="1"/>
    <n v="1"/>
    <d v="2012-01-04T00:00:00"/>
    <s v="KITCHEN ELECTRICS             "/>
    <s v="ELECTRICAL COOKING            "/>
    <x v="0"/>
    <x v="0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6722/000010"/>
    <n v="1370151576"/>
    <n v="10"/>
    <x v="76"/>
    <x v="76"/>
    <s v="A1"/>
    <n v="2100056954"/>
    <n v="201"/>
    <s v="A8520244       "/>
    <s v="A8520244 CONTINUITY TNS GREY FP 8&quot; (V)            "/>
    <s v="S"/>
    <d v="2012-01-13T00:00:00"/>
    <m/>
    <s v="X"/>
    <x v="69"/>
    <n v="3.7502"/>
    <n v="4"/>
    <d v="2012-03-20T00:00:00"/>
    <d v="2012-02-14T00:00:00"/>
    <n v="1002"/>
    <d v="2012-01-15T00:00:00"/>
    <n v="1002"/>
    <m/>
    <d v="2012-01-15T00:00:00"/>
    <n v="1002"/>
    <d v="2012-02-19T00:00:00"/>
    <d v="2012-01-15T00:00:00"/>
    <n v="1002"/>
    <n v="1002"/>
    <x v="11"/>
    <d v="2012-02-19T00:00:00"/>
    <m/>
    <n v="9321670988"/>
    <n v="10"/>
    <s v="CMAU1833109"/>
    <s v="SIMA SAMAN"/>
    <m/>
    <s v="HO CHI MINH CITY"/>
    <s v="SP-HOLIDAY/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6724/000010"/>
    <n v="1370151577"/>
    <n v="10"/>
    <x v="76"/>
    <x v="76"/>
    <s v="A1"/>
    <n v="2100056958"/>
    <n v="201"/>
    <s v="A8520544       "/>
    <s v="A8520544 CONTINUITY TNS GREY FP 10.25IN           "/>
    <s v="S"/>
    <d v="2012-01-13T00:00:00"/>
    <m/>
    <s v="X"/>
    <x v="69"/>
    <n v="5.3727999999999998"/>
    <n v="6"/>
    <d v="2012-03-15T00:00:00"/>
    <d v="2012-02-09T00:00:00"/>
    <n v="1002"/>
    <d v="2012-01-15T00:00:00"/>
    <n v="1002"/>
    <m/>
    <d v="2012-01-15T00:00:00"/>
    <n v="1002"/>
    <d v="2012-02-19T00:00:00"/>
    <d v="2012-01-15T00:00:00"/>
    <n v="1002"/>
    <n v="1002"/>
    <x v="11"/>
    <d v="2012-02-19T00:00:00"/>
    <m/>
    <n v="9321670989"/>
    <n v="10"/>
    <s v="ECMU9727699"/>
    <s v="SIMA SAMAN"/>
    <m/>
    <s v="HO CHI MINH CITY"/>
    <s v="SP-HOLIDAY/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6767/000010"/>
    <n v="1370151612"/>
    <n v="10"/>
    <x v="76"/>
    <x v="76"/>
    <s v="A1"/>
    <n v="2100061946"/>
    <n v="201"/>
    <s v="A857S394       "/>
    <s v="A857S394 TFAL TNS GREY 3PC SET 8/9.5/11           "/>
    <s v="S"/>
    <d v="2012-01-13T00:00:00"/>
    <m/>
    <s v="X"/>
    <x v="69"/>
    <n v="13.1084"/>
    <n v="14"/>
    <d v="2012-03-22T00:00:00"/>
    <d v="2012-02-16T00:00:00"/>
    <n v="1512"/>
    <d v="2012-01-15T00:00:00"/>
    <n v="1512"/>
    <m/>
    <d v="2012-01-15T00:00:00"/>
    <n v="1512"/>
    <d v="2012-02-19T00:00:00"/>
    <d v="2012-01-15T00:00:00"/>
    <n v="1512"/>
    <n v="1512"/>
    <x v="11"/>
    <d v="2012-02-19T00:00:00"/>
    <m/>
    <n v="9321670990"/>
    <n v="10"/>
    <s v="CRXU9451739"/>
    <s v="SIMA SAMAN"/>
    <m/>
    <s v="HO CHI MINH CITY"/>
    <s v="SP-HOLIDAY/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6741/000010"/>
    <n v="1370151627"/>
    <n v="10"/>
    <x v="76"/>
    <x v="76"/>
    <s v="A1"/>
    <n v="2100058752"/>
    <n v="201"/>
    <s v="A8530244       "/>
    <s v="A8530244 CONTINUITY TNS BLUE FP 8&quot; (V)            "/>
    <s v="S"/>
    <d v="2012-01-13T00:00:00"/>
    <m/>
    <s v="X"/>
    <x v="69"/>
    <n v="3.593"/>
    <n v="4"/>
    <d v="2012-03-12T00:00:00"/>
    <d v="2012-02-06T00:00:00"/>
    <n v="1002"/>
    <d v="2012-01-16T00:00:00"/>
    <n v="1002"/>
    <m/>
    <d v="2012-01-15T00:00:00"/>
    <n v="1002"/>
    <d v="2012-02-19T00:00:00"/>
    <d v="2012-01-15T00:00:00"/>
    <n v="1002"/>
    <n v="1002"/>
    <x v="11"/>
    <d v="2012-02-19T00:00:00"/>
    <m/>
    <n v="9321670991"/>
    <n v="10"/>
    <s v="CMAU4116708"/>
    <s v="SIMA SAMAN"/>
    <m/>
    <s v="HO CHI MINH CITY"/>
    <s v="SP-HOLIDAY/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6721/000010"/>
    <n v="1370151630"/>
    <n v="10"/>
    <x v="76"/>
    <x v="76"/>
    <s v="A1"/>
    <n v="2100056954"/>
    <n v="201"/>
    <s v="A8520244       "/>
    <s v="A8520244 CONTINUITY TNS GREY FP 8&quot; (V)            "/>
    <s v="S"/>
    <d v="2012-01-13T00:00:00"/>
    <m/>
    <s v="X"/>
    <x v="69"/>
    <n v="3.7502"/>
    <n v="4"/>
    <d v="2012-03-12T00:00:00"/>
    <d v="2012-02-06T00:00:00"/>
    <n v="1740"/>
    <d v="2012-01-15T00:00:00"/>
    <n v="1740"/>
    <m/>
    <d v="2012-01-15T00:00:00"/>
    <n v="1740"/>
    <d v="2012-02-19T00:00:00"/>
    <d v="2012-01-15T00:00:00"/>
    <n v="1740"/>
    <n v="1740"/>
    <x v="11"/>
    <d v="2012-02-19T00:00:00"/>
    <m/>
    <n v="9321670992"/>
    <n v="10"/>
    <s v="CMAU1833109"/>
    <s v="SIMA SAMAN"/>
    <m/>
    <s v="HO CHI MINH CITY"/>
    <s v="SP-HOLIDAY/"/>
    <m/>
    <s v="TWEETY LEUNG"/>
    <s v="FO9"/>
    <s v="COOKWARE                      "/>
    <s v="CONFIRMED"/>
    <n v="1"/>
    <n v="2"/>
    <d v="2012-01-15T00:00:00"/>
    <s v="COOKWARE                      "/>
    <s v="COOKWARE          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3137/000010"/>
    <n v="1370150453"/>
    <n v="10"/>
    <x v="61"/>
    <x v="61"/>
    <s v="L2"/>
    <n v="2100062638"/>
    <n v="54"/>
    <s v="PP1202V0       "/>
    <s v="PP1202V0 BATHROOM SCALES PREMIO BLACK TE          "/>
    <s v="S"/>
    <d v="2012-01-19T00:00:00"/>
    <m/>
    <s v="X"/>
    <x v="69"/>
    <n v="7.13"/>
    <n v="6"/>
    <d v="2012-02-20T00:00:00"/>
    <d v="2012-01-16T00:00:00"/>
    <n v="1000"/>
    <d v="2012-01-16T00:00:00"/>
    <n v="1000"/>
    <m/>
    <d v="2012-01-16T00:00:00"/>
    <n v="1000"/>
    <d v="2012-02-20T00:00:00"/>
    <d v="2012-01-16T00:00:00"/>
    <n v="1000"/>
    <n v="1000"/>
    <x v="19"/>
    <d v="2012-02-21T00:00:00"/>
    <m/>
    <n v="9321670994"/>
    <n v="10"/>
    <s v="MFTU9113600"/>
    <s v="MAERSK EINDHOVEN 120"/>
    <m/>
    <s v="SHANGHAI"/>
    <m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3143/000010"/>
    <n v="1370150456"/>
    <n v="10"/>
    <x v="61"/>
    <x v="61"/>
    <s v="L2"/>
    <n v="2100062619"/>
    <n v="54"/>
    <s v="PP1101V0       "/>
    <s v="PP1101V0 BATHROOM SCALES CLASSIC BLUE TE          "/>
    <s v="S"/>
    <d v="2012-01-19T00:00:00"/>
    <m/>
    <s v="X"/>
    <x v="69"/>
    <n v="5.55"/>
    <n v="5"/>
    <d v="2012-02-20T00:00:00"/>
    <d v="2012-01-16T00:00:00"/>
    <n v="1000"/>
    <d v="2012-01-16T00:00:00"/>
    <n v="1000"/>
    <m/>
    <d v="2012-01-16T00:00:00"/>
    <n v="1000"/>
    <d v="2012-02-20T00:00:00"/>
    <d v="2012-01-16T00:00:00"/>
    <n v="1000"/>
    <n v="1000"/>
    <x v="19"/>
    <d v="2012-02-21T00:00:00"/>
    <m/>
    <n v="9321670995"/>
    <n v="10"/>
    <s v="MFTU9113600"/>
    <s v="MAERSK EINDHOVEN 120"/>
    <m/>
    <s v="SHANGHAI"/>
    <m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3141/000010"/>
    <n v="1370150451"/>
    <n v="10"/>
    <x v="61"/>
    <x v="61"/>
    <s v="L2"/>
    <n v="2100062621"/>
    <n v="54"/>
    <s v="PP1201V0       "/>
    <s v="PP1201V0 BATHROOM SCALES PREMIO LILAC TE          "/>
    <s v="S"/>
    <d v="2012-01-19T00:00:00"/>
    <m/>
    <s v="X"/>
    <x v="69"/>
    <n v="7.13"/>
    <n v="6"/>
    <d v="2012-02-20T00:00:00"/>
    <d v="2012-01-16T00:00:00"/>
    <n v="2000"/>
    <d v="2012-01-16T00:00:00"/>
    <n v="2000"/>
    <m/>
    <d v="2012-01-16T00:00:00"/>
    <n v="2000"/>
    <d v="2012-02-20T00:00:00"/>
    <d v="2012-01-16T00:00:00"/>
    <n v="2000"/>
    <n v="2000"/>
    <x v="19"/>
    <d v="2012-02-21T00:00:00"/>
    <m/>
    <n v="9321670996"/>
    <n v="10"/>
    <s v="MFTU9113600"/>
    <s v="MAERSK EINDHOVEN 120"/>
    <m/>
    <s v="SHANGHAI"/>
    <m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3134/000010"/>
    <n v="1370150459"/>
    <n v="10"/>
    <x v="61"/>
    <x v="61"/>
    <s v="L2"/>
    <n v="2100062557"/>
    <n v="54"/>
    <s v="PP1100V0       "/>
    <s v="PP1100V0 BATHROOM SCALES CLASSIC GREY TE          "/>
    <s v="S"/>
    <d v="2012-01-19T00:00:00"/>
    <m/>
    <s v="X"/>
    <x v="69"/>
    <n v="5.55"/>
    <n v="5"/>
    <d v="2012-02-20T00:00:00"/>
    <d v="2012-01-16T00:00:00"/>
    <n v="7000"/>
    <d v="2012-01-16T00:00:00"/>
    <n v="7000"/>
    <m/>
    <d v="2012-01-16T00:00:00"/>
    <n v="7000"/>
    <d v="2012-02-20T00:00:00"/>
    <d v="2012-01-16T00:00:00"/>
    <n v="7000"/>
    <n v="7000"/>
    <x v="19"/>
    <d v="2012-02-21T00:00:00"/>
    <m/>
    <n v="9321670997"/>
    <n v="10"/>
    <s v="MFTU9113600"/>
    <s v="MAERSK EINDHOVEN 120"/>
    <m/>
    <s v="SHANGHAI"/>
    <m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3139/000010"/>
    <n v="1370150450"/>
    <n v="10"/>
    <x v="61"/>
    <x v="61"/>
    <s v="L2"/>
    <n v="2100062620"/>
    <n v="54"/>
    <s v="PP1200V0       "/>
    <s v="PP1200V0 BATHROOM SCALES PREMIO GREY TEF          "/>
    <s v="S"/>
    <d v="2012-01-19T00:00:00"/>
    <m/>
    <s v="X"/>
    <x v="69"/>
    <n v="7.13"/>
    <n v="6"/>
    <d v="2012-02-20T00:00:00"/>
    <d v="2012-01-16T00:00:00"/>
    <n v="1000"/>
    <d v="2012-01-16T00:00:00"/>
    <n v="1000"/>
    <m/>
    <d v="2012-01-16T00:00:00"/>
    <n v="1000"/>
    <d v="2012-02-20T00:00:00"/>
    <d v="2012-01-16T00:00:00"/>
    <n v="1000"/>
    <n v="1000"/>
    <x v="19"/>
    <d v="2012-02-21T00:00:00"/>
    <m/>
    <n v="9321670998"/>
    <n v="10"/>
    <s v="MFTU9113600"/>
    <s v="MAERSK EINDHOVEN 120"/>
    <m/>
    <s v="SHANGHAI"/>
    <m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3135/000010"/>
    <n v="1370150463"/>
    <n v="10"/>
    <x v="61"/>
    <x v="61"/>
    <s v="L2"/>
    <n v="2100062640"/>
    <n v="54"/>
    <s v="PP1000V0       "/>
    <s v="PP1000V0 BATHROOM SCALES PREMISS WHITE T          "/>
    <s v="S"/>
    <d v="2012-01-19T00:00:00"/>
    <m/>
    <s v="X"/>
    <x v="69"/>
    <n v="5.0999999999999996"/>
    <n v="4"/>
    <d v="2012-02-20T00:00:00"/>
    <d v="2012-01-16T00:00:00"/>
    <n v="1500"/>
    <d v="2012-01-16T00:00:00"/>
    <n v="1500"/>
    <m/>
    <d v="2012-01-16T00:00:00"/>
    <n v="1500"/>
    <d v="2012-02-20T00:00:00"/>
    <d v="2012-01-16T00:00:00"/>
    <n v="1500"/>
    <n v="1500"/>
    <x v="19"/>
    <d v="2012-02-21T00:00:00"/>
    <m/>
    <n v="9321670999"/>
    <n v="10"/>
    <s v="MFTU9113600"/>
    <s v="MAERSK EINDHOVEN 120"/>
    <m/>
    <s v="SHANGHAI"/>
    <m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63484/000010"/>
    <n v="1370151605"/>
    <n v="10"/>
    <x v="9"/>
    <x v="9"/>
    <s v="N3"/>
    <n v="1500633975"/>
    <n v="39"/>
    <n v="633975"/>
    <s v="RK700950 RICE COOKER 4IN1 SS/BLK 5CUP CA          "/>
    <s v="S"/>
    <d v="2012-01-19T00:00:00"/>
    <m/>
    <s v="X"/>
    <x v="68"/>
    <n v="26.97"/>
    <n v="31"/>
    <d v="2012-03-05T00:00:00"/>
    <d v="2012-01-30T00:00:00"/>
    <n v="756"/>
    <d v="2012-01-19T00:00:00"/>
    <n v="756"/>
    <m/>
    <d v="2012-01-14T00:00:00"/>
    <n v="756"/>
    <d v="2012-02-18T00:00:00"/>
    <d v="2012-01-14T00:00:00"/>
    <n v="756"/>
    <n v="756"/>
    <x v="19"/>
    <d v="2012-02-21T00:00:00"/>
    <m/>
    <n v="9321671023"/>
    <n v="10"/>
    <s v="HLXU3338354"/>
    <s v="NYK NEBULA 25E02/"/>
    <m/>
    <s v="YANTIAN"/>
    <m/>
    <m/>
    <s v="TWEETY LEUNG"/>
    <s v="FO9"/>
    <s v="ELECTRICAL COOKING            "/>
    <s v="CONFIRMED"/>
    <n v="1"/>
    <n v="3"/>
    <d v="2012-01-17T00:00:00"/>
    <s v="KITCHEN ELECTRICS             "/>
    <s v="ELECTRICAL COOKING            "/>
    <x v="4"/>
    <x v="1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6601"/>
    <s v="GROUPE SEB SINGAPORE PTE LTD                      "/>
    <n v="99006601"/>
    <x v="11"/>
    <s v="811/000001"/>
    <n v="1370151079"/>
    <n v="10"/>
    <x v="30"/>
    <x v="30"/>
    <s v="N4"/>
    <n v="7211000190"/>
    <n v="39"/>
    <n v="211000190"/>
    <s v="RK101370 RICE COOK.META.MECHA.CONGEE 10C          "/>
    <s v="S"/>
    <d v="2012-01-03T00:00:00"/>
    <m/>
    <s v="X"/>
    <x v="69"/>
    <n v="18.9574"/>
    <n v="23688"/>
    <d v="2012-01-24T00:00:00"/>
    <d v="2012-01-10T00:00:00"/>
    <n v="880"/>
    <d v="2012-01-04T00:00:00"/>
    <n v="880"/>
    <m/>
    <d v="2012-01-11T00:00:00"/>
    <n v="880"/>
    <d v="2012-01-18T00:00:00"/>
    <d v="2012-01-04T00:00:00"/>
    <n v="880"/>
    <n v="880"/>
    <x v="2"/>
    <d v="2012-01-18T00:00:00"/>
    <m/>
    <n v="9321671040"/>
    <n v="10"/>
    <s v="TTNU5998461"/>
    <s v="OOCL CANADA 005W"/>
    <m/>
    <s v="NINGBO"/>
    <m/>
    <m/>
    <s v="AGNES NUNES"/>
    <s v="FO9"/>
    <s v="ELECTRICAL COOKING            "/>
    <s v="CONFIRMED"/>
    <n v="1"/>
    <n v="1"/>
    <d v="2012-01-04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57359/000010"/>
    <n v="1370148950"/>
    <n v="10"/>
    <x v="18"/>
    <x v="18"/>
    <s v="M5"/>
    <n v="2210016778"/>
    <n v="160"/>
    <s v="RO525301       "/>
    <s v="RO525301 VAC CLEANER COMPACTEO ERGO               "/>
    <s v="S"/>
    <d v="2012-01-12T00:00:00"/>
    <m/>
    <s v="X"/>
    <x v="69"/>
    <n v="28.5"/>
    <n v="24"/>
    <d v="2012-01-30T00:00:00"/>
    <d v="2012-01-02T00:00:00"/>
    <n v="1440"/>
    <d v="2012-01-02T00:00:00"/>
    <n v="1440"/>
    <m/>
    <d v="2012-01-02T00:00:00"/>
    <n v="1440"/>
    <d v="2012-01-30T00:00:00"/>
    <d v="2012-01-02T00:00:00"/>
    <n v="1440"/>
    <n v="1440"/>
    <x v="17"/>
    <d v="2012-02-08T00:00:00"/>
    <m/>
    <n v="9321671044"/>
    <n v="10"/>
    <s v="PONU1667610"/>
    <s v="MAERSK SHEERNESS/120"/>
    <m/>
    <s v="SHANGHAI"/>
    <s v="SAILING-SCHED-UPDATE/TP ISSUE"/>
    <m/>
    <s v="JASON FAN"/>
    <s v="FO9"/>
    <s v="HOME CLEANING                 "/>
    <s v="CONFIRMED"/>
    <n v="1"/>
    <n v="2"/>
    <d v="2012-01-11T00:00:00"/>
    <s v="HOME CLEANING                 "/>
    <s v="HOME CLEANING                 "/>
    <x v="6"/>
    <x v="2"/>
    <x v="1"/>
    <m/>
    <n v="0"/>
    <n v="0"/>
    <x v="1"/>
    <n v="2"/>
    <x v="0"/>
    <x v="0"/>
    <x v="1"/>
    <n v="0"/>
    <n v="0"/>
    <n v="0"/>
    <n v="0"/>
    <n v="0"/>
    <n v="0"/>
    <x v="1"/>
    <x v="0"/>
    <x v="1"/>
    <x v="0"/>
  </r>
  <r>
    <s v="Shipment"/>
    <n v="99008200"/>
    <s v="GROUPE SEB IBERICA                                "/>
    <n v="99008200"/>
    <x v="21"/>
    <s v="9321657360/000010"/>
    <n v="1370148951"/>
    <n v="10"/>
    <x v="18"/>
    <x v="18"/>
    <s v="M5"/>
    <n v="2210016784"/>
    <n v="161"/>
    <s v="RO535301       "/>
    <s v="RO535301 VAC CLEANER COMPACTEO ERGO CYCL          "/>
    <s v="S"/>
    <d v="2012-01-11T00:00:00"/>
    <m/>
    <s v="X"/>
    <x v="69"/>
    <n v="33.340000000000003"/>
    <n v="28"/>
    <d v="2012-01-23T00:00:00"/>
    <d v="2011-12-26T00:00:00"/>
    <n v="1440"/>
    <d v="2012-01-14T00:00:00"/>
    <n v="1440"/>
    <m/>
    <d v="2011-12-26T00:00:00"/>
    <n v="1440"/>
    <d v="2012-02-13T00:00:00"/>
    <d v="2012-01-16T00:00:00"/>
    <n v="1440"/>
    <n v="1440"/>
    <x v="5"/>
    <d v="2012-02-07T00:00:00"/>
    <m/>
    <n v="9321671045"/>
    <n v="10"/>
    <s v="TGHU4148159"/>
    <s v="MAERSK SHEERNESS/120"/>
    <m/>
    <s v="SHANGHAI"/>
    <s v="BU-ETD-TEMP/TP ISSUE"/>
    <m/>
    <s v="JASON FAN"/>
    <s v="FO9"/>
    <s v="HOME CLEANING                 "/>
    <s v="CONFIRMED"/>
    <n v="1"/>
    <n v="2"/>
    <d v="2012-01-10T00:00:00"/>
    <s v="HOME CLEANING                 "/>
    <s v="HOME CLEANING                 "/>
    <x v="6"/>
    <x v="2"/>
    <x v="4"/>
    <s v="BU-ETD-TEMP"/>
    <n v="-3"/>
    <n v="-3"/>
    <x v="3"/>
    <n v="2"/>
    <x v="0"/>
    <x v="0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8271/000010"/>
    <n v="1370151809"/>
    <n v="10"/>
    <x v="8"/>
    <x v="8"/>
    <s v="K9"/>
    <n v="8000033947"/>
    <n v="38"/>
    <s v="KP300610       "/>
    <s v="KP300610 NDG FONTANA RED EUR                      "/>
    <s v="S"/>
    <d v="2012-01-29T00:00:00"/>
    <m/>
    <s v="X"/>
    <x v="69"/>
    <n v="40.94"/>
    <n v="34"/>
    <d v="2012-02-13T00:00:00"/>
    <d v="2012-01-16T00:00:00"/>
    <n v="1184"/>
    <d v="2012-01-16T00:00:00"/>
    <n v="1184"/>
    <m/>
    <d v="2012-01-23T00:00:00"/>
    <n v="1184"/>
    <d v="2012-02-17T00:00:00"/>
    <d v="2012-01-20T00:00:00"/>
    <n v="1184"/>
    <n v="1184"/>
    <x v="26"/>
    <d v="2012-02-18T00:00:00"/>
    <m/>
    <n v="9321671055"/>
    <n v="10"/>
    <s v="MRKU3281076"/>
    <s v="MAERSK TANJONG/1202"/>
    <m/>
    <s v="YANTIAN"/>
    <m/>
    <m/>
    <s v="JASON FAN"/>
    <s v="FO9"/>
    <s v="BEVERAGE                      "/>
    <s v="CONFIRMED"/>
    <n v="1"/>
    <n v="3"/>
    <d v="2012-01-21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7300"/>
    <s v="GROUPE SEB DEUTSCHLAND                            "/>
    <n v="99007300"/>
    <x v="17"/>
    <s v="4500264398/000010"/>
    <n v="1370152198"/>
    <n v="10"/>
    <x v="8"/>
    <x v="8"/>
    <s v="L4"/>
    <n v="1830003983"/>
    <n v="175"/>
    <s v="CF9022E0       "/>
    <s v="CF9022E0 BRUSH ACTIV'' 700W                       "/>
    <s v="S"/>
    <d v="2012-01-29T00:00:00"/>
    <m/>
    <s v="X"/>
    <x v="69"/>
    <n v="12.58"/>
    <n v="11"/>
    <d v="2012-02-20T00:00:00"/>
    <d v="2012-01-16T00:00:00"/>
    <n v="2220"/>
    <d v="2012-01-16T00:00:00"/>
    <n v="2220"/>
    <m/>
    <d v="2012-01-13T00:00:00"/>
    <n v="2220"/>
    <d v="2012-02-17T00:00:00"/>
    <d v="2012-01-13T00:00:00"/>
    <n v="2220"/>
    <n v="1296"/>
    <x v="15"/>
    <d v="2012-03-01T00:00:00"/>
    <m/>
    <n v="9321671068"/>
    <n v="10"/>
    <s v="TRLU9433863"/>
    <s v="MOL MARVEL/008W"/>
    <m/>
    <s v="YANTIAN"/>
    <s v="SP-MTL"/>
    <m/>
    <s v="AGNES NUNES"/>
    <s v="FO9"/>
    <s v="PERSONAL CARE                 "/>
    <s v="CONFIRMED"/>
    <n v="1"/>
    <n v="4"/>
    <d v="2012-01-26T00:00:00"/>
    <s v="LINEN PERS HOME CARE          "/>
    <s v="PERSONAL CARE                 "/>
    <x v="4"/>
    <x v="1"/>
    <x v="9"/>
    <s v="SP-MTL"/>
    <n v="1"/>
    <n v="1"/>
    <x v="10"/>
    <n v="1"/>
    <x v="0"/>
    <x v="0"/>
    <x v="1"/>
    <n v="0"/>
    <n v="0"/>
    <n v="0"/>
    <n v="0"/>
    <n v="0"/>
    <n v="0"/>
    <x v="1"/>
    <x v="0"/>
    <x v="1"/>
    <x v="0"/>
  </r>
  <r>
    <s v="Shipment"/>
    <n v="99003700"/>
    <s v="SEB ASIA LTD                                      "/>
    <n v="99003700"/>
    <x v="7"/>
    <s v="SAS-10-327/HKG/"/>
    <n v="1370152461"/>
    <n v="10"/>
    <x v="22"/>
    <x v="22"/>
    <s v="P3"/>
    <n v="7211000956"/>
    <n v="36"/>
    <n v="211000956"/>
    <s v="BL3071HK BLD BLENDFORCE PLAST TRPX W&amp;D H          "/>
    <s v="S"/>
    <d v="2012-01-05T00:00:00"/>
    <m/>
    <s v="X"/>
    <x v="69"/>
    <n v="16.520800000000001"/>
    <n v="16546"/>
    <d v="2012-01-04T00:00:00"/>
    <d v="2012-01-04T00:00:00"/>
    <n v="1407"/>
    <d v="2012-01-04T00:00:00"/>
    <n v="1407"/>
    <m/>
    <d v="2012-01-06T00:00:00"/>
    <n v="1407"/>
    <d v="2012-01-04T00:00:00"/>
    <d v="2012-01-04T00:00:00"/>
    <n v="1407"/>
    <n v="1407"/>
    <x v="2"/>
    <d v="2012-01-04T00:00:00"/>
    <m/>
    <n v="9321671184"/>
    <n v="10"/>
    <s v="OOLU7644445"/>
    <s v="OOCL CANADA"/>
    <m/>
    <s v="NINGBO"/>
    <m/>
    <m/>
    <s v="THOMAS HO"/>
    <s v="FO9"/>
    <s v="FOOD PREPARATION              "/>
    <s v="CONFIRMED"/>
    <n v="1"/>
    <n v="1"/>
    <d v="2012-01-04T00:00:00"/>
    <s v="KITCHEN ELECTRICS             "/>
    <s v="FOOD PREPARATION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SE-10-023/HKG/"/>
    <n v="1370152471"/>
    <n v="30"/>
    <x v="23"/>
    <x v="23"/>
    <s v="J3"/>
    <n v="2820253010"/>
    <n v="1"/>
    <s v="FV2530M0       "/>
    <s v="FV2530M0 STEAM IRON PRIMAGLIDE 3 FTK              "/>
    <s v="S"/>
    <d v="2012-01-27T00:00:00"/>
    <m/>
    <s v="X"/>
    <x v="69"/>
    <n v="14.4992"/>
    <n v="15"/>
    <d v="2012-01-16T00:00:00"/>
    <d v="2012-01-16T00:00:00"/>
    <n v="402"/>
    <d v="2012-01-16T00:00:00"/>
    <n v="402"/>
    <m/>
    <d v="2012-01-21T00:00:00"/>
    <n v="402"/>
    <d v="2012-01-18T00:00:00"/>
    <d v="2012-01-18T00:00:00"/>
    <n v="402"/>
    <n v="402"/>
    <x v="25"/>
    <d v="2012-01-24T00:00:00"/>
    <m/>
    <n v="9321671190"/>
    <n v="30"/>
    <s v="CMAU1425771"/>
    <s v="YM INTERACTION"/>
    <m/>
    <s v="SHANGHAI"/>
    <s v="FORWARDER-PROB"/>
    <m/>
    <s v="THOMAS HO"/>
    <s v="FO9"/>
    <s v="LINEN CARE                    "/>
    <s v="CONFIRMED"/>
    <n v="1"/>
    <n v="4"/>
    <d v="2012-01-24T00:00:00"/>
    <s v="LINEN PERS HOME CARE          "/>
    <s v="LINEN CARE                    "/>
    <x v="0"/>
    <x v="0"/>
    <x v="0"/>
    <s v="FORWARDER-PROB"/>
    <n v="1"/>
    <n v="1"/>
    <x v="11"/>
    <n v="1"/>
    <x v="0"/>
    <x v="0"/>
    <x v="1"/>
    <n v="0"/>
    <n v="0"/>
    <n v="0"/>
    <n v="0"/>
    <n v="0"/>
    <n v="0"/>
    <x v="1"/>
    <x v="0"/>
    <x v="1"/>
    <x v="0"/>
  </r>
  <r>
    <s v="Shipment"/>
    <n v="99003700"/>
    <s v="SEB ASIA LTD                                      "/>
    <n v="99003700"/>
    <x v="7"/>
    <s v="SSE-10-023/HKG/"/>
    <n v="1370152471"/>
    <n v="40"/>
    <x v="23"/>
    <x v="23"/>
    <s v="N4"/>
    <n v="2802100115"/>
    <n v="32"/>
    <s v="VC100115       "/>
    <s v="VC100115 STMC ULTRA COMPACT 2B GB                 "/>
    <s v="S"/>
    <d v="2012-01-27T00:00:00"/>
    <m/>
    <s v="X"/>
    <x v="69"/>
    <n v="15.6624"/>
    <n v="15"/>
    <d v="2012-01-16T00:00:00"/>
    <d v="2012-01-16T00:00:00"/>
    <n v="300"/>
    <d v="2012-01-16T00:00:00"/>
    <n v="300"/>
    <m/>
    <d v="2012-01-16T00:00:00"/>
    <n v="300"/>
    <d v="2012-01-18T00:00:00"/>
    <d v="2012-01-18T00:00:00"/>
    <n v="300"/>
    <n v="300"/>
    <x v="25"/>
    <d v="2012-01-24T00:00:00"/>
    <m/>
    <n v="9321671190"/>
    <n v="40"/>
    <s v="CMAU1425771"/>
    <s v="YM INTERACTION"/>
    <m/>
    <s v="SHANGHAI"/>
    <s v="FORWARDER-PROB"/>
    <m/>
    <s v="THOMAS HO"/>
    <s v="FO9"/>
    <s v="ELECTRICAL COOKING            "/>
    <s v="CONFIRMED"/>
    <n v="1"/>
    <n v="4"/>
    <d v="2012-01-24T00:00:00"/>
    <s v="KITCHEN ELECTRICS             "/>
    <s v="ELECTRICAL COOKING            "/>
    <x v="0"/>
    <x v="0"/>
    <x v="0"/>
    <s v="FORWARDER-PROB"/>
    <n v="1"/>
    <n v="1"/>
    <x v="11"/>
    <n v="1"/>
    <x v="0"/>
    <x v="0"/>
    <x v="1"/>
    <n v="0"/>
    <n v="0"/>
    <n v="0"/>
    <n v="0"/>
    <n v="0"/>
    <n v="0"/>
    <x v="1"/>
    <x v="0"/>
    <x v="1"/>
    <x v="0"/>
  </r>
  <r>
    <s v="Shipment"/>
    <n v="99003700"/>
    <s v="SEB ASIA LTD                                      "/>
    <n v="99003700"/>
    <x v="7"/>
    <s v="SSE-10-023/HKG/"/>
    <n v="1370152471"/>
    <n v="50"/>
    <x v="23"/>
    <x v="23"/>
    <s v="N4"/>
    <n v="2820101616"/>
    <n v="32"/>
    <s v="VC101616       "/>
    <s v="VC101616 STMC MALIN 3B BLK/CHR GB                 "/>
    <s v="S"/>
    <d v="2012-01-27T00:00:00"/>
    <m/>
    <s v="X"/>
    <x v="69"/>
    <n v="24.561399999999999"/>
    <n v="15"/>
    <d v="2012-01-16T00:00:00"/>
    <d v="2012-01-16T00:00:00"/>
    <n v="402"/>
    <d v="2012-01-16T00:00:00"/>
    <n v="402"/>
    <m/>
    <d v="2012-01-16T00:00:00"/>
    <n v="402"/>
    <d v="2012-01-18T00:00:00"/>
    <d v="2012-01-18T00:00:00"/>
    <n v="402"/>
    <n v="402"/>
    <x v="25"/>
    <d v="2012-01-24T00:00:00"/>
    <m/>
    <n v="9321671190"/>
    <n v="50"/>
    <s v="CMAU1425771"/>
    <s v="YM INTERACTION"/>
    <m/>
    <s v="SHANGHAI"/>
    <s v="FORWARDER-PROB"/>
    <m/>
    <s v="THOMAS HO"/>
    <s v="FO9"/>
    <s v="ELECTRICAL COOKING            "/>
    <s v="CONFIRMED"/>
    <n v="1"/>
    <n v="4"/>
    <d v="2012-01-24T00:00:00"/>
    <s v="KITCHEN ELECTRICS             "/>
    <s v="ELECTRICAL COOKING            "/>
    <x v="0"/>
    <x v="0"/>
    <x v="0"/>
    <s v="FORWARDER-PROB"/>
    <n v="1"/>
    <n v="1"/>
    <x v="11"/>
    <n v="1"/>
    <x v="0"/>
    <x v="0"/>
    <x v="1"/>
    <n v="0"/>
    <n v="0"/>
    <n v="0"/>
    <n v="0"/>
    <n v="0"/>
    <n v="0"/>
    <x v="1"/>
    <x v="0"/>
    <x v="1"/>
    <x v="0"/>
  </r>
  <r>
    <s v="Shipment"/>
    <n v="99005600"/>
    <s v="GROUPE SEB CHILE                                  "/>
    <n v="99005600"/>
    <x v="32"/>
    <s v="835/000001"/>
    <n v="1370148839"/>
    <n v="10"/>
    <x v="62"/>
    <x v="62"/>
    <s v="R1"/>
    <n v="8000032667"/>
    <n v="55"/>
    <s v="BY104033       "/>
    <s v="BY104033 KET PRINCIPIO 1 BIS                      "/>
    <s v="S"/>
    <d v="2012-01-18T00:00:00"/>
    <m/>
    <s v="X"/>
    <x v="69"/>
    <n v="7.43"/>
    <n v="9"/>
    <d v="2012-02-27T00:00:00"/>
    <d v="2012-01-16T00:00:00"/>
    <n v="3504"/>
    <d v="2012-01-16T00:00:00"/>
    <n v="3474"/>
    <m/>
    <d v="2012-01-16T00:00:00"/>
    <n v="3504"/>
    <d v="2012-03-02T00:00:00"/>
    <d v="2012-01-20T00:00:00"/>
    <n v="3474"/>
    <n v="3474"/>
    <x v="24"/>
    <d v="2012-02-24T00:00:00"/>
    <m/>
    <n v="9321671235"/>
    <n v="10"/>
    <s v="SUDU3680472"/>
    <s v="HAI BANG DA 88 987C/"/>
    <m/>
    <s v="YANTIAN"/>
    <s v="SP-PROD-ISSUE/C-SHORTL/T/"/>
    <m/>
    <s v="THOMAS HO"/>
    <s v="FO9"/>
    <s v="BEVERAGE                      "/>
    <s v="CONFIRMED"/>
    <n v="1"/>
    <n v="2"/>
    <d v="2012-01-13T00:00:00"/>
    <s v="KITCHEN ELECTRICS             "/>
    <s v="BREAKFAST &amp; BREVAGE PREP      "/>
    <x v="2"/>
    <x v="1"/>
    <x v="1"/>
    <m/>
    <n v="0"/>
    <n v="0"/>
    <x v="1"/>
    <n v="3"/>
    <x v="0"/>
    <x v="1"/>
    <x v="1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88/000001"/>
    <n v="1370152528"/>
    <n v="10"/>
    <x v="7"/>
    <x v="7"/>
    <s v="M1"/>
    <n v="1830004098"/>
    <n v="8"/>
    <s v="VU6555X0       "/>
    <s v="VU6555X0 TOWER FAN EOLE CRYSTAL                   "/>
    <s v="S"/>
    <d v="2012-01-28T00:00:00"/>
    <m/>
    <s v="X"/>
    <x v="70"/>
    <n v="28.25"/>
    <n v="415"/>
    <d v="2012-02-17T00:00:00"/>
    <d v="2012-01-13T00:00:00"/>
    <n v="1500"/>
    <d v="2012-01-13T00:00:00"/>
    <n v="1400"/>
    <m/>
    <d v="2012-01-13T00:00:00"/>
    <n v="1500"/>
    <d v="2012-02-21T00:00:00"/>
    <d v="2012-01-17T00:00:00"/>
    <n v="1400"/>
    <n v="1400"/>
    <x v="14"/>
    <d v="2012-02-24T00:00:00"/>
    <m/>
    <n v="9321671521"/>
    <n v="10"/>
    <s v="SUDU5584117"/>
    <s v="MONTE VERDE 203E/"/>
    <m/>
    <s v="YANTIAN"/>
    <m/>
    <m/>
    <s v="TWEETY LEUNG"/>
    <s v="FO9"/>
    <s v="HOME COMFORT                  "/>
    <s v="CONFIRMED"/>
    <n v="1"/>
    <n v="3"/>
    <d v="2012-01-20T00:00:00"/>
    <s v="LINEN PERS HOME CARE          "/>
    <s v="HOME COMFORT 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9500"/>
    <s v="SEB INTERNATIONAL SERVICE SAS                     "/>
    <n v="99009500"/>
    <x v="16"/>
    <s v="9321671088/000010"/>
    <n v="1370152496"/>
    <n v="10"/>
    <x v="84"/>
    <x v="84"/>
    <s v="K9"/>
    <n v="8000032219"/>
    <n v="118"/>
    <s v="XS5020US       "/>
    <s v="XS5020US ACCESSORY SS JUG 600ML                   "/>
    <s v="S"/>
    <d v="2012-01-27T00:00:00"/>
    <m/>
    <s v="X"/>
    <x v="70"/>
    <n v="3.28"/>
    <n v="3"/>
    <d v="2012-02-19T00:00:00"/>
    <d v="2012-01-15T00:00:00"/>
    <n v="10032"/>
    <d v="2012-01-15T00:00:00"/>
    <n v="10032"/>
    <m/>
    <d v="2012-03-05T00:00:00"/>
    <n v="10032"/>
    <d v="2012-04-09T00:00:00"/>
    <d v="2012-03-05T00:00:00"/>
    <n v="10032"/>
    <n v="4800"/>
    <x v="18"/>
    <d v="2012-02-03T00:00:00"/>
    <m/>
    <n v="9321671523"/>
    <n v="10"/>
    <m/>
    <s v="CLEMENTINE MAERSK"/>
    <m/>
    <s v="By Air 7 days"/>
    <s v="SP-HOLIDAY/"/>
    <m/>
    <s v="VERA YUNG, CANDY CHAN"/>
    <s v="FO9"/>
    <s v="BEVERAGE                      "/>
    <s v="CONFIRMED"/>
    <n v="1"/>
    <n v="4"/>
    <d v="2012-01-27T00:00:00"/>
    <s v="KITCHEN ELECTRICS             "/>
    <s v="BREAKFAST &amp; BREVAGE PREP      "/>
    <x v="2"/>
    <x v="1"/>
    <x v="7"/>
    <s v="SP-HOLIDAY"/>
    <n v="-3"/>
    <n v="-3"/>
    <x v="6"/>
    <n v="1"/>
    <x v="0"/>
    <x v="0"/>
    <x v="1"/>
    <n v="1"/>
    <n v="0"/>
    <n v="0"/>
    <n v="0"/>
    <n v="0"/>
    <n v="0"/>
    <x v="0"/>
    <x v="1"/>
    <x v="1"/>
    <x v="0"/>
  </r>
  <r>
    <s v="Shipment"/>
    <n v="99003600"/>
    <s v="GROUPE SEB ISTANBUL EV ALETLERI                   "/>
    <n v="99003600"/>
    <x v="13"/>
    <s v="4500264686/000010"/>
    <n v="1370152531"/>
    <n v="10"/>
    <x v="8"/>
    <x v="8"/>
    <s v="L4"/>
    <n v="1830003983"/>
    <n v="175"/>
    <s v="CF9022E0       "/>
    <s v="CF9022E0 BRUSH ACTIV'' 700W                       "/>
    <s v="S"/>
    <d v="2012-02-01T00:00:00"/>
    <m/>
    <s v="X"/>
    <x v="70"/>
    <n v="12.58"/>
    <n v="27"/>
    <d v="2012-02-22T00:00:00"/>
    <d v="2012-01-18T00:00:00"/>
    <n v="2502"/>
    <d v="2012-01-27T00:00:00"/>
    <n v="2502"/>
    <m/>
    <d v="2012-01-20T00:00:00"/>
    <n v="2502"/>
    <d v="2012-03-02T00:00:00"/>
    <d v="2012-01-27T00:00:00"/>
    <n v="2502"/>
    <n v="2502"/>
    <x v="18"/>
    <d v="2012-03-02T00:00:00"/>
    <m/>
    <n v="9321671597"/>
    <n v="10"/>
    <s v="MSKU7821533"/>
    <s v="NEDLLOYD BARENTSZ/12"/>
    <m/>
    <s v="YANTIAN"/>
    <s v="CONS-SHIPT/"/>
    <m/>
    <s v="KENUS WONG"/>
    <s v="FO9"/>
    <s v="PERSONAL CARE                 "/>
    <s v="CONFIRMED"/>
    <n v="1"/>
    <n v="4"/>
    <d v="2012-01-27T00:00:00"/>
    <s v="LINEN PERS HOME CARE          "/>
    <s v="PERSONAL CARE                 "/>
    <x v="4"/>
    <x v="1"/>
    <x v="10"/>
    <s v="CONS-SHIPT"/>
    <n v="-3"/>
    <n v="-3"/>
    <x v="8"/>
    <n v="1"/>
    <x v="0"/>
    <x v="0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4590/000010"/>
    <n v="1370152346"/>
    <n v="10"/>
    <x v="38"/>
    <x v="38"/>
    <s v="L4"/>
    <n v="1830002709"/>
    <n v="76"/>
    <s v="TN1050F0       "/>
    <s v="TN1050F0 HAIR CLIPPER DRIVER                      "/>
    <s v="S"/>
    <d v="2012-01-29T00:00:00"/>
    <m/>
    <s v="X"/>
    <x v="70"/>
    <n v="6.23"/>
    <n v="13"/>
    <d v="2012-02-22T00:00:00"/>
    <d v="2012-01-18T00:00:00"/>
    <n v="3000"/>
    <d v="2012-01-18T00:00:00"/>
    <n v="3000"/>
    <m/>
    <d v="2012-01-18T00:00:00"/>
    <n v="3000"/>
    <d v="2012-02-26T00:00:00"/>
    <d v="2012-01-22T00:00:00"/>
    <n v="3000"/>
    <n v="3000"/>
    <x v="4"/>
    <d v="2012-02-26T00:00:00"/>
    <m/>
    <n v="9321671598"/>
    <n v="10"/>
    <s v="PONU1446986"/>
    <s v="CMA CGM CORNEILLE/81"/>
    <m/>
    <s v="YANTIAN"/>
    <s v="CONS-SHIPT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4583/000010"/>
    <n v="1370152355"/>
    <n v="10"/>
    <x v="17"/>
    <x v="17"/>
    <s v="L4"/>
    <n v="1830003834"/>
    <n v="175"/>
    <s v="CF8212F0       "/>
    <s v="CF8212F0 HAIR BRUSH 1200W                         "/>
    <s v="S"/>
    <d v="2012-01-18T00:00:00"/>
    <m/>
    <s v="X"/>
    <x v="70"/>
    <n v="8.43"/>
    <n v="17"/>
    <d v="2012-02-22T00:00:00"/>
    <d v="2012-01-18T00:00:00"/>
    <n v="3000"/>
    <d v="2012-01-18T00:00:00"/>
    <n v="3000"/>
    <m/>
    <d v="2012-01-18T00:00:00"/>
    <n v="3000"/>
    <d v="2012-02-19T00:00:00"/>
    <d v="2012-01-15T00:00:00"/>
    <n v="3000"/>
    <n v="3000"/>
    <x v="8"/>
    <d v="2012-02-20T00:00:00"/>
    <m/>
    <n v="9321671600"/>
    <n v="10"/>
    <s v="MRKU8232644"/>
    <s v="MAERSK KINLOSS/1202"/>
    <m/>
    <s v="HONG KONG"/>
    <s v="C-SHORTL/T"/>
    <m/>
    <s v="KENUS WONG"/>
    <s v="FO9"/>
    <s v="PERSONAL CARE                 "/>
    <s v="CONFIRMED"/>
    <n v="1"/>
    <n v="3"/>
    <d v="2012-01-16T00:00:00"/>
    <s v="LINEN PERS HOME CARE          "/>
    <s v="PERSONAL CARE                 "/>
    <x v="3"/>
    <x v="2"/>
    <x v="1"/>
    <m/>
    <n v="0"/>
    <n v="0"/>
    <x v="1"/>
    <n v="2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4586/000010"/>
    <n v="1370152350"/>
    <n v="10"/>
    <x v="46"/>
    <x v="46"/>
    <s v="L4"/>
    <n v="1830001512"/>
    <n v="175"/>
    <s v="CF2002E0       "/>
    <s v="CF2002E0 CURLING IRON STRUCTURE                   "/>
    <s v="S"/>
    <d v="2012-01-29T00:00:00"/>
    <m/>
    <s v="X"/>
    <x v="70"/>
    <n v="3.14"/>
    <n v="6"/>
    <d v="2012-02-22T00:00:00"/>
    <d v="2012-01-18T00:00:00"/>
    <n v="3000"/>
    <d v="2012-01-16T00:00:00"/>
    <n v="3000"/>
    <m/>
    <d v="2012-01-18T00:00:00"/>
    <n v="3000"/>
    <d v="2012-02-26T00:00:00"/>
    <d v="2012-01-22T00:00:00"/>
    <n v="3000"/>
    <n v="3000"/>
    <x v="4"/>
    <d v="2012-02-26T00:00:00"/>
    <m/>
    <n v="9321671605"/>
    <n v="10"/>
    <s v="PONU1446986"/>
    <s v="CMA CGM CORNEILLE/81"/>
    <m/>
    <s v="YANTIAN"/>
    <s v="CONS-SHIPT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4668/000010"/>
    <n v="1370152530"/>
    <n v="10"/>
    <x v="40"/>
    <x v="40"/>
    <s v="L4"/>
    <n v="1830003967"/>
    <n v="131"/>
    <s v="SF6020E0       "/>
    <s v="SF6020E0 STRAIGHTENER ULTIMATE STYLER             "/>
    <s v="S"/>
    <d v="2012-01-29T00:00:00"/>
    <m/>
    <s v="X"/>
    <x v="70"/>
    <n v="12.97"/>
    <n v="28"/>
    <d v="2012-02-22T00:00:00"/>
    <d v="2012-01-18T00:00:00"/>
    <n v="3000"/>
    <d v="2012-01-22T00:00:00"/>
    <n v="3000"/>
    <m/>
    <d v="2012-01-18T00:00:00"/>
    <n v="3000"/>
    <d v="2012-02-26T00:00:00"/>
    <d v="2012-01-22T00:00:00"/>
    <n v="3000"/>
    <n v="3000"/>
    <x v="4"/>
    <d v="2012-02-26T00:00:00"/>
    <m/>
    <n v="9321671609"/>
    <n v="10"/>
    <s v="MRKU8242160"/>
    <s v="CMA CGM CORNEILLE/81"/>
    <m/>
    <s v="YANTIAN"/>
    <s v="CONS-SHIPT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70096/000010"/>
    <n v="1370152254"/>
    <n v="10"/>
    <x v="8"/>
    <x v="8"/>
    <s v="K9"/>
    <n v="8000033968"/>
    <n v="38"/>
    <s v="KP100940       "/>
    <s v="KP100940 NDG PICCOLO TIT UK                       "/>
    <s v="S"/>
    <d v="2012-01-12T00:00:00"/>
    <m/>
    <s v="X"/>
    <x v="70"/>
    <n v="37.340000000000003"/>
    <n v="42"/>
    <d v="2012-01-18T00:00:00"/>
    <d v="2012-01-17T00:00:00"/>
    <n v="1040"/>
    <d v="2012-01-17T00:00:00"/>
    <n v="1040"/>
    <m/>
    <d v="2012-01-13T00:00:00"/>
    <n v="1040"/>
    <d v="2012-01-14T00:00:00"/>
    <d v="2012-01-13T00:00:00"/>
    <n v="1040"/>
    <n v="1040"/>
    <x v="5"/>
    <d v="2012-01-11T00:00:00"/>
    <m/>
    <n v="9321671616"/>
    <n v="10"/>
    <s v="BY TRUCK"/>
    <s v="BY TRUCK"/>
    <m/>
    <s v="YANTIAN"/>
    <s v="UNLOAD JAN10 2012"/>
    <m/>
    <s v="ZANDRA LAM"/>
    <s v="FO9"/>
    <s v="BEVERAGE                      "/>
    <s v="CONFIRMED"/>
    <n v="1"/>
    <n v="2"/>
    <d v="2012-01-10T00:00:00"/>
    <s v="KITCHEN ELECTRICS             "/>
    <s v="BREAKFAST &amp; BREVAGE PREP      "/>
    <x v="4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3500"/>
    <s v="G.S.E.B. MEXICANA  S.A. DE C.V.                   "/>
    <n v="99003500"/>
    <x v="19"/>
    <s v="37350985/000001"/>
    <n v="1370152251"/>
    <n v="10"/>
    <x v="79"/>
    <x v="79"/>
    <s v="N3"/>
    <n v="1500578147"/>
    <n v="53"/>
    <n v="578147"/>
    <s v="OF160850 OVEN QUARZTECH 9L BLK MX                 "/>
    <s v="S"/>
    <d v="2012-01-30T00:00:00"/>
    <m/>
    <s v="X"/>
    <x v="70"/>
    <n v="15.09"/>
    <n v="230"/>
    <d v="2012-03-12T00:00:00"/>
    <d v="2012-02-06T00:00:00"/>
    <n v="1861"/>
    <d v="2012-01-16T00:00:00"/>
    <n v="1861"/>
    <m/>
    <d v="2012-02-10T00:00:00"/>
    <n v="1861"/>
    <d v="2012-02-22T00:00:00"/>
    <d v="2012-01-18T00:00:00"/>
    <n v="1861"/>
    <n v="1861"/>
    <x v="22"/>
    <d v="2012-02-23T00:00:00"/>
    <m/>
    <n v="9321671713"/>
    <n v="10"/>
    <s v="SUDU5923020"/>
    <s v="ZHI HANG 898 120119/"/>
    <m/>
    <s v="SHUNDE"/>
    <s v="C-PULLIN-CONF/"/>
    <m/>
    <s v="TWEETY LEUNG"/>
    <s v="FO9"/>
    <s v="ELECTRICAL COOKING            "/>
    <s v="CONFIRMED"/>
    <n v="1"/>
    <n v="3"/>
    <d v="2012-01-19T00:00:00"/>
    <s v="KITCHEN ELECTRICS             "/>
    <s v="ELECTRICAL COOKING            "/>
    <x v="4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018/000010"/>
    <n v="1370152279"/>
    <n v="10"/>
    <x v="24"/>
    <x v="24"/>
    <s v="N1"/>
    <n v="2100068772"/>
    <n v="52"/>
    <s v="SM180811       "/>
    <s v="SM180811 SDW U.C ACCESSIMO BLK EUR                "/>
    <s v="S"/>
    <d v="2012-02-02T00:00:00"/>
    <m/>
    <s v="X"/>
    <x v="70"/>
    <n v="8.36"/>
    <n v="7"/>
    <d v="2012-02-19T00:00:00"/>
    <d v="2012-01-15T00:00:00"/>
    <n v="2940"/>
    <d v="2012-01-15T00:00:00"/>
    <n v="2940"/>
    <m/>
    <d v="2012-01-15T00:00:00"/>
    <n v="2940"/>
    <d v="2012-02-26T00:00:00"/>
    <d v="2012-01-22T00:00:00"/>
    <n v="2940"/>
    <n v="2940"/>
    <x v="4"/>
    <d v="2012-02-26T00:00:00"/>
    <m/>
    <n v="9321671776"/>
    <n v="10"/>
    <s v="MSKU7567156"/>
    <s v="CMA CGM CORTE REAL 1"/>
    <m/>
    <s v="NINGBO"/>
    <m/>
    <m/>
    <s v="JASON FAN"/>
    <s v="FO9"/>
    <s v="ELECTRICAL COOKING            "/>
    <s v="CONFIRMED"/>
    <n v="1"/>
    <n v="3"/>
    <d v="2012-01-22T00:00:00"/>
    <s v="KITCHEN ELECTRICS             "/>
    <s v="ELECTRICAL COOKING      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4563/000010"/>
    <n v="1370152400"/>
    <n v="10"/>
    <x v="7"/>
    <x v="7"/>
    <s v="M1"/>
    <n v="1830004099"/>
    <n v="8"/>
    <s v="VU5140F0       "/>
    <s v="VU5140F0 STAND FAN CLASSIC                        "/>
    <s v="S"/>
    <d v="2012-01-29T00:00:00"/>
    <m/>
    <s v="X"/>
    <x v="70"/>
    <n v="20.09"/>
    <n v="17"/>
    <d v="2012-02-20T00:00:00"/>
    <d v="2012-01-16T00:00:00"/>
    <n v="1150"/>
    <d v="2012-01-16T00:00:00"/>
    <n v="1150"/>
    <m/>
    <d v="2012-01-16T00:00:00"/>
    <n v="1150"/>
    <d v="2012-02-27T00:00:00"/>
    <d v="2012-01-23T00:00:00"/>
    <n v="1150"/>
    <n v="1150"/>
    <x v="1"/>
    <d v="2012-02-27T00:00:00"/>
    <m/>
    <n v="9321671801"/>
    <n v="10"/>
    <s v="MOTU0522503"/>
    <s v="HYUNDAI NAVARINO/006"/>
    <m/>
    <s v="YANTIAN"/>
    <m/>
    <m/>
    <s v="AGNES NUNES"/>
    <s v="FO9"/>
    <s v="HOME COMFORT                  "/>
    <s v="CONFIRMED"/>
    <n v="1"/>
    <n v="4"/>
    <d v="2012-01-23T00:00:00"/>
    <s v="LINEN PERS HOME CARE          "/>
    <s v="HOME COMFORT 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827/000010"/>
    <n v="1370152276"/>
    <n v="10"/>
    <x v="18"/>
    <x v="18"/>
    <s v="M5"/>
    <n v="2210016780"/>
    <n v="160"/>
    <s v="RO529501       "/>
    <s v="RO529501 VAC CLEANER COMPACTEO ERGO               "/>
    <s v="S"/>
    <d v="2012-01-19T00:00:00"/>
    <m/>
    <s v="X"/>
    <x v="70"/>
    <n v="32.01"/>
    <n v="27"/>
    <d v="2012-02-17T00:00:00"/>
    <d v="2012-01-13T00:00:00"/>
    <n v="690"/>
    <d v="2012-01-13T00:00:00"/>
    <n v="690"/>
    <m/>
    <d v="2012-01-16T00:00:00"/>
    <n v="690"/>
    <d v="2012-02-21T00:00:00"/>
    <d v="2012-01-17T00:00:00"/>
    <n v="690"/>
    <n v="690"/>
    <x v="19"/>
    <d v="2012-02-21T00:00:00"/>
    <m/>
    <n v="9321671893"/>
    <n v="10"/>
    <s v="PONU1538974"/>
    <s v="MAERSK EINDHOVEN 120"/>
    <m/>
    <s v="SHANGHAI"/>
    <s v="BU-ETD-TEMP/"/>
    <m/>
    <s v="JASON FAN"/>
    <s v="FO9"/>
    <s v="HOME CLEANING                 "/>
    <s v="CONFIRMED"/>
    <n v="1"/>
    <n v="3"/>
    <d v="2012-01-17T00:00:00"/>
    <s v="HOME CLEANING                 "/>
    <s v="HOME CLEANING                 "/>
    <x v="6"/>
    <x v="2"/>
    <x v="4"/>
    <s v="BU-ETD-TEMP"/>
    <n v="-3"/>
    <n v="-3"/>
    <x v="3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826/000010"/>
    <n v="1370152309"/>
    <n v="10"/>
    <x v="18"/>
    <x v="18"/>
    <s v="M5"/>
    <n v="2210016778"/>
    <n v="160"/>
    <s v="RO525301       "/>
    <s v="RO525301 VAC CLEANER COMPACTEO ERGO               "/>
    <s v="S"/>
    <d v="2012-01-19T00:00:00"/>
    <m/>
    <s v="X"/>
    <x v="70"/>
    <n v="28.5"/>
    <n v="24"/>
    <d v="2012-01-13T00:00:00"/>
    <d v="2012-01-13T00:00:00"/>
    <n v="690"/>
    <d v="2012-01-13T00:00:00"/>
    <n v="690"/>
    <m/>
    <d v="2012-01-16T00:00:00"/>
    <n v="690"/>
    <d v="2012-01-17T00:00:00"/>
    <d v="2012-01-17T00:00:00"/>
    <n v="690"/>
    <n v="690"/>
    <x v="19"/>
    <d v="2012-01-17T00:00:00"/>
    <m/>
    <n v="9321671894"/>
    <n v="10"/>
    <s v="PONU1538974"/>
    <s v="MAERSK EINDHOVEN 120"/>
    <m/>
    <m/>
    <s v="BU-ETD-TEMP/"/>
    <m/>
    <s v="JASON FAN"/>
    <s v="FO9"/>
    <s v="HOME CLEANING                 "/>
    <s v="CONFIRMED"/>
    <n v="1"/>
    <n v="3"/>
    <d v="2012-01-17T00:00:00"/>
    <s v="HOME CLEANING                 "/>
    <s v="HOME CLEANING                 "/>
    <x v="6"/>
    <x v="2"/>
    <x v="4"/>
    <s v="BU-ETD-TEMP"/>
    <n v="-3"/>
    <n v="-3"/>
    <x v="3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828/000010"/>
    <n v="1370152278"/>
    <n v="10"/>
    <x v="18"/>
    <x v="18"/>
    <s v="M5"/>
    <n v="2210016784"/>
    <n v="161"/>
    <s v="RO535301       "/>
    <s v="RO535301 VAC CLEANER COMPACTEO ERGO CYCL          "/>
    <s v="S"/>
    <d v="2012-01-19T00:00:00"/>
    <m/>
    <s v="X"/>
    <x v="70"/>
    <n v="33.340000000000003"/>
    <n v="28"/>
    <d v="2012-02-17T00:00:00"/>
    <d v="2012-01-13T00:00:00"/>
    <n v="690"/>
    <d v="2012-01-13T00:00:00"/>
    <n v="690"/>
    <m/>
    <d v="2012-01-16T00:00:00"/>
    <n v="690"/>
    <d v="2012-02-20T00:00:00"/>
    <d v="2012-01-16T00:00:00"/>
    <n v="690"/>
    <n v="690"/>
    <x v="19"/>
    <d v="2012-02-21T00:00:00"/>
    <m/>
    <n v="9321671896"/>
    <n v="10"/>
    <s v="MFTU4114564"/>
    <s v="MAERSK EINDHOVEN 120"/>
    <m/>
    <s v="SHANGHAI"/>
    <s v="BU-ETD-TEMP/"/>
    <m/>
    <s v="JASON FAN"/>
    <s v="FO9"/>
    <s v="HOME CLEANING                 "/>
    <s v="CONFIRMED"/>
    <n v="1"/>
    <n v="3"/>
    <d v="2012-01-17T00:00:00"/>
    <s v="HOME CLEANING                 "/>
    <s v="HOME CLEANING                 "/>
    <x v="6"/>
    <x v="2"/>
    <x v="4"/>
    <s v="BU-ETD-TEMP"/>
    <n v="-3"/>
    <n v="-3"/>
    <x v="3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829/000010"/>
    <n v="1370152292"/>
    <n v="10"/>
    <x v="18"/>
    <x v="18"/>
    <s v="M5"/>
    <n v="2210016786"/>
    <n v="161"/>
    <s v="RO539601       "/>
    <s v="RO539601 VAC CLEANER COMPACTEO ERGO CYCL          "/>
    <s v="S"/>
    <d v="2012-01-19T00:00:00"/>
    <m/>
    <s v="X"/>
    <x v="70"/>
    <n v="35.85"/>
    <n v="30"/>
    <d v="2012-02-17T00:00:00"/>
    <d v="2012-01-13T00:00:00"/>
    <n v="690"/>
    <d v="2012-01-13T00:00:00"/>
    <n v="690"/>
    <m/>
    <d v="2012-01-16T00:00:00"/>
    <n v="690"/>
    <d v="2012-02-20T00:00:00"/>
    <d v="2012-01-16T00:00:00"/>
    <n v="690"/>
    <n v="690"/>
    <x v="19"/>
    <d v="2012-02-21T00:00:00"/>
    <m/>
    <n v="9321671921"/>
    <n v="10"/>
    <s v="MFTU4114564"/>
    <s v="MAERSK EINDHOVEN 120"/>
    <m/>
    <s v="SHANGHAI"/>
    <s v="BU-ETD-TEMP/"/>
    <m/>
    <s v="JASON FAN"/>
    <s v="FO9"/>
    <s v="HOME CLEANING                 "/>
    <s v="CONFIRMED"/>
    <n v="1"/>
    <n v="3"/>
    <d v="2012-01-17T00:00:00"/>
    <s v="HOME CLEANING                 "/>
    <s v="HOME CLEANING                 "/>
    <x v="6"/>
    <x v="2"/>
    <x v="4"/>
    <s v="BU-ETD-TEMP"/>
    <n v="-3"/>
    <n v="-3"/>
    <x v="3"/>
    <n v="1"/>
    <x v="0"/>
    <x v="1"/>
    <x v="1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35/HKG?/"/>
    <n v="1370152558"/>
    <n v="10"/>
    <x v="30"/>
    <x v="30"/>
    <s v="N4"/>
    <n v="7211000660"/>
    <n v="39"/>
    <n v="211000660"/>
    <s v="RK702170 RC FUZZY ELECTRONIC 1L WHT HK            "/>
    <s v="S"/>
    <d v="2012-01-11T00:00:00"/>
    <m/>
    <s v="X"/>
    <x v="70"/>
    <n v="26.567599999999999"/>
    <n v="27"/>
    <d v="2012-01-11T00:00:00"/>
    <d v="2012-01-11T00:00:00"/>
    <n v="912"/>
    <d v="2012-01-11T00:00:00"/>
    <n v="912"/>
    <m/>
    <d v="2012-01-11T00:00:00"/>
    <n v="912"/>
    <d v="2012-01-11T00:00:00"/>
    <d v="2012-01-11T00:00:00"/>
    <n v="912"/>
    <n v="912"/>
    <x v="5"/>
    <d v="2012-01-10T00:00:00"/>
    <m/>
    <n v="9321671946"/>
    <n v="10"/>
    <s v="OOLU7794867"/>
    <s v="COSCO THAILAND"/>
    <m/>
    <s v="NINGBO"/>
    <m/>
    <m/>
    <s v="THOMAS HO"/>
    <s v="FO9"/>
    <s v="ELECTRICAL COOKING            "/>
    <s v="CONFIRMED"/>
    <n v="1"/>
    <n v="2"/>
    <d v="2012-01-10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35/HKG?/"/>
    <n v="1370152558"/>
    <n v="20"/>
    <x v="30"/>
    <x v="30"/>
    <s v="N4"/>
    <n v="7211000661"/>
    <n v="39"/>
    <n v="211000661"/>
    <s v="RK703170 RC FUZZY ELECTRONIC 18L WHT HK           "/>
    <s v="S"/>
    <d v="2012-01-11T00:00:00"/>
    <m/>
    <s v="X"/>
    <x v="70"/>
    <n v="29.368600000000001"/>
    <n v="27"/>
    <d v="2012-01-11T00:00:00"/>
    <d v="2012-01-11T00:00:00"/>
    <n v="720"/>
    <d v="2012-01-11T00:00:00"/>
    <n v="720"/>
    <m/>
    <d v="2012-01-11T00:00:00"/>
    <n v="720"/>
    <d v="2012-01-11T00:00:00"/>
    <d v="2012-01-11T00:00:00"/>
    <n v="720"/>
    <n v="720"/>
    <x v="5"/>
    <d v="2012-01-10T00:00:00"/>
    <m/>
    <n v="9321671946"/>
    <n v="20"/>
    <s v="OOLU7794867"/>
    <s v="COSCO THAILAND"/>
    <m/>
    <s v="NINGBO"/>
    <m/>
    <m/>
    <s v="THOMAS HO"/>
    <s v="FO9"/>
    <s v="ELECTRICAL COOKING            "/>
    <s v="CONFIRMED"/>
    <n v="1"/>
    <n v="2"/>
    <d v="2012-01-10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64194/000010"/>
    <n v="1370152325"/>
    <n v="10"/>
    <x v="22"/>
    <x v="22"/>
    <s v="R2"/>
    <n v="7211000871"/>
    <n v="55"/>
    <n v="211000871"/>
    <s v="BI812510 KET MINI 0.8L SS BLK FR                  "/>
    <s v="S"/>
    <d v="2012-01-29T00:00:00"/>
    <m/>
    <s v="X"/>
    <x v="71"/>
    <n v="15.7361"/>
    <n v="12"/>
    <d v="2012-02-20T00:00:00"/>
    <d v="2012-01-16T00:00:00"/>
    <n v="2898"/>
    <d v="2012-01-16T00:00:00"/>
    <n v="2898"/>
    <m/>
    <d v="2012-01-23T00:00:00"/>
    <n v="2898"/>
    <d v="2012-02-26T00:00:00"/>
    <d v="2012-01-22T00:00:00"/>
    <n v="2898"/>
    <n v="2898"/>
    <x v="26"/>
    <d v="2012-02-25T00:00:00"/>
    <m/>
    <n v="9321672437"/>
    <n v="10"/>
    <s v="APZU3118038"/>
    <s v="APL NINGBO/010W"/>
    <m/>
    <s v="NINGBO"/>
    <m/>
    <m/>
    <s v="AGNES NUNES"/>
    <s v="FO9"/>
    <s v="BEVERAGE                      "/>
    <s v="CONFIRMED"/>
    <n v="1"/>
    <n v="3"/>
    <d v="2012-01-21T00:00:00"/>
    <s v="KITCHEN ELECTRICS             "/>
    <s v="BREAKFAST &amp; BREVAGE PREP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34/HKG/"/>
    <n v="1370152722"/>
    <n v="10"/>
    <x v="6"/>
    <x v="6"/>
    <s v="N3"/>
    <n v="1500578014"/>
    <n v="53"/>
    <n v="578014"/>
    <s v="OF180270 OVEN UNO XL TURNSPIT +CV SILV H          "/>
    <s v="S"/>
    <d v="2012-01-19T00:00:00"/>
    <m/>
    <s v="X"/>
    <x v="71"/>
    <n v="49.87"/>
    <n v="57"/>
    <d v="2012-01-16T00:00:00"/>
    <d v="2012-01-16T00:00:00"/>
    <n v="200"/>
    <d v="2012-01-16T00:00:00"/>
    <n v="200"/>
    <m/>
    <m/>
    <m/>
    <d v="2012-01-18T00:00:00"/>
    <d v="2012-01-18T00:00:00"/>
    <n v="200"/>
    <n v="200"/>
    <x v="21"/>
    <d v="2012-01-18T00:00:00"/>
    <m/>
    <n v="9321672499"/>
    <n v="10"/>
    <s v="IMTU1064325"/>
    <s v="WANGFOONG 10"/>
    <m/>
    <s v="ZHUHAI"/>
    <m/>
    <m/>
    <s v="THOMAS HO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0"/>
    <n v="1"/>
    <n v="0"/>
    <n v="0"/>
    <n v="1"/>
    <x v="0"/>
    <x v="0"/>
    <x v="1"/>
    <x v="1"/>
  </r>
  <r>
    <s v="Shipment"/>
    <n v="99003700"/>
    <s v="SEB ASIA LTD                                      "/>
    <n v="99003700"/>
    <x v="7"/>
    <s v="SAS-10-332/HKG/"/>
    <n v="1370152723"/>
    <n v="10"/>
    <x v="6"/>
    <x v="6"/>
    <s v="N3"/>
    <n v="1500577909"/>
    <n v="53"/>
    <n v="577909"/>
    <s v="OF265870 OVEN DELICE 24L CV BLK HK                "/>
    <s v="S"/>
    <d v="2012-01-19T00:00:00"/>
    <m/>
    <s v="X"/>
    <x v="71"/>
    <n v="51.48"/>
    <n v="55"/>
    <d v="2012-01-16T00:00:00"/>
    <d v="2012-01-16T00:00:00"/>
    <n v="240"/>
    <d v="2012-01-16T00:00:00"/>
    <n v="240"/>
    <m/>
    <m/>
    <m/>
    <d v="2012-01-16T00:00:00"/>
    <d v="2012-01-16T00:00:00"/>
    <n v="240"/>
    <n v="240"/>
    <x v="21"/>
    <d v="2012-01-18T00:00:00"/>
    <m/>
    <n v="9321672500"/>
    <n v="10"/>
    <s v="IMTU1064325"/>
    <s v="WANGFOONG 10"/>
    <m/>
    <s v="ZHUHAI"/>
    <m/>
    <m/>
    <s v="THOMAS HO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0"/>
    <n v="1"/>
    <n v="0"/>
    <n v="0"/>
    <n v="1"/>
    <x v="0"/>
    <x v="0"/>
    <x v="1"/>
    <x v="1"/>
  </r>
  <r>
    <s v="Shipment"/>
    <n v="99003700"/>
    <s v="SEB ASIA LTD                                      "/>
    <n v="99003700"/>
    <x v="7"/>
    <s v="SAS-10-336/HKG/"/>
    <n v="1370152726"/>
    <n v="10"/>
    <x v="25"/>
    <x v="25"/>
    <s v="R1"/>
    <n v="1500573411"/>
    <n v="23"/>
    <n v="573411"/>
    <s v="TT356171 TOAS EXPRESS 3S BL/CHB HK/SG             "/>
    <s v="S"/>
    <d v="2012-01-17T00:00:00"/>
    <m/>
    <s v="X"/>
    <x v="71"/>
    <n v="10.77"/>
    <n v="11"/>
    <d v="2012-01-14T00:00:00"/>
    <d v="2012-01-14T00:00:00"/>
    <n v="1152"/>
    <d v="2012-01-14T00:00:00"/>
    <n v="1152"/>
    <m/>
    <m/>
    <m/>
    <d v="2012-01-14T00:00:00"/>
    <d v="2012-01-14T00:00:00"/>
    <n v="1152"/>
    <n v="1152"/>
    <x v="8"/>
    <d v="2012-01-16T00:00:00"/>
    <m/>
    <n v="9321672599"/>
    <n v="10"/>
    <s v="TRUCK"/>
    <s v="LOCAL DELIVERY"/>
    <m/>
    <s v="YANTIAN"/>
    <s v="C-SHORTL/T"/>
    <m/>
    <s v="THOMAS HO"/>
    <s v="FO9"/>
    <s v="BEVERAGE                      "/>
    <s v="CONFIRMED"/>
    <n v="1"/>
    <n v="3"/>
    <d v="2012-01-16T00:00:00"/>
    <s v="KITCHEN ELECTRICS             "/>
    <s v="BREAKFAST &amp; BREVAGE PREP      "/>
    <x v="4"/>
    <x v="1"/>
    <x v="1"/>
    <m/>
    <n v="0"/>
    <n v="0"/>
    <x v="1"/>
    <n v="2"/>
    <x v="0"/>
    <x v="1"/>
    <x v="1"/>
    <n v="0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8958/000010"/>
    <n v="1370152391"/>
    <n v="10"/>
    <x v="6"/>
    <x v="6"/>
    <s v="N3"/>
    <n v="1500577901"/>
    <n v="53"/>
    <n v="577901"/>
    <s v="OF244800 OVEN DELICE COMP.CONV 18L BLK F          "/>
    <s v="S"/>
    <d v="2012-01-27T00:00:00"/>
    <m/>
    <s v="X"/>
    <x v="71"/>
    <n v="38.24"/>
    <n v="33"/>
    <d v="2012-02-24T00:00:00"/>
    <d v="2012-01-20T00:00:00"/>
    <n v="672"/>
    <d v="2012-01-20T00:00:00"/>
    <n v="672"/>
    <m/>
    <d v="2012-01-21T00:00:00"/>
    <n v="672"/>
    <d v="2012-02-25T00:00:00"/>
    <d v="2012-01-21T00:00:00"/>
    <n v="672"/>
    <n v="672"/>
    <x v="14"/>
    <d v="2012-02-24T00:00:00"/>
    <m/>
    <n v="9321672621"/>
    <n v="10"/>
    <s v="TRLU7321822"/>
    <s v="ZHONG HANG 930"/>
    <m/>
    <s v="ZHUHAI"/>
    <m/>
    <m/>
    <s v="JASON FAN"/>
    <s v="FO9"/>
    <s v="ELECTRICAL COOKING            "/>
    <s v="CONFIRMED"/>
    <n v="1"/>
    <n v="3"/>
    <d v="2012-01-20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3752/000010"/>
    <n v="1370151561"/>
    <n v="10"/>
    <x v="11"/>
    <x v="11"/>
    <s v="J4"/>
    <n v="1830003234"/>
    <n v="1"/>
    <s v="IM1210E0       "/>
    <s v="IM1210E0 STEAM IRON INICIO                        "/>
    <s v="S"/>
    <d v="2012-01-12T00:00:00"/>
    <m/>
    <s v="X"/>
    <x v="71"/>
    <n v="7.2"/>
    <n v="45"/>
    <d v="2012-02-04T00:00:00"/>
    <d v="2011-12-31T00:00:00"/>
    <n v="2160"/>
    <d v="2011-12-31T00:00:00"/>
    <n v="2160"/>
    <m/>
    <d v="2011-12-31T00:00:00"/>
    <n v="2160"/>
    <d v="2012-02-11T00:00:00"/>
    <d v="2012-01-07T00:00:00"/>
    <n v="2160"/>
    <n v="2160"/>
    <x v="12"/>
    <d v="2012-02-11T00:00:00"/>
    <m/>
    <n v="9321672631"/>
    <n v="10"/>
    <s v="TRLU8624016"/>
    <s v="COSCO GERMANY/037W"/>
    <m/>
    <s v="XIAMEN"/>
    <m/>
    <m/>
    <s v="KENUS WONG"/>
    <s v="FO9"/>
    <s v="LINEN CARE                    "/>
    <s v="CONFIRMED"/>
    <n v="1"/>
    <n v="1"/>
    <d v="2012-01-07T00:00:00"/>
    <s v="LINEN PERS HOME CARE          "/>
    <s v="LINEN CARE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33/HKG/"/>
    <n v="1370152728"/>
    <n v="10"/>
    <x v="33"/>
    <x v="33"/>
    <s v="N3"/>
    <n v="1500577912"/>
    <n v="53"/>
    <n v="577912"/>
    <s v="OF273170 OVEN DELICE 30L WHT JKQ                  "/>
    <s v="S"/>
    <d v="2012-01-10T00:00:00"/>
    <m/>
    <s v="X"/>
    <x v="71"/>
    <n v="60.42"/>
    <n v="65"/>
    <d v="2012-01-17T00:00:00"/>
    <d v="2012-01-17T00:00:00"/>
    <n v="258"/>
    <d v="2012-01-09T00:00:00"/>
    <n v="258"/>
    <m/>
    <m/>
    <m/>
    <d v="2012-01-09T00:00:00"/>
    <d v="2012-01-09T00:00:00"/>
    <n v="258"/>
    <n v="258"/>
    <x v="0"/>
    <d v="2012-01-09T00:00:00"/>
    <m/>
    <n v="9321672636"/>
    <n v="10"/>
    <s v="TRUCK"/>
    <s v="LOCAL DELIVERY"/>
    <m/>
    <s v="ZHUHAI"/>
    <s v="C-PULLIN-CONF/"/>
    <m/>
    <s v="THOMAS HO"/>
    <s v="FO9"/>
    <s v="ELECTRICAL COOKING            "/>
    <s v="CONFIRMED"/>
    <n v="1"/>
    <n v="2"/>
    <d v="2012-01-09T00:00:00"/>
    <s v="KITCHEN ELECTRICS             "/>
    <s v="ELECTRICAL COOKING            "/>
    <x v="1"/>
    <x v="1"/>
    <x v="1"/>
    <m/>
    <n v="0"/>
    <n v="0"/>
    <x v="1"/>
    <n v="1"/>
    <x v="0"/>
    <x v="0"/>
    <x v="1"/>
    <n v="0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16627/000010"/>
    <n v="1370139357"/>
    <n v="10"/>
    <x v="0"/>
    <x v="0"/>
    <s v="A1"/>
    <n v="2100052289"/>
    <n v="205"/>
    <n v="115001485"/>
    <s v="A8342465 COOKNSTRAIN SS 3QT SP ALL OTHER          "/>
    <s v="S"/>
    <d v="2012-01-10T00:00:00"/>
    <m/>
    <s v="X"/>
    <x v="71"/>
    <n v="9.8198000000000008"/>
    <n v="10"/>
    <d v="2012-02-04T00:00:00"/>
    <d v="2011-12-31T00:00:00"/>
    <n v="6000"/>
    <d v="2012-01-06T00:00:00"/>
    <n v="6000"/>
    <m/>
    <d v="2012-01-06T00:00:00"/>
    <n v="6000"/>
    <d v="2012-02-10T00:00:00"/>
    <d v="2012-01-06T00:00:00"/>
    <n v="6000"/>
    <n v="5000"/>
    <x v="12"/>
    <d v="2012-02-11T00:00:00"/>
    <m/>
    <n v="9321672673"/>
    <n v="10"/>
    <s v="MSKU1951993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16627/000010"/>
    <n v="1370139357"/>
    <n v="10"/>
    <x v="0"/>
    <x v="0"/>
    <s v="A1"/>
    <n v="2100052289"/>
    <n v="205"/>
    <n v="115001485"/>
    <s v="A8342465 COOKNSTRAIN SS 3QT SP ALL OTHER          "/>
    <s v="S"/>
    <d v="2012-01-10T00:00:00"/>
    <m/>
    <s v="X"/>
    <x v="71"/>
    <n v="9.8198000000000008"/>
    <n v="10"/>
    <d v="2012-02-04T00:00:00"/>
    <d v="2011-12-31T00:00:00"/>
    <n v="6000"/>
    <d v="2012-01-06T00:00:00"/>
    <n v="6000"/>
    <m/>
    <d v="2012-01-06T00:00:00"/>
    <n v="6000"/>
    <d v="2012-02-10T00:00:00"/>
    <d v="2012-01-06T00:00:00"/>
    <n v="6000"/>
    <n v="1000"/>
    <x v="12"/>
    <d v="2012-02-11T00:00:00"/>
    <m/>
    <n v="9321672673"/>
    <n v="10"/>
    <s v="MSKU0856800"/>
    <s v="ARTHUR MAERSK/553S"/>
    <m/>
    <s v="NINGBO"/>
    <m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2767/000010"/>
    <n v="1370149850"/>
    <n v="10"/>
    <x v="22"/>
    <x v="22"/>
    <s v="N4"/>
    <n v="7211000445"/>
    <n v="116"/>
    <n v="211000445"/>
    <s v="OW310131 BDM UNO 1KG WHT/RED GSCE/PL              "/>
    <s v="S"/>
    <d v="2012-01-11T00:00:00"/>
    <m/>
    <s v="X"/>
    <x v="71"/>
    <n v="42.152700000000003"/>
    <n v="138"/>
    <d v="2012-02-21T00:00:00"/>
    <d v="2012-01-10T00:00:00"/>
    <n v="522"/>
    <d v="2012-01-10T00:00:00"/>
    <n v="522"/>
    <m/>
    <d v="2012-01-10T00:00:00"/>
    <n v="522"/>
    <d v="2012-02-21T00:00:00"/>
    <d v="2012-01-10T00:00:00"/>
    <n v="522"/>
    <n v="522"/>
    <x v="7"/>
    <d v="2012-02-17T00:00:00"/>
    <m/>
    <n v="9321672701"/>
    <n v="10"/>
    <s v="MRKU0043726"/>
    <s v="ELEONORA MAERSK 1202"/>
    <m/>
    <s v="NINGBO"/>
    <m/>
    <m/>
    <s v="KENUS WONG"/>
    <s v="FO9"/>
    <s v="ELECTRICAL COOKING            "/>
    <s v="CONFIRMED"/>
    <n v="1"/>
    <n v="1"/>
    <d v="2012-01-06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47245/000010"/>
    <n v="1370146406"/>
    <n v="10"/>
    <x v="22"/>
    <x v="22"/>
    <s v="R2"/>
    <n v="7211000871"/>
    <n v="55"/>
    <n v="211000871"/>
    <s v="BI812510 KET MINI 0.8L SS BLK FR                  "/>
    <s v="S"/>
    <d v="2012-01-21T00:00:00"/>
    <m/>
    <s v="X"/>
    <x v="72"/>
    <n v="15.7361"/>
    <n v="12"/>
    <d v="2012-03-17T00:00:00"/>
    <d v="2012-02-18T00:00:00"/>
    <n v="2700"/>
    <d v="2012-01-18T00:00:00"/>
    <n v="2700"/>
    <m/>
    <d v="2012-02-25T00:00:00"/>
    <n v="2700"/>
    <d v="2012-02-15T00:00:00"/>
    <d v="2012-01-18T00:00:00"/>
    <n v="2700"/>
    <n v="2700"/>
    <x v="22"/>
    <d v="2012-02-16T00:00:00"/>
    <m/>
    <n v="9321673238"/>
    <n v="10"/>
    <s v="MSKU3226194"/>
    <s v="MAERSK SALALAH 1202/"/>
    <m/>
    <s v="NINGBO"/>
    <m/>
    <m/>
    <s v="KENUS WONG"/>
    <s v="FO9"/>
    <s v="BEVERAGE                      "/>
    <s v="CONFIRMED"/>
    <n v="1"/>
    <n v="3"/>
    <d v="2012-01-19T00:00:00"/>
    <s v="KITCHEN ELECTRICS             "/>
    <s v="BREAKFAST &amp; BREVAGE PREP      "/>
    <x v="0"/>
    <x v="0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2946/000010"/>
    <n v="1370152767"/>
    <n v="10"/>
    <x v="63"/>
    <x v="63"/>
    <s v="N3"/>
    <n v="1500632303"/>
    <n v="179"/>
    <n v="632303"/>
    <s v="SD700350 STMC LUXE US                             "/>
    <s v="S"/>
    <d v="2012-01-05T00:00:00"/>
    <m/>
    <s v="X"/>
    <x v="72"/>
    <n v="52.92"/>
    <n v="61952"/>
    <d v="2012-02-05T00:00:00"/>
    <d v="2012-01-01T00:00:00"/>
    <n v="1904"/>
    <d v="2012-01-01T00:00:00"/>
    <n v="1904"/>
    <m/>
    <d v="2012-01-01T00:00:00"/>
    <n v="1904"/>
    <d v="2012-02-06T00:00:00"/>
    <d v="2012-01-02T00:00:00"/>
    <n v="1904"/>
    <n v="952"/>
    <x v="3"/>
    <d v="2012-02-06T00:00:00"/>
    <m/>
    <n v="9321673256"/>
    <n v="10"/>
    <s v="HLXU4190575"/>
    <s v="NYK REMUS 16E52/"/>
    <m/>
    <s v="YANTIAN"/>
    <m/>
    <m/>
    <s v="TWEETY LEUNG"/>
    <s v="FO9"/>
    <s v="ELECTRICAL COOKING            "/>
    <s v="CONFIRMED"/>
    <n v="1"/>
    <n v="1"/>
    <d v="2012-01-02T00:00:00"/>
    <s v="KITCHEN ELECTRICS             "/>
    <s v="ELECTRICAL COOKING      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2946/000010"/>
    <n v="1370152767"/>
    <n v="10"/>
    <x v="63"/>
    <x v="63"/>
    <s v="N3"/>
    <n v="1500632303"/>
    <n v="179"/>
    <n v="632303"/>
    <s v="SD700350 STMC LUXE US                             "/>
    <s v="S"/>
    <d v="2012-01-05T00:00:00"/>
    <m/>
    <s v="X"/>
    <x v="72"/>
    <n v="52.92"/>
    <n v="61952"/>
    <d v="2012-02-05T00:00:00"/>
    <d v="2012-01-01T00:00:00"/>
    <n v="1904"/>
    <d v="2012-01-01T00:00:00"/>
    <n v="1904"/>
    <m/>
    <d v="2012-01-01T00:00:00"/>
    <n v="1904"/>
    <d v="2012-02-06T00:00:00"/>
    <d v="2012-01-02T00:00:00"/>
    <n v="1904"/>
    <n v="952"/>
    <x v="3"/>
    <d v="2012-02-06T00:00:00"/>
    <m/>
    <n v="9321673256"/>
    <n v="10"/>
    <s v="HLXU5325891"/>
    <s v="NYK REMUS 16E52/"/>
    <m/>
    <s v="YANTIAN"/>
    <m/>
    <m/>
    <s v="TWEETY LEUNG"/>
    <s v="FO9"/>
    <s v="ELECTRICAL COOKING            "/>
    <s v="CONFIRMED"/>
    <n v="1"/>
    <n v="1"/>
    <d v="2012-01-02T00:00:00"/>
    <s v="KITCHEN ELECTRICS             "/>
    <s v="ELECTRICAL COOKING      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442/000010"/>
    <n v="1370152283"/>
    <n v="10"/>
    <x v="17"/>
    <x v="17"/>
    <s v="L4"/>
    <n v="1830003786"/>
    <n v="5"/>
    <s v="CV8652C0       "/>
    <s v="CV8652C0 INFINIPRO HAIR DRYER                     "/>
    <s v="S"/>
    <d v="2012-01-19T00:00:00"/>
    <m/>
    <s v="X"/>
    <x v="72"/>
    <n v="11.69"/>
    <n v="10"/>
    <d v="2012-02-17T00:00:00"/>
    <d v="2012-01-13T00:00:00"/>
    <n v="3000"/>
    <d v="2012-01-17T00:00:00"/>
    <n v="3000"/>
    <m/>
    <d v="2012-01-13T00:00:00"/>
    <n v="3000"/>
    <d v="2012-02-21T00:00:00"/>
    <d v="2012-01-17T00:00:00"/>
    <n v="3000"/>
    <n v="3000"/>
    <x v="19"/>
    <d v="2012-02-21T00:00:00"/>
    <m/>
    <n v="9321673584"/>
    <n v="10"/>
    <s v="APZU4002253"/>
    <s v="APL DHAKA/002W"/>
    <m/>
    <s v="HONG KONG"/>
    <s v="CONS-SHIPT/"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0401/000010"/>
    <n v="1370152372"/>
    <n v="10"/>
    <x v="37"/>
    <x v="37"/>
    <s v="N3"/>
    <n v="1500632018"/>
    <n v="177"/>
    <n v="632018"/>
    <s v="FR701300 OLEOCLEAN INOX &amp; DESIGN/B1               "/>
    <s v="S"/>
    <d v="2012-01-27T00:00:00"/>
    <m/>
    <s v="X"/>
    <x v="72"/>
    <n v="38.29"/>
    <n v="34"/>
    <d v="2012-02-24T00:00:00"/>
    <d v="2012-01-20T00:00:00"/>
    <n v="470"/>
    <d v="2012-01-20T00:00:00"/>
    <n v="470"/>
    <m/>
    <d v="2012-02-15T00:00:00"/>
    <n v="525"/>
    <d v="2012-03-21T00:00:00"/>
    <d v="2012-02-15T00:00:00"/>
    <n v="470"/>
    <n v="415"/>
    <x v="26"/>
    <d v="2012-02-25T00:00:00"/>
    <m/>
    <n v="9321673778"/>
    <n v="10"/>
    <s v="TTNU5343227"/>
    <s v="MAERSK EINDHOVEN"/>
    <m/>
    <s v="YANTIAN"/>
    <s v="SP-MTL/"/>
    <m/>
    <s v="JASON FAN"/>
    <s v="FO9"/>
    <s v="ELECTRICAL COOKING            "/>
    <s v="CONFIRMED"/>
    <n v="1"/>
    <n v="3"/>
    <d v="2012-01-21T00:00:00"/>
    <s v="KITCHEN ELECTRICS             "/>
    <s v="ELECTRICAL COOKING            "/>
    <x v="1"/>
    <x v="1"/>
    <x v="9"/>
    <s v="SP-MTL"/>
    <n v="1"/>
    <n v="1"/>
    <x v="10"/>
    <n v="1"/>
    <x v="0"/>
    <x v="1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9694/000010"/>
    <n v="1370152365"/>
    <n v="10"/>
    <x v="18"/>
    <x v="18"/>
    <s v="M5"/>
    <n v="2210016800"/>
    <n v="161"/>
    <s v="MO452101       "/>
    <s v="MO452101 VAC CLEANER COMPACTEO CYCLONIC           "/>
    <s v="S"/>
    <d v="2012-01-19T00:00:00"/>
    <m/>
    <s v="X"/>
    <x v="72"/>
    <n v="29.16"/>
    <n v="25"/>
    <d v="2012-02-24T00:00:00"/>
    <d v="2012-01-20T00:00:00"/>
    <n v="1530"/>
    <d v="2012-01-20T00:00:00"/>
    <n v="1530"/>
    <m/>
    <d v="2012-01-20T00:00:00"/>
    <n v="1530"/>
    <d v="2012-02-21T00:00:00"/>
    <d v="2012-01-17T00:00:00"/>
    <n v="1530"/>
    <n v="1530"/>
    <x v="19"/>
    <d v="2012-02-21T00:00:00"/>
    <m/>
    <n v="9321673780"/>
    <n v="10"/>
    <s v="ECMU4574914"/>
    <s v="MAERSK EINDHOVEN 120"/>
    <m/>
    <s v="SHANGHAI"/>
    <m/>
    <m/>
    <s v="JASON FAN"/>
    <s v="FO9"/>
    <s v="HOME CLEANING                 "/>
    <s v="CONFIRMED"/>
    <n v="1"/>
    <n v="3"/>
    <d v="2012-01-17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0340/000010"/>
    <n v="1370152377"/>
    <n v="10"/>
    <x v="60"/>
    <x v="60"/>
    <s v="L4"/>
    <n v="1830003863"/>
    <n v="175"/>
    <s v="CF3312C0       "/>
    <s v="CF3312C0 CURLING TONG                             "/>
    <s v="S"/>
    <d v="2012-02-02T00:00:00"/>
    <m/>
    <s v="X"/>
    <x v="72"/>
    <n v="5.65"/>
    <n v="5"/>
    <d v="2012-02-24T00:00:00"/>
    <d v="2012-01-20T00:00:00"/>
    <n v="3000"/>
    <d v="2012-01-18T00:00:00"/>
    <n v="3000"/>
    <m/>
    <d v="2012-01-17T00:00:00"/>
    <n v="3000"/>
    <d v="2012-02-22T00:00:00"/>
    <d v="2012-01-18T00:00:00"/>
    <n v="3000"/>
    <n v="3000"/>
    <x v="21"/>
    <d v="2012-02-22T00:00:00"/>
    <m/>
    <n v="9321673782"/>
    <n v="10"/>
    <s v="ECMU4070235"/>
    <s v="CMA CGM FIDELIO FM42"/>
    <m/>
    <s v="NINGBO"/>
    <s v="CONS-SHIPT"/>
    <m/>
    <s v="JASON FAN"/>
    <s v="FO9"/>
    <s v="PERSONAL CARE                 "/>
    <s v="CONFIRMED"/>
    <n v="1"/>
    <n v="3"/>
    <d v="2012-01-18T00:00:00"/>
    <s v="LINEN PERS HOME CARE          "/>
    <s v="PERSONAL CARE                 "/>
    <x v="6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074/000010"/>
    <n v="1370152371"/>
    <n v="10"/>
    <x v="22"/>
    <x v="22"/>
    <s v="N4"/>
    <n v="7211000503"/>
    <n v="177"/>
    <n v="211000503"/>
    <s v="AF101932 FRY UNO FIX ALU WHT/RED EUR              "/>
    <s v="S"/>
    <d v="2012-01-21T00:00:00"/>
    <m/>
    <s v="X"/>
    <x v="72"/>
    <n v="19.092099999999999"/>
    <n v="15"/>
    <d v="2012-02-24T00:00:00"/>
    <d v="2012-01-20T00:00:00"/>
    <n v="810"/>
    <d v="2012-01-20T00:00:00"/>
    <n v="810"/>
    <m/>
    <d v="2012-01-15T00:00:00"/>
    <n v="810"/>
    <d v="2012-02-19T00:00:00"/>
    <d v="2012-01-15T00:00:00"/>
    <n v="810"/>
    <n v="810"/>
    <x v="21"/>
    <d v="2012-02-22T00:00:00"/>
    <m/>
    <n v="9321673783"/>
    <n v="10"/>
    <s v="CMAU8079726"/>
    <s v="CMA CGM FIDELIO FM42"/>
    <m/>
    <s v="NINGBO"/>
    <m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073/000010"/>
    <n v="1370152396"/>
    <n v="10"/>
    <x v="30"/>
    <x v="30"/>
    <s v="N2"/>
    <n v="7211000865"/>
    <n v="50"/>
    <n v="211000865"/>
    <s v="CB540812 PLA I THERMOSP BLK EUR                   "/>
    <s v="S"/>
    <d v="2012-01-17T00:00:00"/>
    <m/>
    <s v="X"/>
    <x v="72"/>
    <n v="24.914400000000001"/>
    <n v="20"/>
    <d v="2012-02-24T00:00:00"/>
    <d v="2012-01-20T00:00:00"/>
    <n v="1992"/>
    <d v="2012-01-20T00:00:00"/>
    <n v="1992"/>
    <m/>
    <d v="2012-01-22T00:00:00"/>
    <n v="1992"/>
    <d v="2012-02-19T00:00:00"/>
    <d v="2012-01-15T00:00:00"/>
    <n v="1992"/>
    <n v="1992"/>
    <x v="11"/>
    <d v="2012-02-19T00:00:00"/>
    <m/>
    <n v="9321673784"/>
    <n v="10"/>
    <s v="SEAU8678148"/>
    <s v="MAERSK EINDHOVEN 120"/>
    <m/>
    <s v="NINGBO"/>
    <m/>
    <m/>
    <s v="JASON FAN"/>
    <s v="FO9"/>
    <s v="ELECTRICAL COOKING            "/>
    <s v="CONFIRMED"/>
    <n v="1"/>
    <n v="2"/>
    <d v="2012-01-15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8949/000010"/>
    <n v="1370152397"/>
    <n v="10"/>
    <x v="6"/>
    <x v="6"/>
    <s v="N3"/>
    <n v="1500578013"/>
    <n v="53"/>
    <n v="578013"/>
    <s v="OX177230 OVEN UNO XL TURNSPIT CV SILV EU          "/>
    <s v="S"/>
    <d v="2012-01-21T00:00:00"/>
    <m/>
    <s v="X"/>
    <x v="72"/>
    <n v="49.62"/>
    <n v="44"/>
    <d v="2012-02-24T00:00:00"/>
    <d v="2012-01-20T00:00:00"/>
    <n v="420"/>
    <d v="2012-01-20T00:00:00"/>
    <n v="420"/>
    <m/>
    <d v="2012-01-21T00:00:00"/>
    <n v="420"/>
    <d v="2012-02-25T00:00:00"/>
    <d v="2012-01-21T00:00:00"/>
    <n v="420"/>
    <n v="420"/>
    <x v="14"/>
    <d v="2012-02-24T00:00:00"/>
    <m/>
    <n v="9321673790"/>
    <n v="10"/>
    <s v="TCLU4254763"/>
    <s v="JIA HANG 968/034/011"/>
    <m/>
    <s v="ZHUHAI"/>
    <m/>
    <m/>
    <s v="JASON FAN"/>
    <s v="FO9"/>
    <s v="ELECTRICAL COOKING            "/>
    <s v="CONFIRMED"/>
    <n v="1"/>
    <n v="3"/>
    <d v="2012-01-20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040/000010"/>
    <n v="1370152382"/>
    <n v="10"/>
    <x v="30"/>
    <x v="30"/>
    <s v="N4"/>
    <n v="1500633449"/>
    <n v="39"/>
    <n v="211000133"/>
    <s v="RK100601 RICE C.NEW CL.6C &quot;A&quot;                     "/>
    <s v="S"/>
    <d v="2012-01-17T00:00:00"/>
    <m/>
    <s v="X"/>
    <x v="72"/>
    <n v="15.637"/>
    <n v="13"/>
    <d v="2012-02-24T00:00:00"/>
    <d v="2012-01-20T00:00:00"/>
    <n v="1600"/>
    <d v="2012-01-20T00:00:00"/>
    <n v="1600"/>
    <m/>
    <d v="2012-01-22T00:00:00"/>
    <n v="1600"/>
    <d v="2012-02-19T00:00:00"/>
    <d v="2012-01-15T00:00:00"/>
    <n v="1600"/>
    <n v="1600"/>
    <x v="11"/>
    <d v="2012-02-19T00:00:00"/>
    <m/>
    <n v="9321673791"/>
    <n v="10"/>
    <s v="MSKU6202236"/>
    <s v="MAERSK EINDHOVEN 120"/>
    <m/>
    <s v="NINGBO"/>
    <m/>
    <m/>
    <s v="JASON FAN"/>
    <s v="FO9"/>
    <s v="ELECTRICAL COOKING            "/>
    <s v="CONFIRMED"/>
    <n v="1"/>
    <n v="2"/>
    <d v="2012-01-15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8979/000010"/>
    <n v="1370152384"/>
    <n v="10"/>
    <x v="6"/>
    <x v="6"/>
    <s v="N3"/>
    <n v="1500577904"/>
    <n v="53"/>
    <n v="577904"/>
    <s v="OF265800 OVEN DELICE COMP.CONV 24L BLK F          "/>
    <s v="S"/>
    <d v="2012-02-06T00:00:00"/>
    <m/>
    <s v="X"/>
    <x v="72"/>
    <n v="47.67"/>
    <n v="42"/>
    <d v="2012-02-24T00:00:00"/>
    <d v="2012-01-20T00:00:00"/>
    <n v="550"/>
    <d v="2012-01-20T00:00:00"/>
    <n v="550"/>
    <m/>
    <d v="2012-01-21T00:00:00"/>
    <n v="550"/>
    <d v="2012-02-25T00:00:00"/>
    <d v="2012-01-21T00:00:00"/>
    <n v="550"/>
    <n v="550"/>
    <x v="14"/>
    <d v="2012-02-24T00:00:00"/>
    <m/>
    <n v="9321673792"/>
    <n v="10"/>
    <s v="OOLU8836484"/>
    <s v="NYK ORION/020W/021E"/>
    <m/>
    <s v="ZHUHAI"/>
    <m/>
    <m/>
    <s v="JASON FAN"/>
    <s v="FO9"/>
    <s v="ELECTRICAL COOKING            "/>
    <s v="CONFIRMED"/>
    <n v="1"/>
    <n v="3"/>
    <d v="2012-01-20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072/000010"/>
    <n v="1370152388"/>
    <n v="10"/>
    <x v="30"/>
    <x v="30"/>
    <s v="N4"/>
    <n v="1500633448"/>
    <n v="39"/>
    <n v="211000134"/>
    <s v="RK100801 RICE C.NEW CL.10C &quot;A&quot;                    "/>
    <s v="S"/>
    <d v="2012-01-17T00:00:00"/>
    <m/>
    <s v="X"/>
    <x v="72"/>
    <n v="18.089099999999998"/>
    <n v="15"/>
    <d v="2012-02-24T00:00:00"/>
    <d v="2012-01-20T00:00:00"/>
    <n v="1824"/>
    <d v="2012-01-20T00:00:00"/>
    <n v="1824"/>
    <m/>
    <d v="2012-01-15T00:00:00"/>
    <n v="1824"/>
    <d v="2012-02-19T00:00:00"/>
    <d v="2012-01-15T00:00:00"/>
    <n v="1824"/>
    <n v="1824"/>
    <x v="11"/>
    <d v="2012-02-19T00:00:00"/>
    <m/>
    <n v="9321673793"/>
    <n v="10"/>
    <s v="MSKU6429847"/>
    <s v="MAERSK EINDHOVEN 120"/>
    <m/>
    <s v="NINGBO"/>
    <m/>
    <m/>
    <s v="JASON FAN"/>
    <s v="FO9"/>
    <s v="ELECTRICAL COOKING            "/>
    <s v="CONFIRMED"/>
    <n v="1"/>
    <n v="2"/>
    <d v="2012-01-15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0403/000010"/>
    <n v="1370152368"/>
    <n v="10"/>
    <x v="33"/>
    <x v="33"/>
    <s v="N3"/>
    <n v="1500577906"/>
    <n v="53"/>
    <n v="577906"/>
    <s v="OF273100 OVEN DELICE TS 30L WHT FR                "/>
    <s v="S"/>
    <d v="2012-01-17T00:00:00"/>
    <m/>
    <s v="X"/>
    <x v="72"/>
    <n v="59.72"/>
    <n v="54"/>
    <d v="2012-02-24T00:00:00"/>
    <d v="2012-01-20T00:00:00"/>
    <n v="515"/>
    <d v="2012-01-20T00:00:00"/>
    <n v="515"/>
    <m/>
    <d v="2012-01-20T00:00:00"/>
    <n v="515"/>
    <d v="2012-02-24T00:00:00"/>
    <d v="2012-01-20T00:00:00"/>
    <n v="515"/>
    <n v="515"/>
    <x v="24"/>
    <d v="2012-02-17T00:00:00"/>
    <m/>
    <n v="9321673794"/>
    <n v="10"/>
    <s v="MRKU3372237"/>
    <s v="CMA CGM A VESPUCCI 1"/>
    <m/>
    <s v="YANTIAN"/>
    <m/>
    <m/>
    <s v="JASON FAN"/>
    <s v="FO9"/>
    <s v="ELECTRICAL COOKING            "/>
    <s v="CONFIRMED"/>
    <n v="1"/>
    <n v="2"/>
    <d v="2012-01-13T00:00:00"/>
    <s v="KITCHEN ELECTRICS             "/>
    <s v="ELECTRICAL COOKING      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058/000010"/>
    <n v="1370152383"/>
    <n v="10"/>
    <x v="22"/>
    <x v="22"/>
    <s v="N4"/>
    <n v="7211000466"/>
    <n v="177"/>
    <n v="211000466"/>
    <s v="AF102630 FRY UNO FIX N.STICK TIM SS/BLK           "/>
    <s v="S"/>
    <d v="2012-01-17T00:00:00"/>
    <m/>
    <s v="X"/>
    <x v="72"/>
    <n v="21.886800000000001"/>
    <n v="17"/>
    <d v="2012-02-24T00:00:00"/>
    <d v="2012-01-20T00:00:00"/>
    <n v="1970"/>
    <d v="2012-01-20T00:00:00"/>
    <n v="1970"/>
    <m/>
    <d v="2012-01-15T00:00:00"/>
    <n v="1970"/>
    <d v="2012-02-19T00:00:00"/>
    <d v="2012-01-15T00:00:00"/>
    <n v="1970"/>
    <n v="1970"/>
    <x v="11"/>
    <d v="2012-02-19T00:00:00"/>
    <m/>
    <n v="9321673796"/>
    <n v="10"/>
    <s v="MSKU0062780"/>
    <s v="MAERSK EINDHOVEN 120"/>
    <m/>
    <s v="NINGBO"/>
    <m/>
    <m/>
    <s v="JASON FAN"/>
    <s v="FO9"/>
    <s v="ELECTRICAL COOKING            "/>
    <s v="CONFIRMED"/>
    <n v="1"/>
    <n v="2"/>
    <d v="2012-01-15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0402/000010"/>
    <n v="1370152378"/>
    <n v="10"/>
    <x v="33"/>
    <x v="33"/>
    <s v="N3"/>
    <n v="1500577905"/>
    <n v="53"/>
    <n v="577905"/>
    <s v="OF275800 OVEN DELICE TURBO HR 30L BLK FR          "/>
    <s v="S"/>
    <d v="2012-01-17T00:00:00"/>
    <m/>
    <s v="X"/>
    <x v="72"/>
    <n v="78.16"/>
    <n v="68"/>
    <d v="2012-02-24T00:00:00"/>
    <d v="2012-01-20T00:00:00"/>
    <n v="515"/>
    <d v="2012-01-20T00:00:00"/>
    <n v="515"/>
    <m/>
    <d v="2012-01-20T00:00:00"/>
    <n v="515"/>
    <d v="2012-02-24T00:00:00"/>
    <d v="2012-01-20T00:00:00"/>
    <n v="515"/>
    <n v="515"/>
    <x v="24"/>
    <d v="2012-02-17T00:00:00"/>
    <m/>
    <n v="9321673799"/>
    <n v="10"/>
    <s v="MRKU3368601"/>
    <s v="CMA CGM A VESPUCCI 1"/>
    <m/>
    <s v="YANTIAN"/>
    <m/>
    <m/>
    <s v="JASON FAN"/>
    <s v="FO9"/>
    <s v="ELECTRICAL COOKING            "/>
    <s v="CONFIRMED"/>
    <n v="1"/>
    <n v="2"/>
    <d v="2012-01-13T00:00:00"/>
    <s v="KITCHEN ELECTRICS             "/>
    <s v="ELECTRICAL COOKING      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473/000010"/>
    <n v="1370152379"/>
    <n v="10"/>
    <x v="18"/>
    <x v="18"/>
    <s v="M5"/>
    <n v="2210015542"/>
    <n v="161"/>
    <s v="MO454301       "/>
    <s v="MO454301 VAC CLEANER COMPACTEO CYCLONIC           "/>
    <s v="S"/>
    <d v="2012-01-19T00:00:00"/>
    <m/>
    <s v="X"/>
    <x v="72"/>
    <n v="31.18"/>
    <n v="27"/>
    <d v="2012-02-24T00:00:00"/>
    <d v="2012-01-20T00:00:00"/>
    <n v="1530"/>
    <d v="2012-01-20T00:00:00"/>
    <n v="1530"/>
    <m/>
    <d v="2012-01-20T00:00:00"/>
    <n v="1530"/>
    <d v="2012-02-21T00:00:00"/>
    <d v="2012-01-17T00:00:00"/>
    <n v="1530"/>
    <n v="1530"/>
    <x v="19"/>
    <d v="2012-02-21T00:00:00"/>
    <m/>
    <n v="9321673803"/>
    <n v="10"/>
    <s v="ECMU4343290"/>
    <s v="MAERSK EINDHOVEN 120"/>
    <m/>
    <s v="SHANGHAI"/>
    <m/>
    <m/>
    <s v="JASON FAN"/>
    <s v="FO9"/>
    <s v="HOME CLEANING                 "/>
    <s v="CONFIRMED"/>
    <n v="1"/>
    <n v="3"/>
    <d v="2012-01-17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0115/000010"/>
    <n v="1370152385"/>
    <n v="10"/>
    <x v="42"/>
    <x v="42"/>
    <s v="N1"/>
    <n v="2100058891"/>
    <n v="50"/>
    <s v="GC205012       "/>
    <s v="GC205012 MINUTE GRILL A12 TEFAL                   "/>
    <s v="S"/>
    <d v="2012-01-18T00:00:00"/>
    <m/>
    <s v="X"/>
    <x v="72"/>
    <n v="20.99"/>
    <n v="19"/>
    <d v="2012-02-24T00:00:00"/>
    <d v="2012-01-20T00:00:00"/>
    <n v="2286"/>
    <d v="2012-01-20T00:00:00"/>
    <n v="2286"/>
    <m/>
    <d v="2012-01-20T00:00:00"/>
    <n v="2286"/>
    <d v="2012-02-24T00:00:00"/>
    <d v="2012-01-20T00:00:00"/>
    <n v="2286"/>
    <n v="2286"/>
    <x v="19"/>
    <d v="2012-02-21T00:00:00"/>
    <m/>
    <n v="9321673804"/>
    <n v="10"/>
    <s v="GESU5503867"/>
    <s v="APL DHAKA/002W"/>
    <m/>
    <s v="YANTIAN"/>
    <m/>
    <m/>
    <s v="JASON FAN"/>
    <s v="FO9"/>
    <s v="ELECTRICAL COOKING            "/>
    <s v="CONFIRMED"/>
    <n v="1"/>
    <n v="3"/>
    <d v="2012-01-17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054/000010"/>
    <n v="1370152390"/>
    <n v="10"/>
    <x v="30"/>
    <x v="30"/>
    <s v="N2"/>
    <n v="2100051056"/>
    <n v="50"/>
    <n v="211000518"/>
    <s v="CB522013 PLANCHA 2000W  I THERMOS ES/PT           "/>
    <s v="S"/>
    <d v="2012-01-19T00:00:00"/>
    <m/>
    <s v="X"/>
    <x v="72"/>
    <n v="22.723700000000001"/>
    <n v="19"/>
    <d v="2012-02-24T00:00:00"/>
    <d v="2012-01-20T00:00:00"/>
    <n v="1992"/>
    <d v="2012-01-20T00:00:00"/>
    <n v="1992"/>
    <m/>
    <d v="2012-01-15T00:00:00"/>
    <n v="1992"/>
    <d v="2012-02-19T00:00:00"/>
    <d v="2012-01-15T00:00:00"/>
    <n v="1992"/>
    <n v="1992"/>
    <x v="11"/>
    <d v="2012-02-19T00:00:00"/>
    <m/>
    <n v="9321673806"/>
    <n v="10"/>
    <s v="TCKU9917516"/>
    <s v="MAERSK EINDHOVEN"/>
    <m/>
    <s v="NINGBO"/>
    <m/>
    <m/>
    <s v="JASON FAN"/>
    <s v="FO9"/>
    <s v="ELECTRICAL COOKING            "/>
    <s v="CONFIRMED"/>
    <n v="1"/>
    <n v="2"/>
    <d v="2012-01-15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61/039729"/>
    <n v="1370149095"/>
    <n v="10"/>
    <x v="70"/>
    <x v="70"/>
    <s v="N3"/>
    <n v="1500635121"/>
    <n v="39"/>
    <n v="635121"/>
    <s v="RK155150 RC COOLTOUCH 10C NO SWITCH WHT           "/>
    <s v="S"/>
    <d v="2012-01-18T00:00:00"/>
    <m/>
    <s v="X"/>
    <x v="73"/>
    <n v="10.32"/>
    <n v="12"/>
    <d v="2012-02-10T00:00:00"/>
    <d v="2012-01-06T00:00:00"/>
    <n v="948"/>
    <d v="2012-01-18T00:00:00"/>
    <n v="948"/>
    <m/>
    <d v="2012-01-18T00:00:00"/>
    <n v="948"/>
    <d v="2012-02-22T00:00:00"/>
    <d v="2012-01-18T00:00:00"/>
    <n v="948"/>
    <n v="948"/>
    <x v="8"/>
    <d v="2012-02-20T00:00:00"/>
    <m/>
    <n v="9321673984"/>
    <n v="10"/>
    <s v="MSKU6554366"/>
    <s v="A.P. MOLLER 1201/"/>
    <m/>
    <s v="YANTIAN"/>
    <s v="SP-HOLIDAY/"/>
    <m/>
    <s v="THOMAS HO"/>
    <s v="FO9"/>
    <s v="ELECTRICAL COOKING            "/>
    <s v="CONFIRMED"/>
    <n v="1"/>
    <n v="3"/>
    <d v="2012-01-16T00:00:00"/>
    <s v="KITCHEN ELECTRICS             "/>
    <s v="ELECTRICAL COOKING            "/>
    <x v="1"/>
    <x v="1"/>
    <x v="7"/>
    <s v="SP-HOLIDAY"/>
    <n v="-3"/>
    <n v="-3"/>
    <x v="6"/>
    <n v="1"/>
    <x v="0"/>
    <x v="0"/>
    <x v="1"/>
    <n v="1"/>
    <n v="0"/>
    <n v="1"/>
    <n v="0"/>
    <n v="0"/>
    <n v="1"/>
    <x v="0"/>
    <x v="0"/>
    <x v="1"/>
    <x v="1"/>
  </r>
  <r>
    <s v="Shipment"/>
    <n v="99001800"/>
    <s v="GROUPE SEB COLOMBIA                               "/>
    <n v="99001800"/>
    <x v="26"/>
    <s v="22561/039730"/>
    <n v="1370149095"/>
    <n v="20"/>
    <x v="70"/>
    <x v="70"/>
    <s v="N3"/>
    <n v="1500635117"/>
    <n v="39"/>
    <n v="635117"/>
    <s v="RK150150 RC COOLTOUCH 8C NO SWITCH WHT C          "/>
    <s v="S"/>
    <d v="2012-01-18T00:00:00"/>
    <m/>
    <s v="X"/>
    <x v="73"/>
    <n v="9.2899999999999991"/>
    <n v="12"/>
    <d v="2012-02-10T00:00:00"/>
    <d v="2012-01-06T00:00:00"/>
    <n v="1168"/>
    <d v="2012-01-18T00:00:00"/>
    <n v="1168"/>
    <m/>
    <d v="2012-01-18T00:00:00"/>
    <n v="1168"/>
    <d v="2012-02-22T00:00:00"/>
    <d v="2012-01-18T00:00:00"/>
    <n v="1168"/>
    <n v="1168"/>
    <x v="8"/>
    <d v="2012-02-20T00:00:00"/>
    <m/>
    <n v="9321673984"/>
    <n v="20"/>
    <s v="MSKU6554366"/>
    <s v="A.P. MOLLER 1201/"/>
    <m/>
    <s v="YANTIAN"/>
    <s v="SP-HOLIDAY/"/>
    <m/>
    <s v="THOMAS HO"/>
    <s v="FO9"/>
    <s v="ELECTRICAL COOKING            "/>
    <s v="CONFIRMED"/>
    <n v="1"/>
    <n v="3"/>
    <d v="2012-01-16T00:00:00"/>
    <s v="KITCHEN ELECTRICS             "/>
    <s v="ELECTRICAL COOKING            "/>
    <x v="1"/>
    <x v="1"/>
    <x v="7"/>
    <s v="SP-HOLIDAY"/>
    <n v="-3"/>
    <n v="-3"/>
    <x v="6"/>
    <n v="1"/>
    <x v="0"/>
    <x v="0"/>
    <x v="1"/>
    <n v="1"/>
    <n v="0"/>
    <n v="1"/>
    <n v="0"/>
    <n v="0"/>
    <n v="1"/>
    <x v="0"/>
    <x v="0"/>
    <x v="1"/>
    <x v="1"/>
  </r>
  <r>
    <s v="Shipment"/>
    <n v="99001900"/>
    <s v="GROUPE SEB VENEZUELA SA                           "/>
    <n v="99001900"/>
    <x v="34"/>
    <s v="22571/039743"/>
    <n v="1370149569"/>
    <n v="30"/>
    <x v="70"/>
    <x v="70"/>
    <s v="N3"/>
    <n v="1500635117"/>
    <n v="39"/>
    <n v="635117"/>
    <s v="RK150150 RC COOLTOUCH 8C NO SWITCH WHT C          "/>
    <s v="S"/>
    <d v="2012-01-18T00:00:00"/>
    <m/>
    <s v="X"/>
    <x v="73"/>
    <n v="9.2899999999999991"/>
    <n v="12"/>
    <d v="2012-02-24T00:00:00"/>
    <d v="2012-01-06T00:00:00"/>
    <n v="1168"/>
    <d v="2012-01-18T00:00:00"/>
    <n v="1168"/>
    <m/>
    <d v="2012-01-18T00:00:00"/>
    <n v="1168"/>
    <d v="2012-03-07T00:00:00"/>
    <d v="2012-01-18T00:00:00"/>
    <n v="1168"/>
    <n v="1168"/>
    <x v="8"/>
    <d v="2012-03-05T00:00:00"/>
    <m/>
    <n v="9321673985"/>
    <n v="10"/>
    <s v="MRKU0295862"/>
    <s v="A.P.MOLLER 1201/"/>
    <m/>
    <s v="YANTIAN"/>
    <s v="SP-HOLIDAY/"/>
    <m/>
    <s v="THOMAS HO"/>
    <s v="FO9"/>
    <s v="ELECTRICAL COOKING            "/>
    <s v="CONFIRMED"/>
    <n v="1"/>
    <n v="3"/>
    <d v="2012-01-16T00:00:00"/>
    <s v="KITCHEN ELECTRICS             "/>
    <s v="ELECTRICAL COOKING            "/>
    <x v="1"/>
    <x v="1"/>
    <x v="7"/>
    <s v="SP-HOLIDAY"/>
    <n v="-3"/>
    <n v="-3"/>
    <x v="6"/>
    <n v="1"/>
    <x v="0"/>
    <x v="0"/>
    <x v="1"/>
    <n v="1"/>
    <n v="0"/>
    <n v="1"/>
    <n v="0"/>
    <n v="0"/>
    <n v="1"/>
    <x v="0"/>
    <x v="0"/>
    <x v="1"/>
    <x v="1"/>
  </r>
  <r>
    <s v="Shipment"/>
    <n v="99001900"/>
    <s v="GROUPE SEB VENEZUELA SA                           "/>
    <n v="99001900"/>
    <x v="34"/>
    <s v="22571/039744"/>
    <n v="1370149569"/>
    <n v="40"/>
    <x v="70"/>
    <x v="70"/>
    <s v="N3"/>
    <n v="1500635121"/>
    <n v="39"/>
    <n v="635121"/>
    <s v="RK155150 RC COOLTOUCH 10C NO SWITCH WHT           "/>
    <s v="S"/>
    <d v="2012-01-18T00:00:00"/>
    <m/>
    <s v="X"/>
    <x v="73"/>
    <n v="10.32"/>
    <n v="12"/>
    <d v="2012-02-24T00:00:00"/>
    <d v="2012-01-06T00:00:00"/>
    <n v="948"/>
    <d v="2012-01-18T00:00:00"/>
    <n v="948"/>
    <m/>
    <d v="2012-01-18T00:00:00"/>
    <n v="948"/>
    <d v="2012-03-07T00:00:00"/>
    <d v="2012-01-18T00:00:00"/>
    <n v="948"/>
    <n v="948"/>
    <x v="8"/>
    <d v="2012-03-05T00:00:00"/>
    <m/>
    <n v="9321673985"/>
    <n v="20"/>
    <s v="MRKU0295862"/>
    <s v="A.P.MOLLER 1201/"/>
    <m/>
    <s v="YANTIAN"/>
    <s v="SP-HOLIDAY/"/>
    <m/>
    <s v="THOMAS HO"/>
    <s v="FO9"/>
    <s v="ELECTRICAL COOKING            "/>
    <s v="CONFIRMED"/>
    <n v="1"/>
    <n v="3"/>
    <d v="2012-01-16T00:00:00"/>
    <s v="KITCHEN ELECTRICS             "/>
    <s v="ELECTRICAL COOKING            "/>
    <x v="1"/>
    <x v="1"/>
    <x v="7"/>
    <s v="SP-HOLIDAY"/>
    <n v="-3"/>
    <n v="-3"/>
    <x v="6"/>
    <n v="1"/>
    <x v="0"/>
    <x v="0"/>
    <x v="1"/>
    <n v="1"/>
    <n v="0"/>
    <n v="1"/>
    <n v="0"/>
    <n v="0"/>
    <n v="1"/>
    <x v="0"/>
    <x v="0"/>
    <x v="1"/>
    <x v="1"/>
  </r>
  <r>
    <s v="Shipment"/>
    <n v="99004221"/>
    <s v="GROUPE SEB NEW ZEALAND                            "/>
    <n v="99004200"/>
    <x v="4"/>
    <s v="2308/000001"/>
    <n v="1370152709"/>
    <n v="10"/>
    <x v="0"/>
    <x v="0"/>
    <s v="A1"/>
    <n v="2100068605"/>
    <n v="208"/>
    <s v="E8940544       "/>
    <s v="E8940544 FP26 MAINST JO HA IND ANOD GREY          "/>
    <s v="S"/>
    <d v="2012-02-01T00:00:00"/>
    <m/>
    <s v="X"/>
    <x v="73"/>
    <n v="12.9975"/>
    <n v="14"/>
    <d v="2012-02-16T00:00:00"/>
    <d v="2012-01-19T00:00:00"/>
    <n v="1002"/>
    <d v="2012-01-19T00:00:00"/>
    <n v="1002"/>
    <m/>
    <d v="2012-01-19T00:00:00"/>
    <n v="1002"/>
    <d v="2012-02-16T00:00:00"/>
    <d v="2012-01-19T00:00:00"/>
    <n v="1002"/>
    <n v="1002"/>
    <x v="1"/>
    <d v="2012-02-20T00:00:00"/>
    <m/>
    <n v="9321673986"/>
    <n v="10"/>
    <s v="PCIU4564035"/>
    <s v="ALEXANDRIA BRIDGE/02"/>
    <m/>
    <s v="NINGBO"/>
    <m/>
    <m/>
    <s v="AGNES NUNES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4221"/>
    <s v="GROUPE SEB NEW ZEALAND                            "/>
    <n v="99004200"/>
    <x v="4"/>
    <s v="2308/000002"/>
    <n v="1370152709"/>
    <n v="20"/>
    <x v="0"/>
    <x v="0"/>
    <s v="A1"/>
    <n v="2100068606"/>
    <n v="208"/>
    <s v="E8940744       "/>
    <s v="E8940744 FP30 MAINST JO HA IND ANOD GREY          "/>
    <s v="S"/>
    <d v="2012-02-01T00:00:00"/>
    <m/>
    <s v="X"/>
    <x v="73"/>
    <n v="16.082899999999999"/>
    <n v="14"/>
    <d v="2012-02-16T00:00:00"/>
    <d v="2012-01-19T00:00:00"/>
    <n v="1002"/>
    <d v="2012-01-19T00:00:00"/>
    <n v="1004"/>
    <m/>
    <d v="2012-01-19T00:00:00"/>
    <n v="1002"/>
    <d v="2012-02-16T00:00:00"/>
    <d v="2012-01-19T00:00:00"/>
    <n v="1004"/>
    <n v="1004"/>
    <x v="1"/>
    <d v="2012-02-20T00:00:00"/>
    <m/>
    <n v="9321673986"/>
    <n v="20"/>
    <s v="PCIU4564035"/>
    <s v="ALEXANDRIA BRIDGE/02"/>
    <m/>
    <s v="NINGBO"/>
    <s v="SP-OVERCAP/"/>
    <m/>
    <s v="AGNES NUNES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1"/>
    <x v="0"/>
    <x v="1"/>
    <x v="1"/>
    <n v="0"/>
    <n v="1"/>
    <n v="0"/>
    <n v="0"/>
    <n v="0"/>
    <n v="1"/>
    <x v="0"/>
    <x v="0"/>
    <x v="0"/>
    <x v="0"/>
  </r>
  <r>
    <s v="Shipment"/>
    <n v="99004221"/>
    <s v="GROUPE SEB NEW ZEALAND                            "/>
    <n v="99004200"/>
    <x v="4"/>
    <s v="2308/000011"/>
    <n v="1370152709"/>
    <n v="30"/>
    <x v="0"/>
    <x v="0"/>
    <s v="A1"/>
    <n v="2100068618"/>
    <n v="205"/>
    <s v="E4369014       "/>
    <s v="E4369014 SET 3SCPLID TEFAL BY JO SS UNCO          "/>
    <s v="S"/>
    <d v="2012-02-01T00:00:00"/>
    <m/>
    <s v="X"/>
    <x v="73"/>
    <n v="33.893999999999998"/>
    <n v="14"/>
    <d v="2012-02-16T00:00:00"/>
    <d v="2012-01-19T00:00:00"/>
    <n v="1000"/>
    <d v="2012-01-19T00:00:00"/>
    <n v="1000"/>
    <m/>
    <d v="2012-01-19T00:00:00"/>
    <n v="1000"/>
    <d v="2012-02-16T00:00:00"/>
    <d v="2012-01-19T00:00:00"/>
    <n v="1000"/>
    <n v="1000"/>
    <x v="1"/>
    <d v="2012-02-20T00:00:00"/>
    <m/>
    <n v="9321673986"/>
    <n v="30"/>
    <s v="PCIU4536630"/>
    <s v="ALEXANDRIA BRIDGE/02"/>
    <m/>
    <s v="NINGBO"/>
    <m/>
    <m/>
    <s v="AGNES NUNES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4221"/>
    <s v="GROUPE SEB NEW ZEALAND                            "/>
    <n v="99004200"/>
    <x v="4"/>
    <s v="2308/000009"/>
    <n v="1370152709"/>
    <n v="60"/>
    <x v="0"/>
    <x v="0"/>
    <s v="A1"/>
    <n v="2100068616"/>
    <n v="205"/>
    <s v="E4362414       "/>
    <s v="E4362414 SCP20LID TEFAL BY JO SS UNCOATE          "/>
    <s v="S"/>
    <d v="2012-02-01T00:00:00"/>
    <m/>
    <s v="X"/>
    <x v="73"/>
    <n v="12.7735"/>
    <n v="14"/>
    <d v="2012-02-16T00:00:00"/>
    <d v="2012-01-19T00:00:00"/>
    <n v="1000"/>
    <d v="2012-01-19T00:00:00"/>
    <n v="1000"/>
    <m/>
    <d v="2012-01-19T00:00:00"/>
    <n v="1000"/>
    <d v="2012-02-16T00:00:00"/>
    <d v="2012-01-19T00:00:00"/>
    <n v="1000"/>
    <n v="1000"/>
    <x v="1"/>
    <d v="2012-02-20T00:00:00"/>
    <m/>
    <n v="9321673986"/>
    <n v="40"/>
    <s v="PCIU4536630"/>
    <s v="ALEXANDRIA BRIDGE/02"/>
    <m/>
    <s v="NINGBO"/>
    <m/>
    <m/>
    <s v="AGNES NUNES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4221"/>
    <s v="GROUPE SEB NEW ZEALAND                            "/>
    <n v="99004200"/>
    <x v="4"/>
    <s v="2308/000010"/>
    <n v="1370152709"/>
    <n v="70"/>
    <x v="0"/>
    <x v="0"/>
    <s v="A1"/>
    <n v="2100068617"/>
    <n v="205"/>
    <s v="E4364614       "/>
    <s v="E4364614 D.OV24LID TEFAL BY JO SS UNCOAT          "/>
    <s v="S"/>
    <d v="2012-02-01T00:00:00"/>
    <m/>
    <s v="X"/>
    <x v="73"/>
    <n v="16.956399999999999"/>
    <n v="14"/>
    <d v="2012-02-16T00:00:00"/>
    <d v="2012-01-19T00:00:00"/>
    <n v="1000"/>
    <d v="2012-01-19T00:00:00"/>
    <n v="1000"/>
    <m/>
    <d v="2012-01-19T00:00:00"/>
    <n v="1000"/>
    <d v="2012-02-16T00:00:00"/>
    <d v="2012-01-19T00:00:00"/>
    <n v="1000"/>
    <n v="1000"/>
    <x v="1"/>
    <d v="2012-02-20T00:00:00"/>
    <m/>
    <n v="9321673986"/>
    <n v="50"/>
    <s v="PCIU4564035"/>
    <s v="ALEXANDRIA BRIDGE/02"/>
    <m/>
    <s v="NINGBO"/>
    <m/>
    <m/>
    <s v="AGNES NUNES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4221"/>
    <s v="GROUPE SEB NEW ZEALAND                            "/>
    <n v="99004200"/>
    <x v="4"/>
    <s v="2308/000006"/>
    <n v="1370152709"/>
    <n v="40"/>
    <x v="0"/>
    <x v="0"/>
    <s v="A1"/>
    <n v="2100069121"/>
    <n v="205"/>
    <s v="E4362214       "/>
    <s v="E4362214 SCP16LID TEFAL BY JO SS UNCOATE          "/>
    <s v="S"/>
    <d v="2012-02-01T00:00:00"/>
    <m/>
    <s v="X"/>
    <x v="73"/>
    <n v="10.128500000000001"/>
    <n v="14"/>
    <d v="2012-02-16T00:00:00"/>
    <d v="2012-01-19T00:00:00"/>
    <n v="1000"/>
    <d v="2012-01-19T00:00:00"/>
    <n v="1000"/>
    <m/>
    <d v="2012-01-19T00:00:00"/>
    <n v="1000"/>
    <d v="2012-02-16T00:00:00"/>
    <d v="2012-01-19T00:00:00"/>
    <n v="1000"/>
    <n v="1000"/>
    <x v="1"/>
    <d v="2012-02-20T00:00:00"/>
    <m/>
    <n v="9321673986"/>
    <n v="60"/>
    <s v="PCIU4536630"/>
    <s v="ALEXANDRIA BRIDGE/02"/>
    <m/>
    <s v="NINGBO"/>
    <m/>
    <m/>
    <s v="AGNES NUNES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4221"/>
    <s v="GROUPE SEB NEW ZEALAND                            "/>
    <n v="99004200"/>
    <x v="4"/>
    <s v="2308/000008"/>
    <n v="1370152709"/>
    <n v="50"/>
    <x v="0"/>
    <x v="0"/>
    <s v="A1"/>
    <n v="2100069122"/>
    <n v="205"/>
    <s v="E4362314       "/>
    <s v="E4362314 SCP18LID TEFAL BY JO SS UNCOATE          "/>
    <s v="S"/>
    <d v="2012-02-01T00:00:00"/>
    <m/>
    <s v="X"/>
    <x v="73"/>
    <n v="11.1287"/>
    <n v="14"/>
    <d v="2012-02-16T00:00:00"/>
    <d v="2012-01-19T00:00:00"/>
    <n v="1000"/>
    <d v="2012-01-19T00:00:00"/>
    <n v="1000"/>
    <m/>
    <d v="2012-01-19T00:00:00"/>
    <n v="1000"/>
    <d v="2012-02-16T00:00:00"/>
    <d v="2012-01-19T00:00:00"/>
    <n v="1000"/>
    <n v="1000"/>
    <x v="1"/>
    <d v="2012-02-20T00:00:00"/>
    <m/>
    <n v="9321673986"/>
    <n v="70"/>
    <s v="PCIU4564035"/>
    <s v="ALEXANDRIA BRIDGE/02"/>
    <m/>
    <s v="NINGBO"/>
    <m/>
    <m/>
    <s v="AGNES NUNES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594/039774"/>
    <n v="1370152874"/>
    <n v="10"/>
    <x v="22"/>
    <x v="22"/>
    <s v="N4"/>
    <n v="7211000641"/>
    <n v="177"/>
    <n v="211000641"/>
    <s v="AF102750 FRY UNO FB ALU SS/BLK CA                 "/>
    <s v="S"/>
    <d v="2012-01-28T00:00:00"/>
    <m/>
    <s v="X"/>
    <x v="73"/>
    <n v="23.4178"/>
    <n v="24"/>
    <d v="2012-02-16T00:00:00"/>
    <d v="2012-01-19T00:00:00"/>
    <n v="1944"/>
    <d v="2012-01-19T00:00:00"/>
    <n v="1944"/>
    <m/>
    <d v="2012-01-19T00:00:00"/>
    <n v="1944"/>
    <d v="2012-02-16T00:00:00"/>
    <d v="2012-01-19T00:00:00"/>
    <n v="1944"/>
    <n v="1944"/>
    <x v="26"/>
    <d v="2012-02-18T00:00:00"/>
    <m/>
    <n v="9321673999"/>
    <n v="10"/>
    <s v="TCLU5565327"/>
    <s v="SAVANNAH EXPRESS 44E"/>
    <m/>
    <s v="NINGBO"/>
    <m/>
    <m/>
    <s v="TWEETY LEUNG"/>
    <s v="FO9"/>
    <s v="ELECTRICAL COOKING            "/>
    <s v="CONFIRMED"/>
    <n v="1"/>
    <n v="3"/>
    <d v="2012-01-21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71236/000010"/>
    <n v="1370152493"/>
    <n v="10"/>
    <x v="8"/>
    <x v="8"/>
    <s v="K9"/>
    <n v="8000033964"/>
    <n v="38"/>
    <s v="KP100240       "/>
    <s v="KP100240 NDG PICCOLO WHT UK                       "/>
    <s v="S"/>
    <d v="2012-01-06T00:00:00"/>
    <m/>
    <s v="X"/>
    <x v="73"/>
    <n v="34.6"/>
    <n v="39171"/>
    <d v="2012-01-09T00:00:00"/>
    <d v="2012-01-08T00:00:00"/>
    <n v="1040"/>
    <d v="2012-01-08T00:00:00"/>
    <n v="1040"/>
    <m/>
    <d v="2012-01-06T00:00:00"/>
    <n v="1040"/>
    <d v="2012-01-07T00:00:00"/>
    <d v="2012-01-06T00:00:00"/>
    <n v="1040"/>
    <n v="1040"/>
    <x v="2"/>
    <d v="2012-01-05T00:00:00"/>
    <m/>
    <n v="9321674002"/>
    <n v="10"/>
    <s v="BY TRUCK"/>
    <s v="BY TRUCK"/>
    <m/>
    <s v="YANTIAN"/>
    <s v="UNLOAD JAN03 2012"/>
    <m/>
    <s v="ZANDRA LAM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7485/000010"/>
    <n v="1370151502"/>
    <n v="10"/>
    <x v="8"/>
    <x v="8"/>
    <s v="K9"/>
    <n v="8000033943"/>
    <n v="30"/>
    <s v="XN200310       "/>
    <s v="XN200310 NES ESSENZA MANUAL BLK EUR               "/>
    <s v="S"/>
    <d v="2012-01-29T00:00:00"/>
    <m/>
    <s v="X"/>
    <x v="73"/>
    <n v="40.79"/>
    <n v="35"/>
    <d v="2012-02-13T00:00:00"/>
    <d v="2012-01-16T00:00:00"/>
    <n v="2380"/>
    <d v="2012-01-16T00:00:00"/>
    <n v="2380"/>
    <m/>
    <d v="2012-01-20T00:00:00"/>
    <n v="2380"/>
    <d v="2012-02-11T00:00:00"/>
    <d v="2012-01-14T00:00:00"/>
    <n v="2380"/>
    <n v="2380"/>
    <x v="26"/>
    <d v="2012-02-18T00:00:00"/>
    <m/>
    <n v="9321674084"/>
    <n v="10"/>
    <s v="MSKU1977447"/>
    <s v="MAERSK TANJONG/1202"/>
    <m/>
    <s v="YANTIAN"/>
    <m/>
    <m/>
    <s v="JASON FAN"/>
    <s v="FO9"/>
    <s v="BEVERAGE                      "/>
    <s v="CONFIRMED"/>
    <n v="1"/>
    <n v="3"/>
    <d v="2012-01-21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7483/000010"/>
    <n v="1370151513"/>
    <n v="10"/>
    <x v="8"/>
    <x v="8"/>
    <s v="K9"/>
    <n v="8000033943"/>
    <n v="30"/>
    <s v="XN200310       "/>
    <s v="XN200310 NES ESSENZA MANUAL BLK EUR               "/>
    <s v="S"/>
    <d v="2012-01-29T00:00:00"/>
    <m/>
    <s v="X"/>
    <x v="73"/>
    <n v="40.79"/>
    <n v="35"/>
    <d v="2012-02-13T00:00:00"/>
    <d v="2012-01-16T00:00:00"/>
    <n v="2380"/>
    <d v="2012-01-16T00:00:00"/>
    <n v="2380"/>
    <m/>
    <d v="2012-01-20T00:00:00"/>
    <n v="2380"/>
    <d v="2012-02-11T00:00:00"/>
    <d v="2012-01-14T00:00:00"/>
    <n v="2380"/>
    <n v="2380"/>
    <x v="26"/>
    <d v="2012-02-18T00:00:00"/>
    <m/>
    <n v="9321674095"/>
    <n v="10"/>
    <s v="MSKU8896286"/>
    <s v="MAERSK TANJONG/1202"/>
    <m/>
    <s v="YANTIAN"/>
    <m/>
    <m/>
    <s v="JASON FAN"/>
    <s v="FO9"/>
    <s v="BEVERAGE                      "/>
    <s v="CONFIRMED"/>
    <n v="1"/>
    <n v="3"/>
    <d v="2012-01-21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7488/000010"/>
    <n v="1370151527"/>
    <n v="10"/>
    <x v="8"/>
    <x v="8"/>
    <s v="K9"/>
    <n v="8000033943"/>
    <n v="30"/>
    <s v="XN200310       "/>
    <s v="XN200310 NES ESSENZA MANUAL BLK EUR               "/>
    <s v="S"/>
    <d v="2012-01-29T00:00:00"/>
    <m/>
    <s v="X"/>
    <x v="73"/>
    <n v="40.79"/>
    <n v="35"/>
    <d v="2012-02-13T00:00:00"/>
    <d v="2012-01-16T00:00:00"/>
    <n v="2380"/>
    <d v="2012-01-16T00:00:00"/>
    <n v="2380"/>
    <m/>
    <d v="2012-01-27T00:00:00"/>
    <n v="2380"/>
    <d v="2012-02-18T00:00:00"/>
    <d v="2012-01-21T00:00:00"/>
    <n v="2380"/>
    <n v="2380"/>
    <x v="26"/>
    <d v="2012-02-18T00:00:00"/>
    <m/>
    <n v="9321674100"/>
    <n v="10"/>
    <s v="MRKU3280948"/>
    <s v="MAERSK TANJONG/1202"/>
    <m/>
    <s v="YANTIAN"/>
    <s v="SP-HOLIDAY/"/>
    <m/>
    <s v="JASON FAN"/>
    <s v="FO9"/>
    <s v="BEVERAGE                      "/>
    <s v="CONFIRMED"/>
    <n v="1"/>
    <n v="3"/>
    <d v="2012-01-21T00:00:00"/>
    <s v="KITCHEN ELECTRICS             "/>
    <s v="BREAKFAST &amp; BREVAGE PREP      "/>
    <x v="4"/>
    <x v="1"/>
    <x v="7"/>
    <s v="SP-HOLIDAY"/>
    <n v="-3"/>
    <n v="-3"/>
    <x v="6"/>
    <n v="1"/>
    <x v="0"/>
    <x v="1"/>
    <x v="1"/>
    <n v="1"/>
    <n v="0"/>
    <n v="1"/>
    <n v="0"/>
    <n v="0"/>
    <n v="1"/>
    <x v="0"/>
    <x v="0"/>
    <x v="1"/>
    <x v="1"/>
  </r>
  <r>
    <s v="Shipment"/>
    <n v="99008200"/>
    <s v="GROUPE SEB IBERICA                                "/>
    <n v="99008200"/>
    <x v="21"/>
    <s v="9321668270/000010"/>
    <n v="1370151808"/>
    <n v="10"/>
    <x v="8"/>
    <x v="8"/>
    <s v="K9"/>
    <n v="8000033702"/>
    <n v="38"/>
    <s v="KP500610       "/>
    <s v="KP500610 NDG CIRCOLO RED EUR                      "/>
    <s v="S"/>
    <d v="2012-01-29T00:00:00"/>
    <m/>
    <s v="X"/>
    <x v="73"/>
    <n v="52.28"/>
    <n v="44"/>
    <d v="2012-02-13T00:00:00"/>
    <d v="2012-01-16T00:00:00"/>
    <n v="1240"/>
    <d v="2012-01-16T00:00:00"/>
    <n v="1240"/>
    <m/>
    <d v="2012-01-23T00:00:00"/>
    <n v="1240"/>
    <d v="2012-02-17T00:00:00"/>
    <d v="2012-01-20T00:00:00"/>
    <n v="1240"/>
    <n v="1240"/>
    <x v="26"/>
    <d v="2012-02-18T00:00:00"/>
    <m/>
    <n v="9321674103"/>
    <n v="10"/>
    <s v="MSKU6261352"/>
    <s v="MAERSK TANJONG/1202"/>
    <m/>
    <s v="YANTIAN"/>
    <m/>
    <m/>
    <s v="JASON FAN"/>
    <s v="FO9"/>
    <s v="BEVERAGE                      "/>
    <s v="CONFIRMED"/>
    <n v="1"/>
    <n v="3"/>
    <d v="2012-01-21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8269/000010"/>
    <n v="1370151810"/>
    <n v="10"/>
    <x v="8"/>
    <x v="8"/>
    <s v="K9"/>
    <n v="8000033697"/>
    <n v="38"/>
    <s v="KP500210       "/>
    <s v="KP500210 NDG CIRCOLO PEARLY EUR                   "/>
    <s v="S"/>
    <d v="2012-01-29T00:00:00"/>
    <m/>
    <s v="X"/>
    <x v="73"/>
    <n v="50.38"/>
    <n v="42"/>
    <d v="2012-02-13T00:00:00"/>
    <d v="2012-01-16T00:00:00"/>
    <n v="1240"/>
    <d v="2012-01-16T00:00:00"/>
    <n v="1240"/>
    <m/>
    <d v="2012-01-23T00:00:00"/>
    <n v="1240"/>
    <d v="2012-02-17T00:00:00"/>
    <d v="2012-01-20T00:00:00"/>
    <n v="1240"/>
    <n v="1240"/>
    <x v="26"/>
    <d v="2012-02-18T00:00:00"/>
    <m/>
    <n v="9321674104"/>
    <n v="10"/>
    <s v="CAXU4036875"/>
    <s v="MAERSK TANJONG/1202"/>
    <m/>
    <s v="YANTIAN"/>
    <m/>
    <m/>
    <s v="JASON FAN"/>
    <s v="FO9"/>
    <s v="BEVERAGE                      "/>
    <s v="CONFIRMED"/>
    <n v="1"/>
    <n v="3"/>
    <d v="2012-01-21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4322/000010"/>
    <n v="1370152030"/>
    <n v="10"/>
    <x v="8"/>
    <x v="8"/>
    <s v="K9"/>
    <n v="8000033706"/>
    <n v="38"/>
    <s v="KP500010       "/>
    <s v="KP500010 NDG CIRCOLO ANTH EUR                     "/>
    <s v="S"/>
    <d v="2012-01-20T00:00:00"/>
    <m/>
    <s v="X"/>
    <x v="73"/>
    <n v="50.22"/>
    <n v="42"/>
    <d v="2012-02-20T00:00:00"/>
    <d v="2012-01-16T00:00:00"/>
    <n v="1240"/>
    <d v="2012-01-16T00:00:00"/>
    <n v="1240"/>
    <m/>
    <d v="2012-01-23T00:00:00"/>
    <n v="1240"/>
    <d v="2012-02-27T00:00:00"/>
    <d v="2012-01-23T00:00:00"/>
    <n v="1240"/>
    <n v="1240"/>
    <x v="14"/>
    <d v="2012-02-24T00:00:00"/>
    <m/>
    <n v="9321674105"/>
    <n v="10"/>
    <s v="TGHU4646059"/>
    <s v="MOL MATRIX/010W"/>
    <m/>
    <s v="YANTIAN"/>
    <m/>
    <m/>
    <s v="AGNES NUNES"/>
    <s v="FO9"/>
    <s v="BEVERAGE                      "/>
    <s v="CONFIRMED"/>
    <n v="1"/>
    <n v="3"/>
    <d v="2012-01-20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4321/000010"/>
    <n v="1370152031"/>
    <n v="10"/>
    <x v="8"/>
    <x v="8"/>
    <s v="K9"/>
    <n v="8000033697"/>
    <n v="38"/>
    <s v="KP500210       "/>
    <s v="KP500210 NDG CIRCOLO PEARLY EUR                   "/>
    <s v="S"/>
    <d v="2012-02-01T00:00:00"/>
    <m/>
    <s v="X"/>
    <x v="73"/>
    <n v="50.38"/>
    <n v="42"/>
    <d v="2012-02-20T00:00:00"/>
    <d v="2012-01-16T00:00:00"/>
    <n v="1240"/>
    <d v="2012-01-16T00:00:00"/>
    <n v="1240"/>
    <m/>
    <d v="2012-01-23T00:00:00"/>
    <n v="1240"/>
    <d v="2012-02-27T00:00:00"/>
    <d v="2012-01-23T00:00:00"/>
    <n v="1240"/>
    <n v="1240"/>
    <x v="15"/>
    <d v="2012-03-01T00:00:00"/>
    <m/>
    <n v="9321674106"/>
    <n v="10"/>
    <s v="APZU4820497"/>
    <s v="MOL MARVEL/008W"/>
    <m/>
    <s v="YANTIAN"/>
    <s v="SP-MTL"/>
    <m/>
    <s v="AGNES NUNES"/>
    <s v="FO9"/>
    <s v="BEVERAGE                      "/>
    <s v="CONFIRMED"/>
    <n v="1"/>
    <n v="4"/>
    <d v="2012-01-26T00:00:00"/>
    <s v="KITCHEN ELECTRICS             "/>
    <s v="BREAKFAST &amp; BREVAGE PREP      "/>
    <x v="4"/>
    <x v="1"/>
    <x v="9"/>
    <s v="SP-MTL"/>
    <n v="1"/>
    <n v="1"/>
    <x v="10"/>
    <n v="1"/>
    <x v="0"/>
    <x v="0"/>
    <x v="1"/>
    <n v="0"/>
    <n v="0"/>
    <n v="0"/>
    <n v="0"/>
    <n v="0"/>
    <n v="0"/>
    <x v="1"/>
    <x v="0"/>
    <x v="1"/>
    <x v="0"/>
  </r>
  <r>
    <s v="Shipment"/>
    <n v="99008300"/>
    <s v="KRUPS GmbH &amp; Co. KG                               "/>
    <n v="99008300"/>
    <x v="15"/>
    <s v="4500264324/000010"/>
    <n v="1370152033"/>
    <n v="10"/>
    <x v="8"/>
    <x v="8"/>
    <s v="K9"/>
    <n v="8000033999"/>
    <n v="38"/>
    <s v="KP210110       "/>
    <s v="KP210110 NDG MELODY 2 PIANO BLK EUR               "/>
    <s v="S"/>
    <d v="2012-02-01T00:00:00"/>
    <m/>
    <s v="X"/>
    <x v="73"/>
    <n v="44.49"/>
    <n v="37"/>
    <d v="2012-02-20T00:00:00"/>
    <d v="2012-01-16T00:00:00"/>
    <n v="1240"/>
    <d v="2012-01-16T00:00:00"/>
    <n v="1240"/>
    <m/>
    <d v="2012-01-23T00:00:00"/>
    <n v="1240"/>
    <d v="2012-02-27T00:00:00"/>
    <d v="2012-01-23T00:00:00"/>
    <n v="1240"/>
    <n v="1240"/>
    <x v="15"/>
    <d v="2012-03-01T00:00:00"/>
    <m/>
    <n v="9321674108"/>
    <n v="10"/>
    <s v="TRLU9433863"/>
    <s v="MOL MARVEL/008W"/>
    <m/>
    <s v="YANTIAN"/>
    <s v="SP-MTL"/>
    <m/>
    <s v="AGNES NUNES"/>
    <s v="FO9"/>
    <s v="BEVERAGE                      "/>
    <s v="CONFIRMED"/>
    <n v="1"/>
    <n v="4"/>
    <d v="2012-01-26T00:00:00"/>
    <s v="KITCHEN ELECTRICS             "/>
    <s v="BREAKFAST &amp; BREVAGE PREP      "/>
    <x v="4"/>
    <x v="1"/>
    <x v="9"/>
    <s v="SP-MTL"/>
    <n v="1"/>
    <n v="1"/>
    <x v="10"/>
    <n v="1"/>
    <x v="0"/>
    <x v="0"/>
    <x v="1"/>
    <n v="0"/>
    <n v="0"/>
    <n v="0"/>
    <n v="0"/>
    <n v="0"/>
    <n v="0"/>
    <x v="1"/>
    <x v="0"/>
    <x v="1"/>
    <x v="0"/>
  </r>
  <r>
    <s v="Shipment"/>
    <n v="99008300"/>
    <s v="KRUPS GmbH &amp; Co. KG                               "/>
    <n v="99008300"/>
    <x v="15"/>
    <s v="4500264323/000010"/>
    <n v="1370152034"/>
    <n v="10"/>
    <x v="8"/>
    <x v="8"/>
    <s v="K9"/>
    <n v="8000034371"/>
    <n v="38"/>
    <s v="KP260010       "/>
    <s v="KP260010 NDG CREATIVA+ GRE EUR                    "/>
    <s v="S"/>
    <d v="2012-01-20T00:00:00"/>
    <m/>
    <s v="X"/>
    <x v="73"/>
    <n v="70.45"/>
    <n v="59"/>
    <d v="2012-02-20T00:00:00"/>
    <d v="2012-01-16T00:00:00"/>
    <n v="1240"/>
    <d v="2012-01-16T00:00:00"/>
    <n v="1240"/>
    <m/>
    <d v="2012-01-20T00:00:00"/>
    <n v="1240"/>
    <d v="2012-02-24T00:00:00"/>
    <d v="2012-01-20T00:00:00"/>
    <n v="1240"/>
    <n v="1240"/>
    <x v="14"/>
    <d v="2012-02-24T00:00:00"/>
    <m/>
    <n v="9321674109"/>
    <n v="10"/>
    <s v="TTNU5392495"/>
    <s v="MOL MATRIX/010W"/>
    <m/>
    <s v="YANTIAN"/>
    <m/>
    <m/>
    <s v="AGNES NUNES"/>
    <s v="FO9"/>
    <s v="BEVERAGE                      "/>
    <s v="CONFIRMED"/>
    <n v="1"/>
    <n v="3"/>
    <d v="2012-01-20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4320/000010"/>
    <n v="1370152036"/>
    <n v="10"/>
    <x v="8"/>
    <x v="8"/>
    <s v="K9"/>
    <n v="8000033965"/>
    <n v="38"/>
    <s v="KP100610       "/>
    <s v="KP100610 NDG PICCOLO RED EUR                      "/>
    <s v="S"/>
    <d v="2012-01-19T00:00:00"/>
    <m/>
    <s v="X"/>
    <x v="73"/>
    <n v="33.79"/>
    <n v="28"/>
    <d v="2012-02-20T00:00:00"/>
    <d v="2012-01-16T00:00:00"/>
    <n v="4320"/>
    <d v="2012-01-20T00:00:00"/>
    <n v="4320"/>
    <m/>
    <d v="2012-01-27T00:00:00"/>
    <n v="4320"/>
    <d v="2012-02-24T00:00:00"/>
    <d v="2012-01-20T00:00:00"/>
    <n v="4320"/>
    <n v="2160"/>
    <x v="21"/>
    <d v="2012-02-22T00:00:00"/>
    <m/>
    <n v="9321674111"/>
    <n v="10"/>
    <s v="TCKU4522600"/>
    <s v="OOCL CALIFORNIA/29W0"/>
    <m/>
    <s v="YANTIAN"/>
    <s v="C-SHORTL/T/SP-HOLIDAY/"/>
    <m/>
    <s v="AGNES NUNES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7"/>
    <s v="SP-HOLIDAY"/>
    <n v="-3"/>
    <n v="-3"/>
    <x v="6"/>
    <n v="3"/>
    <x v="0"/>
    <x v="1"/>
    <x v="1"/>
    <n v="1"/>
    <n v="0"/>
    <n v="1"/>
    <n v="0"/>
    <n v="0"/>
    <n v="1"/>
    <x v="0"/>
    <x v="0"/>
    <x v="1"/>
    <x v="1"/>
  </r>
  <r>
    <s v="Shipment"/>
    <n v="99008300"/>
    <s v="KRUPS GmbH &amp; Co. KG                               "/>
    <n v="99008300"/>
    <x v="15"/>
    <s v="4500264320/000010"/>
    <n v="1370152036"/>
    <n v="10"/>
    <x v="8"/>
    <x v="8"/>
    <s v="K9"/>
    <n v="8000033965"/>
    <n v="38"/>
    <s v="KP100610       "/>
    <s v="KP100610 NDG PICCOLO RED EUR                      "/>
    <s v="S"/>
    <d v="2012-01-19T00:00:00"/>
    <m/>
    <s v="X"/>
    <x v="73"/>
    <n v="33.79"/>
    <n v="28"/>
    <d v="2012-02-20T00:00:00"/>
    <d v="2012-01-16T00:00:00"/>
    <n v="4320"/>
    <d v="2012-01-20T00:00:00"/>
    <n v="4320"/>
    <m/>
    <d v="2012-01-27T00:00:00"/>
    <n v="4320"/>
    <d v="2012-02-24T00:00:00"/>
    <d v="2012-01-20T00:00:00"/>
    <n v="4320"/>
    <n v="2160"/>
    <x v="21"/>
    <d v="2012-02-22T00:00:00"/>
    <m/>
    <n v="9321674111"/>
    <n v="10"/>
    <s v="TCKU4524990"/>
    <s v="OOCL CALIFORNIA/29W0"/>
    <m/>
    <s v="YANTIAN"/>
    <s v="C-SHORTL/T/SP-HOLIDAY/"/>
    <m/>
    <s v="AGNES NUNES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7"/>
    <s v="SP-HOLIDAY"/>
    <n v="-3"/>
    <n v="-3"/>
    <x v="6"/>
    <n v="3"/>
    <x v="0"/>
    <x v="1"/>
    <x v="1"/>
    <n v="1"/>
    <n v="0"/>
    <n v="1"/>
    <n v="0"/>
    <n v="0"/>
    <n v="1"/>
    <x v="0"/>
    <x v="0"/>
    <x v="1"/>
    <x v="1"/>
  </r>
  <r>
    <s v="Shipment"/>
    <n v="99008200"/>
    <s v="GROUPE SEB IBERICA                                "/>
    <n v="99008200"/>
    <x v="21"/>
    <s v="9321672562/000010"/>
    <n v="1370152727"/>
    <n v="10"/>
    <x v="4"/>
    <x v="4"/>
    <s v="M5"/>
    <n v="2210015096"/>
    <n v="68"/>
    <s v="RH856501       "/>
    <s v="RH856501 CORDLESS HANDSTICK-24V                   "/>
    <s v="S"/>
    <d v="2012-01-29T00:00:00"/>
    <m/>
    <s v="X"/>
    <x v="73"/>
    <n v="54.33"/>
    <n v="46"/>
    <d v="2012-03-05T00:00:00"/>
    <d v="2012-02-06T00:00:00"/>
    <n v="1722"/>
    <d v="2012-02-06T00:00:00"/>
    <n v="1722"/>
    <m/>
    <d v="2012-01-21T00:00:00"/>
    <n v="1722"/>
    <d v="2012-02-18T00:00:00"/>
    <d v="2012-01-21T00:00:00"/>
    <n v="1722"/>
    <n v="1722"/>
    <x v="4"/>
    <d v="2012-02-19T00:00:00"/>
    <m/>
    <n v="9321674131"/>
    <n v="10"/>
    <s v="POCU1130295"/>
    <s v="MAERSK TANJONG/1202"/>
    <m/>
    <s v="YANTIAN"/>
    <s v="SP-HOLIDAY/"/>
    <m/>
    <s v="JASON FAN"/>
    <s v="FO9"/>
    <s v="HOME CLEANING                 "/>
    <s v="CONFIRMED"/>
    <n v="1"/>
    <n v="3"/>
    <d v="2012-01-22T00:00:00"/>
    <s v="HOME CLEANING                 "/>
    <s v="HOME CLEANING                 "/>
    <x v="3"/>
    <x v="2"/>
    <x v="7"/>
    <s v="SP-HOLIDAY"/>
    <n v="-3"/>
    <n v="-3"/>
    <x v="6"/>
    <n v="1"/>
    <x v="0"/>
    <x v="0"/>
    <x v="0"/>
    <n v="1"/>
    <n v="0"/>
    <n v="0"/>
    <n v="0"/>
    <n v="1"/>
    <n v="1"/>
    <x v="0"/>
    <x v="0"/>
    <x v="1"/>
    <x v="1"/>
  </r>
  <r>
    <s v="Shipment"/>
    <n v="99007325"/>
    <s v="Spedition Hendricks GmbH &amp; Co.KG                  "/>
    <n v="99007300"/>
    <x v="17"/>
    <s v="4500264981/000010"/>
    <n v="1370152828"/>
    <n v="10"/>
    <x v="16"/>
    <x v="16"/>
    <s v="L4"/>
    <n v="1830003242"/>
    <n v="5"/>
    <s v="CV7310N5       "/>
    <s v="CV7310N5 PRO 2300 HAIR DRYER                      "/>
    <s v="S"/>
    <d v="2012-01-20T00:00:00"/>
    <m/>
    <s v="X"/>
    <x v="73"/>
    <n v="10.96"/>
    <n v="9"/>
    <d v="2012-03-12T00:00:00"/>
    <d v="2012-02-06T00:00:00"/>
    <n v="2800"/>
    <d v="2012-01-19T00:00:00"/>
    <n v="2800"/>
    <m/>
    <d v="2012-01-19T00:00:00"/>
    <n v="2800"/>
    <d v="2012-02-23T00:00:00"/>
    <d v="2012-01-19T00:00:00"/>
    <n v="2800"/>
    <n v="2800"/>
    <x v="22"/>
    <d v="2012-02-23T00:00:00"/>
    <m/>
    <n v="9321674132"/>
    <n v="10"/>
    <s v="TRLU3709173"/>
    <s v="MOL MATRIX/010W"/>
    <m/>
    <s v="YANTIAN"/>
    <s v="C-PULLIN-CONF/"/>
    <m/>
    <s v="AGNES NUNES"/>
    <s v="FO9"/>
    <s v="PERSONAL CARE                 "/>
    <s v="CONFIRMED"/>
    <n v="1"/>
    <n v="3"/>
    <d v="2012-01-19T00:00:00"/>
    <s v="LINEN PERS HOME CARE          "/>
    <s v="PERSONAL CARE                 "/>
    <x v="3"/>
    <x v="2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7300"/>
    <s v="GROUPE SEB DEUTSCHLAND                            "/>
    <n v="99007300"/>
    <x v="17"/>
    <s v="4500264971/000010"/>
    <n v="1370152829"/>
    <n v="10"/>
    <x v="15"/>
    <x v="15"/>
    <s v="J4"/>
    <n v="1830002953"/>
    <n v="142"/>
    <s v="DG5035F0       "/>
    <s v="DG5035F0 CLASSICAL STEAM STATION MASTER           "/>
    <s v="S"/>
    <d v="2012-01-17T00:00:00"/>
    <m/>
    <s v="X"/>
    <x v="73"/>
    <n v="45.53"/>
    <n v="39"/>
    <d v="2012-02-20T00:00:00"/>
    <d v="2012-01-16T00:00:00"/>
    <n v="774"/>
    <d v="2012-01-16T00:00:00"/>
    <n v="774"/>
    <m/>
    <d v="2012-01-20T00:00:00"/>
    <n v="774"/>
    <d v="2012-02-24T00:00:00"/>
    <d v="2012-01-20T00:00:00"/>
    <n v="774"/>
    <n v="774"/>
    <x v="11"/>
    <d v="2012-02-19T00:00:00"/>
    <m/>
    <n v="9321674154"/>
    <n v="10"/>
    <s v="APZU3541477"/>
    <s v="MOL CHARISMA/009W"/>
    <m/>
    <s v="NINGBO"/>
    <m/>
    <m/>
    <s v="AGNES NUNES"/>
    <s v="FO9"/>
    <s v="LINEN CARE                    "/>
    <s v="CONFIRMED"/>
    <n v="1"/>
    <n v="2"/>
    <d v="2012-01-15T00:00:00"/>
    <s v="LINEN PERS HOME CARE          "/>
    <s v="LINEN CARE   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2013/000010"/>
    <n v="1370151537"/>
    <n v="10"/>
    <x v="8"/>
    <x v="8"/>
    <s v="K9"/>
    <n v="8000034497"/>
    <n v="38"/>
    <s v="PJ1509B1       "/>
    <s v="PJ1509B1 NDG GENIO TIT 127V BR                    "/>
    <s v="S"/>
    <d v="2012-01-21T00:00:00"/>
    <m/>
    <s v="X"/>
    <x v="73"/>
    <n v="57.97"/>
    <n v="65"/>
    <d v="2012-01-30T00:00:00"/>
    <d v="2011-12-19T00:00:00"/>
    <n v="1512"/>
    <d v="2012-01-11T00:00:00"/>
    <n v="1512"/>
    <m/>
    <d v="2011-12-30T00:00:00"/>
    <n v="1512"/>
    <d v="2012-02-29T00:00:00"/>
    <d v="2012-01-18T00:00:00"/>
    <n v="1512"/>
    <n v="1512"/>
    <x v="21"/>
    <d v="2012-02-29T00:00:00"/>
    <m/>
    <n v="9321674157"/>
    <n v="10"/>
    <s v="SUDU8948887"/>
    <s v="MAERSK LUZ 202W/"/>
    <m/>
    <s v="YANTIAN"/>
    <s v="NEWREQ-CUSTOMS/SP-NO-FORECAST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8"/>
    <s v="SP-NO-FORECAST"/>
    <n v="1"/>
    <n v="-3"/>
    <x v="15"/>
    <n v="2"/>
    <x v="0"/>
    <x v="0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2013/000020"/>
    <n v="1370151537"/>
    <n v="20"/>
    <x v="8"/>
    <x v="8"/>
    <s v="K9"/>
    <n v="8000034498"/>
    <n v="38"/>
    <s v="PJ1509B2       "/>
    <s v="PJ1509B2 NDG GENIO TIT 220V BR                    "/>
    <s v="S"/>
    <d v="2012-01-21T00:00:00"/>
    <m/>
    <s v="X"/>
    <x v="73"/>
    <n v="56.83"/>
    <n v="65"/>
    <d v="2012-01-30T00:00:00"/>
    <d v="2011-12-19T00:00:00"/>
    <n v="648"/>
    <d v="2012-01-11T00:00:00"/>
    <n v="648"/>
    <m/>
    <d v="2011-12-30T00:00:00"/>
    <n v="648"/>
    <d v="2012-02-29T00:00:00"/>
    <d v="2012-01-18T00:00:00"/>
    <n v="648"/>
    <n v="648"/>
    <x v="21"/>
    <d v="2012-02-29T00:00:00"/>
    <m/>
    <n v="9321674157"/>
    <n v="20"/>
    <s v="SUDU8948887"/>
    <s v="MAERSK LUZ 202W/"/>
    <m/>
    <s v="YANTIAN"/>
    <s v="NEWREQ-CUSTOMS/SP-NO-FORECAST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8"/>
    <s v="SP-NO-FORECAST"/>
    <n v="1"/>
    <n v="-3"/>
    <x v="15"/>
    <n v="2"/>
    <x v="0"/>
    <x v="0"/>
    <x v="1"/>
    <n v="1"/>
    <n v="0"/>
    <n v="1"/>
    <n v="0"/>
    <n v="0"/>
    <n v="1"/>
    <x v="0"/>
    <x v="0"/>
    <x v="1"/>
    <x v="1"/>
  </r>
  <r>
    <s v="Shipment"/>
    <n v="99003700"/>
    <s v="SEB ASIA LTD                                      "/>
    <n v="99003700"/>
    <x v="7"/>
    <s v="SAS-10-343/HKG/"/>
    <n v="1370152462"/>
    <n v="10"/>
    <x v="44"/>
    <x v="44"/>
    <s v="P1"/>
    <n v="1500814170"/>
    <n v="106"/>
    <n v="814170"/>
    <s v="814170 HMX PREP'LINE 350W WHT/GRG HK              "/>
    <s v="S"/>
    <d v="2012-01-19T00:00:00"/>
    <m/>
    <s v="X"/>
    <x v="73"/>
    <n v="12.33"/>
    <n v="13"/>
    <d v="2012-01-16T00:00:00"/>
    <d v="2012-01-16T00:00:00"/>
    <n v="1002"/>
    <d v="2012-01-16T00:00:00"/>
    <n v="1002"/>
    <m/>
    <d v="2012-01-16T00:00:00"/>
    <n v="1002"/>
    <d v="2012-01-16T00:00:00"/>
    <d v="2012-01-16T00:00:00"/>
    <n v="1002"/>
    <n v="1002"/>
    <x v="21"/>
    <d v="2012-01-18T00:00:00"/>
    <m/>
    <n v="9321674201"/>
    <n v="10"/>
    <s v="TRUCK"/>
    <s v="LOCAL DELIVERY"/>
    <m/>
    <s v="YANTIAN"/>
    <m/>
    <m/>
    <s v="THOMAS HO"/>
    <s v="FO9"/>
    <s v="FOOD PREPARATION              "/>
    <s v="CONFIRMED"/>
    <n v="1"/>
    <n v="3"/>
    <d v="2012-01-18T00:00:00"/>
    <s v="KITCHEN ELECTRICS             "/>
    <s v="FOOD PREPARATION  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43/HKG/"/>
    <n v="1370152462"/>
    <n v="20"/>
    <x v="44"/>
    <x v="44"/>
    <s v="P1"/>
    <n v="1500814360"/>
    <n v="106"/>
    <n v="814360"/>
    <s v="814360 HMX 5V 350W STD BOWL WHT/GRG AE            "/>
    <s v="S"/>
    <d v="2012-01-19T00:00:00"/>
    <m/>
    <s v="X"/>
    <x v="73"/>
    <n v="15.13"/>
    <n v="13"/>
    <d v="2012-01-16T00:00:00"/>
    <d v="2012-01-16T00:00:00"/>
    <n v="1004"/>
    <d v="2012-01-16T00:00:00"/>
    <n v="1004"/>
    <m/>
    <d v="2012-01-16T00:00:00"/>
    <n v="1004"/>
    <d v="2012-01-16T00:00:00"/>
    <d v="2012-01-16T00:00:00"/>
    <n v="1004"/>
    <n v="1004"/>
    <x v="21"/>
    <d v="2012-01-18T00:00:00"/>
    <m/>
    <n v="9321674201"/>
    <n v="20"/>
    <s v="TRUCK"/>
    <s v="LOCAL DELIVERY"/>
    <m/>
    <s v="SHENZHEN"/>
    <m/>
    <m/>
    <s v="THOMAS HO"/>
    <s v="FO9"/>
    <s v="FOOD PREPARATION              "/>
    <s v="CONFIRMED"/>
    <n v="1"/>
    <n v="3"/>
    <d v="2012-01-18T00:00:00"/>
    <s v="KITCHEN ELECTRICS             "/>
    <s v="FOOD PREPARATION  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42/HKG/"/>
    <n v="1370152469"/>
    <n v="10"/>
    <x v="44"/>
    <x v="44"/>
    <s v="P1"/>
    <n v="1500831461"/>
    <n v="105"/>
    <n v="831461"/>
    <s v="ZN355161 JUI ELEA DUO WHT/CAS SA                  "/>
    <s v="S"/>
    <d v="2012-01-19T00:00:00"/>
    <m/>
    <s v="X"/>
    <x v="73"/>
    <n v="21.35"/>
    <n v="22"/>
    <d v="2012-01-16T00:00:00"/>
    <d v="2012-01-16T00:00:00"/>
    <n v="880"/>
    <d v="2012-01-16T00:00:00"/>
    <n v="880"/>
    <m/>
    <d v="2012-01-16T00:00:00"/>
    <n v="880"/>
    <d v="2012-01-16T00:00:00"/>
    <d v="2012-01-16T00:00:00"/>
    <n v="880"/>
    <n v="880"/>
    <x v="21"/>
    <d v="2012-01-18T00:00:00"/>
    <m/>
    <n v="9321674203"/>
    <n v="10"/>
    <s v="TRUCK"/>
    <s v="LOCAL DELIVERY"/>
    <m/>
    <s v="YANTIAN"/>
    <m/>
    <m/>
    <s v="THOMAS HO"/>
    <s v="FO9"/>
    <s v="FOOD PREPARATION              "/>
    <s v="CONFIRMED"/>
    <n v="1"/>
    <n v="3"/>
    <d v="2012-01-18T00:00:00"/>
    <s v="KITCHEN ELECTRICS             "/>
    <s v="FOOD PREPARATION  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38/HKG/"/>
    <n v="1370152464"/>
    <n v="10"/>
    <x v="16"/>
    <x v="16"/>
    <s v="L4"/>
    <n v="1830002781"/>
    <n v="5"/>
    <s v="CV4822Y0       "/>
    <s v="CV4822Y0 HAIR DRYER COMPACT PRO                   "/>
    <s v="S"/>
    <d v="2012-01-19T00:00:00"/>
    <m/>
    <s v="X"/>
    <x v="73"/>
    <n v="11.06"/>
    <n v="12"/>
    <d v="2012-02-07T00:00:00"/>
    <d v="2012-02-07T00:00:00"/>
    <n v="1002"/>
    <d v="2012-01-18T00:00:00"/>
    <n v="1002"/>
    <m/>
    <d v="2012-02-06T00:00:00"/>
    <n v="1002"/>
    <d v="2012-01-16T00:00:00"/>
    <d v="2012-01-16T00:00:00"/>
    <n v="1002"/>
    <n v="1002"/>
    <x v="21"/>
    <d v="2012-01-18T00:00:00"/>
    <m/>
    <n v="9321674220"/>
    <n v="10"/>
    <s v="TRUCK"/>
    <s v="LOCAL DELIVERY"/>
    <m/>
    <s v="YANTIAN"/>
    <m/>
    <m/>
    <s v="THOMAS HO"/>
    <s v="FO9"/>
    <s v="PERSONAL CARE                 "/>
    <s v="CONFIRMED"/>
    <n v="1"/>
    <n v="3"/>
    <d v="2012-01-18T00:00:00"/>
    <s v="LINEN PERS HOME CARE          "/>
    <s v="PERSONAL CARE                 "/>
    <x v="3"/>
    <x v="2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3171789"/>
    <s v="APL LOGISTICS/ TJ MAXX DI 001                     "/>
    <n v="99008400"/>
    <x v="12"/>
    <s v="9321673218/000010"/>
    <n v="1370152840"/>
    <n v="10"/>
    <x v="0"/>
    <x v="0"/>
    <s v="A1"/>
    <n v="2100056178"/>
    <n v="201"/>
    <n v="116000520"/>
    <s v="C161S3DX T-FAL TNS BLACK TJ MAXX FP 8/10          "/>
    <s v="S"/>
    <d v="2012-01-16T00:00:00"/>
    <m/>
    <s v="X"/>
    <x v="73"/>
    <n v="18.504999999999999"/>
    <n v="19"/>
    <d v="2012-01-24T00:00:00"/>
    <d v="2012-01-10T00:00:00"/>
    <n v="304"/>
    <d v="2012-01-10T00:00:00"/>
    <n v="304"/>
    <m/>
    <d v="2012-01-17T00:00:00"/>
    <n v="304"/>
    <d v="2012-02-03T00:00:00"/>
    <d v="2012-01-20T00:00:00"/>
    <n v="304"/>
    <n v="304"/>
    <x v="14"/>
    <d v="2012-02-03T00:00:00"/>
    <m/>
    <n v="9321674251"/>
    <n v="10"/>
    <s v="NYKU4632545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8/000020"/>
    <n v="1370152840"/>
    <n v="20"/>
    <x v="0"/>
    <x v="0"/>
    <s v="A1"/>
    <n v="2100056207"/>
    <n v="200"/>
    <n v="116000522"/>
    <s v="C162S3DX T-FAL TNS RED TJ MAXX FP 8/10/1          "/>
    <s v="S"/>
    <d v="2012-01-16T00:00:00"/>
    <m/>
    <s v="X"/>
    <x v="73"/>
    <n v="18.309100000000001"/>
    <n v="19"/>
    <d v="2012-01-24T00:00:00"/>
    <d v="2012-01-10T00:00:00"/>
    <n v="303"/>
    <d v="2012-01-10T00:00:00"/>
    <n v="303"/>
    <m/>
    <d v="2012-01-17T00:00:00"/>
    <n v="303"/>
    <d v="2012-02-03T00:00:00"/>
    <d v="2012-01-20T00:00:00"/>
    <n v="303"/>
    <n v="303"/>
    <x v="14"/>
    <d v="2012-02-03T00:00:00"/>
    <m/>
    <n v="9321674251"/>
    <n v="20"/>
    <s v="NYKU4587554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8/000030"/>
    <n v="1370152840"/>
    <n v="30"/>
    <x v="0"/>
    <x v="0"/>
    <s v="A1"/>
    <n v="2100060743"/>
    <n v="201"/>
    <n v="116000732"/>
    <s v="C115JCDX TFAL TNS BLACK TJMAX 5QT JC/10&quot;          "/>
    <s v="S"/>
    <d v="2012-01-16T00:00:00"/>
    <m/>
    <s v="X"/>
    <x v="73"/>
    <n v="19.686"/>
    <n v="19"/>
    <d v="2012-01-24T00:00:00"/>
    <d v="2012-01-10T00:00:00"/>
    <n v="252"/>
    <d v="2012-01-10T00:00:00"/>
    <n v="252"/>
    <m/>
    <d v="2012-01-17T00:00:00"/>
    <n v="252"/>
    <d v="2012-02-03T00:00:00"/>
    <d v="2012-01-20T00:00:00"/>
    <n v="252"/>
    <n v="252"/>
    <x v="14"/>
    <d v="2012-02-03T00:00:00"/>
    <m/>
    <n v="9321674251"/>
    <n v="30"/>
    <s v="NYKU4632545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8/000040"/>
    <n v="1370152840"/>
    <n v="40"/>
    <x v="0"/>
    <x v="0"/>
    <s v="A1"/>
    <n v="2100061023"/>
    <n v="200"/>
    <n v="116000739"/>
    <s v="C168JCDX TFAL TNS RED TJM 5QT JC/10&quot; CVD          "/>
    <s v="S"/>
    <d v="2012-01-16T00:00:00"/>
    <m/>
    <s v="X"/>
    <x v="73"/>
    <n v="19.7728"/>
    <n v="19"/>
    <d v="2012-01-24T00:00:00"/>
    <d v="2012-01-10T00:00:00"/>
    <n v="253"/>
    <d v="2012-01-10T00:00:00"/>
    <n v="253"/>
    <m/>
    <d v="2012-01-17T00:00:00"/>
    <n v="253"/>
    <d v="2012-02-03T00:00:00"/>
    <d v="2012-01-20T00:00:00"/>
    <n v="253"/>
    <n v="253"/>
    <x v="14"/>
    <d v="2012-02-03T00:00:00"/>
    <m/>
    <n v="9321674251"/>
    <n v="40"/>
    <s v="NYKU4632545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8/000050"/>
    <n v="1370152840"/>
    <n v="50"/>
    <x v="0"/>
    <x v="0"/>
    <s v="A1"/>
    <n v="2100060742"/>
    <n v="201"/>
    <n v="116000733"/>
    <s v="C115SPDX T-FAL TNS BLACK TJMAX 2QT/3QT S          "/>
    <s v="S"/>
    <d v="2012-01-16T00:00:00"/>
    <m/>
    <s v="X"/>
    <x v="73"/>
    <n v="14.834899999999999"/>
    <n v="19"/>
    <d v="2012-01-24T00:00:00"/>
    <d v="2012-01-10T00:00:00"/>
    <n v="505"/>
    <d v="2012-01-10T00:00:00"/>
    <n v="505"/>
    <m/>
    <d v="2012-01-17T00:00:00"/>
    <n v="505"/>
    <d v="2012-02-03T00:00:00"/>
    <d v="2012-01-20T00:00:00"/>
    <n v="505"/>
    <n v="505"/>
    <x v="14"/>
    <d v="2012-02-03T00:00:00"/>
    <m/>
    <n v="9321674251"/>
    <n v="50"/>
    <s v="NYKU4631826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8/000060"/>
    <n v="1370152840"/>
    <n v="60"/>
    <x v="0"/>
    <x v="0"/>
    <s v="A1"/>
    <n v="2100061021"/>
    <n v="200"/>
    <n v="116000740"/>
    <s v="C168SPDX TFAL TNS RED TJM 2QT/3QT SAUCE           "/>
    <s v="S"/>
    <d v="2012-01-16T00:00:00"/>
    <m/>
    <s v="X"/>
    <x v="73"/>
    <n v="14.5402"/>
    <n v="19"/>
    <d v="2012-01-24T00:00:00"/>
    <d v="2012-01-10T00:00:00"/>
    <n v="253"/>
    <d v="2012-01-10T00:00:00"/>
    <n v="253"/>
    <m/>
    <d v="2012-01-17T00:00:00"/>
    <n v="253"/>
    <d v="2012-02-03T00:00:00"/>
    <d v="2012-01-20T00:00:00"/>
    <n v="253"/>
    <n v="253"/>
    <x v="14"/>
    <d v="2012-02-03T00:00:00"/>
    <m/>
    <n v="9321674251"/>
    <n v="60"/>
    <s v="NYKU4632545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7/000010"/>
    <n v="1370152841"/>
    <n v="10"/>
    <x v="0"/>
    <x v="0"/>
    <s v="A1"/>
    <n v="2100056178"/>
    <n v="201"/>
    <n v="116000520"/>
    <s v="C161S3DX T-FAL TNS BLACK TJ MAXX FP 8/10          "/>
    <s v="S"/>
    <d v="2012-01-16T00:00:00"/>
    <m/>
    <s v="X"/>
    <x v="73"/>
    <n v="18.504999999999999"/>
    <n v="19"/>
    <d v="2012-01-24T00:00:00"/>
    <d v="2012-01-10T00:00:00"/>
    <n v="230"/>
    <d v="2012-01-10T00:00:00"/>
    <n v="230"/>
    <m/>
    <d v="2012-01-17T00:00:00"/>
    <n v="230"/>
    <d v="2012-02-03T00:00:00"/>
    <d v="2012-01-20T00:00:00"/>
    <n v="230"/>
    <n v="230"/>
    <x v="14"/>
    <d v="2012-02-03T00:00:00"/>
    <m/>
    <n v="9321674253"/>
    <n v="10"/>
    <s v="NYKU4631826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7/000020"/>
    <n v="1370152841"/>
    <n v="20"/>
    <x v="0"/>
    <x v="0"/>
    <s v="A1"/>
    <n v="2100056207"/>
    <n v="200"/>
    <n v="116000522"/>
    <s v="C162S3DX T-FAL TNS RED TJ MAXX FP 8/10/1          "/>
    <s v="S"/>
    <d v="2012-01-16T00:00:00"/>
    <m/>
    <s v="X"/>
    <x v="73"/>
    <n v="18.309100000000001"/>
    <n v="19"/>
    <d v="2012-01-24T00:00:00"/>
    <d v="2012-01-10T00:00:00"/>
    <n v="230"/>
    <d v="2012-01-10T00:00:00"/>
    <n v="230"/>
    <m/>
    <d v="2012-01-17T00:00:00"/>
    <n v="230"/>
    <d v="2012-02-03T00:00:00"/>
    <d v="2012-01-20T00:00:00"/>
    <n v="230"/>
    <n v="230"/>
    <x v="14"/>
    <d v="2012-02-03T00:00:00"/>
    <m/>
    <n v="9321674253"/>
    <n v="20"/>
    <s v="NYKU4631826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7/000030"/>
    <n v="1370152841"/>
    <n v="30"/>
    <x v="0"/>
    <x v="0"/>
    <s v="A1"/>
    <n v="2100060743"/>
    <n v="201"/>
    <n v="116000732"/>
    <s v="C115JCDX TFAL TNS BLACK TJMAX 5QT JC/10&quot;          "/>
    <s v="S"/>
    <d v="2012-01-16T00:00:00"/>
    <m/>
    <s v="X"/>
    <x v="73"/>
    <n v="19.6859"/>
    <n v="19"/>
    <d v="2012-01-24T00:00:00"/>
    <d v="2012-01-10T00:00:00"/>
    <n v="204"/>
    <d v="2012-01-10T00:00:00"/>
    <n v="204"/>
    <m/>
    <d v="2012-01-17T00:00:00"/>
    <n v="204"/>
    <d v="2012-02-03T00:00:00"/>
    <d v="2012-01-20T00:00:00"/>
    <n v="204"/>
    <n v="204"/>
    <x v="14"/>
    <d v="2012-02-03T00:00:00"/>
    <m/>
    <n v="9321674253"/>
    <n v="30"/>
    <s v="NYKU4631826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7/000040"/>
    <n v="1370152841"/>
    <n v="40"/>
    <x v="0"/>
    <x v="0"/>
    <s v="A1"/>
    <n v="2100061023"/>
    <n v="200"/>
    <n v="116000739"/>
    <s v="C168JCDX TFAL TNS RED TJM 5QT JC/10&quot; CVD          "/>
    <s v="S"/>
    <d v="2012-01-16T00:00:00"/>
    <m/>
    <s v="X"/>
    <x v="73"/>
    <n v="19.7728"/>
    <n v="19"/>
    <d v="2012-01-24T00:00:00"/>
    <d v="2012-01-10T00:00:00"/>
    <n v="203"/>
    <d v="2012-01-10T00:00:00"/>
    <n v="203"/>
    <m/>
    <d v="2012-01-17T00:00:00"/>
    <n v="203"/>
    <d v="2012-02-03T00:00:00"/>
    <d v="2012-01-20T00:00:00"/>
    <n v="203"/>
    <n v="203"/>
    <x v="14"/>
    <d v="2012-02-03T00:00:00"/>
    <m/>
    <n v="9321674253"/>
    <n v="40"/>
    <s v="NYKU4631826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7/000050"/>
    <n v="1370152841"/>
    <n v="50"/>
    <x v="0"/>
    <x v="0"/>
    <s v="A1"/>
    <n v="2100060742"/>
    <n v="201"/>
    <n v="116000733"/>
    <s v="C115SPDX T-FAL TNS BLACK TJMAX 2QT/3QT S          "/>
    <s v="S"/>
    <d v="2012-01-16T00:00:00"/>
    <m/>
    <s v="X"/>
    <x v="73"/>
    <n v="14.834899999999999"/>
    <n v="19"/>
    <d v="2012-01-24T00:00:00"/>
    <d v="2012-01-10T00:00:00"/>
    <n v="414"/>
    <d v="2012-01-10T00:00:00"/>
    <n v="414"/>
    <m/>
    <d v="2012-01-17T00:00:00"/>
    <n v="414"/>
    <d v="2012-02-03T00:00:00"/>
    <d v="2012-01-20T00:00:00"/>
    <n v="414"/>
    <n v="414"/>
    <x v="14"/>
    <d v="2012-02-03T00:00:00"/>
    <m/>
    <n v="9321674253"/>
    <n v="50"/>
    <s v="NYKU4632545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7/000060"/>
    <n v="1370152841"/>
    <n v="60"/>
    <x v="0"/>
    <x v="0"/>
    <s v="A1"/>
    <n v="2100061021"/>
    <n v="200"/>
    <n v="116000740"/>
    <s v="C168SPDX TFAL TNS RED TJM 2QT/3QT SAUCE           "/>
    <s v="S"/>
    <d v="2012-01-16T00:00:00"/>
    <m/>
    <s v="X"/>
    <x v="73"/>
    <n v="14.5402"/>
    <n v="19"/>
    <d v="2012-01-24T00:00:00"/>
    <d v="2012-01-10T00:00:00"/>
    <n v="207"/>
    <d v="2012-01-10T00:00:00"/>
    <n v="207"/>
    <m/>
    <d v="2012-01-17T00:00:00"/>
    <n v="207"/>
    <d v="2012-02-03T00:00:00"/>
    <d v="2012-01-20T00:00:00"/>
    <n v="207"/>
    <n v="207"/>
    <x v="14"/>
    <d v="2012-02-03T00:00:00"/>
    <m/>
    <n v="9321674253"/>
    <n v="60"/>
    <s v="NYKU4632545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6/000010"/>
    <n v="1370152842"/>
    <n v="10"/>
    <x v="0"/>
    <x v="0"/>
    <s v="A1"/>
    <n v="2100056178"/>
    <n v="201"/>
    <n v="116000520"/>
    <s v="C161S3DX T-FAL TNS BLACK TJ MAXX FP 8/10          "/>
    <s v="S"/>
    <d v="2012-01-16T00:00:00"/>
    <m/>
    <s v="X"/>
    <x v="73"/>
    <n v="18.504999999999999"/>
    <n v="19"/>
    <d v="2012-01-24T00:00:00"/>
    <d v="2012-01-10T00:00:00"/>
    <n v="177"/>
    <d v="2012-01-10T00:00:00"/>
    <n v="177"/>
    <m/>
    <d v="2012-01-17T00:00:00"/>
    <n v="177"/>
    <d v="2012-02-03T00:00:00"/>
    <d v="2012-01-20T00:00:00"/>
    <n v="177"/>
    <n v="177"/>
    <x v="14"/>
    <d v="2012-02-03T00:00:00"/>
    <m/>
    <n v="9321674255"/>
    <n v="10"/>
    <s v="NYKU4587554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6/000020"/>
    <n v="1370152842"/>
    <n v="20"/>
    <x v="0"/>
    <x v="0"/>
    <s v="A1"/>
    <n v="2100056207"/>
    <n v="200"/>
    <n v="116000522"/>
    <s v="C162S3DX T-FAL TNS RED TJ MAXX FP 8/10/1          "/>
    <s v="S"/>
    <d v="2012-01-16T00:00:00"/>
    <m/>
    <s v="X"/>
    <x v="73"/>
    <n v="18.309200000000001"/>
    <n v="19"/>
    <d v="2012-01-24T00:00:00"/>
    <d v="2012-01-10T00:00:00"/>
    <n v="177"/>
    <d v="2012-01-10T00:00:00"/>
    <n v="177"/>
    <m/>
    <d v="2012-01-17T00:00:00"/>
    <n v="177"/>
    <d v="2012-02-03T00:00:00"/>
    <d v="2012-01-20T00:00:00"/>
    <n v="177"/>
    <n v="177"/>
    <x v="14"/>
    <d v="2012-02-03T00:00:00"/>
    <m/>
    <n v="9321674255"/>
    <n v="20"/>
    <s v="NYKU4587554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6/000030"/>
    <n v="1370152842"/>
    <n v="30"/>
    <x v="0"/>
    <x v="0"/>
    <s v="A1"/>
    <n v="2100060743"/>
    <n v="201"/>
    <n v="116000732"/>
    <s v="C115JCDX TFAL TNS BLACK TJMAX 5QT JC/10&quot;          "/>
    <s v="S"/>
    <d v="2012-01-16T00:00:00"/>
    <m/>
    <s v="X"/>
    <x v="73"/>
    <n v="19.6859"/>
    <n v="19"/>
    <d v="2012-01-24T00:00:00"/>
    <d v="2012-01-10T00:00:00"/>
    <n v="157"/>
    <d v="2012-01-10T00:00:00"/>
    <n v="157"/>
    <m/>
    <d v="2012-01-17T00:00:00"/>
    <n v="157"/>
    <d v="2012-02-03T00:00:00"/>
    <d v="2012-01-20T00:00:00"/>
    <n v="157"/>
    <n v="157"/>
    <x v="14"/>
    <d v="2012-02-03T00:00:00"/>
    <m/>
    <n v="9321674255"/>
    <n v="30"/>
    <s v="NYKU4587554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6/000040"/>
    <n v="1370152842"/>
    <n v="40"/>
    <x v="0"/>
    <x v="0"/>
    <s v="A1"/>
    <n v="2100061023"/>
    <n v="200"/>
    <n v="116000739"/>
    <s v="C168JCDX TFAL TNS RED TJM 5QT JC/10&quot; CVD          "/>
    <s v="S"/>
    <d v="2012-01-16T00:00:00"/>
    <m/>
    <s v="X"/>
    <x v="73"/>
    <n v="19.7728"/>
    <n v="19"/>
    <d v="2012-01-24T00:00:00"/>
    <d v="2012-01-10T00:00:00"/>
    <n v="156"/>
    <d v="2012-01-10T00:00:00"/>
    <n v="156"/>
    <m/>
    <d v="2012-01-17T00:00:00"/>
    <n v="156"/>
    <d v="2012-02-03T00:00:00"/>
    <d v="2012-01-20T00:00:00"/>
    <n v="156"/>
    <n v="156"/>
    <x v="14"/>
    <d v="2012-02-03T00:00:00"/>
    <m/>
    <n v="9321674255"/>
    <n v="40"/>
    <s v="NYKU4631826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6/000050"/>
    <n v="1370152842"/>
    <n v="50"/>
    <x v="0"/>
    <x v="0"/>
    <s v="A1"/>
    <n v="2100060742"/>
    <n v="201"/>
    <n v="116000733"/>
    <s v="C115SPDX T-FAL TNS BLACK TJMAX 2QT/3QT S          "/>
    <s v="S"/>
    <d v="2012-01-16T00:00:00"/>
    <m/>
    <s v="X"/>
    <x v="73"/>
    <n v="14.834899999999999"/>
    <n v="19"/>
    <d v="2012-01-24T00:00:00"/>
    <d v="2012-01-10T00:00:00"/>
    <n v="318"/>
    <d v="2012-01-10T00:00:00"/>
    <n v="318"/>
    <m/>
    <d v="2012-01-17T00:00:00"/>
    <n v="318"/>
    <d v="2012-02-03T00:00:00"/>
    <d v="2012-01-20T00:00:00"/>
    <n v="318"/>
    <n v="318"/>
    <x v="14"/>
    <d v="2012-02-03T00:00:00"/>
    <m/>
    <n v="9321674255"/>
    <n v="50"/>
    <s v="NYKU4587554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6/000060"/>
    <n v="1370152842"/>
    <n v="60"/>
    <x v="0"/>
    <x v="0"/>
    <s v="A1"/>
    <n v="2100061021"/>
    <n v="200"/>
    <n v="116000740"/>
    <s v="C168SPDX TFAL TNS RED TJM 2QT/3QT SAUCE           "/>
    <s v="S"/>
    <d v="2012-01-16T00:00:00"/>
    <m/>
    <s v="X"/>
    <x v="73"/>
    <n v="14.5402"/>
    <n v="19"/>
    <d v="2012-01-24T00:00:00"/>
    <d v="2012-01-10T00:00:00"/>
    <n v="159"/>
    <d v="2012-01-10T00:00:00"/>
    <n v="159"/>
    <m/>
    <d v="2012-01-17T00:00:00"/>
    <n v="159"/>
    <d v="2012-02-03T00:00:00"/>
    <d v="2012-01-20T00:00:00"/>
    <n v="159"/>
    <n v="159"/>
    <x v="14"/>
    <d v="2012-02-03T00:00:00"/>
    <m/>
    <n v="9321674255"/>
    <n v="60"/>
    <s v="NYKU4631826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9008200"/>
    <s v="GROUPE SEB IBERICA                                "/>
    <n v="99008200"/>
    <x v="21"/>
    <s v="9321657322/000010"/>
    <n v="1370152730"/>
    <n v="10"/>
    <x v="7"/>
    <x v="7"/>
    <s v="M1"/>
    <n v="1830004096"/>
    <n v="8"/>
    <s v="VU5570F0       "/>
    <s v="VU5570F0 STAND FAN RC&amp;ANTI-MOSQUITO               "/>
    <s v="S"/>
    <d v="2012-02-03T00:00:00"/>
    <m/>
    <s v="X"/>
    <x v="73"/>
    <n v="27.46"/>
    <n v="23"/>
    <d v="2012-02-10T00:00:00"/>
    <d v="2012-01-13T00:00:00"/>
    <n v="2910"/>
    <d v="2012-01-13T00:00:00"/>
    <n v="2910"/>
    <m/>
    <d v="2012-01-13T00:00:00"/>
    <n v="2910"/>
    <d v="2012-02-25T00:00:00"/>
    <d v="2012-01-28T00:00:00"/>
    <n v="2910"/>
    <n v="970"/>
    <x v="4"/>
    <d v="2012-02-19T00:00:00"/>
    <m/>
    <n v="9321674256"/>
    <n v="10"/>
    <s v="POCU1082181"/>
    <s v="MAERSK TANJONG 1202"/>
    <m/>
    <s v="YANTIAN"/>
    <s v="22/01-SAILING-SCHED-UPDATE/29-01-SP-PROD-ISSUE/FOB ISSUE"/>
    <m/>
    <s v="JASON FAN"/>
    <s v="FO9"/>
    <s v="HOME COMFORT                  "/>
    <s v="CONFIRMED"/>
    <n v="1"/>
    <n v="3"/>
    <d v="2012-01-22T00:00:00"/>
    <s v="LINEN PERS HOME CARE          "/>
    <s v="HOME COMFORT                  "/>
    <x v="3"/>
    <x v="2"/>
    <x v="1"/>
    <m/>
    <n v="0"/>
    <n v="0"/>
    <x v="1"/>
    <n v="4"/>
    <x v="0"/>
    <x v="0"/>
    <x v="1"/>
    <n v="0"/>
    <n v="0"/>
    <n v="0"/>
    <n v="0"/>
    <n v="0"/>
    <n v="0"/>
    <x v="1"/>
    <x v="0"/>
    <x v="1"/>
    <x v="0"/>
  </r>
  <r>
    <s v="Shipment"/>
    <n v="99008200"/>
    <s v="GROUPE SEB IBERICA                                "/>
    <n v="99008200"/>
    <x v="21"/>
    <s v="9321657322/000010"/>
    <n v="1370152730"/>
    <n v="10"/>
    <x v="7"/>
    <x v="7"/>
    <s v="M1"/>
    <n v="1830004096"/>
    <n v="8"/>
    <s v="VU5570F0       "/>
    <s v="VU5570F0 STAND FAN RC&amp;ANTI-MOSQUITO               "/>
    <s v="S"/>
    <d v="2012-01-30T00:00:00"/>
    <m/>
    <s v="X"/>
    <x v="73"/>
    <n v="27.46"/>
    <n v="23"/>
    <d v="2012-02-10T00:00:00"/>
    <d v="2012-01-13T00:00:00"/>
    <n v="2910"/>
    <d v="2012-01-13T00:00:00"/>
    <n v="2910"/>
    <m/>
    <d v="2012-01-13T00:00:00"/>
    <n v="2910"/>
    <d v="2012-02-25T00:00:00"/>
    <d v="2012-01-28T00:00:00"/>
    <n v="2910"/>
    <n v="970"/>
    <x v="29"/>
    <d v="2012-02-25T00:00:00"/>
    <m/>
    <n v="9321674256"/>
    <n v="10"/>
    <s v="MRKU0477790"/>
    <s v="MAERSK SEVILLE/1202"/>
    <m/>
    <s v="YANTIAN"/>
    <s v="22/01-SAILING-SCHED-UPDATE/29-01-SP-PROD-ISSUE/FOB ISSUE"/>
    <m/>
    <s v="JASON FAN"/>
    <s v="FO9"/>
    <s v="HOME COMFORT                  "/>
    <s v="CONFIRMED"/>
    <n v="1"/>
    <n v="4"/>
    <d v="2012-01-28T00:00:00"/>
    <s v="LINEN PERS HOME CARE          "/>
    <s v="HOME COMFORT                  "/>
    <x v="3"/>
    <x v="2"/>
    <x v="1"/>
    <m/>
    <n v="0"/>
    <n v="0"/>
    <x v="1"/>
    <n v="4"/>
    <x v="0"/>
    <x v="0"/>
    <x v="1"/>
    <n v="0"/>
    <n v="0"/>
    <n v="0"/>
    <n v="0"/>
    <n v="0"/>
    <n v="0"/>
    <x v="1"/>
    <x v="0"/>
    <x v="1"/>
    <x v="0"/>
  </r>
  <r>
    <s v="Shipment"/>
    <n v="99008200"/>
    <s v="GROUPE SEB IBERICA                                "/>
    <n v="99008200"/>
    <x v="21"/>
    <s v="9321657322/000010"/>
    <n v="1370152730"/>
    <n v="10"/>
    <x v="7"/>
    <x v="7"/>
    <s v="M1"/>
    <n v="1830004096"/>
    <n v="8"/>
    <s v="VU5570F0       "/>
    <s v="VU5570F0 STAND FAN RC&amp;ANTI-MOSQUITO               "/>
    <s v="S"/>
    <d v="2012-02-03T00:00:00"/>
    <m/>
    <s v="X"/>
    <x v="73"/>
    <n v="27.46"/>
    <n v="23"/>
    <d v="2012-02-10T00:00:00"/>
    <d v="2012-01-13T00:00:00"/>
    <n v="2910"/>
    <d v="2012-01-13T00:00:00"/>
    <n v="2910"/>
    <m/>
    <d v="2012-01-13T00:00:00"/>
    <n v="2910"/>
    <d v="2012-02-25T00:00:00"/>
    <d v="2012-01-28T00:00:00"/>
    <n v="2910"/>
    <n v="970"/>
    <x v="4"/>
    <d v="2012-02-19T00:00:00"/>
    <m/>
    <n v="9321674256"/>
    <n v="10"/>
    <s v="MSKU6421131"/>
    <s v="MAERSK TANJONG 1202"/>
    <m/>
    <s v="YANTIAN"/>
    <s v="22/01-SAILING-SCHED-UPDATE/29-01-SP-PROD-ISSUE/FOB ISSUE"/>
    <m/>
    <s v="JASON FAN"/>
    <s v="FO9"/>
    <s v="HOME COMFORT                  "/>
    <s v="CONFIRMED"/>
    <n v="1"/>
    <n v="3"/>
    <d v="2012-01-22T00:00:00"/>
    <s v="LINEN PERS HOME CARE          "/>
    <s v="HOME COMFORT                  "/>
    <x v="3"/>
    <x v="2"/>
    <x v="1"/>
    <m/>
    <n v="0"/>
    <n v="0"/>
    <x v="1"/>
    <n v="4"/>
    <x v="0"/>
    <x v="0"/>
    <x v="1"/>
    <n v="0"/>
    <n v="0"/>
    <n v="0"/>
    <n v="0"/>
    <n v="0"/>
    <n v="0"/>
    <x v="1"/>
    <x v="0"/>
    <x v="1"/>
    <x v="0"/>
  </r>
  <r>
    <s v="Shipment"/>
    <n v="93171789"/>
    <s v="APL LOGISTICS/ TJ MAXX DI 001                     "/>
    <n v="99008400"/>
    <x v="12"/>
    <s v="9321673215/000010"/>
    <n v="1370152843"/>
    <n v="10"/>
    <x v="0"/>
    <x v="0"/>
    <s v="A1"/>
    <n v="2100056178"/>
    <n v="201"/>
    <n v="116000520"/>
    <s v="C161S3DX T-FAL TNS BLACK TJ MAXX FP 8/10          "/>
    <s v="S"/>
    <d v="2012-01-16T00:00:00"/>
    <m/>
    <s v="X"/>
    <x v="73"/>
    <n v="18.504999999999999"/>
    <n v="19"/>
    <d v="2012-01-24T00:00:00"/>
    <d v="2012-01-10T00:00:00"/>
    <n v="212"/>
    <d v="2012-01-10T00:00:00"/>
    <n v="212"/>
    <m/>
    <d v="2012-01-17T00:00:00"/>
    <n v="212"/>
    <d v="2012-02-03T00:00:00"/>
    <d v="2012-01-20T00:00:00"/>
    <n v="212"/>
    <n v="212"/>
    <x v="14"/>
    <d v="2012-02-03T00:00:00"/>
    <m/>
    <n v="9321674257"/>
    <n v="10"/>
    <s v="NYKU4631826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5/000020"/>
    <n v="1370152843"/>
    <n v="20"/>
    <x v="0"/>
    <x v="0"/>
    <s v="A1"/>
    <n v="2100056207"/>
    <n v="200"/>
    <n v="116000522"/>
    <s v="C162S3DX T-FAL TNS RED TJ MAXX FP 8/10/1          "/>
    <s v="S"/>
    <d v="2012-01-16T00:00:00"/>
    <m/>
    <s v="X"/>
    <x v="73"/>
    <n v="18.309200000000001"/>
    <n v="19"/>
    <d v="2012-01-24T00:00:00"/>
    <d v="2012-01-10T00:00:00"/>
    <n v="212"/>
    <d v="2012-01-10T00:00:00"/>
    <n v="212"/>
    <m/>
    <d v="2012-01-17T00:00:00"/>
    <n v="212"/>
    <d v="2012-02-03T00:00:00"/>
    <d v="2012-01-20T00:00:00"/>
    <n v="212"/>
    <n v="212"/>
    <x v="14"/>
    <d v="2012-02-03T00:00:00"/>
    <m/>
    <n v="9321674257"/>
    <n v="20"/>
    <s v="NYKU4631826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5/000030"/>
    <n v="1370152843"/>
    <n v="30"/>
    <x v="0"/>
    <x v="0"/>
    <s v="A1"/>
    <n v="2100060743"/>
    <n v="201"/>
    <n v="116000732"/>
    <s v="C115JCDX TFAL TNS BLACK TJMAX 5QT JC/10&quot;          "/>
    <s v="S"/>
    <d v="2012-01-16T00:00:00"/>
    <m/>
    <s v="X"/>
    <x v="73"/>
    <n v="19.6859"/>
    <n v="19"/>
    <d v="2012-01-24T00:00:00"/>
    <d v="2012-01-10T00:00:00"/>
    <n v="187"/>
    <d v="2012-01-10T00:00:00"/>
    <n v="187"/>
    <m/>
    <d v="2012-01-17T00:00:00"/>
    <n v="187"/>
    <d v="2012-02-03T00:00:00"/>
    <d v="2012-01-20T00:00:00"/>
    <n v="187"/>
    <n v="187"/>
    <x v="14"/>
    <d v="2012-02-03T00:00:00"/>
    <m/>
    <n v="9321674257"/>
    <n v="30"/>
    <s v="NYKU4587554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5/000040"/>
    <n v="1370152843"/>
    <n v="40"/>
    <x v="0"/>
    <x v="0"/>
    <s v="A1"/>
    <n v="2100061023"/>
    <n v="200"/>
    <n v="116000739"/>
    <s v="C168JCDX TFAL TNS RED TJM 5QT JC/10&quot; CVD          "/>
    <s v="S"/>
    <d v="2012-01-16T00:00:00"/>
    <m/>
    <s v="X"/>
    <x v="73"/>
    <n v="19.7728"/>
    <n v="19"/>
    <d v="2012-01-24T00:00:00"/>
    <d v="2012-01-10T00:00:00"/>
    <n v="188"/>
    <d v="2012-01-10T00:00:00"/>
    <n v="188"/>
    <m/>
    <d v="2012-01-17T00:00:00"/>
    <n v="188"/>
    <d v="2012-02-03T00:00:00"/>
    <d v="2012-01-20T00:00:00"/>
    <n v="188"/>
    <n v="188"/>
    <x v="14"/>
    <d v="2012-02-03T00:00:00"/>
    <m/>
    <n v="9321674257"/>
    <n v="40"/>
    <s v="NYKU4587554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5/000050"/>
    <n v="1370152843"/>
    <n v="50"/>
    <x v="0"/>
    <x v="0"/>
    <s v="A1"/>
    <n v="2100060742"/>
    <n v="201"/>
    <n v="116000733"/>
    <s v="C115SPDX T-FAL TNS BLACK TJMAX 2QT/3QT S          "/>
    <s v="S"/>
    <d v="2012-01-16T00:00:00"/>
    <m/>
    <s v="X"/>
    <x v="73"/>
    <n v="14.834899999999999"/>
    <n v="19"/>
    <d v="2012-01-24T00:00:00"/>
    <d v="2012-01-10T00:00:00"/>
    <n v="382"/>
    <d v="2012-01-10T00:00:00"/>
    <n v="382"/>
    <m/>
    <d v="2012-01-17T00:00:00"/>
    <n v="382"/>
    <d v="2012-02-03T00:00:00"/>
    <d v="2012-01-20T00:00:00"/>
    <n v="382"/>
    <n v="382"/>
    <x v="14"/>
    <d v="2012-02-03T00:00:00"/>
    <m/>
    <n v="9321674257"/>
    <n v="50"/>
    <s v="NYKU4587554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5/000060"/>
    <n v="1370152843"/>
    <n v="60"/>
    <x v="0"/>
    <x v="0"/>
    <s v="A1"/>
    <n v="2100061021"/>
    <n v="200"/>
    <n v="116000740"/>
    <s v="C168SPDX TFAL TNS RED TJM 2QT/3QT SAUCE           "/>
    <s v="S"/>
    <d v="2012-01-16T00:00:00"/>
    <m/>
    <s v="X"/>
    <x v="73"/>
    <n v="14.5402"/>
    <n v="19"/>
    <d v="2012-01-24T00:00:00"/>
    <d v="2012-01-10T00:00:00"/>
    <n v="191"/>
    <d v="2012-01-10T00:00:00"/>
    <n v="191"/>
    <m/>
    <d v="2012-01-17T00:00:00"/>
    <n v="191"/>
    <d v="2012-02-03T00:00:00"/>
    <d v="2012-01-20T00:00:00"/>
    <n v="191"/>
    <n v="191"/>
    <x v="14"/>
    <d v="2012-02-03T00:00:00"/>
    <m/>
    <n v="9321674257"/>
    <n v="60"/>
    <s v="NYKU4587554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4/000010"/>
    <n v="1370152844"/>
    <n v="10"/>
    <x v="0"/>
    <x v="0"/>
    <s v="A1"/>
    <n v="2100056178"/>
    <n v="201"/>
    <n v="116000520"/>
    <s v="C161S3DX T-FAL TNS BLACK TJ MAXX FP 8/10          "/>
    <s v="S"/>
    <d v="2012-01-16T00:00:00"/>
    <m/>
    <s v="X"/>
    <x v="73"/>
    <n v="18.505099999999999"/>
    <n v="19"/>
    <d v="2012-01-24T00:00:00"/>
    <d v="2012-01-10T00:00:00"/>
    <n v="265"/>
    <d v="2012-01-10T00:00:00"/>
    <n v="265"/>
    <m/>
    <d v="2012-01-17T00:00:00"/>
    <n v="265"/>
    <d v="2012-02-02T00:00:00"/>
    <d v="2012-01-19T00:00:00"/>
    <n v="265"/>
    <n v="265"/>
    <x v="22"/>
    <d v="2012-02-02T00:00:00"/>
    <m/>
    <n v="9321674259"/>
    <n v="10"/>
    <s v="NYKU4583374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4/000020"/>
    <n v="1370152844"/>
    <n v="20"/>
    <x v="0"/>
    <x v="0"/>
    <s v="A1"/>
    <n v="2100056207"/>
    <n v="200"/>
    <n v="116000522"/>
    <s v="C162S3DX T-FAL TNS RED TJ MAXX FP 8/10/1          "/>
    <s v="S"/>
    <d v="2012-01-16T00:00:00"/>
    <m/>
    <s v="X"/>
    <x v="73"/>
    <n v="18.309100000000001"/>
    <n v="19"/>
    <d v="2012-01-24T00:00:00"/>
    <d v="2012-01-10T00:00:00"/>
    <n v="265"/>
    <d v="2012-01-10T00:00:00"/>
    <n v="265"/>
    <m/>
    <d v="2012-01-17T00:00:00"/>
    <n v="265"/>
    <d v="2012-02-02T00:00:00"/>
    <d v="2012-01-19T00:00:00"/>
    <n v="265"/>
    <n v="265"/>
    <x v="22"/>
    <d v="2012-02-02T00:00:00"/>
    <m/>
    <n v="9321674259"/>
    <n v="20"/>
    <s v="NYKU4583374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4/000030"/>
    <n v="1370152844"/>
    <n v="30"/>
    <x v="0"/>
    <x v="0"/>
    <s v="A1"/>
    <n v="2100060743"/>
    <n v="201"/>
    <n v="116000732"/>
    <s v="C115JCDX TFAL TNS BLACK TJMAX 5QT JC/10&quot;          "/>
    <s v="S"/>
    <d v="2012-01-16T00:00:00"/>
    <m/>
    <s v="X"/>
    <x v="73"/>
    <n v="19.6859"/>
    <n v="19"/>
    <d v="2012-01-24T00:00:00"/>
    <d v="2012-01-10T00:00:00"/>
    <n v="234"/>
    <d v="2012-01-10T00:00:00"/>
    <n v="234"/>
    <m/>
    <d v="2012-01-17T00:00:00"/>
    <n v="234"/>
    <d v="2012-02-02T00:00:00"/>
    <d v="2012-01-19T00:00:00"/>
    <n v="234"/>
    <n v="234"/>
    <x v="22"/>
    <d v="2012-02-02T00:00:00"/>
    <m/>
    <n v="9321674259"/>
    <n v="30"/>
    <s v="NYKU4583374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4/000040"/>
    <n v="1370152844"/>
    <n v="40"/>
    <x v="0"/>
    <x v="0"/>
    <s v="A1"/>
    <n v="2100061023"/>
    <n v="200"/>
    <n v="116000739"/>
    <s v="C168JCDX TFAL TNS RED TJM 5QT JC/10&quot; CVD          "/>
    <s v="S"/>
    <d v="2012-01-16T00:00:00"/>
    <m/>
    <s v="X"/>
    <x v="73"/>
    <n v="19.7729"/>
    <n v="19"/>
    <d v="2012-01-24T00:00:00"/>
    <d v="2012-01-10T00:00:00"/>
    <n v="235"/>
    <d v="2012-01-10T00:00:00"/>
    <n v="235"/>
    <m/>
    <d v="2012-01-17T00:00:00"/>
    <n v="235"/>
    <d v="2012-02-02T00:00:00"/>
    <d v="2012-01-19T00:00:00"/>
    <n v="235"/>
    <n v="235"/>
    <x v="22"/>
    <d v="2012-02-02T00:00:00"/>
    <m/>
    <n v="9321674259"/>
    <n v="40"/>
    <s v="NYKU4583374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4/000050"/>
    <n v="1370152844"/>
    <n v="50"/>
    <x v="0"/>
    <x v="0"/>
    <s v="A1"/>
    <n v="2100060742"/>
    <n v="201"/>
    <n v="116000733"/>
    <s v="C115SPDX T-FAL TNS BLACK TJMAX 2QT/3QT S          "/>
    <s v="S"/>
    <d v="2012-01-16T00:00:00"/>
    <m/>
    <s v="X"/>
    <x v="73"/>
    <n v="14.834899999999999"/>
    <n v="19"/>
    <d v="2012-01-24T00:00:00"/>
    <d v="2012-01-10T00:00:00"/>
    <n v="478"/>
    <d v="2012-01-10T00:00:00"/>
    <n v="478"/>
    <m/>
    <d v="2012-01-17T00:00:00"/>
    <n v="478"/>
    <d v="2012-02-02T00:00:00"/>
    <d v="2012-01-19T00:00:00"/>
    <n v="478"/>
    <n v="478"/>
    <x v="22"/>
    <d v="2012-02-02T00:00:00"/>
    <m/>
    <n v="9321674259"/>
    <n v="50"/>
    <s v="NYKU4583374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4/000060"/>
    <n v="1370152844"/>
    <n v="60"/>
    <x v="0"/>
    <x v="0"/>
    <s v="A1"/>
    <n v="2100061021"/>
    <n v="200"/>
    <n v="116000740"/>
    <s v="C168SPDX TFAL TNS RED TJM 2QT/3QT SAUCE           "/>
    <s v="S"/>
    <d v="2012-01-16T00:00:00"/>
    <m/>
    <s v="X"/>
    <x v="73"/>
    <n v="14.5402"/>
    <n v="19"/>
    <d v="2012-01-24T00:00:00"/>
    <d v="2012-01-10T00:00:00"/>
    <n v="239"/>
    <d v="2012-01-10T00:00:00"/>
    <n v="239"/>
    <m/>
    <d v="2012-01-17T00:00:00"/>
    <n v="239"/>
    <d v="2012-02-02T00:00:00"/>
    <d v="2012-01-19T00:00:00"/>
    <n v="239"/>
    <n v="239"/>
    <x v="22"/>
    <d v="2012-02-02T00:00:00"/>
    <m/>
    <n v="9321674259"/>
    <n v="60"/>
    <s v="NYKU4583374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9006103"/>
    <s v="SAS GROUPE SEB FRANCE                             "/>
    <n v="99006100"/>
    <x v="3"/>
    <s v="9321671063/000010"/>
    <n v="1370152625"/>
    <n v="10"/>
    <x v="18"/>
    <x v="18"/>
    <s v="M5"/>
    <n v="2210016685"/>
    <n v="160"/>
    <s v="RO212601       "/>
    <s v="RO212601 VAC CLEANER POWER SPACE RO21260          "/>
    <s v="S"/>
    <d v="2012-01-19T00:00:00"/>
    <m/>
    <s v="X"/>
    <x v="73"/>
    <n v="34.6"/>
    <n v="29"/>
    <d v="2012-02-24T00:00:00"/>
    <d v="2012-01-20T00:00:00"/>
    <n v="1340"/>
    <d v="2012-01-20T00:00:00"/>
    <n v="1340"/>
    <m/>
    <d v="2012-01-20T00:00:00"/>
    <n v="1340"/>
    <d v="2012-02-21T00:00:00"/>
    <d v="2012-01-17T00:00:00"/>
    <n v="1340"/>
    <n v="1340"/>
    <x v="19"/>
    <d v="2012-02-21T00:00:00"/>
    <m/>
    <n v="9321674273"/>
    <n v="10"/>
    <s v="TGHU4616497"/>
    <s v="MAERSK EINDHOVEN 120"/>
    <m/>
    <s v="SHANGHAI"/>
    <m/>
    <m/>
    <s v="JASON FAN"/>
    <s v="FO9"/>
    <s v="HOME CLEANING                 "/>
    <s v="CONFIRMED"/>
    <n v="1"/>
    <n v="3"/>
    <d v="2012-01-17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4589/000010"/>
    <n v="1370152344"/>
    <n v="10"/>
    <x v="40"/>
    <x v="40"/>
    <s v="L4"/>
    <n v="1830003060"/>
    <n v="5"/>
    <s v="CV4212F0       "/>
    <s v="CV4212F0 STUDIO DRY HAIR DRYER                    "/>
    <s v="S"/>
    <d v="2012-01-30T00:00:00"/>
    <m/>
    <s v="X"/>
    <x v="73"/>
    <n v="5.33"/>
    <n v="11"/>
    <d v="2012-02-18T00:00:00"/>
    <d v="2012-01-14T00:00:00"/>
    <n v="3000"/>
    <d v="2012-01-22T00:00:00"/>
    <n v="3000"/>
    <m/>
    <d v="2012-01-14T00:00:00"/>
    <n v="3000"/>
    <d v="2012-02-26T00:00:00"/>
    <d v="2012-01-22T00:00:00"/>
    <n v="3000"/>
    <n v="3000"/>
    <x v="4"/>
    <d v="2012-02-26T00:00:00"/>
    <m/>
    <n v="9321674280"/>
    <n v="10"/>
    <s v="PONU1446986"/>
    <s v="CMA CGM CORNEILLE/81"/>
    <m/>
    <s v="YANTIAN"/>
    <s v="CONS-SHIPT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10"/>
    <s v="CONS-SHIPT"/>
    <n v="-3"/>
    <n v="-3"/>
    <x v="8"/>
    <n v="1"/>
    <x v="0"/>
    <x v="0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4451/000010"/>
    <n v="1370152406"/>
    <n v="10"/>
    <x v="8"/>
    <x v="8"/>
    <s v="R1"/>
    <n v="8000033526"/>
    <n v="103"/>
    <s v="VB5100NE       "/>
    <s v="VB5100NE BTD  B95 BLK EUR                         "/>
    <s v="S"/>
    <d v="2012-02-01T00:00:00"/>
    <m/>
    <s v="X"/>
    <x v="73"/>
    <n v="91.27"/>
    <n v="93"/>
    <d v="2012-02-23T00:00:00"/>
    <d v="2012-01-19T00:00:00"/>
    <n v="340"/>
    <d v="2012-01-19T00:00:00"/>
    <n v="340"/>
    <m/>
    <d v="2012-01-25T00:00:00"/>
    <n v="340"/>
    <d v="2012-02-29T00:00:00"/>
    <d v="2012-01-25T00:00:00"/>
    <n v="340"/>
    <n v="340"/>
    <x v="15"/>
    <d v="2012-03-01T00:00:00"/>
    <m/>
    <n v="9321674284"/>
    <n v="10"/>
    <s v="UNXU3094341"/>
    <s v="MOL MARVEL/008W"/>
    <m/>
    <s v="YANTIAN"/>
    <m/>
    <m/>
    <s v="AGNES NUNES"/>
    <s v="FO9"/>
    <s v="BEVERAGE                      "/>
    <s v="CONFIRMED"/>
    <n v="1"/>
    <n v="4"/>
    <d v="2012-01-26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4950/000010"/>
    <n v="1370152815"/>
    <n v="10"/>
    <x v="0"/>
    <x v="0"/>
    <s v="A1"/>
    <n v="2100064356"/>
    <n v="208"/>
    <n v="115003007"/>
    <s v="E9050624 JO FP28 JO ALU ANODIZED INDUCTI          "/>
    <s v="S"/>
    <d v="2012-01-30T00:00:00"/>
    <m/>
    <s v="X"/>
    <x v="73"/>
    <n v="14.725899999999999"/>
    <n v="85"/>
    <d v="2012-02-15T00:00:00"/>
    <d v="2012-01-11T00:00:00"/>
    <n v="10000"/>
    <d v="2012-01-30T00:00:00"/>
    <n v="10000"/>
    <m/>
    <d v="2012-01-30T00:00:00"/>
    <n v="10000"/>
    <d v="2012-02-27T00:00:00"/>
    <d v="2012-01-23T00:00:00"/>
    <n v="10000"/>
    <n v="2400"/>
    <x v="25"/>
    <d v="2012-02-28T00:00:00"/>
    <m/>
    <n v="9321674288"/>
    <n v="10"/>
    <s v="CBHU6234271"/>
    <s v="COSCO ASIA/017W"/>
    <m/>
    <s v="NINGBO"/>
    <s v="SP-OVERCAP/"/>
    <m/>
    <s v="KENUS WONG"/>
    <s v="FO9"/>
    <s v="COOKWARE                      "/>
    <s v="CONFIRMED"/>
    <n v="1"/>
    <n v="4"/>
    <d v="2012-01-24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2222"/>
    <s v="GROUPE SEB NORDIC A/S                             "/>
    <n v="99002200"/>
    <x v="5"/>
    <s v="4500264950/000010"/>
    <n v="1370152815"/>
    <n v="10"/>
    <x v="0"/>
    <x v="0"/>
    <s v="A1"/>
    <n v="2100064356"/>
    <n v="208"/>
    <n v="115003007"/>
    <s v="E9050624 JO FP28 JO ALU ANODIZED INDUCTI          "/>
    <s v="S"/>
    <d v="2012-01-30T00:00:00"/>
    <m/>
    <s v="X"/>
    <x v="73"/>
    <n v="14.725899999999999"/>
    <n v="85"/>
    <d v="2012-02-15T00:00:00"/>
    <d v="2012-01-11T00:00:00"/>
    <n v="10000"/>
    <d v="2012-01-30T00:00:00"/>
    <n v="10000"/>
    <m/>
    <d v="2012-01-30T00:00:00"/>
    <n v="10000"/>
    <d v="2012-02-27T00:00:00"/>
    <d v="2012-01-23T00:00:00"/>
    <n v="10000"/>
    <n v="2400"/>
    <x v="25"/>
    <d v="2012-02-28T00:00:00"/>
    <m/>
    <n v="9321674288"/>
    <n v="10"/>
    <s v="CBHU6059543"/>
    <s v="COSCO ASIA/017W"/>
    <m/>
    <s v="NINGBO"/>
    <s v="SP-OVERCAP/"/>
    <m/>
    <s v="KENUS WONG"/>
    <s v="FO9"/>
    <s v="COOKWARE                      "/>
    <s v="CONFIRMED"/>
    <n v="1"/>
    <n v="4"/>
    <d v="2012-01-24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2222"/>
    <s v="GROUPE SEB NORDIC A/S                             "/>
    <n v="99002200"/>
    <x v="5"/>
    <s v="4500264950/000010"/>
    <n v="1370152815"/>
    <n v="10"/>
    <x v="0"/>
    <x v="0"/>
    <s v="A1"/>
    <n v="2100064356"/>
    <n v="208"/>
    <n v="115003007"/>
    <s v="E9050624 JO FP28 JO ALU ANODIZED INDUCTI          "/>
    <s v="S"/>
    <d v="2012-01-30T00:00:00"/>
    <m/>
    <s v="X"/>
    <x v="73"/>
    <n v="14.725899999999999"/>
    <n v="85"/>
    <d v="2012-02-15T00:00:00"/>
    <d v="2012-01-11T00:00:00"/>
    <n v="10000"/>
    <d v="2012-01-30T00:00:00"/>
    <n v="10000"/>
    <m/>
    <d v="2012-01-30T00:00:00"/>
    <n v="10000"/>
    <d v="2012-02-27T00:00:00"/>
    <d v="2012-01-23T00:00:00"/>
    <n v="10000"/>
    <n v="2400"/>
    <x v="25"/>
    <d v="2012-02-28T00:00:00"/>
    <m/>
    <n v="9321674288"/>
    <n v="10"/>
    <s v="CBHU1733200"/>
    <s v="COSCO ASIA/017W"/>
    <m/>
    <s v="NINGBO"/>
    <s v="SP-OVERCAP/"/>
    <m/>
    <s v="KENUS WONG"/>
    <s v="FO9"/>
    <s v="COOKWARE                      "/>
    <s v="CONFIRMED"/>
    <n v="1"/>
    <n v="4"/>
    <d v="2012-01-24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2222"/>
    <s v="GROUPE SEB NORDIC A/S                             "/>
    <n v="99002200"/>
    <x v="5"/>
    <s v="4500264950/000010"/>
    <n v="1370152815"/>
    <n v="10"/>
    <x v="0"/>
    <x v="0"/>
    <s v="A1"/>
    <n v="2100064356"/>
    <n v="208"/>
    <n v="115003007"/>
    <s v="E9050624 JO FP28 JO ALU ANODIZED INDUCTI          "/>
    <s v="S"/>
    <d v="2012-01-30T00:00:00"/>
    <m/>
    <s v="X"/>
    <x v="73"/>
    <n v="14.725899999999999"/>
    <n v="85"/>
    <d v="2012-02-15T00:00:00"/>
    <d v="2012-01-11T00:00:00"/>
    <n v="10000"/>
    <d v="2012-01-30T00:00:00"/>
    <n v="10000"/>
    <m/>
    <d v="2012-01-30T00:00:00"/>
    <n v="10000"/>
    <d v="2012-02-27T00:00:00"/>
    <d v="2012-01-23T00:00:00"/>
    <n v="10000"/>
    <n v="2400"/>
    <x v="25"/>
    <d v="2012-02-28T00:00:00"/>
    <m/>
    <n v="9321674288"/>
    <n v="10"/>
    <s v="UXXU4340368"/>
    <s v="COSCO ASIA/017W"/>
    <m/>
    <s v="NINGBO"/>
    <s v="SP-OVERCAP/"/>
    <m/>
    <s v="KENUS WONG"/>
    <s v="FO9"/>
    <s v="COOKWARE                      "/>
    <s v="CONFIRMED"/>
    <n v="1"/>
    <n v="4"/>
    <d v="2012-01-24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2222"/>
    <s v="GROUPE SEB NORDIC A/S                             "/>
    <n v="99002200"/>
    <x v="5"/>
    <s v="4500264950/000010"/>
    <n v="1370152815"/>
    <n v="10"/>
    <x v="0"/>
    <x v="0"/>
    <s v="A1"/>
    <n v="2100064356"/>
    <n v="208"/>
    <n v="115003007"/>
    <s v="E9050624 JO FP28 JO ALU ANODIZED INDUCTI          "/>
    <s v="S"/>
    <d v="2012-01-30T00:00:00"/>
    <m/>
    <s v="X"/>
    <x v="73"/>
    <n v="14.725899999999999"/>
    <n v="85"/>
    <d v="2012-02-15T00:00:00"/>
    <d v="2012-01-11T00:00:00"/>
    <n v="10000"/>
    <d v="2012-01-30T00:00:00"/>
    <n v="10000"/>
    <m/>
    <d v="2012-01-30T00:00:00"/>
    <n v="10000"/>
    <d v="2012-02-27T00:00:00"/>
    <d v="2012-01-23T00:00:00"/>
    <n v="10000"/>
    <n v="400"/>
    <x v="25"/>
    <d v="2012-02-28T00:00:00"/>
    <m/>
    <n v="9321674288"/>
    <n v="10"/>
    <s v="FSCU4597742"/>
    <s v="COSCO ASIA/017W"/>
    <m/>
    <s v="NINGBO"/>
    <s v="SP-OVERCAP/"/>
    <m/>
    <s v="KENUS WONG"/>
    <s v="FO9"/>
    <s v="COOKWARE                      "/>
    <s v="CONFIRMED"/>
    <n v="1"/>
    <n v="4"/>
    <d v="2012-01-24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2601"/>
    <s v="GROUPE SEB UK LTD                                 "/>
    <n v="99002601"/>
    <x v="10"/>
    <s v="9321673813/000010"/>
    <n v="1370152873"/>
    <n v="10"/>
    <x v="0"/>
    <x v="0"/>
    <s v="A1"/>
    <n v="2100059741"/>
    <n v="201"/>
    <n v="116000698"/>
    <s v="A157S546 SET 5P HOMEBASE ESS BLACK TCP3           "/>
    <s v="S"/>
    <d v="2012-02-02T00:00:00"/>
    <m/>
    <s v="X"/>
    <x v="73"/>
    <n v="23.751100000000001"/>
    <n v="16"/>
    <d v="2012-02-24T00:00:00"/>
    <d v="2012-01-20T00:00:00"/>
    <n v="1665"/>
    <d v="2012-01-20T00:00:00"/>
    <n v="1665"/>
    <m/>
    <d v="2012-02-11T00:00:00"/>
    <n v="1665"/>
    <d v="2012-02-25T00:00:00"/>
    <d v="2012-01-21T00:00:00"/>
    <n v="1665"/>
    <n v="1665"/>
    <x v="1"/>
    <d v="2012-02-27T00:00:00"/>
    <m/>
    <n v="9321674301"/>
    <n v="10"/>
    <s v="TGHU4628395"/>
    <s v="CSCL OCEANIA 0653W/"/>
    <m/>
    <s v="NINGBO"/>
    <s v="SP-OVERCAP/docs received on 1-Feb"/>
    <m/>
    <s v="KENUS WONG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2"/>
    <x v="0"/>
    <x v="1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57793/000010"/>
    <n v="1370149236"/>
    <n v="10"/>
    <x v="11"/>
    <x v="11"/>
    <s v="J4"/>
    <n v="1830003236"/>
    <n v="1"/>
    <s v="IM1220E0       "/>
    <s v="IM1220E0 STEAM IRON INICIO                        "/>
    <s v="S"/>
    <d v="2012-01-27T00:00:00"/>
    <m/>
    <s v="X"/>
    <x v="73"/>
    <n v="7.39"/>
    <n v="6"/>
    <d v="2012-02-20T00:00:00"/>
    <d v="2012-01-16T00:00:00"/>
    <n v="2160"/>
    <d v="2012-01-16T00:00:00"/>
    <n v="2160"/>
    <m/>
    <d v="2012-01-23T00:00:00"/>
    <n v="2160"/>
    <d v="2012-02-27T00:00:00"/>
    <d v="2012-01-23T00:00:00"/>
    <n v="2160"/>
    <n v="2160"/>
    <x v="4"/>
    <d v="2012-02-26T00:00:00"/>
    <m/>
    <n v="9321674314"/>
    <n v="10"/>
    <s v="NYKU3644095"/>
    <s v="OOCL LONG BEACH"/>
    <m/>
    <s v="XIAMEN"/>
    <m/>
    <m/>
    <s v="JASON FAN"/>
    <s v="FO9"/>
    <s v="LINEN CARE                    "/>
    <s v="CONFIRMED"/>
    <n v="1"/>
    <n v="3"/>
    <d v="2012-01-22T00:00:00"/>
    <s v="LINEN PERS HOME CARE          "/>
    <s v="LINEN CARE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794/000010"/>
    <n v="1370149276"/>
    <n v="10"/>
    <x v="11"/>
    <x v="11"/>
    <s v="J4"/>
    <n v="1830003235"/>
    <n v="1"/>
    <s v="IM1215E0       "/>
    <s v="IM1215E0 STEAM IRON NICIO 15                      "/>
    <s v="S"/>
    <d v="2012-01-27T00:00:00"/>
    <m/>
    <s v="X"/>
    <x v="73"/>
    <n v="7.17"/>
    <n v="6"/>
    <d v="2012-02-20T00:00:00"/>
    <d v="2012-01-16T00:00:00"/>
    <n v="2160"/>
    <d v="2012-01-16T00:00:00"/>
    <n v="2160"/>
    <m/>
    <d v="2012-01-23T00:00:00"/>
    <n v="2160"/>
    <d v="2012-02-27T00:00:00"/>
    <d v="2012-01-23T00:00:00"/>
    <n v="2160"/>
    <n v="2160"/>
    <x v="4"/>
    <d v="2012-02-26T00:00:00"/>
    <m/>
    <n v="9321674315"/>
    <n v="10"/>
    <s v="NYKU3644095"/>
    <s v="OOCL LONG BEACH"/>
    <m/>
    <s v="XIAMEN"/>
    <m/>
    <m/>
    <s v="JASON FAN"/>
    <s v="FO9"/>
    <s v="LINEN CARE                    "/>
    <s v="CONFIRMED"/>
    <n v="1"/>
    <n v="3"/>
    <d v="2012-01-22T00:00:00"/>
    <s v="LINEN PERS HOME CARE          "/>
    <s v="LINEN CARE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47595/000010"/>
    <n v="1370147359"/>
    <n v="10"/>
    <x v="22"/>
    <x v="22"/>
    <s v="R2"/>
    <n v="7211000871"/>
    <n v="55"/>
    <n v="211000871"/>
    <s v="BI812510 KET MINI 0.8L SS BLK FR                  "/>
    <s v="S"/>
    <d v="2012-01-21T00:00:00"/>
    <m/>
    <s v="X"/>
    <x v="73"/>
    <n v="15.7361"/>
    <n v="12"/>
    <d v="2012-01-20T00:00:00"/>
    <d v="2011-12-16T00:00:00"/>
    <n v="2700"/>
    <d v="2012-01-18T00:00:00"/>
    <n v="2700"/>
    <m/>
    <d v="2012-01-18T00:00:00"/>
    <n v="2700"/>
    <d v="2012-02-22T00:00:00"/>
    <d v="2012-01-18T00:00:00"/>
    <n v="2700"/>
    <n v="2700"/>
    <x v="21"/>
    <d v="2012-02-22T00:00:00"/>
    <m/>
    <n v="9321674338"/>
    <n v="10"/>
    <s v="CMAU9090674"/>
    <s v="CMA CGM FIDELIO FM42"/>
    <m/>
    <s v="NINGBO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0"/>
    <x v="0"/>
    <x v="1"/>
    <m/>
    <n v="0"/>
    <n v="0"/>
    <x v="1"/>
    <n v="0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47595/000020"/>
    <n v="1370147359"/>
    <n v="20"/>
    <x v="22"/>
    <x v="22"/>
    <s v="R2"/>
    <n v="7211000916"/>
    <n v="55"/>
    <n v="211000916"/>
    <s v="KO299110 KET EXPRESS PLAST 1.5L WHT EUR           "/>
    <s v="S"/>
    <d v="2012-01-21T00:00:00"/>
    <m/>
    <s v="X"/>
    <x v="73"/>
    <n v="11.823399999999999"/>
    <n v="12"/>
    <d v="2012-01-20T00:00:00"/>
    <d v="2011-12-16T00:00:00"/>
    <n v="2580"/>
    <d v="2012-01-18T00:00:00"/>
    <n v="2580"/>
    <m/>
    <d v="2012-01-18T00:00:00"/>
    <n v="2580"/>
    <d v="2012-02-22T00:00:00"/>
    <d v="2012-01-18T00:00:00"/>
    <n v="2580"/>
    <n v="2580"/>
    <x v="21"/>
    <d v="2012-02-22T00:00:00"/>
    <m/>
    <n v="9321674338"/>
    <n v="20"/>
    <s v="CMAU9090674"/>
    <s v="CMA CGM FIDELIO FM42"/>
    <m/>
    <s v="NINGBO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0"/>
    <x v="0"/>
    <x v="1"/>
    <m/>
    <n v="0"/>
    <n v="0"/>
    <x v="1"/>
    <n v="0"/>
    <x v="0"/>
    <x v="0"/>
    <x v="1"/>
    <n v="1"/>
    <n v="0"/>
    <n v="1"/>
    <n v="0"/>
    <n v="0"/>
    <n v="1"/>
    <x v="0"/>
    <x v="0"/>
    <x v="1"/>
    <x v="1"/>
  </r>
  <r>
    <s v="Shipment"/>
    <n v="99003800"/>
    <s v="GROUPE SEB POLSKA SP. ZO.O                        "/>
    <n v="99003800"/>
    <x v="20"/>
    <s v="4500265104/000010"/>
    <n v="1370152901"/>
    <n v="10"/>
    <x v="55"/>
    <x v="55"/>
    <s v="P4"/>
    <n v="8000034343"/>
    <n v="77"/>
    <s v="QA400GB7       "/>
    <s v="QA400GB7 KTM MC GOURMET 900W RED EE               "/>
    <s v="S"/>
    <d v="2012-02-02T00:00:00"/>
    <m/>
    <s v="X"/>
    <x v="74"/>
    <n v="73.569999999999993"/>
    <n v="267"/>
    <d v="2012-03-20T00:00:00"/>
    <d v="2012-02-07T00:00:00"/>
    <n v="700"/>
    <d v="2012-01-25T00:00:00"/>
    <n v="350"/>
    <m/>
    <d v="2012-01-25T00:00:00"/>
    <n v="700"/>
    <d v="2012-03-07T00:00:00"/>
    <d v="2012-01-25T00:00:00"/>
    <n v="350"/>
    <n v="350"/>
    <x v="15"/>
    <d v="2012-03-08T00:00:00"/>
    <m/>
    <n v="9321674689"/>
    <n v="10"/>
    <s v="MRKU8221249"/>
    <s v="EUGEN MAERSK 1202/"/>
    <m/>
    <s v="YANTIAN"/>
    <s v="C-SHORTL/T/"/>
    <m/>
    <s v="KENUS WONG"/>
    <s v="FO9"/>
    <s v="FOOD PREPARATION              "/>
    <s v="CONFIRMED"/>
    <n v="1"/>
    <n v="4"/>
    <d v="2012-01-26T00:00:00"/>
    <s v="KITCHEN ELECTRICS             "/>
    <s v="FOOD PREPARATION              "/>
    <x v="4"/>
    <x v="1"/>
    <x v="1"/>
    <m/>
    <n v="0"/>
    <n v="0"/>
    <x v="1"/>
    <n v="2"/>
    <x v="0"/>
    <x v="0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69712/000010"/>
    <n v="1370152105"/>
    <n v="10"/>
    <x v="8"/>
    <x v="8"/>
    <s v="K9"/>
    <n v="8000033787"/>
    <n v="38"/>
    <s v="KP500525       "/>
    <s v="KP500525 NDG CIRCOLO MET CE                       "/>
    <s v="S"/>
    <d v="2012-01-20T00:00:00"/>
    <m/>
    <s v="X"/>
    <x v="74"/>
    <n v="50.75"/>
    <n v="1780"/>
    <d v="2012-03-05T00:00:00"/>
    <d v="2012-01-16T00:00:00"/>
    <n v="600"/>
    <d v="2012-01-16T00:00:00"/>
    <n v="600"/>
    <m/>
    <d v="2012-01-20T00:00:00"/>
    <n v="600"/>
    <d v="2012-03-09T00:00:00"/>
    <d v="2012-01-20T00:00:00"/>
    <n v="600"/>
    <n v="600"/>
    <x v="14"/>
    <d v="2012-03-09T00:00:00"/>
    <m/>
    <n v="9321674700"/>
    <n v="10"/>
    <s v="APZU3901207"/>
    <s v="MOL MATRIX/010W"/>
    <m/>
    <s v="YANTIAN"/>
    <m/>
    <m/>
    <s v="KENUS WONG"/>
    <s v="FO9"/>
    <s v="BEVERAGE                      "/>
    <s v="CONFIRMED"/>
    <n v="1"/>
    <n v="3"/>
    <d v="2012-01-20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67/000010"/>
    <n v="1370150938"/>
    <n v="10"/>
    <x v="8"/>
    <x v="8"/>
    <s v="K9"/>
    <n v="8000034024"/>
    <n v="38"/>
    <s v="PJ1002B2       "/>
    <s v="PJ1002B2 NDG PICCOLO WHT 220V BR                  "/>
    <s v="S"/>
    <d v="2012-01-21T00:00:00"/>
    <m/>
    <s v="X"/>
    <x v="74"/>
    <n v="32.090000000000003"/>
    <n v="36"/>
    <d v="2012-02-23T00:00:00"/>
    <d v="2012-01-12T00:00:00"/>
    <n v="1120"/>
    <d v="2012-01-20T00:00:00"/>
    <n v="1584"/>
    <m/>
    <d v="2012-01-20T00:00:00"/>
    <n v="1120"/>
    <d v="2012-02-29T00:00:00"/>
    <d v="2012-01-18T00:00:00"/>
    <n v="1584"/>
    <n v="1584"/>
    <x v="21"/>
    <d v="2012-02-29T00:00:00"/>
    <m/>
    <n v="9321674701"/>
    <n v="10"/>
    <s v="SUDU6565343"/>
    <s v="MAERSK LUZ 202W/"/>
    <m/>
    <s v="YANTIAN"/>
    <s v="SP-NO-FORECAST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4"/>
    <s v="SP-NO-FORECAST"/>
    <n v="-3"/>
    <n v="-3"/>
    <x v="15"/>
    <n v="1"/>
    <x v="0"/>
    <x v="1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1266/000010"/>
    <n v="1370151375"/>
    <n v="10"/>
    <x v="8"/>
    <x v="8"/>
    <s v="K9"/>
    <n v="8000034023"/>
    <n v="38"/>
    <s v="PJ1002B1       "/>
    <s v="PJ1002B1 NDG PICCOLO WHT 127V BR                  "/>
    <s v="S"/>
    <d v="2012-01-21T00:00:00"/>
    <m/>
    <s v="X"/>
    <x v="74"/>
    <n v="34.619999999999997"/>
    <n v="39"/>
    <d v="2012-02-23T00:00:00"/>
    <d v="2012-01-12T00:00:00"/>
    <n v="2736"/>
    <d v="2012-01-20T00:00:00"/>
    <n v="2736"/>
    <m/>
    <d v="2012-01-20T00:00:00"/>
    <n v="2736"/>
    <d v="2012-02-29T00:00:00"/>
    <d v="2012-01-18T00:00:00"/>
    <n v="2736"/>
    <n v="576"/>
    <x v="21"/>
    <d v="2012-02-29T00:00:00"/>
    <m/>
    <n v="9321674702"/>
    <n v="10"/>
    <s v="SUDU6565343"/>
    <s v="MAERSK LUZ 202W/"/>
    <m/>
    <s v="YANTIAN"/>
    <s v="SP-NO-FORECAST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4"/>
    <s v="SP-NO-FORECAST"/>
    <n v="-3"/>
    <n v="-3"/>
    <x v="15"/>
    <n v="1"/>
    <x v="0"/>
    <x v="1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1266/000010"/>
    <n v="1370151375"/>
    <n v="10"/>
    <x v="8"/>
    <x v="8"/>
    <s v="K9"/>
    <n v="8000034023"/>
    <n v="38"/>
    <s v="PJ1002B1       "/>
    <s v="PJ1002B1 NDG PICCOLO WHT 127V BR                  "/>
    <s v="S"/>
    <d v="2012-01-21T00:00:00"/>
    <m/>
    <s v="X"/>
    <x v="74"/>
    <n v="34.619999999999997"/>
    <n v="39"/>
    <d v="2012-02-23T00:00:00"/>
    <d v="2012-01-12T00:00:00"/>
    <n v="2736"/>
    <d v="2012-01-20T00:00:00"/>
    <n v="2736"/>
    <m/>
    <d v="2012-01-20T00:00:00"/>
    <n v="2736"/>
    <d v="2012-02-29T00:00:00"/>
    <d v="2012-01-18T00:00:00"/>
    <n v="2736"/>
    <n v="2160"/>
    <x v="21"/>
    <d v="2012-02-29T00:00:00"/>
    <m/>
    <n v="9321674702"/>
    <n v="10"/>
    <s v="SUDU5523024"/>
    <s v="MAERSK LUZ 202W/"/>
    <m/>
    <s v="YANTIAN"/>
    <s v="SP-NO-FORECAST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4"/>
    <s v="SP-NO-FORECAST"/>
    <n v="-3"/>
    <n v="-3"/>
    <x v="15"/>
    <n v="1"/>
    <x v="0"/>
    <x v="1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1265/000010"/>
    <n v="1370151376"/>
    <n v="10"/>
    <x v="8"/>
    <x v="8"/>
    <s v="K9"/>
    <n v="8000034306"/>
    <n v="38"/>
    <s v="PJ1000B2       "/>
    <s v="PJ1000B2 NDG PICCOLO BLK 220V BR                  "/>
    <s v="S"/>
    <d v="2012-02-03T00:00:00"/>
    <m/>
    <s v="X"/>
    <x v="74"/>
    <n v="32.01"/>
    <n v="36"/>
    <d v="2012-02-23T00:00:00"/>
    <d v="2012-01-12T00:00:00"/>
    <n v="2160"/>
    <d v="2012-01-25T00:00:00"/>
    <n v="2160"/>
    <m/>
    <d v="2012-01-13T00:00:00"/>
    <n v="2160"/>
    <d v="2012-03-09T00:00:00"/>
    <d v="2012-01-27T00:00:00"/>
    <n v="2160"/>
    <n v="2160"/>
    <x v="27"/>
    <d v="2012-03-07T00:00:00"/>
    <m/>
    <n v="9321674703"/>
    <n v="10"/>
    <s v="SUDU8819508"/>
    <s v="MAERSK LA PAZ 203W/"/>
    <m/>
    <s v="YANTIAN"/>
    <s v="NEWREQ-CUSTOMS/"/>
    <m/>
    <s v="THOMAS HO"/>
    <s v="FO9"/>
    <s v="BEVERAGE                      "/>
    <s v="CONFIRMED"/>
    <n v="1"/>
    <n v="4"/>
    <d v="2012-01-25T00:00:00"/>
    <s v="KITCHEN ELECTRICS             "/>
    <s v="BREAKFAST &amp; BREVAGE PREP      "/>
    <x v="4"/>
    <x v="1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73/000010"/>
    <n v="1370151371"/>
    <n v="10"/>
    <x v="8"/>
    <x v="8"/>
    <s v="K9"/>
    <n v="8000033893"/>
    <n v="38"/>
    <s v="PJ2106B1B      "/>
    <s v="PJ2106B1 NDG MELODY 2 127V RED BR                 "/>
    <s v="S"/>
    <d v="2012-01-21T00:00:00"/>
    <m/>
    <s v="X"/>
    <x v="74"/>
    <n v="46.25"/>
    <n v="52"/>
    <d v="2012-02-23T00:00:00"/>
    <d v="2012-01-12T00:00:00"/>
    <n v="2088"/>
    <d v="2012-01-12T00:00:00"/>
    <n v="2088"/>
    <m/>
    <d v="2012-01-19T00:00:00"/>
    <n v="2088"/>
    <d v="2012-02-29T00:00:00"/>
    <d v="2012-01-18T00:00:00"/>
    <n v="2088"/>
    <n v="600"/>
    <x v="21"/>
    <d v="2012-02-29T00:00:00"/>
    <m/>
    <n v="9321674705"/>
    <n v="10"/>
    <s v="SUDU7452819"/>
    <s v="MAERSK LUZ 202W/"/>
    <m/>
    <s v="YANTIAN"/>
    <m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73/000010"/>
    <n v="1370151371"/>
    <n v="10"/>
    <x v="8"/>
    <x v="8"/>
    <s v="K9"/>
    <n v="8000033893"/>
    <n v="38"/>
    <s v="PJ2106B1B      "/>
    <s v="PJ2106B1 NDG MELODY 2 127V RED BR                 "/>
    <s v="S"/>
    <d v="2012-01-21T00:00:00"/>
    <m/>
    <s v="X"/>
    <x v="74"/>
    <n v="46.25"/>
    <n v="52"/>
    <d v="2012-02-23T00:00:00"/>
    <d v="2012-01-12T00:00:00"/>
    <n v="2088"/>
    <d v="2012-01-12T00:00:00"/>
    <n v="2088"/>
    <m/>
    <d v="2012-01-19T00:00:00"/>
    <n v="2088"/>
    <d v="2012-02-29T00:00:00"/>
    <d v="2012-01-18T00:00:00"/>
    <n v="2088"/>
    <n v="1488"/>
    <x v="21"/>
    <d v="2012-02-29T00:00:00"/>
    <m/>
    <n v="9321674705"/>
    <n v="10"/>
    <s v="SUDU8956706"/>
    <s v="MAERSK LUZ 202W/"/>
    <m/>
    <s v="YANTIAN"/>
    <m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1269/000010"/>
    <n v="1370151373"/>
    <n v="10"/>
    <x v="8"/>
    <x v="8"/>
    <s v="K9"/>
    <n v="8000034026"/>
    <n v="38"/>
    <s v="PJ1006B2       "/>
    <s v="PJ1006B2 NDG PICCOLO RED 220V BR                  "/>
    <s v="S"/>
    <d v="2012-01-21T00:00:00"/>
    <m/>
    <s v="X"/>
    <x v="74"/>
    <n v="32.01"/>
    <n v="36"/>
    <d v="2012-02-23T00:00:00"/>
    <d v="2012-01-12T00:00:00"/>
    <n v="2592"/>
    <d v="2012-01-20T00:00:00"/>
    <n v="3624"/>
    <m/>
    <m/>
    <m/>
    <d v="2012-02-29T00:00:00"/>
    <d v="2012-01-18T00:00:00"/>
    <n v="3624"/>
    <n v="2592"/>
    <x v="21"/>
    <d v="2012-02-29T00:00:00"/>
    <m/>
    <n v="9321674706"/>
    <n v="10"/>
    <s v="SUDU4944116"/>
    <s v="MAERSK LUZ 202W/"/>
    <m/>
    <s v="YANTIAN"/>
    <s v="SP-NO-FORECAST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4"/>
    <s v="SP-NO-FORECAST"/>
    <n v="-3"/>
    <n v="-3"/>
    <x v="15"/>
    <n v="1"/>
    <x v="0"/>
    <x v="1"/>
    <x v="1"/>
    <n v="0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1269/000010"/>
    <n v="1370151373"/>
    <n v="10"/>
    <x v="8"/>
    <x v="8"/>
    <s v="K9"/>
    <n v="8000034026"/>
    <n v="38"/>
    <s v="PJ1006B2       "/>
    <s v="PJ1006B2 NDG PICCOLO RED 220V BR                  "/>
    <s v="S"/>
    <d v="2012-01-23T00:00:00"/>
    <m/>
    <s v="X"/>
    <x v="74"/>
    <n v="32.01"/>
    <n v="36"/>
    <d v="2012-02-23T00:00:00"/>
    <d v="2012-01-12T00:00:00"/>
    <n v="2592"/>
    <d v="2012-01-20T00:00:00"/>
    <n v="3624"/>
    <m/>
    <m/>
    <m/>
    <d v="2012-02-29T00:00:00"/>
    <d v="2012-01-18T00:00:00"/>
    <n v="3624"/>
    <n v="1032"/>
    <x v="21"/>
    <d v="2012-02-29T00:00:00"/>
    <m/>
    <n v="9321674706"/>
    <n v="10"/>
    <s v="SUDU5593382"/>
    <s v="MAERSK LUZ 202W/"/>
    <m/>
    <s v="YANTIAN"/>
    <s v="SP-NO-FORECAST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4"/>
    <s v="SP-NO-FORECAST"/>
    <n v="-3"/>
    <n v="-3"/>
    <x v="15"/>
    <n v="1"/>
    <x v="0"/>
    <x v="1"/>
    <x v="1"/>
    <n v="0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1268/000010"/>
    <n v="1370151374"/>
    <n v="10"/>
    <x v="8"/>
    <x v="8"/>
    <s v="K9"/>
    <n v="8000034025"/>
    <n v="38"/>
    <s v="PJ1006B1       "/>
    <s v="PJ1006B1 NDG PICCOLO RED 127V BR                  "/>
    <s v="S"/>
    <d v="2012-01-30T00:00:00"/>
    <m/>
    <s v="X"/>
    <x v="74"/>
    <n v="34.54"/>
    <n v="39"/>
    <d v="2012-02-23T00:00:00"/>
    <d v="2012-01-12T00:00:00"/>
    <n v="5016"/>
    <d v="2012-01-20T00:00:00"/>
    <n v="5184"/>
    <m/>
    <d v="2012-01-20T00:00:00"/>
    <n v="5016"/>
    <d v="2012-02-29T00:00:00"/>
    <d v="2012-01-18T00:00:00"/>
    <n v="5184"/>
    <n v="2592"/>
    <x v="21"/>
    <d v="2012-02-29T00:00:00"/>
    <m/>
    <n v="9321674707"/>
    <n v="10"/>
    <s v="SUDU8694247"/>
    <s v="MAERSK LUZ 202W"/>
    <m/>
    <s v="YANTIAN"/>
    <s v="SP-NO-FORECAST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4"/>
    <s v="SP-NO-FORECAST"/>
    <n v="-3"/>
    <n v="-3"/>
    <x v="15"/>
    <n v="1"/>
    <x v="0"/>
    <x v="1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1268/000010"/>
    <n v="1370151374"/>
    <n v="10"/>
    <x v="8"/>
    <x v="8"/>
    <s v="K9"/>
    <n v="8000034025"/>
    <n v="38"/>
    <s v="PJ1006B1       "/>
    <s v="PJ1006B1 NDG PICCOLO RED 127V BR                  "/>
    <s v="S"/>
    <d v="2012-01-21T00:00:00"/>
    <m/>
    <s v="X"/>
    <x v="74"/>
    <n v="34.54"/>
    <n v="39"/>
    <d v="2012-02-23T00:00:00"/>
    <d v="2012-01-12T00:00:00"/>
    <n v="5016"/>
    <d v="2012-01-20T00:00:00"/>
    <n v="5184"/>
    <m/>
    <d v="2012-01-20T00:00:00"/>
    <n v="5016"/>
    <d v="2012-02-29T00:00:00"/>
    <d v="2012-01-18T00:00:00"/>
    <n v="5184"/>
    <n v="2592"/>
    <x v="21"/>
    <d v="2012-02-29T00:00:00"/>
    <m/>
    <n v="9321674707"/>
    <n v="10"/>
    <s v="TCNU8573792"/>
    <s v="MAERSK LUZ 202W/"/>
    <m/>
    <s v="YANTIAN"/>
    <s v="SP-NO-FORECAST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4"/>
    <s v="SP-NO-FORECAST"/>
    <n v="-3"/>
    <n v="-3"/>
    <x v="15"/>
    <n v="1"/>
    <x v="0"/>
    <x v="1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2015/000020"/>
    <n v="1370151536"/>
    <n v="20"/>
    <x v="8"/>
    <x v="8"/>
    <s v="K9"/>
    <n v="8000034498"/>
    <n v="38"/>
    <s v="PJ1509B2       "/>
    <s v="PJ1509B2 NDG GENIO TIT 220V BR                    "/>
    <s v="S"/>
    <d v="2012-02-03T00:00:00"/>
    <m/>
    <s v="X"/>
    <x v="74"/>
    <n v="56.83"/>
    <n v="64"/>
    <d v="2012-02-27T00:00:00"/>
    <d v="2012-01-16T00:00:00"/>
    <n v="648"/>
    <d v="2012-01-16T00:00:00"/>
    <n v="648"/>
    <m/>
    <d v="2012-01-20T00:00:00"/>
    <n v="648"/>
    <d v="2012-03-07T00:00:00"/>
    <d v="2012-01-25T00:00:00"/>
    <n v="648"/>
    <n v="648"/>
    <x v="27"/>
    <d v="2012-03-07T00:00:00"/>
    <m/>
    <n v="9321674708"/>
    <n v="10"/>
    <s v="SUDU8845770"/>
    <s v="MAERSK LA PAZ 203W/"/>
    <m/>
    <s v="YANTIAN"/>
    <s v="NEWREQ-CUSTOMS/"/>
    <m/>
    <s v="THOMAS HO"/>
    <s v="FO9"/>
    <s v="BEVERAGE                      "/>
    <s v="CONFIRMED"/>
    <n v="1"/>
    <n v="4"/>
    <d v="2012-01-25T00:00:00"/>
    <s v="KITCHEN ELECTRICS             "/>
    <s v="BREAKFAST &amp; BREVAGE PREP      "/>
    <x v="4"/>
    <x v="1"/>
    <x v="8"/>
    <s v="NEWREQ-CUSTOMS"/>
    <n v="1"/>
    <n v="1"/>
    <x v="14"/>
    <n v="1"/>
    <x v="0"/>
    <x v="0"/>
    <x v="1"/>
    <n v="0"/>
    <n v="0"/>
    <n v="0"/>
    <n v="0"/>
    <n v="0"/>
    <n v="0"/>
    <x v="1"/>
    <x v="0"/>
    <x v="1"/>
    <x v="0"/>
  </r>
  <r>
    <s v="Shipment"/>
    <n v="99001621"/>
    <s v="GRUPO SEB DO BRASIL                               "/>
    <n v="99001600"/>
    <x v="2"/>
    <s v="9820642015/000010"/>
    <n v="1370151536"/>
    <n v="10"/>
    <x v="8"/>
    <x v="8"/>
    <s v="K9"/>
    <n v="8000034497"/>
    <n v="38"/>
    <s v="PJ1509B1       "/>
    <s v="PJ1509B1 NDG GENIO TIT 127V BR                    "/>
    <s v="S"/>
    <d v="2012-02-03T00:00:00"/>
    <m/>
    <s v="X"/>
    <x v="74"/>
    <n v="57.97"/>
    <n v="64"/>
    <d v="2012-02-27T00:00:00"/>
    <d v="2012-01-16T00:00:00"/>
    <n v="1512"/>
    <d v="2012-01-16T00:00:00"/>
    <n v="1512"/>
    <m/>
    <d v="2012-01-20T00:00:00"/>
    <n v="1512"/>
    <d v="2012-03-07T00:00:00"/>
    <d v="2012-01-25T00:00:00"/>
    <n v="1512"/>
    <n v="1512"/>
    <x v="27"/>
    <d v="2012-03-07T00:00:00"/>
    <m/>
    <n v="9321674708"/>
    <n v="20"/>
    <s v="SUDU8845770"/>
    <s v="MAERSK LA PAZ 203W/"/>
    <m/>
    <s v="YANTIAN"/>
    <s v="NEWREQ-CUSTOMS/"/>
    <m/>
    <s v="THOMAS HO"/>
    <s v="FO9"/>
    <s v="BEVERAGE                      "/>
    <s v="CONFIRMED"/>
    <n v="1"/>
    <n v="4"/>
    <d v="2012-01-25T00:00:00"/>
    <s v="KITCHEN ELECTRICS             "/>
    <s v="BREAKFAST &amp; BREVAGE PREP      "/>
    <x v="4"/>
    <x v="1"/>
    <x v="8"/>
    <s v="NEWREQ-CUSTOMS"/>
    <n v="1"/>
    <n v="1"/>
    <x v="14"/>
    <n v="1"/>
    <x v="0"/>
    <x v="0"/>
    <x v="1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70252/000010"/>
    <n v="1370152393"/>
    <n v="10"/>
    <x v="8"/>
    <x v="8"/>
    <s v="K9"/>
    <n v="8000033943"/>
    <n v="30"/>
    <s v="XN200310       "/>
    <s v="XN200310 NES ESSENZA MANUAL BLK EUR               "/>
    <s v="S"/>
    <d v="2012-01-20T00:00:00"/>
    <m/>
    <s v="X"/>
    <x v="74"/>
    <n v="40.79"/>
    <n v="35"/>
    <d v="2012-02-17T00:00:00"/>
    <d v="2012-01-13T00:00:00"/>
    <n v="2040"/>
    <d v="2012-01-13T00:00:00"/>
    <n v="2040"/>
    <m/>
    <d v="2012-01-13T00:00:00"/>
    <n v="2040"/>
    <d v="2012-02-22T00:00:00"/>
    <d v="2012-01-18T00:00:00"/>
    <n v="2040"/>
    <n v="2040"/>
    <x v="21"/>
    <d v="2012-02-22T00:00:00"/>
    <m/>
    <n v="9321674709"/>
    <n v="10"/>
    <s v="TTNU5119979"/>
    <s v="GJERTRUD MAERSK 121W"/>
    <m/>
    <s v="YANTIAN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4489/000010"/>
    <n v="1370152339"/>
    <n v="10"/>
    <x v="8"/>
    <x v="8"/>
    <s v="K9"/>
    <n v="8000034065"/>
    <n v="38"/>
    <s v="KP1006E2       "/>
    <s v="KP1006E2 NDG PICCOLO RED EE2                      "/>
    <s v="S"/>
    <d v="2012-01-16T00:00:00"/>
    <m/>
    <s v="X"/>
    <x v="74"/>
    <n v="33.79"/>
    <n v="8218"/>
    <d v="2012-02-13T00:00:00"/>
    <d v="2012-01-09T00:00:00"/>
    <n v="2160"/>
    <d v="2012-01-09T00:00:00"/>
    <n v="2160"/>
    <m/>
    <d v="2012-01-13T00:00:00"/>
    <n v="2160"/>
    <d v="2012-02-17T00:00:00"/>
    <d v="2012-01-13T00:00:00"/>
    <n v="2160"/>
    <n v="2160"/>
    <x v="9"/>
    <d v="2012-02-18T00:00:00"/>
    <m/>
    <n v="9321674710"/>
    <n v="10"/>
    <s v="PONU1365652"/>
    <s v="CMA CGM BALZAC/1202"/>
    <m/>
    <s v="YANTIAN"/>
    <m/>
    <m/>
    <s v="KENUS WONG"/>
    <s v="FO9"/>
    <s v="BEVERAGE                      "/>
    <s v="CONFIRMED"/>
    <n v="1"/>
    <n v="2"/>
    <d v="2012-01-14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4491/000010"/>
    <n v="1370152338"/>
    <n v="10"/>
    <x v="8"/>
    <x v="8"/>
    <s v="K9"/>
    <n v="8000034122"/>
    <n v="38"/>
    <s v="KP5005E2       "/>
    <s v="KP5005E2 NDG CIRCOLO MET HU                       "/>
    <s v="S"/>
    <d v="2012-01-16T00:00:00"/>
    <m/>
    <s v="X"/>
    <x v="74"/>
    <n v="50.75"/>
    <n v="12318"/>
    <d v="2012-02-13T00:00:00"/>
    <d v="2012-01-09T00:00:00"/>
    <n v="600"/>
    <d v="2012-01-21T00:00:00"/>
    <n v="600"/>
    <m/>
    <d v="2012-01-16T00:00:00"/>
    <n v="600"/>
    <d v="2012-02-25T00:00:00"/>
    <d v="2012-01-21T00:00:00"/>
    <n v="600"/>
    <n v="600"/>
    <x v="9"/>
    <d v="2012-02-18T00:00:00"/>
    <m/>
    <n v="9321674712"/>
    <n v="10"/>
    <s v="MRKU6992289"/>
    <s v="CMA CGM BALZAC/1202"/>
    <m/>
    <s v="YANTIAN"/>
    <s v="C-SHORTL/T/SP-OVERCAP/C-SHORTL/T/"/>
    <m/>
    <s v="KENUS WONG"/>
    <s v="FO9"/>
    <s v="BEVERAGE                      "/>
    <s v="CONFIRMED"/>
    <n v="1"/>
    <n v="2"/>
    <d v="2012-01-14T00:00:00"/>
    <s v="KITCHEN ELECTRICS             "/>
    <s v="BREAKFAST &amp; BREVAGE PREP      "/>
    <x v="4"/>
    <x v="1"/>
    <x v="11"/>
    <s v="SP-OVERCAP"/>
    <n v="-3"/>
    <n v="-3"/>
    <x v="9"/>
    <n v="5"/>
    <x v="0"/>
    <x v="1"/>
    <x v="1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67771/000010"/>
    <n v="1370152549"/>
    <n v="10"/>
    <x v="8"/>
    <x v="8"/>
    <s v="K9"/>
    <n v="8000033943"/>
    <n v="30"/>
    <s v="XN200310       "/>
    <s v="XN200310 NES ESSENZA MANUAL BLK EUR               "/>
    <s v="S"/>
    <d v="2012-01-17T00:00:00"/>
    <m/>
    <s v="X"/>
    <x v="74"/>
    <n v="40.79"/>
    <n v="35"/>
    <d v="2012-02-16T00:00:00"/>
    <d v="2012-01-19T00:00:00"/>
    <n v="2040"/>
    <d v="2012-01-19T00:00:00"/>
    <n v="2040"/>
    <m/>
    <d v="2012-01-20T00:00:00"/>
    <n v="2040"/>
    <d v="2012-02-13T00:00:00"/>
    <d v="2012-01-16T00:00:00"/>
    <n v="2040"/>
    <n v="2040"/>
    <x v="8"/>
    <d v="2012-02-13T00:00:00"/>
    <m/>
    <n v="9321674713"/>
    <n v="10"/>
    <s v="PONU1850236"/>
    <s v="MAERSK TUKANG 1202/"/>
    <m/>
    <s v="YANTIAN"/>
    <m/>
    <m/>
    <s v="KENUS WONG"/>
    <s v="FO9"/>
    <s v="BEVERAGE                      "/>
    <s v="CONFIRMED"/>
    <n v="1"/>
    <n v="3"/>
    <d v="2012-01-16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2153/000010"/>
    <n v="1370152630"/>
    <n v="10"/>
    <x v="8"/>
    <x v="8"/>
    <s v="K9"/>
    <n v="8000033943"/>
    <n v="30"/>
    <s v="XN200310       "/>
    <s v="XN200310 NES ESSENZA MANUAL BLK EUR               "/>
    <s v="S"/>
    <d v="2012-01-20T00:00:00"/>
    <m/>
    <s v="X"/>
    <x v="74"/>
    <n v="40.79"/>
    <n v="35"/>
    <d v="2012-02-23T00:00:00"/>
    <d v="2012-01-19T00:00:00"/>
    <n v="2040"/>
    <d v="2012-01-19T00:00:00"/>
    <n v="2040"/>
    <m/>
    <d v="2012-01-20T00:00:00"/>
    <n v="2040"/>
    <d v="2012-02-22T00:00:00"/>
    <d v="2012-01-18T00:00:00"/>
    <n v="2040"/>
    <n v="2040"/>
    <x v="21"/>
    <d v="2012-02-22T00:00:00"/>
    <m/>
    <n v="9321674714"/>
    <n v="10"/>
    <s v="PONU1295431"/>
    <s v="GJERTRUD MAERSK 121W"/>
    <m/>
    <s v="YANTIAN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2148/000010"/>
    <n v="1370152628"/>
    <n v="10"/>
    <x v="8"/>
    <x v="8"/>
    <s v="R1"/>
    <n v="8000033525"/>
    <n v="103"/>
    <s v="VB5000NE       "/>
    <s v="VB5000NE BTD  B90 BLK EUR                         "/>
    <s v="S"/>
    <d v="2012-01-20T00:00:00"/>
    <m/>
    <s v="X"/>
    <x v="74"/>
    <n v="82.14"/>
    <n v="85"/>
    <d v="2012-02-23T00:00:00"/>
    <d v="2012-01-19T00:00:00"/>
    <n v="705"/>
    <d v="2012-01-19T00:00:00"/>
    <n v="705"/>
    <m/>
    <d v="2012-01-19T00:00:00"/>
    <n v="705"/>
    <d v="2012-02-23T00:00:00"/>
    <d v="2012-01-19T00:00:00"/>
    <n v="705"/>
    <n v="705"/>
    <x v="21"/>
    <d v="2012-02-22T00:00:00"/>
    <m/>
    <n v="9321674715"/>
    <n v="10"/>
    <s v="POCU1015809"/>
    <s v="GJERTRUD MAERSK 121W"/>
    <m/>
    <s v="YANTIAN"/>
    <m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601"/>
    <s v="GROUPE SEB SINGAPORE PTE LTD                      "/>
    <n v="99006601"/>
    <x v="11"/>
    <s v="867/000001"/>
    <n v="1370152710"/>
    <n v="10"/>
    <x v="8"/>
    <x v="8"/>
    <s v="K9"/>
    <n v="8000034462"/>
    <n v="38"/>
    <s v="KP5000MS       "/>
    <s v="KP5000MS NDG CIRCOLO ANTH SG                      "/>
    <s v="S"/>
    <d v="2012-01-17T00:00:00"/>
    <m/>
    <s v="X"/>
    <x v="74"/>
    <n v="50.95"/>
    <n v="69"/>
    <d v="2012-02-06T00:00:00"/>
    <d v="2012-01-23T00:00:00"/>
    <n v="600"/>
    <d v="2012-01-20T00:00:00"/>
    <n v="600"/>
    <m/>
    <d v="2012-01-27T00:00:00"/>
    <n v="600"/>
    <d v="2012-02-03T00:00:00"/>
    <d v="2012-01-20T00:00:00"/>
    <n v="600"/>
    <n v="600"/>
    <x v="26"/>
    <d v="2012-02-04T00:00:00"/>
    <m/>
    <n v="9321674716"/>
    <n v="10"/>
    <s v="OOLU1532181"/>
    <s v="OOCL BEIJING 007W"/>
    <m/>
    <s v="YANTIAN"/>
    <m/>
    <m/>
    <s v="AGNES NUNES"/>
    <s v="FO9"/>
    <s v="BEVERAGE                      "/>
    <s v="CONFIRMED"/>
    <n v="1"/>
    <n v="3"/>
    <d v="2012-01-21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0410/000010"/>
    <n v="1370152380"/>
    <n v="10"/>
    <x v="35"/>
    <x v="35"/>
    <s v="N3"/>
    <n v="1500633101"/>
    <n v="177"/>
    <n v="633101"/>
    <s v="FF102500 FRIT.SIMPLY INVENTS A                    "/>
    <s v="S"/>
    <d v="2012-01-07T00:00:00"/>
    <m/>
    <s v="X"/>
    <x v="74"/>
    <n v="20.46"/>
    <n v="17"/>
    <d v="2012-02-10T00:00:00"/>
    <d v="2012-01-06T00:00:00"/>
    <n v="1140"/>
    <d v="2012-01-06T00:00:00"/>
    <n v="1140"/>
    <m/>
    <d v="2012-01-06T00:00:00"/>
    <n v="1140"/>
    <d v="2012-02-08T00:00:00"/>
    <d v="2012-01-04T00:00:00"/>
    <n v="1140"/>
    <n v="1140"/>
    <x v="2"/>
    <d v="2012-02-08T00:00:00"/>
    <m/>
    <n v="9321674720"/>
    <n v="10"/>
    <s v="MSKU6839862"/>
    <s v="MAREN MAERSK 121W/"/>
    <m/>
    <s v="SHENZHEN"/>
    <s v="SAILING-SCHED-UPDATE/"/>
    <m/>
    <s v="JASON FAN"/>
    <s v="FO9"/>
    <s v="ELECTRICAL COOKING            "/>
    <s v="CONFIRMED"/>
    <n v="1"/>
    <n v="1"/>
    <d v="2012-01-04T00:00:00"/>
    <s v="KITCHEN ELECTRICS             "/>
    <s v="ELECTRICAL COOKING            "/>
    <x v="2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5108/000010"/>
    <n v="1370152904"/>
    <n v="10"/>
    <x v="35"/>
    <x v="35"/>
    <s v="P1"/>
    <n v="1500833787"/>
    <n v="105"/>
    <n v="833787"/>
    <s v="JU650G3E JUI JU650 MET RED PL                     "/>
    <s v="S"/>
    <d v="2012-01-20T00:00:00"/>
    <m/>
    <s v="X"/>
    <x v="74"/>
    <n v="42.39"/>
    <n v="156"/>
    <d v="2012-03-19T00:00:00"/>
    <d v="2012-02-06T00:00:00"/>
    <n v="1100"/>
    <d v="2012-01-18T00:00:00"/>
    <n v="1100"/>
    <m/>
    <d v="2012-02-06T00:00:00"/>
    <n v="1100"/>
    <d v="2012-02-29T00:00:00"/>
    <d v="2012-01-18T00:00:00"/>
    <n v="1100"/>
    <n v="1100"/>
    <x v="21"/>
    <d v="2012-02-29T00:00:00"/>
    <m/>
    <n v="9321674721"/>
    <n v="10"/>
    <s v="MSKU6574655"/>
    <s v="EMMA MAERSK 1202/"/>
    <m/>
    <s v="YANTIAN"/>
    <s v="C-PULLIN-CONF/SP-HOLIDAY/"/>
    <m/>
    <s v="KENUS WONG"/>
    <s v="FO9"/>
    <s v="FOOD PREPARATION              "/>
    <s v="CONFIRMED"/>
    <n v="1"/>
    <n v="3"/>
    <d v="2012-01-18T00:00:00"/>
    <s v="KITCHEN ELECTRICS             "/>
    <s v="FOOD PREPARATION              "/>
    <x v="2"/>
    <x v="1"/>
    <x v="7"/>
    <s v="SP-HOLIDAY"/>
    <n v="-3"/>
    <n v="-3"/>
    <x v="6"/>
    <n v="2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4480/000010"/>
    <n v="1370152999"/>
    <n v="10"/>
    <x v="35"/>
    <x v="35"/>
    <s v="N3"/>
    <n v="1500633101"/>
    <n v="177"/>
    <n v="633101"/>
    <s v="FF102500 FRIT.SIMPLY INVENTS A                    "/>
    <s v="S"/>
    <d v="2012-01-17T00:00:00"/>
    <m/>
    <s v="X"/>
    <x v="74"/>
    <n v="20.46"/>
    <n v="17"/>
    <d v="2012-02-17T00:00:00"/>
    <d v="2012-01-13T00:00:00"/>
    <n v="1140"/>
    <d v="2012-01-13T00:00:00"/>
    <n v="1140"/>
    <m/>
    <d v="2012-01-13T00:00:00"/>
    <n v="1140"/>
    <d v="2012-02-15T00:00:00"/>
    <d v="2012-01-11T00:00:00"/>
    <n v="1140"/>
    <n v="1140"/>
    <x v="17"/>
    <d v="2012-02-15T00:00:00"/>
    <m/>
    <n v="9321674722"/>
    <n v="10"/>
    <s v="TTNU4668510"/>
    <s v="GRETE MAERSK 121W/"/>
    <m/>
    <s v="SHENZHEN"/>
    <s v="SAILING-SCHED-UPDATE/"/>
    <m/>
    <s v="JASON FAN"/>
    <s v="FO9"/>
    <s v="ELECTRICAL COOKING            "/>
    <s v="CONFIRMED"/>
    <n v="1"/>
    <n v="2"/>
    <d v="2012-01-11T00:00:00"/>
    <s v="KITCHEN ELECTRICS             "/>
    <s v="ELECTRICAL COOKING            "/>
    <x v="2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4692/000010"/>
    <n v="1370152521"/>
    <n v="10"/>
    <x v="27"/>
    <x v="27"/>
    <s v="N1"/>
    <n v="2100040171"/>
    <n v="52"/>
    <s v="SM150234       "/>
    <s v="SM150234 6030  CP30 GRILL SILVER MLX PE           "/>
    <s v="S"/>
    <d v="2012-01-16T00:00:00"/>
    <m/>
    <s v="X"/>
    <x v="74"/>
    <n v="8.68"/>
    <n v="2120"/>
    <d v="2012-03-14T00:00:00"/>
    <d v="2012-02-08T00:00:00"/>
    <n v="2352"/>
    <d v="2012-01-17T00:00:00"/>
    <n v="2352"/>
    <m/>
    <d v="2012-02-13T00:00:00"/>
    <n v="2352"/>
    <d v="2012-02-21T00:00:00"/>
    <d v="2012-01-17T00:00:00"/>
    <n v="2352"/>
    <n v="2352"/>
    <x v="9"/>
    <d v="2012-02-18T00:00:00"/>
    <m/>
    <n v="9321674723"/>
    <n v="10"/>
    <s v="MRKU0511391"/>
    <s v="CMA CGM BALZAC/1202"/>
    <m/>
    <s v="YANTIAN"/>
    <s v="SP-HOLIDAY/"/>
    <m/>
    <s v="KENUS WONG"/>
    <s v="FO9"/>
    <s v="ELECTRICAL COOKING            "/>
    <s v="CONFIRMED"/>
    <n v="1"/>
    <n v="2"/>
    <d v="2012-01-14T00:00:00"/>
    <s v="KITCHEN ELECTRICS             "/>
    <s v="ELECTRICAL COOKING            "/>
    <x v="2"/>
    <x v="1"/>
    <x v="7"/>
    <s v="SP-HOLIDAY"/>
    <n v="-3"/>
    <n v="-3"/>
    <x v="6"/>
    <n v="1"/>
    <x v="0"/>
    <x v="0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4693/000010"/>
    <n v="1370152527"/>
    <n v="10"/>
    <x v="27"/>
    <x v="27"/>
    <s v="N1"/>
    <n v="2100054119"/>
    <n v="52"/>
    <s v="SW602033       "/>
    <s v="SW602033 AVANTE 3EN1 CUT/GRILL/ WAFFLE            "/>
    <s v="S"/>
    <d v="2012-01-16T00:00:00"/>
    <m/>
    <s v="X"/>
    <x v="74"/>
    <n v="19.3"/>
    <n v="4844"/>
    <d v="2012-03-14T00:00:00"/>
    <d v="2012-02-08T00:00:00"/>
    <n v="1200"/>
    <d v="2012-01-17T00:00:00"/>
    <n v="1200"/>
    <m/>
    <d v="2012-02-13T00:00:00"/>
    <n v="1200"/>
    <d v="2012-02-21T00:00:00"/>
    <d v="2012-01-17T00:00:00"/>
    <n v="1200"/>
    <n v="1200"/>
    <x v="9"/>
    <d v="2012-02-18T00:00:00"/>
    <m/>
    <n v="9321674724"/>
    <n v="10"/>
    <s v="MRKU0511391"/>
    <s v="CMA CGM BALZAC/1202"/>
    <m/>
    <s v="YANTIAN"/>
    <s v="SP-HOLIDAY/"/>
    <m/>
    <s v="KENUS WONG"/>
    <s v="FO9"/>
    <s v="ELECTRICAL COOKING            "/>
    <s v="CONFIRMED"/>
    <n v="1"/>
    <n v="2"/>
    <d v="2012-01-14T00:00:00"/>
    <s v="KITCHEN ELECTRICS             "/>
    <s v="ELECTRICAL COOKING            "/>
    <x v="2"/>
    <x v="1"/>
    <x v="7"/>
    <s v="SP-HOLIDAY"/>
    <n v="-3"/>
    <n v="-3"/>
    <x v="6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6015/000010"/>
    <n v="1370151268"/>
    <n v="10"/>
    <x v="27"/>
    <x v="27"/>
    <s v="K9"/>
    <n v="8000032134"/>
    <n v="29"/>
    <s v="EX1500FR       "/>
    <s v="EX1500FR ESP ALLEGRO COMBI BLK FR                 "/>
    <s v="S"/>
    <d v="2012-01-17T00:00:00"/>
    <m/>
    <s v="X"/>
    <x v="74"/>
    <n v="34.49"/>
    <n v="30"/>
    <d v="2012-02-10T00:00:00"/>
    <d v="2012-01-06T00:00:00"/>
    <n v="1056"/>
    <d v="2012-01-06T00:00:00"/>
    <n v="1068"/>
    <m/>
    <d v="2012-01-13T00:00:00"/>
    <n v="1056"/>
    <d v="2012-02-17T00:00:00"/>
    <d v="2012-01-13T00:00:00"/>
    <n v="1068"/>
    <n v="1068"/>
    <x v="17"/>
    <d v="2012-02-15T00:00:00"/>
    <m/>
    <n v="9321674725"/>
    <n v="10"/>
    <s v="PONU1883585"/>
    <s v="GRETE MAERSK 121W/"/>
    <m/>
    <s v="YANTIAN"/>
    <m/>
    <m/>
    <s v="JASON FAN"/>
    <s v="FO9"/>
    <s v="BEVERAGE                      "/>
    <s v="CONFIRMED"/>
    <n v="1"/>
    <n v="2"/>
    <d v="2012-01-11T00:00:00"/>
    <s v="KITCHEN ELECTRICS             "/>
    <s v="BREAKFAST &amp; BREVAGE PREP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98/000010"/>
    <n v="1370152733"/>
    <n v="10"/>
    <x v="7"/>
    <x v="7"/>
    <s v="M1"/>
    <n v="1830004096"/>
    <n v="8"/>
    <s v="VU5570F0       "/>
    <s v="VU5570F0 STAND FAN RC&amp;ANTI-MOSQUITO               "/>
    <s v="S"/>
    <d v="2012-01-27T00:00:00"/>
    <m/>
    <s v="X"/>
    <x v="74"/>
    <n v="27.46"/>
    <n v="23"/>
    <d v="2012-02-17T00:00:00"/>
    <d v="2012-01-13T00:00:00"/>
    <n v="1000"/>
    <d v="2012-01-13T00:00:00"/>
    <n v="1000"/>
    <m/>
    <d v="2012-01-13T00:00:00"/>
    <n v="1000"/>
    <d v="2012-02-24T00:00:00"/>
    <d v="2012-01-20T00:00:00"/>
    <n v="1000"/>
    <n v="1000"/>
    <x v="14"/>
    <d v="2012-02-24T00:00:00"/>
    <m/>
    <n v="9321674727"/>
    <n v="10"/>
    <s v="MSKU0361689"/>
    <s v="MAERSK EINDHOVEN"/>
    <m/>
    <s v="YANTIAN"/>
    <m/>
    <m/>
    <s v="JASON FAN"/>
    <s v="FO9"/>
    <s v="HOME COMFORT                  "/>
    <s v="CONFIRMED"/>
    <n v="1"/>
    <n v="3"/>
    <d v="2012-01-20T00:00:00"/>
    <s v="LINEN PERS HOME CARE          "/>
    <s v="HOME COMFORT 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91/000010"/>
    <n v="1370152731"/>
    <n v="10"/>
    <x v="7"/>
    <x v="7"/>
    <s v="M1"/>
    <n v="1830004095"/>
    <n v="8"/>
    <s v="VU5550F0       "/>
    <s v="VU5550F0 STAND FAN WITH REMOTE CONTROL            "/>
    <s v="S"/>
    <d v="2012-01-27T00:00:00"/>
    <m/>
    <s v="X"/>
    <x v="74"/>
    <n v="25.46"/>
    <n v="22"/>
    <d v="2012-02-17T00:00:00"/>
    <d v="2012-01-13T00:00:00"/>
    <n v="1000"/>
    <d v="2012-01-13T00:00:00"/>
    <n v="1000"/>
    <m/>
    <d v="2012-01-13T00:00:00"/>
    <n v="1000"/>
    <d v="2012-02-24T00:00:00"/>
    <d v="2012-01-20T00:00:00"/>
    <n v="1000"/>
    <n v="970"/>
    <x v="14"/>
    <d v="2012-02-24T00:00:00"/>
    <m/>
    <n v="9321674728"/>
    <n v="10"/>
    <s v="MAEU6130863"/>
    <s v="MAERSK EINDHOVEN"/>
    <m/>
    <s v="YANTIAN"/>
    <m/>
    <m/>
    <s v="JASON FAN"/>
    <s v="FO9"/>
    <s v="HOME COMFORT                  "/>
    <s v="CONFIRMED"/>
    <n v="1"/>
    <n v="3"/>
    <d v="2012-01-20T00:00:00"/>
    <s v="LINEN PERS HOME CARE          "/>
    <s v="HOME COMFORT 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91/000010"/>
    <n v="1370152731"/>
    <n v="10"/>
    <x v="7"/>
    <x v="7"/>
    <s v="M1"/>
    <n v="1830004095"/>
    <n v="8"/>
    <s v="VU5550F0       "/>
    <s v="VU5550F0 STAND FAN WITH REMOTE CONTROL            "/>
    <s v="S"/>
    <d v="2012-01-27T00:00:00"/>
    <m/>
    <s v="X"/>
    <x v="74"/>
    <n v="25.46"/>
    <n v="22"/>
    <d v="2012-02-17T00:00:00"/>
    <d v="2012-01-13T00:00:00"/>
    <n v="1000"/>
    <d v="2012-01-13T00:00:00"/>
    <n v="1000"/>
    <m/>
    <d v="2012-01-13T00:00:00"/>
    <n v="1000"/>
    <d v="2012-02-24T00:00:00"/>
    <d v="2012-01-20T00:00:00"/>
    <n v="1000"/>
    <n v="30"/>
    <x v="14"/>
    <d v="2012-02-24T00:00:00"/>
    <m/>
    <n v="9321674728"/>
    <n v="10"/>
    <s v="MAEU6209607"/>
    <s v="MAERSK EINDHOVEN"/>
    <m/>
    <s v="YANTIAN"/>
    <m/>
    <m/>
    <s v="JASON FAN"/>
    <s v="FO9"/>
    <s v="HOME COMFORT                  "/>
    <s v="CONFIRMED"/>
    <n v="1"/>
    <n v="3"/>
    <d v="2012-01-20T00:00:00"/>
    <s v="LINEN PERS HOME CARE          "/>
    <s v="HOME COMFORT 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99/000010"/>
    <n v="1370152732"/>
    <n v="10"/>
    <x v="7"/>
    <x v="7"/>
    <s v="M1"/>
    <n v="1830004096"/>
    <n v="8"/>
    <s v="VU5570F0       "/>
    <s v="VU5570F0 STAND FAN RC&amp;ANTI-MOSQUITO               "/>
    <s v="S"/>
    <d v="2012-01-27T00:00:00"/>
    <m/>
    <s v="X"/>
    <x v="74"/>
    <n v="27.46"/>
    <n v="23"/>
    <d v="2012-02-17T00:00:00"/>
    <d v="2012-01-13T00:00:00"/>
    <n v="1000"/>
    <d v="2012-01-13T00:00:00"/>
    <n v="1000"/>
    <m/>
    <d v="2012-01-13T00:00:00"/>
    <n v="1000"/>
    <d v="2012-02-24T00:00:00"/>
    <d v="2012-01-20T00:00:00"/>
    <n v="1000"/>
    <n v="120"/>
    <x v="14"/>
    <d v="2012-02-24T00:00:00"/>
    <m/>
    <n v="9321674729"/>
    <n v="10"/>
    <s v="MSKU0361689"/>
    <s v="MAERSK EINDHOVEN"/>
    <m/>
    <s v="YANTIAN"/>
    <m/>
    <m/>
    <s v="JASON FAN"/>
    <s v="FO9"/>
    <s v="HOME COMFORT                  "/>
    <s v="CONFIRMED"/>
    <n v="1"/>
    <n v="3"/>
    <d v="2012-01-20T00:00:00"/>
    <s v="LINEN PERS HOME CARE          "/>
    <s v="HOME COMFORT 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8099/000010"/>
    <n v="1370152732"/>
    <n v="10"/>
    <x v="7"/>
    <x v="7"/>
    <s v="M1"/>
    <n v="1830004096"/>
    <n v="8"/>
    <s v="VU5570F0       "/>
    <s v="VU5570F0 STAND FAN RC&amp;ANTI-MOSQUITO               "/>
    <s v="S"/>
    <d v="2012-01-27T00:00:00"/>
    <m/>
    <s v="X"/>
    <x v="74"/>
    <n v="27.46"/>
    <n v="23"/>
    <d v="2012-02-17T00:00:00"/>
    <d v="2012-01-13T00:00:00"/>
    <n v="1000"/>
    <d v="2012-01-13T00:00:00"/>
    <n v="1000"/>
    <m/>
    <d v="2012-01-13T00:00:00"/>
    <n v="1000"/>
    <d v="2012-02-24T00:00:00"/>
    <d v="2012-01-20T00:00:00"/>
    <n v="1000"/>
    <n v="880"/>
    <x v="14"/>
    <d v="2012-02-24T00:00:00"/>
    <m/>
    <n v="9321674729"/>
    <n v="10"/>
    <s v="MAEU6209607"/>
    <s v="MAERSK EINDHOVEN"/>
    <m/>
    <s v="YANTIAN"/>
    <m/>
    <m/>
    <s v="JASON FAN"/>
    <s v="FO9"/>
    <s v="HOME COMFORT                  "/>
    <s v="CONFIRMED"/>
    <n v="1"/>
    <n v="3"/>
    <d v="2012-01-20T00:00:00"/>
    <s v="LINEN PERS HOME CARE          "/>
    <s v="HOME COMFORT 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4367/000010"/>
    <n v="1370151265"/>
    <n v="10"/>
    <x v="9"/>
    <x v="9"/>
    <s v="N3"/>
    <n v="1500633288"/>
    <n v="39"/>
    <n v="633288"/>
    <s v="RK400901 SQUARE RICE COOKER 8C                    "/>
    <s v="S"/>
    <d v="2012-01-19T00:00:00"/>
    <m/>
    <s v="X"/>
    <x v="74"/>
    <n v="19.47"/>
    <n v="17"/>
    <d v="2012-02-10T00:00:00"/>
    <d v="2012-01-06T00:00:00"/>
    <n v="960"/>
    <d v="2012-01-18T00:00:00"/>
    <n v="1936"/>
    <m/>
    <d v="2012-01-06T00:00:00"/>
    <n v="1936"/>
    <d v="2012-02-22T00:00:00"/>
    <d v="2012-01-18T00:00:00"/>
    <n v="1936"/>
    <n v="1936"/>
    <x v="21"/>
    <d v="2012-02-22T00:00:00"/>
    <m/>
    <n v="9321674746"/>
    <n v="10"/>
    <s v="GLDU0967291"/>
    <s v="GJERTRUD MAERSK 121W"/>
    <m/>
    <s v="SHENZHEN"/>
    <s v="C-SHORTL/T/"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4"/>
    <x v="1"/>
    <x v="1"/>
    <m/>
    <n v="0"/>
    <n v="0"/>
    <x v="1"/>
    <n v="2"/>
    <x v="0"/>
    <x v="0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1985/000010"/>
    <n v="1370152627"/>
    <n v="10"/>
    <x v="9"/>
    <x v="9"/>
    <s v="N3"/>
    <n v="1500635182"/>
    <n v="177"/>
    <n v="635182"/>
    <s v="FR400Z00 FRY SMARTCLEAN W/O WIND BLK/SS           "/>
    <s v="S"/>
    <d v="2012-01-17T00:00:00"/>
    <m/>
    <s v="X"/>
    <x v="74"/>
    <n v="26.78"/>
    <n v="24"/>
    <d v="2012-02-10T00:00:00"/>
    <d v="2012-01-06T00:00:00"/>
    <n v="1560"/>
    <d v="2012-01-06T00:00:00"/>
    <n v="1560"/>
    <m/>
    <d v="2012-01-11T00:00:00"/>
    <n v="1560"/>
    <d v="2012-02-15T00:00:00"/>
    <d v="2012-01-11T00:00:00"/>
    <n v="1560"/>
    <n v="1560"/>
    <x v="10"/>
    <d v="2012-02-16T00:00:00"/>
    <m/>
    <n v="9321674750"/>
    <n v="10"/>
    <s v="NYKU8410438"/>
    <s v="NYK ORPHEUS 18W52/"/>
    <m/>
    <s v="YANTIAN"/>
    <m/>
    <m/>
    <s v="JASON FAN"/>
    <s v="FO9"/>
    <s v="ELECTRICAL COOKING            "/>
    <s v="CONFIRMED"/>
    <n v="1"/>
    <n v="2"/>
    <d v="2012-01-12T00:00:00"/>
    <s v="KITCHEN ELECTRICS             "/>
    <s v="ELECTRICAL COOKING      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1987/000010"/>
    <n v="1370152632"/>
    <n v="10"/>
    <x v="9"/>
    <x v="9"/>
    <s v="N3"/>
    <n v="1500635182"/>
    <n v="177"/>
    <n v="635182"/>
    <s v="FR400Z00 FRY SMARTCLEAN W/O WIND BLK/SS           "/>
    <s v="S"/>
    <d v="2012-01-20T00:00:00"/>
    <m/>
    <s v="X"/>
    <x v="74"/>
    <n v="26.78"/>
    <n v="24"/>
    <d v="2012-02-17T00:00:00"/>
    <d v="2012-01-13T00:00:00"/>
    <n v="1560"/>
    <d v="2012-01-13T00:00:00"/>
    <n v="1560"/>
    <m/>
    <d v="2012-01-13T00:00:00"/>
    <n v="1560"/>
    <d v="2012-02-22T00:00:00"/>
    <d v="2012-01-18T00:00:00"/>
    <n v="1560"/>
    <n v="1560"/>
    <x v="21"/>
    <d v="2012-02-22T00:00:00"/>
    <m/>
    <n v="9321674751"/>
    <n v="10"/>
    <s v="PONU1514099"/>
    <s v="GJERTRUD MAERSK 121W"/>
    <m/>
    <s v="YANTIAN"/>
    <m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1986/000010"/>
    <n v="1370152629"/>
    <n v="10"/>
    <x v="9"/>
    <x v="9"/>
    <s v="N3"/>
    <n v="1500635182"/>
    <n v="177"/>
    <n v="635182"/>
    <s v="FR400Z00 FRY SMARTCLEAN W/O WIND BLK/SS           "/>
    <s v="S"/>
    <d v="2012-01-20T00:00:00"/>
    <m/>
    <s v="X"/>
    <x v="74"/>
    <n v="26.78"/>
    <n v="24"/>
    <d v="2012-02-10T00:00:00"/>
    <d v="2012-01-06T00:00:00"/>
    <n v="1560"/>
    <d v="2012-01-06T00:00:00"/>
    <n v="1560"/>
    <m/>
    <d v="2012-01-13T00:00:00"/>
    <n v="1560"/>
    <d v="2012-02-22T00:00:00"/>
    <d v="2012-01-18T00:00:00"/>
    <n v="1560"/>
    <n v="1560"/>
    <x v="21"/>
    <d v="2012-02-22T00:00:00"/>
    <m/>
    <n v="9321674752"/>
    <n v="10"/>
    <s v="MSKU6887942"/>
    <s v="GJERTRUD MAERSK 121W"/>
    <m/>
    <s v="YANTIAN"/>
    <s v="SP-INSP-FAILED/"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4"/>
    <x v="1"/>
    <x v="12"/>
    <s v="SP-INSP-FAILED"/>
    <n v="1"/>
    <n v="1"/>
    <x v="12"/>
    <n v="1"/>
    <x v="0"/>
    <x v="0"/>
    <x v="1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70342/000010"/>
    <n v="1370152376"/>
    <n v="10"/>
    <x v="40"/>
    <x v="40"/>
    <s v="L4"/>
    <n v="1830003074"/>
    <n v="5"/>
    <s v="CV4212C0       "/>
    <s v="CV4212C0 STUDIO DRY HAIR DRYER                    "/>
    <s v="S"/>
    <d v="2012-01-18T00:00:00"/>
    <m/>
    <s v="X"/>
    <x v="74"/>
    <n v="5.03"/>
    <n v="4"/>
    <d v="2012-02-24T00:00:00"/>
    <d v="2012-01-20T00:00:00"/>
    <n v="3000"/>
    <d v="2012-01-20T00:00:00"/>
    <n v="3000"/>
    <m/>
    <d v="2012-01-20T00:00:00"/>
    <n v="3000"/>
    <d v="2012-02-21T00:00:00"/>
    <d v="2012-01-17T00:00:00"/>
    <n v="3000"/>
    <n v="3000"/>
    <x v="19"/>
    <d v="2012-02-21T00:00:00"/>
    <m/>
    <n v="9321674757"/>
    <n v="10"/>
    <s v="APHU6841264"/>
    <s v="APL DHAKA/002W"/>
    <m/>
    <s v="YANTIAN"/>
    <s v="CONS-SHIPT/"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0341/000010"/>
    <n v="1370152362"/>
    <n v="10"/>
    <x v="46"/>
    <x v="46"/>
    <s v="L4"/>
    <n v="1830003140"/>
    <n v="175"/>
    <s v="CF4032C0       "/>
    <s v="CF4032C0 MULTI STYLER APPLIANCE                   "/>
    <s v="S"/>
    <d v="2012-01-30T00:00:00"/>
    <m/>
    <s v="X"/>
    <x v="74"/>
    <n v="14.67"/>
    <n v="12"/>
    <d v="2012-02-24T00:00:00"/>
    <d v="2012-01-20T00:00:00"/>
    <n v="3000"/>
    <d v="2012-01-24T00:00:00"/>
    <n v="3000"/>
    <m/>
    <d v="2012-01-20T00:00:00"/>
    <n v="3000"/>
    <d v="2012-02-28T00:00:00"/>
    <d v="2012-01-24T00:00:00"/>
    <n v="3000"/>
    <n v="3000"/>
    <x v="15"/>
    <d v="2012-03-01T00:00:00"/>
    <m/>
    <n v="9321674764"/>
    <n v="10"/>
    <s v="FCIU8116194"/>
    <s v="APL ITALY/002W"/>
    <m/>
    <s v="YANTIAN"/>
    <s v="CONS-SHIPT/"/>
    <m/>
    <s v="JASON FAN"/>
    <s v="FO9"/>
    <s v="PERSONAL CARE                 "/>
    <s v="CONFIRMED"/>
    <n v="1"/>
    <n v="4"/>
    <d v="2012-01-26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5041/000010"/>
    <n v="1370152819"/>
    <n v="10"/>
    <x v="18"/>
    <x v="18"/>
    <s v="M5"/>
    <n v="2210016774"/>
    <n v="160"/>
    <s v="RO522121       "/>
    <s v="RO522121 VAC CLEANER COMPACTEO ERGO               "/>
    <s v="S"/>
    <d v="2012-01-30T00:00:00"/>
    <m/>
    <s v="X"/>
    <x v="74"/>
    <n v="26.62"/>
    <n v="94"/>
    <d v="2012-04-02T00:00:00"/>
    <d v="2012-02-20T00:00:00"/>
    <n v="690"/>
    <d v="2012-01-17T00:00:00"/>
    <n v="690"/>
    <m/>
    <d v="2012-02-26T00:00:00"/>
    <n v="690"/>
    <d v="2012-03-06T00:00:00"/>
    <d v="2012-01-24T00:00:00"/>
    <n v="690"/>
    <n v="690"/>
    <x v="25"/>
    <d v="2012-03-06T00:00:00"/>
    <m/>
    <n v="9321674767"/>
    <n v="10"/>
    <s v="CMAU9098696"/>
    <s v="CMA CGM CORTE REAL V"/>
    <m/>
    <s v="SHANGHAI"/>
    <s v="C-PULLIN-CONF"/>
    <m/>
    <s v="KENUS WONG"/>
    <s v="FO9"/>
    <s v="HOME CLEANING                 "/>
    <s v="CONFIRMED"/>
    <n v="1"/>
    <n v="4"/>
    <d v="2012-01-24T00:00:00"/>
    <s v="HOME CLEANING                 "/>
    <s v="HOME CLEANING                 "/>
    <x v="6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5038/000010"/>
    <n v="1370152823"/>
    <n v="10"/>
    <x v="18"/>
    <x v="18"/>
    <s v="M5"/>
    <n v="2210016785"/>
    <n v="161"/>
    <s v="RO535321       "/>
    <s v="RO535321 VAC CLEANER COMPACTEO ERGO CYCL          "/>
    <s v="S"/>
    <d v="2012-01-19T00:00:00"/>
    <m/>
    <s v="X"/>
    <x v="74"/>
    <n v="33.409999999999997"/>
    <n v="119"/>
    <d v="2012-04-02T00:00:00"/>
    <d v="2012-02-20T00:00:00"/>
    <n v="690"/>
    <d v="2012-01-17T00:00:00"/>
    <n v="690"/>
    <m/>
    <d v="2012-02-26T00:00:00"/>
    <n v="690"/>
    <d v="2012-02-28T00:00:00"/>
    <d v="2012-01-17T00:00:00"/>
    <n v="690"/>
    <n v="690"/>
    <x v="19"/>
    <d v="2012-02-28T00:00:00"/>
    <m/>
    <n v="9321674768"/>
    <n v="10"/>
    <s v="ECMU4667581"/>
    <s v="MAERSK EINDHOVEN 120"/>
    <m/>
    <s v="SHANGHAI"/>
    <s v="C-PULLIN-CONF/TP MISSING"/>
    <m/>
    <s v="KENUS WONG"/>
    <s v="FO9"/>
    <s v="HOME CLEANING                 "/>
    <s v="CONFIRMED"/>
    <n v="1"/>
    <n v="3"/>
    <d v="2012-01-17T00:00:00"/>
    <s v="HOME CLEANING                 "/>
    <s v="HOME CLEANING                 "/>
    <x v="6"/>
    <x v="2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5039/000010"/>
    <n v="1370152824"/>
    <n v="10"/>
    <x v="18"/>
    <x v="18"/>
    <s v="M5"/>
    <n v="2210016782"/>
    <n v="161"/>
    <s v="RO532721       "/>
    <s v="RO532721 VAC CLEANER COMPACTEO ERGO CYCL          "/>
    <s v="S"/>
    <d v="2012-01-19T00:00:00"/>
    <m/>
    <s v="X"/>
    <x v="74"/>
    <n v="30.92"/>
    <n v="110"/>
    <d v="2012-04-02T00:00:00"/>
    <d v="2012-02-20T00:00:00"/>
    <n v="690"/>
    <d v="2012-01-17T00:00:00"/>
    <n v="690"/>
    <m/>
    <d v="2012-02-26T00:00:00"/>
    <n v="690"/>
    <d v="2012-02-28T00:00:00"/>
    <d v="2012-01-17T00:00:00"/>
    <n v="690"/>
    <n v="690"/>
    <x v="19"/>
    <d v="2012-02-28T00:00:00"/>
    <m/>
    <n v="9321674769"/>
    <n v="10"/>
    <s v="ECMU4667581"/>
    <s v="MAERSK EINDHOVEN 120"/>
    <m/>
    <s v="SHANGHAI"/>
    <s v="C-PULLIN-CONF/TP MISSING"/>
    <m/>
    <s v="KENUS WONG"/>
    <s v="FO9"/>
    <s v="HOME CLEANING                 "/>
    <s v="CONFIRMED"/>
    <n v="1"/>
    <n v="3"/>
    <d v="2012-01-17T00:00:00"/>
    <s v="HOME CLEANING                 "/>
    <s v="HOME CLEANING                 "/>
    <x v="6"/>
    <x v="2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5040/000010"/>
    <n v="1370152825"/>
    <n v="10"/>
    <x v="18"/>
    <x v="18"/>
    <s v="M5"/>
    <n v="2210016777"/>
    <n v="160"/>
    <s v="RO524321       "/>
    <s v="RO524321 VAC CLEANER COMPACTEO ERGO               "/>
    <s v="S"/>
    <d v="2012-01-30T00:00:00"/>
    <m/>
    <s v="X"/>
    <x v="74"/>
    <n v="28.11"/>
    <n v="100"/>
    <d v="2012-04-02T00:00:00"/>
    <d v="2012-02-20T00:00:00"/>
    <n v="690"/>
    <d v="2012-01-17T00:00:00"/>
    <n v="690"/>
    <m/>
    <d v="2012-02-26T00:00:00"/>
    <n v="690"/>
    <d v="2012-03-06T00:00:00"/>
    <d v="2012-01-24T00:00:00"/>
    <n v="690"/>
    <n v="690"/>
    <x v="25"/>
    <d v="2012-03-06T00:00:00"/>
    <m/>
    <n v="9321674770"/>
    <n v="10"/>
    <s v="CMAU9098696"/>
    <s v="CMA CGM CORTE REAL V"/>
    <m/>
    <s v="SHANGHAI"/>
    <s v="C-PULLIN-CONF"/>
    <m/>
    <s v="KENUS WONG"/>
    <s v="FO9"/>
    <s v="HOME CLEANING                 "/>
    <s v="CONFIRMED"/>
    <n v="1"/>
    <n v="4"/>
    <d v="2012-01-24T00:00:00"/>
    <s v="HOME CLEANING                 "/>
    <s v="HOME CLEANING                 "/>
    <x v="6"/>
    <x v="2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099/000010"/>
    <n v="1370152364"/>
    <n v="10"/>
    <x v="11"/>
    <x v="11"/>
    <s v="N1"/>
    <n v="2100039731"/>
    <n v="50"/>
    <s v="CB500512       "/>
    <s v="CB500512 PLANCHA COMPACTE 900                     "/>
    <s v="S"/>
    <d v="2012-01-18T00:00:00"/>
    <m/>
    <s v="X"/>
    <x v="74"/>
    <n v="11.72"/>
    <n v="10"/>
    <d v="2012-02-17T00:00:00"/>
    <d v="2012-01-13T00:00:00"/>
    <n v="1312"/>
    <d v="2012-01-13T00:00:00"/>
    <n v="1312"/>
    <m/>
    <d v="2012-01-11T00:00:00"/>
    <n v="1312"/>
    <d v="2012-02-17T00:00:00"/>
    <d v="2012-01-13T00:00:00"/>
    <n v="1312"/>
    <n v="1312"/>
    <x v="11"/>
    <d v="2012-02-19T00:00:00"/>
    <m/>
    <n v="9321674779"/>
    <n v="10"/>
    <s v="DRYU4045264"/>
    <s v="OOCL SHENZHEN 54W02/"/>
    <m/>
    <s v="NINGBO"/>
    <m/>
    <m/>
    <s v="JASON FAN"/>
    <s v="FO9"/>
    <s v="ELECTRICAL COOKING            "/>
    <s v="CONFIRMED"/>
    <n v="1"/>
    <n v="2"/>
    <d v="2012-01-15T00:00:00"/>
    <s v="KITCHEN ELECTRICS             "/>
    <s v="ELECTRICAL COOKING      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0186/000010"/>
    <n v="1370152381"/>
    <n v="10"/>
    <x v="4"/>
    <x v="4"/>
    <s v="M5"/>
    <n v="2210016669"/>
    <n v="68"/>
    <s v="RH855101       "/>
    <s v="RH855101 AIR FORCE CORDLESS HANDSTICK-18          "/>
    <s v="S"/>
    <d v="2012-01-27T00:00:00"/>
    <m/>
    <s v="X"/>
    <x v="74"/>
    <n v="48.06"/>
    <n v="41"/>
    <d v="2012-02-24T00:00:00"/>
    <d v="2012-01-20T00:00:00"/>
    <n v="1722"/>
    <d v="2012-01-20T00:00:00"/>
    <n v="1722"/>
    <m/>
    <d v="2012-01-20T00:00:00"/>
    <n v="1722"/>
    <d v="2012-02-24T00:00:00"/>
    <d v="2012-01-20T00:00:00"/>
    <n v="1722"/>
    <n v="1722"/>
    <x v="14"/>
    <d v="2012-02-24T00:00:00"/>
    <m/>
    <n v="9321674780"/>
    <n v="10"/>
    <s v="MAEU6360470"/>
    <s v="MAERSK EINDHOVEN"/>
    <m/>
    <s v="YANTIAN"/>
    <m/>
    <m/>
    <s v="JASON FAN"/>
    <s v="FO9"/>
    <s v="HOME CLEANING                 "/>
    <s v="CONFIRMED"/>
    <n v="1"/>
    <n v="3"/>
    <d v="2012-01-20T00:00:00"/>
    <s v="HOME CLEANING                 "/>
    <s v="HOME CLEANING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1891/000010"/>
    <n v="1370152631"/>
    <n v="10"/>
    <x v="4"/>
    <x v="4"/>
    <s v="M5"/>
    <n v="2210015093"/>
    <n v="68"/>
    <s v="RH854801       "/>
    <s v="RH854801 CORDLESS HANDSTICK-18V                   "/>
    <s v="S"/>
    <d v="2012-01-17T00:00:00"/>
    <m/>
    <s v="X"/>
    <x v="74"/>
    <n v="47.98"/>
    <n v="41"/>
    <d v="2012-02-17T00:00:00"/>
    <d v="2012-01-13T00:00:00"/>
    <n v="1722"/>
    <d v="2012-01-13T00:00:00"/>
    <n v="1722"/>
    <m/>
    <d v="2012-01-13T00:00:00"/>
    <n v="1722"/>
    <d v="2012-02-17T00:00:00"/>
    <d v="2012-01-13T00:00:00"/>
    <n v="1722"/>
    <n v="1722"/>
    <x v="24"/>
    <d v="2012-02-17T00:00:00"/>
    <m/>
    <n v="9321674781"/>
    <n v="10"/>
    <s v="MSKU6667402"/>
    <s v="CMA CGM A VESPUCCI 1"/>
    <m/>
    <s v="YANTIAN"/>
    <m/>
    <m/>
    <s v="JASON FAN"/>
    <s v="FO9"/>
    <s v="HOME CLEANING                 "/>
    <s v="CONFIRMED"/>
    <n v="1"/>
    <n v="2"/>
    <d v="2012-01-13T00:00:00"/>
    <s v="HOME CLEANING                 "/>
    <s v="HOME CLEANING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4989/000010"/>
    <n v="1370152813"/>
    <n v="10"/>
    <x v="13"/>
    <x v="13"/>
    <s v="A3"/>
    <n v="2100067599"/>
    <n v="205"/>
    <s v="E8924674       "/>
    <s v="E8924674 D.OV24LID JO SS PROF V4 UNCOAT           "/>
    <s v="S"/>
    <d v="2012-02-03T00:00:00"/>
    <m/>
    <s v="X"/>
    <x v="74"/>
    <n v="18.03"/>
    <n v="115"/>
    <d v="2012-02-20T00:00:00"/>
    <d v="2012-01-16T00:00:00"/>
    <n v="1000"/>
    <d v="2012-01-16T00:00:00"/>
    <n v="1000"/>
    <m/>
    <d v="2012-01-16T00:00:00"/>
    <n v="1000"/>
    <d v="2012-02-20T00:00:00"/>
    <d v="2012-01-16T00:00:00"/>
    <n v="1000"/>
    <n v="120"/>
    <x v="8"/>
    <d v="2012-02-20T00:00:00"/>
    <m/>
    <n v="9321674786"/>
    <n v="10"/>
    <s v="GESU2490030"/>
    <s v="HYUNDAI BRAVE/KX477W"/>
    <m/>
    <s v="YANTIAN"/>
    <m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4989/000010"/>
    <n v="1370152813"/>
    <n v="10"/>
    <x v="13"/>
    <x v="13"/>
    <s v="A3"/>
    <n v="2100067599"/>
    <n v="205"/>
    <s v="E8924674       "/>
    <s v="E8924674 D.OV24LID JO SS PROF V4 UNCOAT           "/>
    <s v="S"/>
    <d v="2012-02-03T00:00:00"/>
    <m/>
    <s v="X"/>
    <x v="74"/>
    <n v="18.03"/>
    <n v="115"/>
    <d v="2012-02-20T00:00:00"/>
    <d v="2012-01-16T00:00:00"/>
    <n v="1000"/>
    <d v="2012-01-16T00:00:00"/>
    <n v="1000"/>
    <m/>
    <d v="2012-01-16T00:00:00"/>
    <n v="1000"/>
    <d v="2012-02-20T00:00:00"/>
    <d v="2012-01-16T00:00:00"/>
    <n v="1000"/>
    <n v="880"/>
    <x v="8"/>
    <d v="2012-02-20T00:00:00"/>
    <m/>
    <n v="9321674786"/>
    <n v="10"/>
    <s v="TEXU7390851"/>
    <s v="HYUNDAI BRAVE/KX477W"/>
    <m/>
    <s v="YANTIAN"/>
    <m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4991/000010"/>
    <n v="1370152814"/>
    <n v="10"/>
    <x v="13"/>
    <x v="13"/>
    <s v="A3"/>
    <n v="2100067594"/>
    <n v="205"/>
    <s v="E8922274       "/>
    <s v="E8922274 SCP16LID JO SS PROF V4 UNCOAT J          "/>
    <s v="S"/>
    <d v="2012-02-03T00:00:00"/>
    <m/>
    <s v="X"/>
    <x v="74"/>
    <n v="11.08"/>
    <n v="71"/>
    <d v="2012-02-20T00:00:00"/>
    <d v="2012-01-16T00:00:00"/>
    <n v="1000"/>
    <d v="2012-01-16T00:00:00"/>
    <n v="1000"/>
    <m/>
    <d v="2012-01-16T00:00:00"/>
    <n v="1000"/>
    <d v="2012-02-20T00:00:00"/>
    <d v="2012-01-16T00:00:00"/>
    <n v="1000"/>
    <n v="1000"/>
    <x v="8"/>
    <d v="2012-02-20T00:00:00"/>
    <m/>
    <n v="9321674787"/>
    <n v="10"/>
    <s v="GESU2490030"/>
    <s v="HYUNDAI BRAVE/KX477W"/>
    <m/>
    <s v="YANTIAN"/>
    <m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222"/>
    <s v="GROUPE SEB NORDIC A/S                             "/>
    <n v="99002200"/>
    <x v="5"/>
    <s v="4500264990/000010"/>
    <n v="1370152817"/>
    <n v="10"/>
    <x v="13"/>
    <x v="13"/>
    <s v="A3"/>
    <n v="2100067598"/>
    <n v="205"/>
    <s v="E8924474       "/>
    <s v="E8924474 D.OV20LID JO SS PROF V4 UNCOAT           "/>
    <s v="S"/>
    <d v="2012-02-03T00:00:00"/>
    <m/>
    <s v="X"/>
    <x v="74"/>
    <n v="14.68"/>
    <n v="94"/>
    <d v="2012-02-20T00:00:00"/>
    <d v="2012-01-16T00:00:00"/>
    <n v="1000"/>
    <d v="2012-01-16T00:00:00"/>
    <n v="1000"/>
    <m/>
    <d v="2012-01-16T00:00:00"/>
    <n v="1000"/>
    <d v="2012-02-20T00:00:00"/>
    <d v="2012-01-16T00:00:00"/>
    <n v="1000"/>
    <n v="1000"/>
    <x v="8"/>
    <d v="2012-02-20T00:00:00"/>
    <m/>
    <n v="9321674788"/>
    <n v="10"/>
    <s v="GESU2490030"/>
    <s v="HYUNDAI BRAVE/KX477W"/>
    <m/>
    <s v="YANTIAN"/>
    <m/>
    <m/>
    <s v="KENUS WONG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4588/000010"/>
    <n v="1370152351"/>
    <n v="10"/>
    <x v="78"/>
    <x v="78"/>
    <s v="L2"/>
    <n v="2100057248"/>
    <n v="48"/>
    <s v="TD4100K0       "/>
    <s v="TD4100K0 HUMIDIFIER DISNEY                        "/>
    <s v="S"/>
    <d v="2012-01-18T00:00:00"/>
    <m/>
    <s v="X"/>
    <x v="74"/>
    <n v="22.22"/>
    <n v="44"/>
    <d v="2012-02-18T00:00:00"/>
    <d v="2012-01-14T00:00:00"/>
    <n v="640"/>
    <d v="2012-01-14T00:00:00"/>
    <n v="640"/>
    <m/>
    <d v="2012-01-21T00:00:00"/>
    <n v="640"/>
    <d v="2012-02-21T00:00:00"/>
    <d v="2012-01-17T00:00:00"/>
    <n v="640"/>
    <n v="640"/>
    <x v="21"/>
    <d v="2012-02-22T00:00:00"/>
    <m/>
    <n v="9321674789"/>
    <n v="10"/>
    <s v="MRKU8093596"/>
    <s v="CMA CGM CORNEILLE/8"/>
    <m/>
    <s v="SHANGHAI"/>
    <m/>
    <m/>
    <s v="KENUS WONG"/>
    <s v="FO9"/>
    <s v="PERSONAL CARE                 "/>
    <s v="CONFIRMED"/>
    <n v="1"/>
    <n v="3"/>
    <d v="2012-01-18T00:00:00"/>
    <s v="LINEN PERS HOME CARE          "/>
    <s v="PERSONAL CARE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0918/000010"/>
    <n v="1370152734"/>
    <n v="10"/>
    <x v="2"/>
    <x v="2"/>
    <s v="R1"/>
    <n v="1500635478"/>
    <n v="27"/>
    <n v="635478"/>
    <s v="FG120810 FCM SUBITO TIM 10/15C BLK EUR            "/>
    <s v="S"/>
    <d v="2012-01-21T00:00:00"/>
    <m/>
    <s v="X"/>
    <x v="74"/>
    <n v="11.74"/>
    <n v="10"/>
    <d v="2012-02-10T00:00:00"/>
    <d v="2012-01-06T00:00:00"/>
    <n v="2670"/>
    <d v="2012-01-18T00:00:00"/>
    <n v="2670"/>
    <m/>
    <d v="2012-01-10T00:00:00"/>
    <n v="2670"/>
    <d v="2012-02-24T00:00:00"/>
    <d v="2012-01-20T00:00:00"/>
    <n v="2670"/>
    <n v="2670"/>
    <x v="26"/>
    <d v="2012-02-25T00:00:00"/>
    <m/>
    <n v="9321674791"/>
    <n v="10"/>
    <s v="MSKU6836020"/>
    <s v="MAERSK EINDHOVEN/120"/>
    <m/>
    <s v="YANTIAN"/>
    <s v="C-ETD-TEMP/NEWREQ-CUSTOMS/"/>
    <m/>
    <s v="JASON FAN"/>
    <s v="FO9"/>
    <s v="BEVERAGE                      "/>
    <s v="CONFIRMED"/>
    <n v="1"/>
    <n v="3"/>
    <d v="2012-01-21T00:00:00"/>
    <s v="KITCHEN ELECTRICS             "/>
    <s v="BREAKFAST &amp; BREVAGE PREP      "/>
    <x v="1"/>
    <x v="1"/>
    <x v="8"/>
    <s v="C-ETD-TEMP"/>
    <n v="1"/>
    <n v="-3"/>
    <x v="7"/>
    <n v="2"/>
    <x v="0"/>
    <x v="0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617/000010"/>
    <n v="1370152374"/>
    <n v="10"/>
    <x v="14"/>
    <x v="14"/>
    <s v="J4"/>
    <n v="1830003442"/>
    <n v="1"/>
    <s v="IM3150E0       "/>
    <s v="IM3150E0 STEAM IRON MAESTRO 50                    "/>
    <s v="S"/>
    <d v="2012-01-17T00:00:00"/>
    <m/>
    <s v="X"/>
    <x v="74"/>
    <n v="8.6999999999999993"/>
    <n v="7"/>
    <d v="2012-02-24T00:00:00"/>
    <d v="2012-01-20T00:00:00"/>
    <n v="3360"/>
    <d v="2012-01-20T00:00:00"/>
    <n v="3360"/>
    <m/>
    <d v="2012-01-15T00:00:00"/>
    <n v="3360"/>
    <d v="2012-02-19T00:00:00"/>
    <d v="2012-01-15T00:00:00"/>
    <n v="3360"/>
    <n v="3360"/>
    <x v="11"/>
    <d v="2012-02-19T00:00:00"/>
    <m/>
    <n v="9321674798"/>
    <n v="10"/>
    <s v="TGHU0227476"/>
    <s v="MAERSK EINDHOVEN"/>
    <m/>
    <s v="NINGBO"/>
    <m/>
    <m/>
    <s v="JASON FAN"/>
    <s v="FO9"/>
    <s v="LINEN CARE                    "/>
    <s v="CONFIRMED"/>
    <n v="1"/>
    <n v="2"/>
    <d v="2012-01-15T00:00:00"/>
    <s v="LINEN PERS HOME CARE          "/>
    <s v="LINEN CARE   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8987/000010"/>
    <n v="1370152363"/>
    <n v="10"/>
    <x v="6"/>
    <x v="6"/>
    <s v="N3"/>
    <n v="1500577902"/>
    <n v="53"/>
    <n v="577902"/>
    <s v="OF245800 OVEN DELICE COMP.CONV +LIGHT 18          "/>
    <s v="S"/>
    <d v="2012-01-21T00:00:00"/>
    <m/>
    <s v="X"/>
    <x v="74"/>
    <n v="39.75"/>
    <n v="35"/>
    <d v="2012-02-17T00:00:00"/>
    <d v="2012-01-13T00:00:00"/>
    <n v="600"/>
    <d v="2012-01-13T00:00:00"/>
    <n v="600"/>
    <m/>
    <d v="2012-01-20T00:00:00"/>
    <n v="600"/>
    <d v="2012-02-24T00:00:00"/>
    <d v="2012-01-20T00:00:00"/>
    <n v="600"/>
    <n v="600"/>
    <x v="14"/>
    <d v="2012-02-24T00:00:00"/>
    <m/>
    <n v="9321674801"/>
    <n v="10"/>
    <s v="TCLU4255440"/>
    <s v="JIA HANG 968/034/011"/>
    <m/>
    <s v="ZHUHAI"/>
    <m/>
    <m/>
    <s v="JASON FAN"/>
    <s v="FO9"/>
    <s v="ELECTRICAL COOKING            "/>
    <s v="CONFIRMED"/>
    <n v="1"/>
    <n v="3"/>
    <d v="2012-01-20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133/000010"/>
    <n v="1370152297"/>
    <n v="10"/>
    <x v="83"/>
    <x v="83"/>
    <s v="R1"/>
    <n v="8000033498"/>
    <n v="103"/>
    <s v="VB2158F2       "/>
    <s v="VB2158F2 BTD  B80 BLK SEB FR                      "/>
    <s v="S"/>
    <d v="2012-01-07T00:00:00"/>
    <m/>
    <s v="X"/>
    <x v="74"/>
    <n v="42.08"/>
    <n v="36"/>
    <d v="2012-02-17T00:00:00"/>
    <d v="2012-01-13T00:00:00"/>
    <n v="1384"/>
    <d v="2012-01-13T00:00:00"/>
    <n v="1384"/>
    <m/>
    <d v="2012-01-06T00:00:00"/>
    <n v="1384"/>
    <d v="2012-02-10T00:00:00"/>
    <d v="2012-01-06T00:00:00"/>
    <n v="1384"/>
    <n v="692"/>
    <x v="2"/>
    <d v="2012-02-08T00:00:00"/>
    <m/>
    <n v="9321674805"/>
    <n v="10"/>
    <s v="MAEU6178764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0"/>
    <x v="1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69133/000010"/>
    <n v="1370152297"/>
    <n v="10"/>
    <x v="83"/>
    <x v="83"/>
    <s v="R1"/>
    <n v="8000033498"/>
    <n v="103"/>
    <s v="VB2158F2       "/>
    <s v="VB2158F2 BTD  B80 BLK SEB FR                      "/>
    <s v="S"/>
    <d v="2012-01-07T00:00:00"/>
    <m/>
    <s v="X"/>
    <x v="74"/>
    <n v="42.08"/>
    <n v="36"/>
    <d v="2012-02-17T00:00:00"/>
    <d v="2012-01-13T00:00:00"/>
    <n v="1384"/>
    <d v="2012-01-13T00:00:00"/>
    <n v="1384"/>
    <m/>
    <d v="2012-01-06T00:00:00"/>
    <n v="1384"/>
    <d v="2012-02-10T00:00:00"/>
    <d v="2012-01-06T00:00:00"/>
    <n v="1384"/>
    <n v="692"/>
    <x v="2"/>
    <d v="2012-02-08T00:00:00"/>
    <m/>
    <n v="9321674805"/>
    <n v="10"/>
    <s v="MRKU0404032"/>
    <s v="MAREN MAERSK 121W/"/>
    <m/>
    <s v="YANTIAN"/>
    <m/>
    <m/>
    <s v="JASON FAN"/>
    <s v="FO9"/>
    <s v="BEVERAGE                      "/>
    <s v="CONFIRMED"/>
    <n v="1"/>
    <n v="1"/>
    <d v="2012-01-04T00:00:00"/>
    <s v="KITCHEN ELECTRICS             "/>
    <s v="BREAKFAST &amp; BREVAGE PREP      "/>
    <x v="4"/>
    <x v="1"/>
    <x v="1"/>
    <m/>
    <n v="0"/>
    <n v="0"/>
    <x v="1"/>
    <n v="0"/>
    <x v="0"/>
    <x v="0"/>
    <x v="1"/>
    <n v="0"/>
    <n v="0"/>
    <n v="0"/>
    <n v="0"/>
    <n v="0"/>
    <n v="0"/>
    <x v="1"/>
    <x v="0"/>
    <x v="1"/>
    <x v="0"/>
  </r>
  <r>
    <s v="Shipment"/>
    <n v="99006103"/>
    <s v="SAS GROUPE SEB FRANCE                             "/>
    <n v="99006100"/>
    <x v="3"/>
    <s v="9321669138/000010"/>
    <n v="1370152373"/>
    <n v="10"/>
    <x v="44"/>
    <x v="44"/>
    <s v="P1"/>
    <n v="1500814121"/>
    <n v="106"/>
    <n v="814121"/>
    <s v="HT410121 HMX PREPLINE 450W WHT                    "/>
    <s v="S"/>
    <d v="2012-01-17T00:00:00"/>
    <m/>
    <s v="X"/>
    <x v="74"/>
    <n v="10.65"/>
    <n v="9"/>
    <d v="2012-02-10T00:00:00"/>
    <d v="2012-01-06T00:00:00"/>
    <n v="6258"/>
    <d v="2012-01-06T00:00:00"/>
    <n v="6258"/>
    <m/>
    <d v="2012-01-06T00:00:00"/>
    <n v="6258"/>
    <d v="2012-02-15T00:00:00"/>
    <d v="2012-01-11T00:00:00"/>
    <n v="6258"/>
    <n v="6258"/>
    <x v="17"/>
    <d v="2012-02-15T00:00:00"/>
    <m/>
    <n v="9321674808"/>
    <n v="10"/>
    <s v="MRKU0249825"/>
    <s v="GRETE MAERSK 121W/"/>
    <m/>
    <s v="YANTIAN"/>
    <s v="SAILING-SCHED-UPDATE/"/>
    <m/>
    <s v="JASON FAN"/>
    <s v="FO9"/>
    <s v="FOOD PREPARATION              "/>
    <s v="CONFIRMED"/>
    <n v="1"/>
    <n v="2"/>
    <d v="2012-01-11T00:00:00"/>
    <s v="KITCHEN ELECTRICS             "/>
    <s v="FOOD PREPARATION              "/>
    <x v="2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0208/000010"/>
    <n v="1370152389"/>
    <n v="10"/>
    <x v="44"/>
    <x v="44"/>
    <s v="P1"/>
    <n v="1500814221"/>
    <n v="106"/>
    <n v="814221"/>
    <s v="HT411121 HMX PREPLINE 450W WHT FR                 "/>
    <s v="S"/>
    <d v="2012-01-17T00:00:00"/>
    <m/>
    <s v="X"/>
    <x v="74"/>
    <n v="12.61"/>
    <n v="11"/>
    <d v="2012-02-17T00:00:00"/>
    <d v="2012-01-13T00:00:00"/>
    <n v="3600"/>
    <d v="2012-01-13T00:00:00"/>
    <n v="3600"/>
    <m/>
    <d v="2012-01-13T00:00:00"/>
    <n v="3600"/>
    <d v="2012-02-17T00:00:00"/>
    <d v="2012-01-13T00:00:00"/>
    <n v="3600"/>
    <n v="3600"/>
    <x v="24"/>
    <d v="2012-02-17T00:00:00"/>
    <m/>
    <n v="9321674809"/>
    <n v="10"/>
    <s v="MRKU0761620"/>
    <s v="CMA CGM A VESPUCCI 1"/>
    <m/>
    <s v="YANTIAN"/>
    <m/>
    <m/>
    <s v="JASON FAN"/>
    <s v="FO9"/>
    <s v="FOOD PREPARATION              "/>
    <s v="CONFIRMED"/>
    <n v="1"/>
    <n v="2"/>
    <d v="2012-01-13T00:00:00"/>
    <s v="KITCHEN ELECTRICS             "/>
    <s v="FOOD PREPARATION  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72775/000010"/>
    <n v="1370152982"/>
    <n v="10"/>
    <x v="44"/>
    <x v="44"/>
    <s v="P1"/>
    <n v="1500814183"/>
    <n v="106"/>
    <n v="814183"/>
    <s v="HT41013E HMX PREPLINE 450W BLC EE                 "/>
    <s v="S"/>
    <d v="2012-01-13T00:00:00"/>
    <m/>
    <s v="X"/>
    <x v="74"/>
    <n v="10.77"/>
    <n v="396"/>
    <d v="2012-02-27T00:00:00"/>
    <d v="2012-01-09T00:00:00"/>
    <n v="1002"/>
    <d v="2012-01-09T00:00:00"/>
    <n v="1002"/>
    <m/>
    <d v="2012-01-09T00:00:00"/>
    <n v="1002"/>
    <d v="2012-02-29T00:00:00"/>
    <d v="2012-01-11T00:00:00"/>
    <n v="1002"/>
    <n v="1002"/>
    <x v="10"/>
    <d v="2012-03-01T00:00:00"/>
    <m/>
    <n v="9321674812"/>
    <n v="10"/>
    <s v="CAIU8597532"/>
    <s v="NYK ORPHEUS/18W52"/>
    <m/>
    <s v="YANTIAN"/>
    <s v="SAILING-SCHED-UPDATE/"/>
    <m/>
    <s v="KENUS WONG"/>
    <s v="FO9"/>
    <s v="FOOD PREPARATION              "/>
    <s v="CONFIRMED"/>
    <n v="1"/>
    <n v="2"/>
    <d v="2012-01-12T00:00:00"/>
    <s v="KITCHEN ELECTRICS             "/>
    <s v="FOOD PREPARATION              "/>
    <x v="2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033/000010"/>
    <n v="1370152367"/>
    <n v="10"/>
    <x v="23"/>
    <x v="23"/>
    <s v="N4"/>
    <n v="2820300800"/>
    <n v="32"/>
    <n v="635138"/>
    <s v="VC300800 STEAM N'LIGHT 3B+CAKE BLK FR             "/>
    <s v="S"/>
    <d v="2012-01-10T00:00:00"/>
    <m/>
    <s v="X"/>
    <x v="74"/>
    <n v="31.527799999999999"/>
    <n v="26"/>
    <d v="2012-02-10T00:00:00"/>
    <d v="2012-01-06T00:00:00"/>
    <n v="1860"/>
    <d v="2012-01-06T00:00:00"/>
    <n v="1860"/>
    <m/>
    <d v="2012-01-10T00:00:00"/>
    <n v="1860"/>
    <d v="2012-02-14T00:00:00"/>
    <d v="2012-01-10T00:00:00"/>
    <n v="1860"/>
    <n v="1860"/>
    <x v="5"/>
    <d v="2012-02-14T00:00:00"/>
    <m/>
    <n v="9321674816"/>
    <n v="10"/>
    <s v="MSKU6096900"/>
    <s v="CMA CGM AMERIGO VESP"/>
    <m/>
    <s v="SHANGHAI"/>
    <m/>
    <m/>
    <s v="JASON FAN"/>
    <s v="FO9"/>
    <s v="ELECTRICAL COOKING            "/>
    <s v="CONFIRMED"/>
    <n v="1"/>
    <n v="2"/>
    <d v="2012-01-10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029/000010"/>
    <n v="1370152387"/>
    <n v="10"/>
    <x v="23"/>
    <x v="23"/>
    <s v="N4"/>
    <n v="2820101611"/>
    <n v="32"/>
    <n v="633034"/>
    <s v="VC101601 STMC SIMPLY INVENT 3B BLK/SS FR          "/>
    <s v="S"/>
    <d v="2012-01-10T00:00:00"/>
    <m/>
    <s v="X"/>
    <x v="74"/>
    <n v="24.087299999999999"/>
    <n v="20"/>
    <d v="2012-02-10T00:00:00"/>
    <d v="2012-01-06T00:00:00"/>
    <n v="1074"/>
    <d v="2012-01-06T00:00:00"/>
    <n v="1074"/>
    <m/>
    <d v="2012-01-10T00:00:00"/>
    <n v="1074"/>
    <d v="2012-02-14T00:00:00"/>
    <d v="2012-01-10T00:00:00"/>
    <n v="1074"/>
    <n v="1074"/>
    <x v="5"/>
    <d v="2012-02-14T00:00:00"/>
    <m/>
    <n v="9321674817"/>
    <n v="10"/>
    <s v="MSKU6809507"/>
    <s v="CMA CGM AMERIGO VESP"/>
    <m/>
    <s v="SHANGHAI"/>
    <m/>
    <m/>
    <s v="JASON FAN"/>
    <s v="FO9"/>
    <s v="ELECTRICAL COOKING            "/>
    <s v="CONFIRMED"/>
    <n v="1"/>
    <n v="2"/>
    <d v="2012-01-10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4656/000010"/>
    <n v="1370152529"/>
    <n v="10"/>
    <x v="23"/>
    <x v="23"/>
    <s v="J3"/>
    <n v="2820254010"/>
    <n v="1"/>
    <s v="FV2540E0       "/>
    <s v="FV2540E0 STEAM IRON PRIMAGLISS 3 FTK              "/>
    <s v="S"/>
    <d v="2012-01-18T00:00:00"/>
    <m/>
    <s v="X"/>
    <x v="74"/>
    <n v="13.8048"/>
    <n v="27"/>
    <d v="2012-02-18T00:00:00"/>
    <d v="2012-01-14T00:00:00"/>
    <n v="3270"/>
    <d v="2012-01-14T00:00:00"/>
    <n v="2574"/>
    <m/>
    <d v="2012-01-20T00:00:00"/>
    <n v="2574"/>
    <d v="2012-02-24T00:00:00"/>
    <d v="2012-01-20T00:00:00"/>
    <n v="2574"/>
    <n v="2574"/>
    <x v="21"/>
    <d v="2012-02-22T00:00:00"/>
    <m/>
    <n v="9321674818"/>
    <n v="10"/>
    <s v="MAEU6287148"/>
    <s v="CMA CGM CORNEILLE"/>
    <m/>
    <s v="SHANGHAI"/>
    <s v="WRONG BILLING FROM SSEAC"/>
    <m/>
    <s v="KENUS WONG"/>
    <s v="FO9"/>
    <s v="LINEN CARE                    "/>
    <s v="CONFIRMED"/>
    <n v="1"/>
    <n v="3"/>
    <d v="2012-01-18T00:00:00"/>
    <s v="LINEN PERS HOME CARE          "/>
    <s v="LINEN CARE                    "/>
    <x v="0"/>
    <x v="0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4655/000010"/>
    <n v="1370152534"/>
    <n v="10"/>
    <x v="23"/>
    <x v="23"/>
    <s v="N4"/>
    <n v="2820135030"/>
    <n v="32"/>
    <n v="634252"/>
    <s v="VC135030 STMC MINI COMPACT MET/WHT RU             "/>
    <s v="S"/>
    <d v="2012-01-18T00:00:00"/>
    <m/>
    <s v="X"/>
    <x v="74"/>
    <n v="16.2714"/>
    <n v="32"/>
    <d v="2012-02-18T00:00:00"/>
    <d v="2012-01-14T00:00:00"/>
    <n v="576"/>
    <d v="2012-01-14T00:00:00"/>
    <n v="1344"/>
    <m/>
    <d v="2012-01-17T00:00:00"/>
    <n v="1344"/>
    <d v="2012-02-21T00:00:00"/>
    <d v="2012-01-17T00:00:00"/>
    <n v="1344"/>
    <n v="1344"/>
    <x v="21"/>
    <d v="2012-02-22T00:00:00"/>
    <m/>
    <n v="9321674819"/>
    <n v="10"/>
    <s v="MAEU6287148"/>
    <s v="CMA CGM CORNEILLE"/>
    <m/>
    <s v="SHANGHAI"/>
    <s v="WRONG BILLING FROM SSEAC"/>
    <m/>
    <s v="KENUS WONG"/>
    <s v="FO9"/>
    <s v="ELECTRICAL COOKING            "/>
    <s v="CONFIRMED"/>
    <n v="1"/>
    <n v="3"/>
    <d v="2012-01-18T00:00:00"/>
    <s v="KITCHEN ELECTRICS             "/>
    <s v="ELECTRICAL COOKING            "/>
    <x v="0"/>
    <x v="0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72911/000010"/>
    <n v="1370152978"/>
    <n v="10"/>
    <x v="23"/>
    <x v="23"/>
    <s v="J3"/>
    <n v="2820235050"/>
    <n v="1"/>
    <s v="FV2350E0       "/>
    <s v="FV2350E0 STEAM IRON PRIMA 3 FTK                   "/>
    <s v="S"/>
    <d v="2012-01-30T00:00:00"/>
    <m/>
    <s v="X"/>
    <x v="74"/>
    <n v="12.627700000000001"/>
    <n v="438"/>
    <d v="2012-02-17T00:00:00"/>
    <d v="2011-12-30T00:00:00"/>
    <n v="2574"/>
    <d v="2012-02-18T00:00:00"/>
    <n v="2574"/>
    <m/>
    <d v="2012-02-18T00:00:00"/>
    <n v="2574"/>
    <d v="2012-03-14T00:00:00"/>
    <d v="2012-01-25T00:00:00"/>
    <n v="2574"/>
    <n v="2574"/>
    <x v="27"/>
    <d v="2012-03-14T00:00:00"/>
    <m/>
    <n v="9321674825"/>
    <n v="10"/>
    <s v="TRLU8614260"/>
    <s v="HYUNDAI MERCURY/017W"/>
    <m/>
    <s v="SHANGHAI"/>
    <s v="SP-NO-FORECAST/C-PULLIN-CONF"/>
    <m/>
    <s v="KENUS WONG"/>
    <s v="FO9"/>
    <s v="LINEN CARE                    "/>
    <s v="CONFIRMED"/>
    <n v="1"/>
    <n v="4"/>
    <d v="2012-01-25T00:00:00"/>
    <s v="LINEN PERS HOME CARE          "/>
    <s v="LINEN CARE                    "/>
    <x v="0"/>
    <x v="0"/>
    <x v="14"/>
    <s v="SP-NO-FORECAST"/>
    <n v="-3"/>
    <n v="-3"/>
    <x v="15"/>
    <n v="2"/>
    <x v="0"/>
    <x v="0"/>
    <x v="1"/>
    <n v="1"/>
    <n v="0"/>
    <n v="0"/>
    <n v="0"/>
    <n v="0"/>
    <n v="0"/>
    <x v="0"/>
    <x v="1"/>
    <x v="1"/>
    <x v="0"/>
  </r>
  <r>
    <s v="Shipment"/>
    <n v="99006103"/>
    <s v="SAS GROUPE SEB FRANCE                             "/>
    <n v="99006100"/>
    <x v="3"/>
    <s v="9321674500/000010"/>
    <n v="1370153017"/>
    <n v="10"/>
    <x v="23"/>
    <x v="23"/>
    <s v="N4"/>
    <n v="2820101611"/>
    <n v="32"/>
    <n v="633034"/>
    <s v="VC101601 STMC SIMPLY INVENT 3B BLK/SS FR          "/>
    <s v="S"/>
    <d v="2012-01-10T00:00:00"/>
    <m/>
    <s v="X"/>
    <x v="74"/>
    <n v="24.087299999999999"/>
    <n v="20"/>
    <d v="2012-02-10T00:00:00"/>
    <d v="2012-01-06T00:00:00"/>
    <n v="1074"/>
    <d v="2012-01-06T00:00:00"/>
    <n v="1074"/>
    <m/>
    <d v="2012-01-10T00:00:00"/>
    <n v="1074"/>
    <d v="2012-02-14T00:00:00"/>
    <d v="2012-01-10T00:00:00"/>
    <n v="1074"/>
    <n v="1074"/>
    <x v="5"/>
    <d v="2012-02-14T00:00:00"/>
    <m/>
    <n v="9321674827"/>
    <n v="10"/>
    <s v="MSKU6809507"/>
    <s v="CMA CGM AMERIGO VESP"/>
    <m/>
    <s v="SHANGHAI"/>
    <m/>
    <m/>
    <s v="JASON FAN"/>
    <s v="FO9"/>
    <s v="ELECTRICAL COOKING            "/>
    <s v="CONFIRMED"/>
    <n v="1"/>
    <n v="2"/>
    <d v="2012-01-10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4504/000010"/>
    <n v="1370153019"/>
    <n v="10"/>
    <x v="23"/>
    <x v="23"/>
    <s v="N4"/>
    <n v="2820102100"/>
    <n v="32"/>
    <n v="633291"/>
    <s v="VC102100 STMC 3B EUR                              "/>
    <s v="S"/>
    <d v="2012-01-10T00:00:00"/>
    <m/>
    <s v="X"/>
    <x v="74"/>
    <n v="15.476699999999999"/>
    <n v="13"/>
    <d v="2012-02-10T00:00:00"/>
    <d v="2012-01-06T00:00:00"/>
    <n v="1008"/>
    <d v="2012-01-06T00:00:00"/>
    <n v="1008"/>
    <m/>
    <d v="2012-01-10T00:00:00"/>
    <n v="1008"/>
    <d v="2012-02-14T00:00:00"/>
    <d v="2012-01-10T00:00:00"/>
    <n v="1008"/>
    <n v="1008"/>
    <x v="5"/>
    <d v="2012-02-14T00:00:00"/>
    <m/>
    <n v="9321674828"/>
    <n v="10"/>
    <s v="MSKU6268892"/>
    <s v="CMA CGM AMERIGO VESP"/>
    <m/>
    <s v="SHANGHAI"/>
    <m/>
    <m/>
    <s v="JASON FAN"/>
    <s v="FO9"/>
    <s v="ELECTRICAL COOKING            "/>
    <s v="CONFIRMED"/>
    <n v="1"/>
    <n v="2"/>
    <d v="2012-01-10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3171789"/>
    <s v="APL LOGISTICS/ TJ MAXX DI 001                     "/>
    <n v="99008400"/>
    <x v="12"/>
    <s v="9321673221/000010"/>
    <n v="1370152837"/>
    <n v="10"/>
    <x v="0"/>
    <x v="0"/>
    <s v="A1"/>
    <n v="2100056178"/>
    <n v="201"/>
    <n v="116000520"/>
    <s v="C161S3DX T-FAL TNS BLACK TJ MAXX FP 8/10          "/>
    <s v="S"/>
    <d v="2012-01-16T00:00:00"/>
    <m/>
    <s v="X"/>
    <x v="74"/>
    <n v="18.504999999999999"/>
    <n v="19"/>
    <d v="2012-01-24T00:00:00"/>
    <d v="2012-01-10T00:00:00"/>
    <n v="191"/>
    <d v="2012-01-10T00:00:00"/>
    <n v="191"/>
    <m/>
    <d v="2012-01-17T00:00:00"/>
    <n v="191"/>
    <d v="2012-02-02T00:00:00"/>
    <d v="2012-01-19T00:00:00"/>
    <n v="191"/>
    <n v="191"/>
    <x v="22"/>
    <d v="2012-02-02T00:00:00"/>
    <m/>
    <n v="9321674840"/>
    <n v="10"/>
    <s v="NYKU4211016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21/000020"/>
    <n v="1370152837"/>
    <n v="20"/>
    <x v="0"/>
    <x v="0"/>
    <s v="A1"/>
    <n v="2100056207"/>
    <n v="200"/>
    <n v="116000522"/>
    <s v="C162S3DX T-FAL TNS RED TJ MAXX FP 8/10/1          "/>
    <s v="S"/>
    <d v="2012-01-16T00:00:00"/>
    <m/>
    <s v="X"/>
    <x v="74"/>
    <n v="18.309200000000001"/>
    <n v="19"/>
    <d v="2012-01-24T00:00:00"/>
    <d v="2012-01-10T00:00:00"/>
    <n v="191"/>
    <d v="2012-01-10T00:00:00"/>
    <n v="191"/>
    <m/>
    <d v="2012-01-17T00:00:00"/>
    <n v="191"/>
    <d v="2012-02-02T00:00:00"/>
    <d v="2012-01-19T00:00:00"/>
    <n v="191"/>
    <n v="191"/>
    <x v="22"/>
    <d v="2012-02-02T00:00:00"/>
    <m/>
    <n v="9321674840"/>
    <n v="20"/>
    <s v="NYKU4211016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21/000030"/>
    <n v="1370152837"/>
    <n v="30"/>
    <x v="0"/>
    <x v="0"/>
    <s v="A1"/>
    <n v="2100060743"/>
    <n v="201"/>
    <n v="116000732"/>
    <s v="C115JCDX TFAL TNS BLACK TJMAX 5QT JC/10&quot;          "/>
    <s v="S"/>
    <d v="2012-01-16T00:00:00"/>
    <m/>
    <s v="X"/>
    <x v="74"/>
    <n v="19.6859"/>
    <n v="19"/>
    <d v="2012-01-24T00:00:00"/>
    <d v="2012-01-10T00:00:00"/>
    <n v="160"/>
    <d v="2012-01-10T00:00:00"/>
    <n v="160"/>
    <m/>
    <d v="2012-01-17T00:00:00"/>
    <n v="160"/>
    <d v="2012-02-02T00:00:00"/>
    <d v="2012-01-19T00:00:00"/>
    <n v="160"/>
    <n v="160"/>
    <x v="22"/>
    <d v="2012-02-02T00:00:00"/>
    <m/>
    <n v="9321674840"/>
    <n v="30"/>
    <s v="NYKU4211016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21/000040"/>
    <n v="1370152837"/>
    <n v="40"/>
    <x v="0"/>
    <x v="0"/>
    <s v="A1"/>
    <n v="2100061023"/>
    <n v="200"/>
    <n v="116000739"/>
    <s v="C168JCDX TFAL TNS RED TJM 5QT JC/10&quot; CVD          "/>
    <s v="S"/>
    <d v="2012-01-16T00:00:00"/>
    <m/>
    <s v="X"/>
    <x v="74"/>
    <n v="19.7728"/>
    <n v="19"/>
    <d v="2012-01-24T00:00:00"/>
    <d v="2012-01-10T00:00:00"/>
    <n v="159"/>
    <d v="2012-01-10T00:00:00"/>
    <n v="159"/>
    <m/>
    <d v="2012-01-17T00:00:00"/>
    <n v="159"/>
    <d v="2012-02-02T00:00:00"/>
    <d v="2012-01-19T00:00:00"/>
    <n v="159"/>
    <n v="159"/>
    <x v="22"/>
    <d v="2012-02-02T00:00:00"/>
    <m/>
    <n v="9321674840"/>
    <n v="40"/>
    <s v="NYKU4211016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21/000050"/>
    <n v="1370152837"/>
    <n v="50"/>
    <x v="0"/>
    <x v="0"/>
    <s v="A1"/>
    <n v="2100060742"/>
    <n v="201"/>
    <n v="116000733"/>
    <s v="C115SPDX T-FAL TNS BLACK TJMAX 2QT/3QT S          "/>
    <s v="S"/>
    <d v="2012-01-16T00:00:00"/>
    <m/>
    <s v="X"/>
    <x v="74"/>
    <n v="14.834899999999999"/>
    <n v="19"/>
    <d v="2012-01-24T00:00:00"/>
    <d v="2012-01-10T00:00:00"/>
    <n v="319"/>
    <d v="2012-01-10T00:00:00"/>
    <n v="319"/>
    <m/>
    <d v="2012-01-17T00:00:00"/>
    <n v="319"/>
    <d v="2012-02-02T00:00:00"/>
    <d v="2012-01-19T00:00:00"/>
    <n v="319"/>
    <n v="319"/>
    <x v="22"/>
    <d v="2012-02-02T00:00:00"/>
    <m/>
    <n v="9321674840"/>
    <n v="50"/>
    <s v="NYKU4211016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21/000060"/>
    <n v="1370152837"/>
    <n v="60"/>
    <x v="0"/>
    <x v="0"/>
    <s v="A1"/>
    <n v="2100061021"/>
    <n v="200"/>
    <n v="116000740"/>
    <s v="C168SPDX TFAL TNS RED TJM 2QT/3QT SAUCE           "/>
    <s v="S"/>
    <d v="2012-01-16T00:00:00"/>
    <m/>
    <s v="X"/>
    <x v="74"/>
    <n v="14.5402"/>
    <n v="19"/>
    <d v="2012-01-24T00:00:00"/>
    <d v="2012-01-10T00:00:00"/>
    <n v="159"/>
    <d v="2012-01-10T00:00:00"/>
    <n v="159"/>
    <m/>
    <d v="2012-01-17T00:00:00"/>
    <n v="159"/>
    <d v="2012-02-02T00:00:00"/>
    <d v="2012-01-19T00:00:00"/>
    <n v="159"/>
    <n v="159"/>
    <x v="22"/>
    <d v="2012-02-02T00:00:00"/>
    <m/>
    <n v="9321674840"/>
    <n v="60"/>
    <s v="NYKU4211016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20/000010"/>
    <n v="1370152838"/>
    <n v="10"/>
    <x v="0"/>
    <x v="0"/>
    <s v="A1"/>
    <n v="2100056178"/>
    <n v="201"/>
    <n v="116000520"/>
    <s v="C161S3DX T-FAL TNS BLACK TJ MAXX FP 8/10          "/>
    <s v="S"/>
    <d v="2012-01-16T00:00:00"/>
    <m/>
    <s v="X"/>
    <x v="74"/>
    <n v="18.504999999999999"/>
    <n v="19"/>
    <d v="2012-01-24T00:00:00"/>
    <d v="2012-01-10T00:00:00"/>
    <n v="442"/>
    <d v="2012-01-10T00:00:00"/>
    <n v="442"/>
    <m/>
    <d v="2012-01-17T00:00:00"/>
    <n v="442"/>
    <d v="2012-02-03T00:00:00"/>
    <d v="2012-01-20T00:00:00"/>
    <n v="442"/>
    <n v="442"/>
    <x v="14"/>
    <d v="2012-02-03T00:00:00"/>
    <m/>
    <n v="9321674841"/>
    <n v="10"/>
    <s v="NYKU6164459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20/000020"/>
    <n v="1370152838"/>
    <n v="20"/>
    <x v="0"/>
    <x v="0"/>
    <s v="A1"/>
    <n v="2100056207"/>
    <n v="200"/>
    <n v="116000522"/>
    <s v="C162S3DX T-FAL TNS RED TJ MAXX FP 8/10/1          "/>
    <s v="S"/>
    <d v="2012-01-16T00:00:00"/>
    <m/>
    <s v="X"/>
    <x v="74"/>
    <n v="18.309100000000001"/>
    <n v="19"/>
    <d v="2012-01-24T00:00:00"/>
    <d v="2012-01-10T00:00:00"/>
    <n v="442"/>
    <d v="2012-01-10T00:00:00"/>
    <n v="442"/>
    <m/>
    <d v="2012-01-17T00:00:00"/>
    <n v="442"/>
    <d v="2012-02-03T00:00:00"/>
    <d v="2012-01-20T00:00:00"/>
    <n v="442"/>
    <n v="442"/>
    <x v="14"/>
    <d v="2012-02-03T00:00:00"/>
    <m/>
    <n v="9321674841"/>
    <n v="20"/>
    <s v="NYKU6164459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20/000030"/>
    <n v="1370152838"/>
    <n v="30"/>
    <x v="0"/>
    <x v="0"/>
    <s v="A1"/>
    <n v="2100060743"/>
    <n v="201"/>
    <n v="116000732"/>
    <s v="C115JCDX TFAL TNS BLACK TJMAX 5QT JC/10&quot;          "/>
    <s v="S"/>
    <d v="2012-01-16T00:00:00"/>
    <m/>
    <s v="X"/>
    <x v="74"/>
    <n v="19.6859"/>
    <n v="19"/>
    <d v="2012-01-24T00:00:00"/>
    <d v="2012-01-10T00:00:00"/>
    <n v="369"/>
    <d v="2012-01-10T00:00:00"/>
    <n v="369"/>
    <m/>
    <d v="2012-01-17T00:00:00"/>
    <n v="369"/>
    <d v="2012-02-02T00:00:00"/>
    <d v="2012-01-19T00:00:00"/>
    <n v="369"/>
    <n v="369"/>
    <x v="22"/>
    <d v="2012-02-02T00:00:00"/>
    <m/>
    <n v="9321674841"/>
    <n v="30"/>
    <s v="NYKU6448917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20/000040"/>
    <n v="1370152838"/>
    <n v="40"/>
    <x v="0"/>
    <x v="0"/>
    <s v="A1"/>
    <n v="2100061023"/>
    <n v="200"/>
    <n v="116000739"/>
    <s v="C168JCDX TFAL TNS RED TJM 5QT JC/10&quot; CVD          "/>
    <s v="S"/>
    <d v="2012-01-16T00:00:00"/>
    <m/>
    <s v="X"/>
    <x v="74"/>
    <n v="19.7728"/>
    <n v="19"/>
    <d v="2012-01-24T00:00:00"/>
    <d v="2012-01-10T00:00:00"/>
    <n v="368"/>
    <d v="2012-01-10T00:00:00"/>
    <n v="368"/>
    <m/>
    <d v="2012-01-17T00:00:00"/>
    <n v="368"/>
    <d v="2012-02-02T00:00:00"/>
    <d v="2012-01-19T00:00:00"/>
    <n v="368"/>
    <n v="368"/>
    <x v="22"/>
    <d v="2012-02-02T00:00:00"/>
    <m/>
    <n v="9321674841"/>
    <n v="40"/>
    <s v="NYKU6448917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20/000050"/>
    <n v="1370152838"/>
    <n v="50"/>
    <x v="0"/>
    <x v="0"/>
    <s v="A1"/>
    <n v="2100060742"/>
    <n v="201"/>
    <n v="116000733"/>
    <s v="C115SPDX T-FAL TNS BLACK TJMAX 2QT/3QT S          "/>
    <s v="S"/>
    <d v="2012-01-16T00:00:00"/>
    <m/>
    <s v="X"/>
    <x v="74"/>
    <n v="14.834899999999999"/>
    <n v="19"/>
    <d v="2012-01-24T00:00:00"/>
    <d v="2012-01-10T00:00:00"/>
    <n v="737"/>
    <d v="2012-01-10T00:00:00"/>
    <n v="737"/>
    <m/>
    <d v="2012-01-17T00:00:00"/>
    <n v="737"/>
    <d v="2012-02-02T00:00:00"/>
    <d v="2012-01-19T00:00:00"/>
    <n v="737"/>
    <n v="737"/>
    <x v="22"/>
    <d v="2012-02-02T00:00:00"/>
    <m/>
    <n v="9321674841"/>
    <n v="50"/>
    <s v="NYKU4211016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20/000060"/>
    <n v="1370152838"/>
    <n v="60"/>
    <x v="0"/>
    <x v="0"/>
    <s v="A1"/>
    <n v="2100061021"/>
    <n v="200"/>
    <n v="116000740"/>
    <s v="C168SPDX TFAL TNS RED TJM 2QT/3QT SAUCE           "/>
    <s v="S"/>
    <d v="2012-01-16T00:00:00"/>
    <m/>
    <s v="X"/>
    <x v="74"/>
    <n v="14.5402"/>
    <n v="19"/>
    <d v="2012-01-24T00:00:00"/>
    <d v="2012-01-10T00:00:00"/>
    <n v="368"/>
    <d v="2012-01-10T00:00:00"/>
    <n v="368"/>
    <m/>
    <d v="2012-01-17T00:00:00"/>
    <n v="368"/>
    <d v="2012-02-03T00:00:00"/>
    <d v="2012-01-20T00:00:00"/>
    <n v="368"/>
    <n v="368"/>
    <x v="14"/>
    <d v="2012-02-03T00:00:00"/>
    <m/>
    <n v="9321674841"/>
    <n v="60"/>
    <s v="NYKU4632545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9/000010"/>
    <n v="1370152839"/>
    <n v="10"/>
    <x v="0"/>
    <x v="0"/>
    <s v="A1"/>
    <n v="2100056178"/>
    <n v="201"/>
    <n v="116000520"/>
    <s v="C161S3DX T-FAL TNS BLACK TJ MAXX FP 8/10          "/>
    <s v="S"/>
    <d v="2012-01-16T00:00:00"/>
    <m/>
    <s v="X"/>
    <x v="74"/>
    <n v="18.505099999999999"/>
    <n v="19"/>
    <d v="2012-01-24T00:00:00"/>
    <d v="2012-01-10T00:00:00"/>
    <n v="263"/>
    <d v="2012-01-10T00:00:00"/>
    <n v="263"/>
    <m/>
    <d v="2012-01-17T00:00:00"/>
    <n v="263"/>
    <d v="2012-02-03T00:00:00"/>
    <d v="2012-01-20T00:00:00"/>
    <n v="263"/>
    <n v="263"/>
    <x v="14"/>
    <d v="2012-02-03T00:00:00"/>
    <m/>
    <n v="9321674842"/>
    <n v="10"/>
    <s v="NYKU6164459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9/000020"/>
    <n v="1370152839"/>
    <n v="20"/>
    <x v="0"/>
    <x v="0"/>
    <s v="A1"/>
    <n v="2100056207"/>
    <n v="200"/>
    <n v="116000522"/>
    <s v="C162S3DX T-FAL TNS RED TJ MAXX FP 8/10/1          "/>
    <s v="S"/>
    <d v="2012-01-16T00:00:00"/>
    <m/>
    <s v="X"/>
    <x v="74"/>
    <n v="18.309200000000001"/>
    <n v="19"/>
    <d v="2012-01-24T00:00:00"/>
    <d v="2012-01-10T00:00:00"/>
    <n v="264"/>
    <d v="2012-01-10T00:00:00"/>
    <n v="264"/>
    <m/>
    <d v="2012-01-17T00:00:00"/>
    <n v="264"/>
    <d v="2012-02-03T00:00:00"/>
    <d v="2012-01-20T00:00:00"/>
    <n v="264"/>
    <n v="264"/>
    <x v="14"/>
    <d v="2012-02-03T00:00:00"/>
    <m/>
    <n v="9321674842"/>
    <n v="20"/>
    <s v="NYKU6164459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9/000030"/>
    <n v="1370152839"/>
    <n v="30"/>
    <x v="0"/>
    <x v="0"/>
    <s v="A1"/>
    <n v="2100060743"/>
    <n v="201"/>
    <n v="116000732"/>
    <s v="C115JCDX TFAL TNS BLACK TJMAX 5QT JC/10&quot;          "/>
    <s v="S"/>
    <d v="2012-01-16T00:00:00"/>
    <m/>
    <s v="X"/>
    <x v="74"/>
    <n v="19.6859"/>
    <n v="19"/>
    <d v="2012-01-24T00:00:00"/>
    <d v="2012-01-10T00:00:00"/>
    <n v="219"/>
    <d v="2012-01-10T00:00:00"/>
    <n v="219"/>
    <m/>
    <d v="2012-01-17T00:00:00"/>
    <n v="219"/>
    <d v="2012-02-02T00:00:00"/>
    <d v="2012-01-19T00:00:00"/>
    <n v="219"/>
    <n v="219"/>
    <x v="22"/>
    <d v="2012-02-02T00:00:00"/>
    <m/>
    <n v="9321674842"/>
    <n v="30"/>
    <s v="NYKU4583374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9/000040"/>
    <n v="1370152839"/>
    <n v="40"/>
    <x v="0"/>
    <x v="0"/>
    <s v="A1"/>
    <n v="2100061023"/>
    <n v="200"/>
    <n v="116000739"/>
    <s v="C168JCDX TFAL TNS RED TJM 5QT JC/10&quot; CVD          "/>
    <s v="S"/>
    <d v="2012-01-16T00:00:00"/>
    <m/>
    <s v="X"/>
    <x v="74"/>
    <n v="19.7728"/>
    <n v="19"/>
    <d v="2012-01-24T00:00:00"/>
    <d v="2012-01-10T00:00:00"/>
    <n v="220"/>
    <d v="2012-01-10T00:00:00"/>
    <n v="220"/>
    <m/>
    <d v="2012-01-17T00:00:00"/>
    <n v="220"/>
    <d v="2012-02-02T00:00:00"/>
    <d v="2012-01-19T00:00:00"/>
    <n v="220"/>
    <n v="220"/>
    <x v="22"/>
    <d v="2012-02-02T00:00:00"/>
    <m/>
    <n v="9321674842"/>
    <n v="40"/>
    <s v="NYKU6448917"/>
    <s v="TBC"/>
    <m/>
    <s v="NINGBO"/>
    <s v="C-FINALCUSTOMER-REQ/"/>
    <m/>
    <s v="TWEETY LEUNG"/>
    <s v="FO9"/>
    <s v="COOKWARE                      "/>
    <s v="CONFIRMED"/>
    <n v="1"/>
    <n v="3"/>
    <d v="2012-01-19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9/000050"/>
    <n v="1370152839"/>
    <n v="50"/>
    <x v="0"/>
    <x v="0"/>
    <s v="A1"/>
    <n v="2100060742"/>
    <n v="201"/>
    <n v="116000733"/>
    <s v="C115SPDX T-FAL TNS BLACK TJMAX 2QT/3QT S          "/>
    <s v="S"/>
    <d v="2012-01-16T00:00:00"/>
    <m/>
    <s v="X"/>
    <x v="74"/>
    <n v="14.834899999999999"/>
    <n v="19"/>
    <d v="2012-01-24T00:00:00"/>
    <d v="2012-01-10T00:00:00"/>
    <n v="439"/>
    <d v="2012-01-10T00:00:00"/>
    <n v="439"/>
    <m/>
    <d v="2012-01-17T00:00:00"/>
    <n v="439"/>
    <d v="2012-02-03T00:00:00"/>
    <d v="2012-01-20T00:00:00"/>
    <n v="439"/>
    <n v="439"/>
    <x v="14"/>
    <d v="2012-02-03T00:00:00"/>
    <m/>
    <n v="9321674842"/>
    <n v="50"/>
    <s v="NYKU6164459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3171789"/>
    <s v="APL LOGISTICS/ TJ MAXX DI 001                     "/>
    <n v="99008400"/>
    <x v="12"/>
    <s v="9321673219/000060"/>
    <n v="1370152839"/>
    <n v="60"/>
    <x v="0"/>
    <x v="0"/>
    <s v="A1"/>
    <n v="2100061021"/>
    <n v="200"/>
    <n v="116000740"/>
    <s v="C168SPDX TFAL TNS RED TJM 2QT/3QT SAUCE           "/>
    <s v="S"/>
    <d v="2012-01-16T00:00:00"/>
    <m/>
    <s v="X"/>
    <x v="74"/>
    <n v="14.5402"/>
    <n v="19"/>
    <d v="2012-01-24T00:00:00"/>
    <d v="2012-01-10T00:00:00"/>
    <n v="220"/>
    <d v="2012-01-10T00:00:00"/>
    <n v="220"/>
    <m/>
    <d v="2012-01-17T00:00:00"/>
    <n v="220"/>
    <d v="2012-02-03T00:00:00"/>
    <d v="2012-01-20T00:00:00"/>
    <n v="220"/>
    <n v="220"/>
    <x v="14"/>
    <d v="2012-02-03T00:00:00"/>
    <m/>
    <n v="9321674842"/>
    <n v="60"/>
    <s v="NYKU6164459"/>
    <s v="TBC"/>
    <m/>
    <s v="NINGBO"/>
    <s v="C-FINALCUSTOMER-REQ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1"/>
    <x v="0"/>
    <x v="0"/>
    <x v="1"/>
    <n v="0"/>
    <n v="0"/>
    <n v="0"/>
    <n v="1"/>
    <n v="0"/>
    <n v="1"/>
    <x v="0"/>
    <x v="0"/>
    <x v="0"/>
    <x v="0"/>
  </r>
  <r>
    <s v="Shipment"/>
    <n v="99006103"/>
    <s v="SAS GROUPE SEB FRANCE                             "/>
    <n v="99006100"/>
    <x v="3"/>
    <s v="9321661780/000010"/>
    <n v="1370152323"/>
    <n v="10"/>
    <x v="22"/>
    <x v="22"/>
    <s v="N4"/>
    <n v="7211000829"/>
    <n v="177"/>
    <n v="211000829"/>
    <s v="FF162100 FRY ONE FILTRA PLAST WHT FR              "/>
    <s v="S"/>
    <d v="2012-01-17T00:00:00"/>
    <m/>
    <s v="X"/>
    <x v="74"/>
    <n v="24.508500000000002"/>
    <n v="19"/>
    <d v="2012-02-10T00:00:00"/>
    <d v="2012-01-06T00:00:00"/>
    <n v="1140"/>
    <d v="2012-01-06T00:00:00"/>
    <n v="1140"/>
    <m/>
    <d v="2012-01-15T00:00:00"/>
    <n v="1140"/>
    <d v="2012-02-15T00:00:00"/>
    <d v="2012-01-11T00:00:00"/>
    <n v="1140"/>
    <n v="1140"/>
    <x v="17"/>
    <d v="2012-02-15T00:00:00"/>
    <m/>
    <n v="9321674847"/>
    <n v="10"/>
    <s v="TTNU5217445"/>
    <s v="CMA CGM CYRA FM424/"/>
    <m/>
    <s v="NINGBO"/>
    <s v="SP-TOOLING/"/>
    <m/>
    <s v="JASON FAN"/>
    <s v="FO9"/>
    <s v="ELECTRICAL COOKING            "/>
    <s v="CONFIRMED"/>
    <n v="1"/>
    <n v="2"/>
    <d v="2012-01-11T00:00:00"/>
    <s v="KITCHEN ELECTRICS             "/>
    <s v="ELECTRICAL COOKING            "/>
    <x v="0"/>
    <x v="0"/>
    <x v="15"/>
    <s v="SP-TOOLING"/>
    <n v="1"/>
    <n v="1"/>
    <x v="21"/>
    <n v="1"/>
    <x v="0"/>
    <x v="1"/>
    <x v="1"/>
    <n v="1"/>
    <n v="0"/>
    <n v="1"/>
    <n v="0"/>
    <n v="0"/>
    <n v="1"/>
    <x v="0"/>
    <x v="0"/>
    <x v="1"/>
    <x v="1"/>
  </r>
  <r>
    <s v="Shipment"/>
    <n v="99008900"/>
    <s v="LAGOSTINA S.P.A.                                  "/>
    <n v="99008900"/>
    <x v="0"/>
    <s v="4600079493/000010"/>
    <n v="1370153022"/>
    <n v="10"/>
    <x v="0"/>
    <x v="0"/>
    <s v="A5"/>
    <n v="7115003423"/>
    <n v="206"/>
    <n v="115003423"/>
    <s v="011830040124 24CM FRYPAN ACCADEMIA BIANC          "/>
    <s v="S"/>
    <d v="2012-01-18T00:00:00"/>
    <m/>
    <s v="X"/>
    <x v="75"/>
    <n v="15.2684"/>
    <n v="12"/>
    <d v="2012-01-25T00:00:00"/>
    <d v="2011-12-28T00:00:00"/>
    <n v="500"/>
    <d v="2011-12-28T00:00:00"/>
    <n v="500"/>
    <m/>
    <d v="2012-01-10T00:00:00"/>
    <n v="700"/>
    <d v="2012-02-07T00:00:00"/>
    <d v="2012-01-10T00:00:00"/>
    <n v="500"/>
    <n v="152"/>
    <x v="24"/>
    <d v="2012-02-10T00:00:00"/>
    <m/>
    <n v="9321675479"/>
    <n v="10"/>
    <s v="UACU3181954"/>
    <s v="HANJIN BASEL/063W"/>
    <m/>
    <s v="NINGBO"/>
    <s v="SP-OVERCAP/"/>
    <m/>
    <s v="AGNES NUNES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0"/>
    <n v="0"/>
    <n v="0"/>
    <n v="0"/>
    <x v="0"/>
    <x v="1"/>
    <x v="1"/>
    <x v="0"/>
  </r>
  <r>
    <s v="Shipment"/>
    <n v="99008900"/>
    <s v="LAGOSTINA S.P.A.                                  "/>
    <n v="99008900"/>
    <x v="0"/>
    <s v="4600079493/000010"/>
    <n v="1370153022"/>
    <n v="10"/>
    <x v="0"/>
    <x v="0"/>
    <s v="A5"/>
    <n v="7115003423"/>
    <n v="206"/>
    <n v="115003423"/>
    <s v="011830040124 24CM FRYPAN ACCADEMIA BIANC          "/>
    <s v="S"/>
    <d v="2012-01-06T00:00:00"/>
    <m/>
    <s v="X"/>
    <x v="75"/>
    <n v="15.2684"/>
    <n v="12"/>
    <d v="2012-01-25T00:00:00"/>
    <d v="2011-12-28T00:00:00"/>
    <n v="500"/>
    <d v="2011-12-28T00:00:00"/>
    <n v="500"/>
    <m/>
    <d v="2012-01-10T00:00:00"/>
    <n v="700"/>
    <d v="2012-02-07T00:00:00"/>
    <d v="2012-01-10T00:00:00"/>
    <n v="500"/>
    <n v="348"/>
    <x v="16"/>
    <d v="2012-01-31T00:00:00"/>
    <m/>
    <n v="9321675479"/>
    <n v="10"/>
    <s v="UACU8122846"/>
    <s v="XIN PU DONG/1201W"/>
    <m/>
    <s v="NINGBO"/>
    <s v="SP-OVERCAP/"/>
    <m/>
    <s v="AGNES NUNES"/>
    <s v="FO9"/>
    <s v="COOKWARE                      "/>
    <s v="CONFIRMED"/>
    <n v="1"/>
    <n v="1"/>
    <d v="2012-01-03T00:00:00"/>
    <s v="COOKWARE                      "/>
    <s v="COOKWARE                      "/>
    <x v="0"/>
    <x v="0"/>
    <x v="11"/>
    <s v="SP-OVERCAP"/>
    <n v="-3"/>
    <n v="-3"/>
    <x v="9"/>
    <n v="1"/>
    <x v="0"/>
    <x v="1"/>
    <x v="1"/>
    <n v="1"/>
    <n v="0"/>
    <n v="1"/>
    <n v="0"/>
    <n v="0"/>
    <n v="1"/>
    <x v="0"/>
    <x v="0"/>
    <x v="1"/>
    <x v="1"/>
  </r>
  <r>
    <s v="Shipment"/>
    <n v="99008900"/>
    <s v="LAGOSTINA S.P.A.                                  "/>
    <n v="99008900"/>
    <x v="0"/>
    <s v="4600079493/000020"/>
    <n v="1370153022"/>
    <n v="20"/>
    <x v="0"/>
    <x v="0"/>
    <s v="A5"/>
    <n v="7115003424"/>
    <n v="206"/>
    <n v="115003424"/>
    <s v="011830040126 26CM FRYPAN ACCADEMIA BIANC          "/>
    <s v="S"/>
    <d v="2012-01-06T00:00:00"/>
    <m/>
    <s v="X"/>
    <x v="75"/>
    <n v="15.942500000000001"/>
    <n v="12"/>
    <d v="2012-01-25T00:00:00"/>
    <d v="2011-12-28T00:00:00"/>
    <n v="500"/>
    <d v="2011-12-28T00:00:00"/>
    <n v="500"/>
    <m/>
    <d v="2012-01-10T00:00:00"/>
    <n v="1000"/>
    <d v="2012-02-07T00:00:00"/>
    <d v="2012-01-10T00:00:00"/>
    <n v="500"/>
    <n v="268"/>
    <x v="16"/>
    <d v="2012-01-31T00:00:00"/>
    <m/>
    <n v="9321675479"/>
    <n v="20"/>
    <s v="UACU8122846"/>
    <s v="XIN PU DONG/1201W"/>
    <m/>
    <s v="NINGBO"/>
    <s v="SP-OVERCAP/"/>
    <m/>
    <s v="AGNES NUNES"/>
    <s v="FO9"/>
    <s v="COOKWARE                      "/>
    <s v="CONFIRMED"/>
    <n v="1"/>
    <n v="1"/>
    <d v="2012-01-03T00:00:00"/>
    <s v="COOKWARE                      "/>
    <s v="COOKWARE                      "/>
    <x v="0"/>
    <x v="0"/>
    <x v="11"/>
    <s v="SP-OVERCAP"/>
    <n v="-3"/>
    <n v="-3"/>
    <x v="9"/>
    <n v="1"/>
    <x v="0"/>
    <x v="1"/>
    <x v="1"/>
    <n v="1"/>
    <n v="0"/>
    <n v="1"/>
    <n v="0"/>
    <n v="0"/>
    <n v="1"/>
    <x v="0"/>
    <x v="0"/>
    <x v="1"/>
    <x v="1"/>
  </r>
  <r>
    <s v="Shipment"/>
    <n v="99008900"/>
    <s v="LAGOSTINA S.P.A.                                  "/>
    <n v="99008900"/>
    <x v="0"/>
    <s v="4600079493/000020"/>
    <n v="1370153022"/>
    <n v="20"/>
    <x v="0"/>
    <x v="0"/>
    <s v="A5"/>
    <n v="7115003424"/>
    <n v="206"/>
    <n v="115003424"/>
    <s v="011830040126 26CM FRYPAN ACCADEMIA BIANC          "/>
    <s v="S"/>
    <d v="2012-01-18T00:00:00"/>
    <m/>
    <s v="X"/>
    <x v="75"/>
    <n v="15.942500000000001"/>
    <n v="12"/>
    <d v="2012-01-25T00:00:00"/>
    <d v="2011-12-28T00:00:00"/>
    <n v="500"/>
    <d v="2011-12-28T00:00:00"/>
    <n v="500"/>
    <m/>
    <d v="2012-01-10T00:00:00"/>
    <n v="1000"/>
    <d v="2012-02-07T00:00:00"/>
    <d v="2012-01-10T00:00:00"/>
    <n v="500"/>
    <n v="232"/>
    <x v="24"/>
    <d v="2012-02-10T00:00:00"/>
    <m/>
    <n v="9321675479"/>
    <n v="20"/>
    <s v="UACU3181954"/>
    <s v="HANJIN BASEL/063W"/>
    <m/>
    <s v="NINGBO"/>
    <s v="SP-OVERCAP/"/>
    <m/>
    <s v="AGNES NUNES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0"/>
    <n v="0"/>
    <n v="0"/>
    <n v="0"/>
    <x v="0"/>
    <x v="1"/>
    <x v="1"/>
    <x v="0"/>
  </r>
  <r>
    <s v="Shipment"/>
    <n v="99008900"/>
    <s v="LAGOSTINA S.P.A.                                  "/>
    <n v="99008900"/>
    <x v="0"/>
    <s v="4600079493/000030"/>
    <n v="1370153022"/>
    <n v="30"/>
    <x v="0"/>
    <x v="0"/>
    <s v="A5"/>
    <n v="7115003425"/>
    <n v="206"/>
    <n v="115003425"/>
    <s v="011830040128 28CM FRYPAN ACCADEMIA BIANC          "/>
    <s v="S"/>
    <d v="2012-01-06T00:00:00"/>
    <m/>
    <s v="X"/>
    <x v="75"/>
    <n v="18.046099999999999"/>
    <n v="12"/>
    <d v="2012-01-25T00:00:00"/>
    <d v="2011-12-28T00:00:00"/>
    <n v="500"/>
    <d v="2011-12-28T00:00:00"/>
    <n v="480"/>
    <m/>
    <d v="2012-01-10T00:00:00"/>
    <n v="980"/>
    <d v="2012-02-07T00:00:00"/>
    <d v="2012-01-10T00:00:00"/>
    <n v="480"/>
    <n v="428"/>
    <x v="16"/>
    <d v="2012-01-31T00:00:00"/>
    <m/>
    <n v="9321675479"/>
    <n v="30"/>
    <s v="UACU8122846"/>
    <s v="XIN PU DONG/1201W"/>
    <m/>
    <s v="NINGBO"/>
    <s v="SP-OVERCAP/"/>
    <m/>
    <s v="AGNES NUNES"/>
    <s v="FO9"/>
    <s v="COOKWARE                      "/>
    <s v="CONFIRMED"/>
    <n v="1"/>
    <n v="1"/>
    <d v="2012-01-03T00:00:00"/>
    <s v="COOKWARE                      "/>
    <s v="COOKWARE                      "/>
    <x v="0"/>
    <x v="0"/>
    <x v="11"/>
    <s v="SP-OVERCAP"/>
    <n v="-3"/>
    <n v="-3"/>
    <x v="9"/>
    <n v="1"/>
    <x v="0"/>
    <x v="1"/>
    <x v="1"/>
    <n v="1"/>
    <n v="0"/>
    <n v="1"/>
    <n v="0"/>
    <n v="0"/>
    <n v="1"/>
    <x v="0"/>
    <x v="0"/>
    <x v="1"/>
    <x v="1"/>
  </r>
  <r>
    <s v="Shipment"/>
    <n v="99008900"/>
    <s v="LAGOSTINA S.P.A.                                  "/>
    <n v="99008900"/>
    <x v="0"/>
    <s v="4600079493/000030"/>
    <n v="1370153022"/>
    <n v="30"/>
    <x v="0"/>
    <x v="0"/>
    <s v="A5"/>
    <n v="7115003425"/>
    <n v="206"/>
    <n v="115003425"/>
    <s v="011830040128 28CM FRYPAN ACCADEMIA BIANC          "/>
    <s v="S"/>
    <d v="2012-01-18T00:00:00"/>
    <m/>
    <s v="X"/>
    <x v="75"/>
    <n v="18.046099999999999"/>
    <n v="12"/>
    <d v="2012-01-25T00:00:00"/>
    <d v="2011-12-28T00:00:00"/>
    <n v="500"/>
    <d v="2011-12-28T00:00:00"/>
    <n v="480"/>
    <m/>
    <d v="2012-01-10T00:00:00"/>
    <n v="980"/>
    <d v="2012-02-07T00:00:00"/>
    <d v="2012-01-10T00:00:00"/>
    <n v="480"/>
    <n v="52"/>
    <x v="24"/>
    <d v="2012-02-10T00:00:00"/>
    <m/>
    <n v="9321675479"/>
    <n v="30"/>
    <s v="UACU3181954"/>
    <s v="HANJIN BASEL/063W"/>
    <m/>
    <s v="NINGBO"/>
    <s v="SP-OVERCAP/"/>
    <m/>
    <s v="AGNES NUNES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0"/>
    <n v="0"/>
    <n v="0"/>
    <n v="0"/>
    <x v="0"/>
    <x v="1"/>
    <x v="1"/>
    <x v="0"/>
  </r>
  <r>
    <s v="Shipment"/>
    <n v="99008900"/>
    <s v="LAGOSTINA S.P.A.                                  "/>
    <n v="99008900"/>
    <x v="0"/>
    <s v="4600079493/000040"/>
    <n v="1370153022"/>
    <n v="40"/>
    <x v="0"/>
    <x v="0"/>
    <s v="A5"/>
    <n v="7115003427"/>
    <n v="206"/>
    <n v="115003427"/>
    <s v="011830031024 24CM STEWPOT + LID ACCADEMI          "/>
    <s v="S"/>
    <d v="2012-01-06T00:00:00"/>
    <m/>
    <s v="X"/>
    <x v="75"/>
    <n v="24.287800000000001"/>
    <n v="12"/>
    <d v="2012-01-25T00:00:00"/>
    <d v="2011-12-28T00:00:00"/>
    <n v="500"/>
    <d v="2011-12-28T00:00:00"/>
    <n v="500"/>
    <m/>
    <d v="2012-01-10T00:00:00"/>
    <n v="1000"/>
    <d v="2012-02-07T00:00:00"/>
    <d v="2012-01-10T00:00:00"/>
    <n v="500"/>
    <n v="420"/>
    <x v="16"/>
    <d v="2012-01-31T00:00:00"/>
    <m/>
    <n v="9321675479"/>
    <n v="40"/>
    <s v="UACU8122846"/>
    <s v="XIN PU DONG/1201W"/>
    <m/>
    <s v="NINGBO"/>
    <s v="SP-OVERCAP/"/>
    <m/>
    <s v="AGNES NUNES"/>
    <s v="FO9"/>
    <s v="COOKWARE                      "/>
    <s v="CONFIRMED"/>
    <n v="1"/>
    <n v="1"/>
    <d v="2012-01-03T00:00:00"/>
    <s v="COOKWARE                      "/>
    <s v="COOKWARE                      "/>
    <x v="0"/>
    <x v="0"/>
    <x v="11"/>
    <s v="SP-OVERCAP"/>
    <n v="-3"/>
    <n v="-3"/>
    <x v="9"/>
    <n v="1"/>
    <x v="0"/>
    <x v="1"/>
    <x v="1"/>
    <n v="1"/>
    <n v="0"/>
    <n v="1"/>
    <n v="0"/>
    <n v="0"/>
    <n v="1"/>
    <x v="0"/>
    <x v="0"/>
    <x v="1"/>
    <x v="1"/>
  </r>
  <r>
    <s v="Shipment"/>
    <n v="99008900"/>
    <s v="LAGOSTINA S.P.A.                                  "/>
    <n v="99008900"/>
    <x v="0"/>
    <s v="4600079493/000040"/>
    <n v="1370153022"/>
    <n v="40"/>
    <x v="0"/>
    <x v="0"/>
    <s v="A5"/>
    <n v="7115003427"/>
    <n v="206"/>
    <n v="115003427"/>
    <s v="011830031024 24CM STEWPOT + LID ACCADEMI          "/>
    <s v="S"/>
    <d v="2012-01-18T00:00:00"/>
    <m/>
    <s v="X"/>
    <x v="75"/>
    <n v="24.287800000000001"/>
    <n v="12"/>
    <d v="2012-01-25T00:00:00"/>
    <d v="2011-12-28T00:00:00"/>
    <n v="500"/>
    <d v="2011-12-28T00:00:00"/>
    <n v="500"/>
    <m/>
    <d v="2012-01-10T00:00:00"/>
    <n v="1000"/>
    <d v="2012-02-07T00:00:00"/>
    <d v="2012-01-10T00:00:00"/>
    <n v="500"/>
    <n v="80"/>
    <x v="24"/>
    <d v="2012-02-10T00:00:00"/>
    <m/>
    <n v="9321675479"/>
    <n v="40"/>
    <s v="UACU3181954"/>
    <s v="HANJIN BASEL/063W"/>
    <m/>
    <s v="NINGBO"/>
    <s v="SP-OVERCAP/"/>
    <m/>
    <s v="AGNES NUNES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0"/>
    <n v="0"/>
    <n v="0"/>
    <n v="0"/>
    <x v="0"/>
    <x v="1"/>
    <x v="1"/>
    <x v="0"/>
  </r>
  <r>
    <s v="Shipment"/>
    <n v="99008900"/>
    <s v="LAGOSTINA S.P.A.                                  "/>
    <n v="99008900"/>
    <x v="0"/>
    <s v="4600079493/000050"/>
    <n v="1370153022"/>
    <n v="50"/>
    <x v="0"/>
    <x v="0"/>
    <s v="A5"/>
    <n v="7115003428"/>
    <n v="206"/>
    <n v="115003428"/>
    <s v="011830031826 26CM SHALLOW ACCADEMIA BIAN          "/>
    <s v="S"/>
    <d v="2012-01-06T00:00:00"/>
    <m/>
    <s v="X"/>
    <x v="75"/>
    <n v="24.317"/>
    <n v="12"/>
    <d v="2012-01-25T00:00:00"/>
    <d v="2011-12-28T00:00:00"/>
    <n v="500"/>
    <d v="2011-12-28T00:00:00"/>
    <n v="500"/>
    <m/>
    <d v="2012-01-10T00:00:00"/>
    <n v="1000"/>
    <d v="2012-02-07T00:00:00"/>
    <d v="2012-01-10T00:00:00"/>
    <n v="500"/>
    <n v="400"/>
    <x v="16"/>
    <d v="2012-01-31T00:00:00"/>
    <m/>
    <n v="9321675479"/>
    <n v="50"/>
    <s v="UACU8122846"/>
    <s v="XIN PU DONG/1201W"/>
    <m/>
    <s v="NINGBO"/>
    <s v="SP-OVERCAP/"/>
    <m/>
    <s v="AGNES NUNES"/>
    <s v="FO9"/>
    <s v="COOKWARE                      "/>
    <s v="CONFIRMED"/>
    <n v="1"/>
    <n v="1"/>
    <d v="2012-01-03T00:00:00"/>
    <s v="COOKWARE                      "/>
    <s v="COOKWARE                      "/>
    <x v="0"/>
    <x v="0"/>
    <x v="11"/>
    <s v="SP-OVERCAP"/>
    <n v="-3"/>
    <n v="-3"/>
    <x v="9"/>
    <n v="1"/>
    <x v="0"/>
    <x v="1"/>
    <x v="1"/>
    <n v="1"/>
    <n v="0"/>
    <n v="1"/>
    <n v="0"/>
    <n v="0"/>
    <n v="1"/>
    <x v="0"/>
    <x v="0"/>
    <x v="1"/>
    <x v="1"/>
  </r>
  <r>
    <s v="Shipment"/>
    <n v="99008900"/>
    <s v="LAGOSTINA S.P.A.                                  "/>
    <n v="99008900"/>
    <x v="0"/>
    <s v="4600079493/000050"/>
    <n v="1370153022"/>
    <n v="50"/>
    <x v="0"/>
    <x v="0"/>
    <s v="A5"/>
    <n v="7115003428"/>
    <n v="206"/>
    <n v="115003428"/>
    <s v="011830031826 26CM SHALLOW ACCADEMIA BIAN          "/>
    <s v="S"/>
    <d v="2012-01-18T00:00:00"/>
    <m/>
    <s v="X"/>
    <x v="75"/>
    <n v="24.317"/>
    <n v="12"/>
    <d v="2012-01-25T00:00:00"/>
    <d v="2011-12-28T00:00:00"/>
    <n v="500"/>
    <d v="2011-12-28T00:00:00"/>
    <n v="500"/>
    <m/>
    <d v="2012-01-10T00:00:00"/>
    <n v="1000"/>
    <d v="2012-02-07T00:00:00"/>
    <d v="2012-01-10T00:00:00"/>
    <n v="500"/>
    <n v="100"/>
    <x v="24"/>
    <d v="2012-02-10T00:00:00"/>
    <m/>
    <n v="9321675479"/>
    <n v="50"/>
    <s v="UACU3181954"/>
    <s v="HANJIN BASEL/063W"/>
    <m/>
    <s v="NINGBO"/>
    <s v="SP-OVERCAP/"/>
    <m/>
    <s v="AGNES NUNES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0"/>
    <n v="0"/>
    <n v="0"/>
    <n v="0"/>
    <x v="0"/>
    <x v="1"/>
    <x v="1"/>
    <x v="0"/>
  </r>
  <r>
    <s v="Shipment"/>
    <n v="99008900"/>
    <s v="LAGOSTINA S.P.A.                                  "/>
    <n v="99008900"/>
    <x v="0"/>
    <s v="4600079493/000060"/>
    <n v="1370153022"/>
    <n v="60"/>
    <x v="0"/>
    <x v="0"/>
    <s v="A5"/>
    <n v="7115003430"/>
    <n v="206"/>
    <n v="115003430"/>
    <s v="011830031118 18CM SAUCEPAN ACCADEMIA BIA          "/>
    <s v="S"/>
    <d v="2012-01-18T00:00:00"/>
    <m/>
    <s v="X"/>
    <x v="75"/>
    <n v="13.68"/>
    <n v="12"/>
    <d v="2012-01-25T00:00:00"/>
    <d v="2011-12-28T00:00:00"/>
    <n v="500"/>
    <d v="2011-12-28T00:00:00"/>
    <n v="500"/>
    <m/>
    <d v="2012-01-10T00:00:00"/>
    <n v="1420"/>
    <d v="2012-02-07T00:00:00"/>
    <d v="2012-01-10T00:00:00"/>
    <n v="500"/>
    <n v="420"/>
    <x v="24"/>
    <d v="2012-02-10T00:00:00"/>
    <m/>
    <n v="9321675479"/>
    <n v="60"/>
    <s v="UACU3181954"/>
    <s v="HANJIN BASEL/063W"/>
    <m/>
    <s v="NINGBO"/>
    <s v="SP-OVERCAP/SP-OVERCAP/"/>
    <m/>
    <s v="AGNES NUNES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2"/>
    <x v="0"/>
    <x v="0"/>
    <x v="1"/>
    <n v="1"/>
    <n v="0"/>
    <n v="0"/>
    <n v="0"/>
    <n v="0"/>
    <n v="0"/>
    <x v="0"/>
    <x v="1"/>
    <x v="1"/>
    <x v="0"/>
  </r>
  <r>
    <s v="Shipment"/>
    <n v="99008900"/>
    <s v="LAGOSTINA S.P.A.                                  "/>
    <n v="99008900"/>
    <x v="0"/>
    <s v="4600079493/000060"/>
    <n v="1370153022"/>
    <n v="60"/>
    <x v="0"/>
    <x v="0"/>
    <s v="A5"/>
    <n v="7115003430"/>
    <n v="206"/>
    <n v="115003430"/>
    <s v="011830031118 18CM SAUCEPAN ACCADEMIA BIA          "/>
    <s v="S"/>
    <d v="2012-01-18T00:00:00"/>
    <m/>
    <s v="X"/>
    <x v="75"/>
    <n v="13.68"/>
    <n v="12"/>
    <d v="2012-01-25T00:00:00"/>
    <d v="2011-12-28T00:00:00"/>
    <n v="500"/>
    <d v="2011-12-28T00:00:00"/>
    <n v="500"/>
    <m/>
    <d v="2012-01-10T00:00:00"/>
    <n v="1420"/>
    <d v="2012-02-07T00:00:00"/>
    <d v="2012-01-10T00:00:00"/>
    <n v="500"/>
    <n v="80"/>
    <x v="21"/>
    <d v="2012-02-15T00:00:00"/>
    <m/>
    <n v="9321675479"/>
    <n v="60"/>
    <s v="HAWB CLQ-0103-6"/>
    <s v="FLIGHT SV999"/>
    <m/>
    <s v="NINGBO"/>
    <s v="SP-OVERCAP/SP-OVERCAP/"/>
    <m/>
    <s v="AGNES NUNES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1"/>
    <s v="SP-OVERCAP"/>
    <n v="-3"/>
    <n v="-3"/>
    <x v="9"/>
    <n v="2"/>
    <x v="0"/>
    <x v="0"/>
    <x v="1"/>
    <n v="1"/>
    <n v="0"/>
    <n v="0"/>
    <n v="0"/>
    <n v="0"/>
    <n v="0"/>
    <x v="0"/>
    <x v="1"/>
    <x v="1"/>
    <x v="0"/>
  </r>
  <r>
    <s v="Shipment"/>
    <n v="99008900"/>
    <s v="LAGOSTINA S.P.A.                                  "/>
    <n v="99008900"/>
    <x v="0"/>
    <s v="4600079493/000070"/>
    <n v="1370153022"/>
    <n v="70"/>
    <x v="0"/>
    <x v="0"/>
    <s v="A5"/>
    <n v="7115003431"/>
    <n v="206"/>
    <n v="115003431"/>
    <s v="011830031120 20CM SAUCEPAN ACCADEMIA BIA          "/>
    <s v="S"/>
    <d v="2012-01-18T00:00:00"/>
    <m/>
    <s v="X"/>
    <x v="75"/>
    <n v="15.017099999999999"/>
    <n v="12"/>
    <d v="2012-01-25T00:00:00"/>
    <d v="2011-12-28T00:00:00"/>
    <n v="500"/>
    <d v="2011-12-28T00:00:00"/>
    <n v="500"/>
    <m/>
    <d v="2012-01-10T00:00:00"/>
    <n v="1760"/>
    <d v="2012-02-07T00:00:00"/>
    <d v="2012-01-10T00:00:00"/>
    <n v="500"/>
    <n v="20"/>
    <x v="21"/>
    <d v="2012-02-15T00:00:00"/>
    <m/>
    <n v="9321675479"/>
    <n v="70"/>
    <s v="HAWB CLQ-0103-6"/>
    <s v="FLIGHT SV999"/>
    <m/>
    <s v="NINGBO"/>
    <s v="SP-OVERCAP/SP-OVERCAP/SP-OVERCAP/"/>
    <m/>
    <s v="AGNES NUNES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1"/>
    <s v="SP-OVERCAP"/>
    <n v="-3"/>
    <n v="-3"/>
    <x v="9"/>
    <n v="3"/>
    <x v="0"/>
    <x v="0"/>
    <x v="1"/>
    <n v="1"/>
    <n v="0"/>
    <n v="0"/>
    <n v="0"/>
    <n v="0"/>
    <n v="0"/>
    <x v="0"/>
    <x v="1"/>
    <x v="1"/>
    <x v="0"/>
  </r>
  <r>
    <s v="Shipment"/>
    <n v="99008900"/>
    <s v="LAGOSTINA S.P.A.                                  "/>
    <n v="99008900"/>
    <x v="0"/>
    <s v="4600079493/000070"/>
    <n v="1370153022"/>
    <n v="70"/>
    <x v="0"/>
    <x v="0"/>
    <s v="A5"/>
    <n v="7115003431"/>
    <n v="206"/>
    <n v="115003431"/>
    <s v="011830031120 20CM SAUCEPAN ACCADEMIA BIA          "/>
    <s v="S"/>
    <d v="2012-01-06T00:00:00"/>
    <m/>
    <s v="X"/>
    <x v="75"/>
    <n v="15.017099999999999"/>
    <n v="12"/>
    <d v="2012-01-25T00:00:00"/>
    <d v="2011-12-28T00:00:00"/>
    <n v="500"/>
    <d v="2011-12-28T00:00:00"/>
    <n v="500"/>
    <m/>
    <d v="2012-01-10T00:00:00"/>
    <n v="1760"/>
    <d v="2012-02-07T00:00:00"/>
    <d v="2012-01-10T00:00:00"/>
    <n v="500"/>
    <n v="120"/>
    <x v="16"/>
    <d v="2012-01-31T00:00:00"/>
    <m/>
    <n v="9321675479"/>
    <n v="70"/>
    <s v="UACU8122846"/>
    <s v="XIN PU DONG/1201W"/>
    <m/>
    <s v="NINGBO"/>
    <s v="SP-OVERCAP/SP-OVERCAP/SP-OVERCAP/"/>
    <m/>
    <s v="AGNES NUNES"/>
    <s v="FO9"/>
    <s v="COOKWARE                      "/>
    <s v="CONFIRMED"/>
    <n v="1"/>
    <n v="1"/>
    <d v="2012-01-03T00:00:00"/>
    <s v="COOKWARE                      "/>
    <s v="COOKWARE                      "/>
    <x v="0"/>
    <x v="0"/>
    <x v="11"/>
    <s v="SP-OVERCAP"/>
    <n v="-3"/>
    <n v="-3"/>
    <x v="9"/>
    <n v="3"/>
    <x v="0"/>
    <x v="1"/>
    <x v="1"/>
    <n v="1"/>
    <n v="0"/>
    <n v="1"/>
    <n v="0"/>
    <n v="0"/>
    <n v="1"/>
    <x v="0"/>
    <x v="0"/>
    <x v="1"/>
    <x v="1"/>
  </r>
  <r>
    <s v="Shipment"/>
    <n v="99008900"/>
    <s v="LAGOSTINA S.P.A.                                  "/>
    <n v="99008900"/>
    <x v="0"/>
    <s v="4600079493/000070"/>
    <n v="1370153022"/>
    <n v="70"/>
    <x v="0"/>
    <x v="0"/>
    <s v="A5"/>
    <n v="7115003431"/>
    <n v="206"/>
    <n v="115003431"/>
    <s v="011830031120 20CM SAUCEPAN ACCADEMIA BIA          "/>
    <s v="S"/>
    <d v="2012-01-18T00:00:00"/>
    <m/>
    <s v="X"/>
    <x v="75"/>
    <n v="15.017099999999999"/>
    <n v="12"/>
    <d v="2012-01-25T00:00:00"/>
    <d v="2011-12-28T00:00:00"/>
    <n v="500"/>
    <d v="2011-12-28T00:00:00"/>
    <n v="500"/>
    <m/>
    <d v="2012-01-10T00:00:00"/>
    <n v="1760"/>
    <d v="2012-02-07T00:00:00"/>
    <d v="2012-01-10T00:00:00"/>
    <n v="500"/>
    <n v="360"/>
    <x v="24"/>
    <d v="2012-02-10T00:00:00"/>
    <m/>
    <n v="9321675479"/>
    <n v="70"/>
    <s v="UACU3181954"/>
    <s v="HANJIN BASEL/063W"/>
    <m/>
    <s v="NINGBO"/>
    <s v="SP-OVERCAP/SP-OVERCAP/SP-OVERCAP/"/>
    <m/>
    <s v="AGNES NUNES"/>
    <s v="FO9"/>
    <s v="COOKWARE                      "/>
    <s v="CONFIRMED"/>
    <n v="1"/>
    <n v="2"/>
    <d v="2012-01-13T00:00:00"/>
    <s v="COOKWARE                      "/>
    <s v="COOKWARE                      "/>
    <x v="0"/>
    <x v="0"/>
    <x v="11"/>
    <s v="SP-OVERCAP"/>
    <n v="-3"/>
    <n v="-3"/>
    <x v="9"/>
    <n v="3"/>
    <x v="0"/>
    <x v="0"/>
    <x v="1"/>
    <n v="1"/>
    <n v="0"/>
    <n v="0"/>
    <n v="0"/>
    <n v="0"/>
    <n v="0"/>
    <x v="0"/>
    <x v="1"/>
    <x v="1"/>
    <x v="0"/>
  </r>
  <r>
    <s v="Shipment"/>
    <n v="99008900"/>
    <s v="LAGOSTINA S.P.A.                                  "/>
    <n v="99008900"/>
    <x v="0"/>
    <s v="4600079493/000080"/>
    <n v="1370153022"/>
    <n v="80"/>
    <x v="0"/>
    <x v="0"/>
    <s v="A5"/>
    <n v="7117001275"/>
    <n v="236"/>
    <n v="117001275"/>
    <s v="011830060118 18CM LID ACCADEMIA BIANCA            "/>
    <s v="S"/>
    <d v="2012-01-06T00:00:00"/>
    <m/>
    <s v="X"/>
    <x v="75"/>
    <n v="3.9157999999999999"/>
    <n v="12"/>
    <d v="2012-01-25T00:00:00"/>
    <d v="2011-12-28T00:00:00"/>
    <n v="500"/>
    <d v="2011-12-28T00:00:00"/>
    <n v="500"/>
    <m/>
    <d v="2012-01-03T00:00:00"/>
    <n v="3000"/>
    <d v="2012-01-31T00:00:00"/>
    <d v="2012-01-03T00:00:00"/>
    <n v="500"/>
    <n v="500"/>
    <x v="16"/>
    <d v="2012-01-31T00:00:00"/>
    <m/>
    <n v="9321675479"/>
    <n v="80"/>
    <s v="UACU8122846"/>
    <s v="XIN PU DONG/1201W"/>
    <m/>
    <s v="NINGBO"/>
    <m/>
    <m/>
    <s v="AGNES NUNES"/>
    <s v="FO9"/>
    <s v="COOKWARE                      "/>
    <s v="CONFIRMED"/>
    <n v="1"/>
    <n v="1"/>
    <d v="2012-01-03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493/000090"/>
    <n v="1370153022"/>
    <n v="90"/>
    <x v="0"/>
    <x v="0"/>
    <s v="A5"/>
    <n v="7117001276"/>
    <n v="236"/>
    <n v="117001276"/>
    <s v="011830060120 20CM LID ACCADEMIA BIANCA            "/>
    <s v="S"/>
    <d v="2012-01-06T00:00:00"/>
    <m/>
    <s v="X"/>
    <x v="75"/>
    <n v="4.0582000000000003"/>
    <n v="12"/>
    <d v="2012-01-25T00:00:00"/>
    <d v="2011-12-28T00:00:00"/>
    <n v="500"/>
    <d v="2011-12-28T00:00:00"/>
    <n v="500"/>
    <m/>
    <d v="2012-01-03T00:00:00"/>
    <n v="3000"/>
    <d v="2012-01-31T00:00:00"/>
    <d v="2012-01-03T00:00:00"/>
    <n v="500"/>
    <n v="500"/>
    <x v="16"/>
    <d v="2012-01-31T00:00:00"/>
    <m/>
    <n v="9321675479"/>
    <n v="90"/>
    <s v="UACU8122846"/>
    <s v="XIN PU DONG/1201W"/>
    <m/>
    <s v="NINGBO"/>
    <m/>
    <m/>
    <s v="AGNES NUNES"/>
    <s v="FO9"/>
    <s v="COOKWARE                      "/>
    <s v="CONFIRMED"/>
    <n v="1"/>
    <n v="1"/>
    <d v="2012-01-03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506/000010"/>
    <n v="1370152962"/>
    <n v="10"/>
    <x v="40"/>
    <x v="40"/>
    <s v="L4"/>
    <n v="1830003961"/>
    <n v="131"/>
    <s v="SF6012F0       "/>
    <s v="SF6012F0 STRAIGHTENER EASY STYLIST                "/>
    <s v="S"/>
    <d v="2012-01-17T00:00:00"/>
    <m/>
    <s v="X"/>
    <x v="75"/>
    <n v="11.19"/>
    <n v="9"/>
    <d v="2012-02-16T00:00:00"/>
    <d v="2012-01-19T00:00:00"/>
    <n v="1002"/>
    <d v="2012-01-16T00:00:00"/>
    <n v="1002"/>
    <m/>
    <d v="2012-01-19T00:00:00"/>
    <n v="1002"/>
    <d v="2012-02-13T00:00:00"/>
    <d v="2012-01-16T00:00:00"/>
    <n v="1002"/>
    <n v="1002"/>
    <x v="19"/>
    <d v="2012-02-14T00:00:00"/>
    <m/>
    <n v="9321675485"/>
    <n v="10"/>
    <s v="SESU6028790"/>
    <s v="HANJIN BASEL/0063W"/>
    <m/>
    <s v="YANTIAN"/>
    <s v="CONS-SHIPT/"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47/HKG/"/>
    <n v="1370153069"/>
    <n v="10"/>
    <x v="55"/>
    <x v="55"/>
    <s v="P1"/>
    <n v="1500830981"/>
    <n v="105"/>
    <n v="830981"/>
    <s v="830981 CTP PREP''LINE 0.6L BLU SG                 "/>
    <s v="S"/>
    <d v="2012-01-13T00:00:00"/>
    <m/>
    <s v="X"/>
    <x v="75"/>
    <n v="7.58"/>
    <n v="8"/>
    <d v="2012-01-15T00:00:00"/>
    <d v="2012-01-15T00:00:00"/>
    <n v="1002"/>
    <d v="2012-01-15T00:00:00"/>
    <n v="1002"/>
    <m/>
    <d v="2012-01-15T00:00:00"/>
    <n v="1002"/>
    <d v="2012-01-15T00:00:00"/>
    <d v="2012-01-15T00:00:00"/>
    <n v="1002"/>
    <n v="1002"/>
    <x v="17"/>
    <d v="2012-01-11T00:00:00"/>
    <m/>
    <n v="9321675489"/>
    <n v="10"/>
    <s v="TRUCK"/>
    <s v="LOCAL DELIVERY"/>
    <m/>
    <s v="YANTIAN"/>
    <m/>
    <m/>
    <s v="THOMAS HO"/>
    <s v="FO9"/>
    <s v="FOOD PREPARATION              "/>
    <s v="CONFIRMED"/>
    <n v="1"/>
    <n v="2"/>
    <d v="2012-01-11T00:00:00"/>
    <s v="KITCHEN ELECTRICS             "/>
    <s v="FOOD PREPARATION        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96/039775"/>
    <n v="1370153049"/>
    <n v="10"/>
    <x v="13"/>
    <x v="13"/>
    <s v="A3"/>
    <n v="2100068999"/>
    <n v="205"/>
    <s v="A608S164       "/>
    <s v="A608S164 SET 7 PCS IMUSA SENSAC SS WELDE          "/>
    <s v="S"/>
    <d v="2012-01-18T00:00:00"/>
    <m/>
    <s v="X"/>
    <x v="76"/>
    <n v="18.78"/>
    <n v="22"/>
    <d v="2012-02-23T00:00:00"/>
    <d v="2012-01-19T00:00:00"/>
    <n v="500"/>
    <d v="2012-01-19T00:00:00"/>
    <n v="500"/>
    <m/>
    <d v="2012-01-19T00:00:00"/>
    <n v="500"/>
    <d v="2012-02-20T00:00:00"/>
    <d v="2012-01-16T00:00:00"/>
    <n v="500"/>
    <n v="500"/>
    <x v="8"/>
    <d v="2012-02-20T00:00:00"/>
    <m/>
    <n v="9321676792"/>
    <n v="10"/>
    <s v="MRKU8232665"/>
    <s v="A.P. MOLLER 1201/"/>
    <m/>
    <s v="YANTIAN"/>
    <m/>
    <m/>
    <s v="THOMAS HO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96/039776"/>
    <n v="1370153049"/>
    <n v="20"/>
    <x v="13"/>
    <x v="13"/>
    <s v="A3"/>
    <n v="2100069000"/>
    <n v="205"/>
    <s v="A608S264       "/>
    <s v="A608S264 SET 8 PCS IMUSA SENSAC SS WELDE          "/>
    <s v="S"/>
    <d v="2012-01-18T00:00:00"/>
    <m/>
    <s v="X"/>
    <x v="76"/>
    <n v="24.03"/>
    <n v="22"/>
    <d v="2012-02-23T00:00:00"/>
    <d v="2012-01-19T00:00:00"/>
    <n v="500"/>
    <d v="2012-01-19T00:00:00"/>
    <n v="494"/>
    <m/>
    <d v="2012-01-19T00:00:00"/>
    <n v="506"/>
    <d v="2012-02-20T00:00:00"/>
    <d v="2012-01-16T00:00:00"/>
    <n v="494"/>
    <n v="494"/>
    <x v="8"/>
    <d v="2012-02-20T00:00:00"/>
    <m/>
    <n v="9321676792"/>
    <n v="20"/>
    <s v="MRKU8232665"/>
    <s v="A.P. MOLLER 1201/"/>
    <m/>
    <s v="YANTIAN"/>
    <m/>
    <m/>
    <s v="THOMAS HO"/>
    <s v="FO9"/>
    <s v="COOKWARE                      "/>
    <s v="CONFIRMED"/>
    <n v="1"/>
    <n v="3"/>
    <d v="2012-01-16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597/039778"/>
    <n v="1370153198"/>
    <n v="10"/>
    <x v="0"/>
    <x v="0"/>
    <s v="A6"/>
    <n v="7114000236"/>
    <n v="253"/>
    <n v="114000236"/>
    <s v="R802K4A1 SLIDE POLISHED 76L   70KPA               "/>
    <s v="S"/>
    <d v="2012-02-03T00:00:00"/>
    <m/>
    <s v="X"/>
    <x v="76"/>
    <n v="15.0616"/>
    <n v="16"/>
    <d v="2012-02-23T00:00:00"/>
    <d v="2012-01-19T00:00:00"/>
    <n v="1451"/>
    <d v="2012-01-19T00:00:00"/>
    <n v="1451"/>
    <m/>
    <m/>
    <m/>
    <d v="2012-03-03T00:00:00"/>
    <d v="2012-01-28T00:00:00"/>
    <n v="1451"/>
    <n v="1451"/>
    <x v="29"/>
    <d v="2012-03-03T00:00:00"/>
    <m/>
    <n v="9321676795"/>
    <n v="10"/>
    <s v="MSCU7153190"/>
    <s v="RDO CONCORD 1203E/"/>
    <m/>
    <s v="NINGBO"/>
    <s v="FORWARDER-PROB/"/>
    <m/>
    <s v="THOMAS HO"/>
    <s v="FO9"/>
    <s v="COOKWARE                      "/>
    <s v="CONFIRMED"/>
    <n v="1"/>
    <n v="4"/>
    <d v="2012-01-28T00:00:00"/>
    <s v="COOKWARE                      "/>
    <s v="COOKWARE                      "/>
    <x v="0"/>
    <x v="0"/>
    <x v="0"/>
    <s v="FORWARDER-PROB"/>
    <n v="1"/>
    <n v="1"/>
    <x v="11"/>
    <n v="1"/>
    <x v="0"/>
    <x v="0"/>
    <x v="1"/>
    <n v="0"/>
    <n v="0"/>
    <n v="0"/>
    <n v="0"/>
    <n v="0"/>
    <n v="0"/>
    <x v="0"/>
    <x v="1"/>
    <x v="1"/>
    <x v="0"/>
  </r>
  <r>
    <s v="Shipment"/>
    <n v="99001800"/>
    <s v="GROUPE SEB COLOMBIA                               "/>
    <n v="99001800"/>
    <x v="26"/>
    <s v="22597/039777"/>
    <n v="1370153198"/>
    <n v="20"/>
    <x v="0"/>
    <x v="0"/>
    <s v="A6"/>
    <n v="7114000235"/>
    <n v="253"/>
    <n v="114000235"/>
    <s v="R802K3A1 SLIDE POLISHED 57L   70KPA               "/>
    <s v="S"/>
    <d v="2012-02-03T00:00:00"/>
    <m/>
    <s v="X"/>
    <x v="76"/>
    <n v="13.0464"/>
    <n v="16"/>
    <d v="2012-02-23T00:00:00"/>
    <d v="2012-01-19T00:00:00"/>
    <n v="774"/>
    <d v="2012-01-19T00:00:00"/>
    <n v="774"/>
    <m/>
    <m/>
    <m/>
    <d v="2012-03-03T00:00:00"/>
    <d v="2012-01-28T00:00:00"/>
    <n v="774"/>
    <n v="774"/>
    <x v="29"/>
    <d v="2012-03-03T00:00:00"/>
    <m/>
    <n v="9321676795"/>
    <n v="20"/>
    <s v="MSCU1193174"/>
    <s v="RDO CONCORD 1203E/"/>
    <m/>
    <s v="NINGBO"/>
    <s v="FORWARDER-PROB/"/>
    <m/>
    <s v="THOMAS HO"/>
    <s v="FO9"/>
    <s v="COOKWARE                      "/>
    <s v="CONFIRMED"/>
    <n v="1"/>
    <n v="4"/>
    <d v="2012-01-28T00:00:00"/>
    <s v="COOKWARE                      "/>
    <s v="COOKWARE                      "/>
    <x v="0"/>
    <x v="0"/>
    <x v="0"/>
    <s v="FORWARDER-PROB"/>
    <n v="1"/>
    <n v="1"/>
    <x v="11"/>
    <n v="1"/>
    <x v="0"/>
    <x v="0"/>
    <x v="1"/>
    <n v="0"/>
    <n v="0"/>
    <n v="0"/>
    <n v="0"/>
    <n v="0"/>
    <n v="0"/>
    <x v="0"/>
    <x v="1"/>
    <x v="1"/>
    <x v="0"/>
  </r>
  <r>
    <s v="Shipment"/>
    <n v="99008491"/>
    <s v="GROUPE SEB USA                                    "/>
    <n v="99008400"/>
    <x v="12"/>
    <s v="9321661196/000010"/>
    <n v="1370152735"/>
    <n v="10"/>
    <x v="0"/>
    <x v="0"/>
    <s v="A1"/>
    <n v="2100068424"/>
    <n v="200"/>
    <s v="C156SF74       "/>
    <s v="C156SF74 REAL EASY NS RED 15PC SET                "/>
    <s v="S"/>
    <d v="2012-01-19T00:00:00"/>
    <m/>
    <s v="X"/>
    <x v="76"/>
    <n v="45.468000000000004"/>
    <n v="48"/>
    <d v="2012-02-21T00:00:00"/>
    <d v="2012-01-17T00:00:00"/>
    <n v="5500"/>
    <d v="2012-01-20T00:00:00"/>
    <n v="5505"/>
    <m/>
    <d v="2012-02-03T00:00:00"/>
    <n v="5500"/>
    <d v="2012-02-24T00:00:00"/>
    <d v="2012-01-20T00:00:00"/>
    <n v="5505"/>
    <n v="755"/>
    <x v="14"/>
    <d v="2012-02-24T00:00:00"/>
    <m/>
    <n v="9321676818"/>
    <n v="10"/>
    <s v="CRXU9299349"/>
    <s v="CLEMENTINE MAERSK/56"/>
    <m/>
    <s v="NINGBO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6/000010"/>
    <n v="1370152735"/>
    <n v="10"/>
    <x v="0"/>
    <x v="0"/>
    <s v="A1"/>
    <n v="2100068424"/>
    <n v="200"/>
    <s v="C156SF74       "/>
    <s v="C156SF74 REAL EASY NS RED 15PC SET                "/>
    <s v="S"/>
    <d v="2012-01-19T00:00:00"/>
    <m/>
    <s v="X"/>
    <x v="76"/>
    <n v="45.468000000000004"/>
    <n v="48"/>
    <d v="2012-02-21T00:00:00"/>
    <d v="2012-01-17T00:00:00"/>
    <n v="5500"/>
    <d v="2012-01-20T00:00:00"/>
    <n v="5505"/>
    <m/>
    <d v="2012-02-03T00:00:00"/>
    <n v="5500"/>
    <d v="2012-02-24T00:00:00"/>
    <d v="2012-01-20T00:00:00"/>
    <n v="5505"/>
    <n v="950"/>
    <x v="14"/>
    <d v="2012-02-24T00:00:00"/>
    <m/>
    <n v="9321676818"/>
    <n v="10"/>
    <s v="INKU2587291"/>
    <s v="CLEMENTINE MAERSK/56"/>
    <m/>
    <s v="NINGBO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6/000010"/>
    <n v="1370152735"/>
    <n v="10"/>
    <x v="0"/>
    <x v="0"/>
    <s v="A1"/>
    <n v="2100068424"/>
    <n v="200"/>
    <s v="C156SF74       "/>
    <s v="C156SF74 REAL EASY NS RED 15PC SET                "/>
    <s v="S"/>
    <d v="2012-01-19T00:00:00"/>
    <m/>
    <s v="X"/>
    <x v="76"/>
    <n v="45.468000000000004"/>
    <n v="48"/>
    <d v="2012-02-21T00:00:00"/>
    <d v="2012-01-17T00:00:00"/>
    <n v="5500"/>
    <d v="2012-01-20T00:00:00"/>
    <n v="5505"/>
    <m/>
    <d v="2012-02-03T00:00:00"/>
    <n v="5500"/>
    <d v="2012-02-24T00:00:00"/>
    <d v="2012-01-20T00:00:00"/>
    <n v="5505"/>
    <n v="950"/>
    <x v="14"/>
    <d v="2012-02-24T00:00:00"/>
    <m/>
    <n v="9321676818"/>
    <n v="10"/>
    <s v="CAXU9166932"/>
    <s v="CLEMENTINE MAERSK/56"/>
    <m/>
    <s v="NINGBO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6/000010"/>
    <n v="1370152735"/>
    <n v="10"/>
    <x v="0"/>
    <x v="0"/>
    <s v="A1"/>
    <n v="2100068424"/>
    <n v="200"/>
    <s v="C156SF74       "/>
    <s v="C156SF74 REAL EASY NS RED 15PC SET                "/>
    <s v="S"/>
    <d v="2012-01-19T00:00:00"/>
    <m/>
    <s v="X"/>
    <x v="76"/>
    <n v="45.468000000000004"/>
    <n v="48"/>
    <d v="2012-02-21T00:00:00"/>
    <d v="2012-01-17T00:00:00"/>
    <n v="5500"/>
    <d v="2012-01-20T00:00:00"/>
    <n v="5505"/>
    <m/>
    <d v="2012-02-03T00:00:00"/>
    <n v="5500"/>
    <d v="2012-02-24T00:00:00"/>
    <d v="2012-01-20T00:00:00"/>
    <n v="5505"/>
    <n v="950"/>
    <x v="14"/>
    <d v="2012-02-24T00:00:00"/>
    <m/>
    <n v="9321676818"/>
    <n v="10"/>
    <s v="TRLU7414714"/>
    <s v="CLEMENTINE MAERSK/56"/>
    <m/>
    <s v="NINGBO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6/000010"/>
    <n v="1370152735"/>
    <n v="10"/>
    <x v="0"/>
    <x v="0"/>
    <s v="A1"/>
    <n v="2100068424"/>
    <n v="200"/>
    <s v="C156SF74       "/>
    <s v="C156SF74 REAL EASY NS RED 15PC SET                "/>
    <s v="S"/>
    <d v="2012-01-19T00:00:00"/>
    <m/>
    <s v="X"/>
    <x v="76"/>
    <n v="45.468000000000004"/>
    <n v="48"/>
    <d v="2012-02-21T00:00:00"/>
    <d v="2012-01-17T00:00:00"/>
    <n v="5500"/>
    <d v="2012-01-20T00:00:00"/>
    <n v="5505"/>
    <m/>
    <d v="2012-02-03T00:00:00"/>
    <n v="5500"/>
    <d v="2012-02-24T00:00:00"/>
    <d v="2012-01-20T00:00:00"/>
    <n v="5505"/>
    <n v="950"/>
    <x v="14"/>
    <d v="2012-02-24T00:00:00"/>
    <m/>
    <n v="9321676818"/>
    <n v="10"/>
    <s v="INKU2608270"/>
    <s v="CLEMENTINE MAERSK/56"/>
    <m/>
    <s v="NINGBO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6/000010"/>
    <n v="1370152735"/>
    <n v="10"/>
    <x v="0"/>
    <x v="0"/>
    <s v="A1"/>
    <n v="2100068424"/>
    <n v="200"/>
    <s v="C156SF74       "/>
    <s v="C156SF74 REAL EASY NS RED 15PC SET                "/>
    <s v="S"/>
    <d v="2012-01-19T00:00:00"/>
    <m/>
    <s v="X"/>
    <x v="76"/>
    <n v="45.468000000000004"/>
    <n v="48"/>
    <d v="2012-02-21T00:00:00"/>
    <d v="2012-01-17T00:00:00"/>
    <n v="5500"/>
    <d v="2012-01-20T00:00:00"/>
    <n v="5505"/>
    <m/>
    <d v="2012-02-03T00:00:00"/>
    <n v="5500"/>
    <d v="2012-02-24T00:00:00"/>
    <d v="2012-01-20T00:00:00"/>
    <n v="5505"/>
    <n v="950"/>
    <x v="14"/>
    <d v="2012-02-24T00:00:00"/>
    <m/>
    <n v="9321676818"/>
    <n v="10"/>
    <s v="GESU5469530"/>
    <s v="CLEMENTINE MAERSK/56"/>
    <m/>
    <s v="NINGBO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8/000010"/>
    <n v="1370152736"/>
    <n v="10"/>
    <x v="0"/>
    <x v="0"/>
    <s v="A1"/>
    <n v="2100068425"/>
    <n v="200"/>
    <s v="C156S564       "/>
    <s v="C156S564 REAL EASY NS RED 5PC SET                 "/>
    <s v="S"/>
    <d v="2012-02-01T00:00:00"/>
    <m/>
    <s v="X"/>
    <x v="76"/>
    <n v="21.006699999999999"/>
    <n v="22"/>
    <d v="2012-02-21T00:00:00"/>
    <d v="2012-01-17T00:00:00"/>
    <n v="9000"/>
    <d v="2012-01-20T00:00:00"/>
    <n v="9005"/>
    <m/>
    <d v="2012-02-03T00:00:00"/>
    <n v="9000"/>
    <d v="2012-02-24T00:00:00"/>
    <d v="2012-01-20T00:00:00"/>
    <n v="9005"/>
    <n v="1390"/>
    <x v="14"/>
    <d v="2012-02-24T00:00:00"/>
    <m/>
    <n v="9321676819"/>
    <n v="10"/>
    <s v="GVCU5174091"/>
    <m/>
    <m/>
    <s v="HO CHI MINH CITY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8/000010"/>
    <n v="1370152736"/>
    <n v="10"/>
    <x v="0"/>
    <x v="0"/>
    <s v="A1"/>
    <n v="2100068425"/>
    <n v="200"/>
    <s v="C156S564       "/>
    <s v="C156S564 REAL EASY NS RED 5PC SET                 "/>
    <s v="S"/>
    <d v="2012-02-01T00:00:00"/>
    <m/>
    <s v="X"/>
    <x v="76"/>
    <n v="21.006699999999999"/>
    <n v="22"/>
    <d v="2012-02-21T00:00:00"/>
    <d v="2012-01-17T00:00:00"/>
    <n v="9000"/>
    <d v="2012-01-20T00:00:00"/>
    <n v="9005"/>
    <m/>
    <d v="2012-02-03T00:00:00"/>
    <n v="9000"/>
    <d v="2012-02-24T00:00:00"/>
    <d v="2012-01-20T00:00:00"/>
    <n v="9005"/>
    <n v="665"/>
    <x v="14"/>
    <d v="2012-02-24T00:00:00"/>
    <m/>
    <n v="9321676819"/>
    <n v="10"/>
    <s v="ECMU9062320"/>
    <s v="CLEMENTINE MAERSK"/>
    <m/>
    <s v="HO CHI MINH CITY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8/000010"/>
    <n v="1370152736"/>
    <n v="10"/>
    <x v="0"/>
    <x v="0"/>
    <s v="A1"/>
    <n v="2100068425"/>
    <n v="200"/>
    <s v="C156S564       "/>
    <s v="C156S564 REAL EASY NS RED 5PC SET                 "/>
    <s v="S"/>
    <d v="2012-02-01T00:00:00"/>
    <m/>
    <s v="X"/>
    <x v="76"/>
    <n v="21.006699999999999"/>
    <n v="22"/>
    <d v="2012-02-21T00:00:00"/>
    <d v="2012-01-17T00:00:00"/>
    <n v="9000"/>
    <d v="2012-01-20T00:00:00"/>
    <n v="9005"/>
    <m/>
    <d v="2012-02-03T00:00:00"/>
    <n v="9000"/>
    <d v="2012-02-24T00:00:00"/>
    <d v="2012-01-20T00:00:00"/>
    <n v="9005"/>
    <n v="1390"/>
    <x v="14"/>
    <d v="2012-02-24T00:00:00"/>
    <m/>
    <n v="9321676819"/>
    <n v="10"/>
    <s v="TCNU9864200"/>
    <s v="CLEMENTINE MAERSK"/>
    <m/>
    <s v="HO CHI MINH CITY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8/000010"/>
    <n v="1370152736"/>
    <n v="10"/>
    <x v="0"/>
    <x v="0"/>
    <s v="A1"/>
    <n v="2100068425"/>
    <n v="200"/>
    <s v="C156S564       "/>
    <s v="C156S564 REAL EASY NS RED 5PC SET                 "/>
    <s v="S"/>
    <d v="2012-02-01T00:00:00"/>
    <m/>
    <s v="X"/>
    <x v="76"/>
    <n v="21.006699999999999"/>
    <n v="22"/>
    <d v="2012-02-21T00:00:00"/>
    <d v="2012-01-17T00:00:00"/>
    <n v="9000"/>
    <d v="2012-01-20T00:00:00"/>
    <n v="9005"/>
    <m/>
    <d v="2012-02-03T00:00:00"/>
    <n v="9000"/>
    <d v="2012-02-24T00:00:00"/>
    <d v="2012-01-20T00:00:00"/>
    <n v="9005"/>
    <n v="1390"/>
    <x v="14"/>
    <d v="2012-02-24T00:00:00"/>
    <m/>
    <n v="9321676819"/>
    <n v="10"/>
    <s v="GVCU5020199"/>
    <s v="CLEMENTINE MAERSK"/>
    <m/>
    <s v="HO CHI MINH CITY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8/000010"/>
    <n v="1370152736"/>
    <n v="10"/>
    <x v="0"/>
    <x v="0"/>
    <s v="A1"/>
    <n v="2100068425"/>
    <n v="200"/>
    <s v="C156S564       "/>
    <s v="C156S564 REAL EASY NS RED 5PC SET                 "/>
    <s v="S"/>
    <d v="2012-02-01T00:00:00"/>
    <m/>
    <s v="X"/>
    <x v="76"/>
    <n v="21.006699999999999"/>
    <n v="22"/>
    <d v="2012-02-21T00:00:00"/>
    <d v="2012-01-17T00:00:00"/>
    <n v="9000"/>
    <d v="2012-01-20T00:00:00"/>
    <n v="9005"/>
    <m/>
    <d v="2012-02-03T00:00:00"/>
    <n v="9000"/>
    <d v="2012-02-24T00:00:00"/>
    <d v="2012-01-20T00:00:00"/>
    <n v="9005"/>
    <n v="1390"/>
    <x v="14"/>
    <d v="2012-02-24T00:00:00"/>
    <m/>
    <n v="9321676819"/>
    <n v="10"/>
    <s v="GVCU5036050"/>
    <s v="CLEMENTINE MAERSK"/>
    <m/>
    <s v="HO CHI MINH CITY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8/000010"/>
    <n v="1370152736"/>
    <n v="10"/>
    <x v="0"/>
    <x v="0"/>
    <s v="A1"/>
    <n v="2100068425"/>
    <n v="200"/>
    <s v="C156S564       "/>
    <s v="C156S564 REAL EASY NS RED 5PC SET                 "/>
    <s v="S"/>
    <d v="2012-02-01T00:00:00"/>
    <m/>
    <s v="X"/>
    <x v="76"/>
    <n v="21.006699999999999"/>
    <n v="22"/>
    <d v="2012-02-21T00:00:00"/>
    <d v="2012-01-17T00:00:00"/>
    <n v="9000"/>
    <d v="2012-01-20T00:00:00"/>
    <n v="9005"/>
    <m/>
    <d v="2012-02-03T00:00:00"/>
    <n v="9000"/>
    <d v="2012-02-24T00:00:00"/>
    <d v="2012-01-20T00:00:00"/>
    <n v="9005"/>
    <n v="1390"/>
    <x v="14"/>
    <d v="2012-02-24T00:00:00"/>
    <m/>
    <n v="9321676819"/>
    <n v="10"/>
    <s v="GVCU5032841"/>
    <s v="CLEMENTINE MAERSK"/>
    <m/>
    <s v="HO CHI MINH CITY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8/000010"/>
    <n v="1370152736"/>
    <n v="10"/>
    <x v="0"/>
    <x v="0"/>
    <s v="A1"/>
    <n v="2100068425"/>
    <n v="200"/>
    <s v="C156S564       "/>
    <s v="C156S564 REAL EASY NS RED 5PC SET                 "/>
    <s v="S"/>
    <d v="2012-02-01T00:00:00"/>
    <m/>
    <s v="X"/>
    <x v="76"/>
    <n v="21.006699999999999"/>
    <n v="22"/>
    <d v="2012-02-21T00:00:00"/>
    <d v="2012-01-17T00:00:00"/>
    <n v="9000"/>
    <d v="2012-01-20T00:00:00"/>
    <n v="9005"/>
    <m/>
    <d v="2012-02-03T00:00:00"/>
    <n v="9000"/>
    <d v="2012-02-24T00:00:00"/>
    <d v="2012-01-20T00:00:00"/>
    <n v="9005"/>
    <n v="1390"/>
    <x v="14"/>
    <d v="2012-02-24T00:00:00"/>
    <m/>
    <n v="9321676819"/>
    <n v="10"/>
    <s v="ECMU9310494"/>
    <s v="CLEMENTINE MAERSK"/>
    <m/>
    <s v="HO CHI MINH CITY"/>
    <s v="SP-HOLIDAY/SP-OVERCAP/"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5/000010"/>
    <n v="1370150235"/>
    <n v="10"/>
    <x v="0"/>
    <x v="0"/>
    <s v="A1"/>
    <n v="2100068424"/>
    <n v="200"/>
    <s v="C156SF74       "/>
    <s v="C156SF74 REAL EASY NS RED 15PC SET                "/>
    <s v="S"/>
    <d v="2012-01-11T00:00:00"/>
    <m/>
    <s v="X"/>
    <x v="76"/>
    <n v="45.468000000000004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UNIU5051096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5/000010"/>
    <n v="1370150235"/>
    <n v="10"/>
    <x v="0"/>
    <x v="0"/>
    <s v="A1"/>
    <n v="2100068424"/>
    <n v="200"/>
    <s v="C156SF74       "/>
    <s v="C156SF74 REAL EASY NS RED 15PC SET                "/>
    <s v="S"/>
    <d v="2012-01-11T00:00:00"/>
    <m/>
    <s v="X"/>
    <x v="76"/>
    <n v="45.468000000000004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296"/>
    <x v="12"/>
    <d v="2012-02-11T00:00:00"/>
    <m/>
    <n v="9321676820"/>
    <n v="10"/>
    <s v="BHCU4926272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5/000010"/>
    <n v="1370150235"/>
    <n v="10"/>
    <x v="0"/>
    <x v="0"/>
    <s v="A1"/>
    <n v="2100068424"/>
    <n v="200"/>
    <s v="C156SF74       "/>
    <s v="C156SF74 REAL EASY NS RED 15PC SET                "/>
    <s v="S"/>
    <d v="2012-01-11T00:00:00"/>
    <m/>
    <s v="X"/>
    <x v="76"/>
    <n v="45.468000000000004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CLHU8615132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5/000010"/>
    <n v="1370150235"/>
    <n v="10"/>
    <x v="0"/>
    <x v="0"/>
    <s v="A1"/>
    <n v="2100068424"/>
    <n v="200"/>
    <s v="C156SF74       "/>
    <s v="C156SF74 REAL EASY NS RED 15PC SET                "/>
    <s v="S"/>
    <d v="2012-01-11T00:00:00"/>
    <m/>
    <s v="X"/>
    <x v="76"/>
    <n v="45.468000000000004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UNIU5035496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5/000010"/>
    <n v="1370150235"/>
    <n v="10"/>
    <x v="0"/>
    <x v="0"/>
    <s v="A1"/>
    <n v="2100068424"/>
    <n v="200"/>
    <s v="C156SF74       "/>
    <s v="C156SF74 REAL EASY NS RED 15PC SET                "/>
    <s v="S"/>
    <d v="2012-01-11T00:00:00"/>
    <m/>
    <s v="X"/>
    <x v="76"/>
    <n v="45.468000000000004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UNIU5052507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5/000010"/>
    <n v="1370150235"/>
    <n v="10"/>
    <x v="0"/>
    <x v="0"/>
    <s v="A1"/>
    <n v="2100068424"/>
    <n v="200"/>
    <s v="C156SF74       "/>
    <s v="C156SF74 REAL EASY NS RED 15PC SET                "/>
    <s v="S"/>
    <d v="2012-01-09T00:00:00"/>
    <m/>
    <s v="X"/>
    <x v="76"/>
    <n v="45.468000000000004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494"/>
    <x v="12"/>
    <d v="2012-02-11T00:00:00"/>
    <m/>
    <n v="9321676820"/>
    <n v="10"/>
    <s v="MSKU9062288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5/000010"/>
    <n v="1370150235"/>
    <n v="10"/>
    <x v="0"/>
    <x v="0"/>
    <s v="A1"/>
    <n v="2100068424"/>
    <n v="200"/>
    <s v="C156SF74       "/>
    <s v="C156SF74 REAL EASY NS RED 15PC SET                "/>
    <s v="S"/>
    <d v="2012-01-11T00:00:00"/>
    <m/>
    <s v="X"/>
    <x v="76"/>
    <n v="45.468000000000004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FSCU6628673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5/000010"/>
    <n v="1370150235"/>
    <n v="10"/>
    <x v="0"/>
    <x v="0"/>
    <s v="A1"/>
    <n v="2100068424"/>
    <n v="200"/>
    <s v="C156SF74       "/>
    <s v="C156SF74 REAL EASY NS RED 15PC SET                "/>
    <s v="S"/>
    <d v="2012-01-11T00:00:00"/>
    <m/>
    <s v="X"/>
    <x v="76"/>
    <n v="45.468000000000004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ECMU9827614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5/000010"/>
    <n v="1370150235"/>
    <n v="10"/>
    <x v="0"/>
    <x v="0"/>
    <s v="A1"/>
    <n v="2100068424"/>
    <n v="200"/>
    <s v="C156SF74       "/>
    <s v="C156SF74 REAL EASY NS RED 15PC SET                "/>
    <s v="S"/>
    <d v="2012-01-11T00:00:00"/>
    <m/>
    <s v="X"/>
    <x v="76"/>
    <n v="45.468000000000004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GLDU0857566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5/000010"/>
    <n v="1370150235"/>
    <n v="10"/>
    <x v="0"/>
    <x v="0"/>
    <s v="A1"/>
    <n v="2100068424"/>
    <n v="200"/>
    <s v="C156SF74       "/>
    <s v="C156SF74 REAL EASY NS RED 15PC SET                "/>
    <s v="S"/>
    <d v="2012-01-11T00:00:00"/>
    <m/>
    <s v="X"/>
    <x v="76"/>
    <n v="45.468000000000004"/>
    <n v="47665"/>
    <d v="2012-02-02T00:00:00"/>
    <d v="2011-12-29T00:00:00"/>
    <n v="8400"/>
    <d v="2012-01-06T00:00:00"/>
    <n v="8400"/>
    <m/>
    <d v="2012-01-06T00:00:00"/>
    <n v="8410"/>
    <d v="2012-02-10T00:00:00"/>
    <d v="2012-01-06T00:00:00"/>
    <n v="8400"/>
    <n v="950"/>
    <x v="12"/>
    <d v="2012-02-11T00:00:00"/>
    <m/>
    <n v="9321676820"/>
    <n v="10"/>
    <s v="CMAU5947917"/>
    <s v="ARTHUR MAERSK/553S"/>
    <m/>
    <s v="NINGBO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7/000010"/>
    <n v="1370150387"/>
    <n v="10"/>
    <x v="0"/>
    <x v="0"/>
    <s v="A1"/>
    <n v="2100068425"/>
    <n v="200"/>
    <s v="C156S564       "/>
    <s v="C156S564 REAL EASY NS RED 5PC SET                 "/>
    <s v="S"/>
    <d v="2012-01-11T00:00:00"/>
    <m/>
    <s v="X"/>
    <x v="76"/>
    <n v="21.006699999999999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400"/>
    <x v="12"/>
    <d v="2012-02-11T00:00:00"/>
    <m/>
    <n v="9321676821"/>
    <n v="10"/>
    <s v="ECMU9704224"/>
    <s v="ARTHUR MAERSK/553S"/>
    <m/>
    <s v="HO CHI MINH CITY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7/000010"/>
    <n v="1370150387"/>
    <n v="10"/>
    <x v="0"/>
    <x v="0"/>
    <s v="A1"/>
    <n v="2100068425"/>
    <n v="200"/>
    <s v="C156S564       "/>
    <s v="C156S564 REAL EASY NS RED 5PC SET                 "/>
    <s v="S"/>
    <d v="2012-01-11T00:00:00"/>
    <m/>
    <s v="X"/>
    <x v="76"/>
    <n v="21.006699999999999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400"/>
    <x v="12"/>
    <d v="2012-02-11T00:00:00"/>
    <m/>
    <n v="9321676821"/>
    <n v="10"/>
    <s v="UNIU5053606"/>
    <s v="ARTHUR MAERSK/553S"/>
    <m/>
    <s v="HO CHI MINH CITY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7/000010"/>
    <n v="1370150387"/>
    <n v="10"/>
    <x v="0"/>
    <x v="0"/>
    <s v="A1"/>
    <n v="2100068425"/>
    <n v="200"/>
    <s v="C156S564       "/>
    <s v="C156S564 REAL EASY NS RED 5PC SET                 "/>
    <s v="S"/>
    <d v="2012-01-11T00:00:00"/>
    <m/>
    <s v="X"/>
    <x v="76"/>
    <n v="21.006699999999999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400"/>
    <x v="12"/>
    <d v="2012-02-11T00:00:00"/>
    <m/>
    <n v="9321676821"/>
    <n v="10"/>
    <s v="UNIU5053490"/>
    <s v="ARTHUR MAERSK/553S"/>
    <m/>
    <s v="HO CHI MINH CITY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7/000010"/>
    <n v="1370150387"/>
    <n v="10"/>
    <x v="0"/>
    <x v="0"/>
    <s v="A1"/>
    <n v="2100068425"/>
    <n v="200"/>
    <s v="C156S564       "/>
    <s v="C156S564 REAL EASY NS RED 5PC SET                 "/>
    <s v="S"/>
    <d v="2012-01-11T00:00:00"/>
    <m/>
    <s v="X"/>
    <x v="76"/>
    <n v="21.006699999999999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400"/>
    <x v="12"/>
    <d v="2012-02-11T00:00:00"/>
    <m/>
    <n v="9321676821"/>
    <n v="10"/>
    <s v="DVRU0632155"/>
    <s v="ARTHUR MAERSK/553S"/>
    <m/>
    <s v="HO CHI MINH CITY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7/000010"/>
    <n v="1370150387"/>
    <n v="10"/>
    <x v="0"/>
    <x v="0"/>
    <s v="A1"/>
    <n v="2100068425"/>
    <n v="200"/>
    <s v="C156S564       "/>
    <s v="C156S564 REAL EASY NS RED 5PC SET                 "/>
    <s v="S"/>
    <d v="2012-01-11T00:00:00"/>
    <m/>
    <s v="X"/>
    <x v="76"/>
    <n v="21.006699999999999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400"/>
    <x v="12"/>
    <d v="2012-02-11T00:00:00"/>
    <m/>
    <n v="9321676821"/>
    <n v="10"/>
    <s v="FSCU6041496"/>
    <s v="ARTHUR MAERSK/553S"/>
    <m/>
    <s v="HO CHI MINH CITY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7/000010"/>
    <n v="1370150387"/>
    <n v="10"/>
    <x v="0"/>
    <x v="0"/>
    <s v="A1"/>
    <n v="2100068425"/>
    <n v="200"/>
    <s v="C156S564       "/>
    <s v="C156S564 REAL EASY NS RED 5PC SET                 "/>
    <s v="S"/>
    <d v="2012-01-11T00:00:00"/>
    <m/>
    <s v="X"/>
    <x v="76"/>
    <n v="21.006699999999999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390"/>
    <x v="12"/>
    <d v="2012-02-11T00:00:00"/>
    <m/>
    <n v="9321676821"/>
    <n v="10"/>
    <s v="UNIU5055928"/>
    <s v="ARTHUR MAERSK/553S"/>
    <m/>
    <s v="HO CHI MINH CITY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7/000010"/>
    <n v="1370150387"/>
    <n v="10"/>
    <x v="0"/>
    <x v="0"/>
    <s v="A1"/>
    <n v="2100068425"/>
    <n v="200"/>
    <s v="C156S564       "/>
    <s v="C156S564 REAL EASY NS RED 5PC SET                 "/>
    <s v="S"/>
    <d v="2012-01-11T00:00:00"/>
    <m/>
    <s v="X"/>
    <x v="76"/>
    <n v="21.006699999999999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400"/>
    <x v="12"/>
    <d v="2012-02-11T00:00:00"/>
    <m/>
    <n v="9321676821"/>
    <n v="10"/>
    <s v="UNIU5049308"/>
    <s v="ARTHUR MAERSK/553S"/>
    <m/>
    <s v="HO CHI MINH CITY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1197/000010"/>
    <n v="1370150387"/>
    <n v="10"/>
    <x v="0"/>
    <x v="0"/>
    <s v="A1"/>
    <n v="2100068425"/>
    <n v="200"/>
    <s v="C156S564       "/>
    <s v="C156S564 REAL EASY NS RED 5PC SET                 "/>
    <s v="S"/>
    <d v="2012-01-11T00:00:00"/>
    <m/>
    <s v="X"/>
    <x v="76"/>
    <n v="21.006699999999999"/>
    <n v="22022"/>
    <d v="2012-02-02T00:00:00"/>
    <d v="2011-12-29T00:00:00"/>
    <n v="11200"/>
    <d v="2012-01-06T00:00:00"/>
    <n v="11200"/>
    <m/>
    <d v="2012-01-06T00:00:00"/>
    <n v="11210"/>
    <d v="2012-02-10T00:00:00"/>
    <d v="2012-01-06T00:00:00"/>
    <n v="11200"/>
    <n v="1400"/>
    <x v="12"/>
    <d v="2012-02-11T00:00:00"/>
    <m/>
    <n v="9321676821"/>
    <n v="10"/>
    <s v="UNIU5056478"/>
    <s v="ARTHUR MAERSK/553S"/>
    <m/>
    <s v="HO CHI MINH CITY"/>
    <s v="SP-OVERCAP/"/>
    <m/>
    <s v="TWEETY LEUNG"/>
    <s v="FO9"/>
    <s v="COOKWARE                      "/>
    <s v="CONFIRMED"/>
    <n v="1"/>
    <n v="1"/>
    <d v="2012-01-07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8300"/>
    <s v="KRUPS GmbH &amp; Co. KG                               "/>
    <n v="99008300"/>
    <x v="15"/>
    <s v="4500265320/000010"/>
    <n v="1370153032"/>
    <n v="10"/>
    <x v="27"/>
    <x v="27"/>
    <s v="N1"/>
    <n v="2100028552"/>
    <n v="52"/>
    <s v="FDK441         "/>
    <s v="FDK441 SAND.MAKER FDK4 CUTTING PLT EUROP          "/>
    <s v="S"/>
    <d v="2012-01-29T00:00:00"/>
    <m/>
    <s v="X"/>
    <x v="76"/>
    <n v="12.71"/>
    <n v="11"/>
    <d v="2012-03-12T00:00:00"/>
    <d v="2012-02-06T00:00:00"/>
    <n v="1680"/>
    <d v="2012-01-17T00:00:00"/>
    <n v="1680"/>
    <m/>
    <d v="2012-01-17T00:00:00"/>
    <n v="1680"/>
    <d v="2012-02-21T00:00:00"/>
    <d v="2012-01-17T00:00:00"/>
    <n v="1680"/>
    <n v="1680"/>
    <x v="1"/>
    <d v="2012-02-27T00:00:00"/>
    <m/>
    <n v="9321676876"/>
    <n v="10"/>
    <s v="MOFU0767630"/>
    <s v="HYUNDAI NAVARINO/006"/>
    <m/>
    <s v="YANTIAN"/>
    <m/>
    <m/>
    <s v="AGNES NUNES"/>
    <s v="FO9"/>
    <s v="ELECTRICAL COOKING            "/>
    <s v="CONFIRMED"/>
    <n v="1"/>
    <n v="4"/>
    <d v="2012-01-23T00:00:00"/>
    <s v="KITCHEN ELECTRICS             "/>
    <s v="ELECTRICAL COOKING            "/>
    <x v="2"/>
    <x v="1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8300"/>
    <s v="KRUPS GmbH &amp; Co. KG                               "/>
    <n v="99008300"/>
    <x v="15"/>
    <s v="4500265325/000010"/>
    <n v="1370153031"/>
    <n v="10"/>
    <x v="47"/>
    <x v="47"/>
    <s v="R1"/>
    <n v="8000003461"/>
    <n v="55"/>
    <s v="FLA141         "/>
    <s v="FLA141 KET CONTROL PLUS                           "/>
    <s v="S"/>
    <d v="2012-01-29T00:00:00"/>
    <m/>
    <s v="X"/>
    <x v="76"/>
    <n v="11.8"/>
    <n v="10"/>
    <d v="2012-03-12T00:00:00"/>
    <d v="2012-02-06T00:00:00"/>
    <n v="1878"/>
    <d v="2012-01-18T00:00:00"/>
    <n v="1878"/>
    <m/>
    <d v="2012-01-18T00:00:00"/>
    <n v="1878"/>
    <d v="2012-02-22T00:00:00"/>
    <d v="2012-01-18T00:00:00"/>
    <n v="1878"/>
    <n v="1878"/>
    <x v="15"/>
    <d v="2012-03-01T00:00:00"/>
    <m/>
    <n v="9321676882"/>
    <n v="10"/>
    <s v="MOAU0466661"/>
    <s v="MOL MARVEL/008W"/>
    <m/>
    <s v="YANTIAN"/>
    <s v="FORWARDER-PROB"/>
    <m/>
    <s v="AGNES NUNES"/>
    <s v="FO9"/>
    <s v="BEVERAGE                      "/>
    <s v="CONFIRMED"/>
    <n v="1"/>
    <n v="4"/>
    <d v="2012-01-26T00:00:00"/>
    <s v="KITCHEN ELECTRICS             "/>
    <s v="BREAKFAST &amp; BREVAGE PREP      "/>
    <x v="2"/>
    <x v="1"/>
    <x v="0"/>
    <s v="FORWARDER-PROB"/>
    <n v="1"/>
    <n v="1"/>
    <x v="11"/>
    <n v="1"/>
    <x v="0"/>
    <x v="0"/>
    <x v="0"/>
    <n v="1"/>
    <n v="0"/>
    <n v="0"/>
    <n v="0"/>
    <n v="0"/>
    <n v="0"/>
    <x v="0"/>
    <x v="1"/>
    <x v="1"/>
    <x v="0"/>
  </r>
  <r>
    <s v="Shipment"/>
    <n v="99006103"/>
    <s v="SAS GROUPE SEB FRANCE                             "/>
    <n v="99006100"/>
    <x v="3"/>
    <s v="9321669053/000010"/>
    <n v="1370152306"/>
    <n v="10"/>
    <x v="30"/>
    <x v="30"/>
    <s v="N2"/>
    <n v="2100051056"/>
    <n v="50"/>
    <n v="211000518"/>
    <s v="CB522013 PLANCHA 2000W  I THERMOS ES/PT           "/>
    <s v="S"/>
    <d v="2012-01-19T00:00:00"/>
    <m/>
    <s v="X"/>
    <x v="76"/>
    <n v="22.723700000000001"/>
    <n v="19"/>
    <d v="2012-02-24T00:00:00"/>
    <d v="2012-01-20T00:00:00"/>
    <n v="1992"/>
    <d v="2012-01-20T00:00:00"/>
    <n v="1992"/>
    <m/>
    <d v="2012-01-22T00:00:00"/>
    <n v="1992"/>
    <d v="2012-02-19T00:00:00"/>
    <d v="2012-01-15T00:00:00"/>
    <n v="1992"/>
    <n v="1992"/>
    <x v="11"/>
    <d v="2012-02-19T00:00:00"/>
    <m/>
    <n v="9321677278"/>
    <n v="10"/>
    <s v="PONU7957670"/>
    <s v="MAERSK EINDHOVEN"/>
    <m/>
    <s v="NINGBO"/>
    <m/>
    <m/>
    <s v="JASON FAN"/>
    <s v="FO9"/>
    <s v="ELECTRICAL COOKING            "/>
    <s v="CONFIRMED"/>
    <n v="1"/>
    <n v="2"/>
    <d v="2012-01-15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5337/000010"/>
    <n v="1370152881"/>
    <n v="10"/>
    <x v="8"/>
    <x v="8"/>
    <s v="K9"/>
    <n v="8000033880"/>
    <n v="38"/>
    <s v="PJ5006B1       "/>
    <s v="PJ5006B1 NDG CIRCOLO RED 127V BR                  "/>
    <s v="S"/>
    <d v="2012-01-21T00:00:00"/>
    <m/>
    <s v="X"/>
    <x v="76"/>
    <n v="54.27"/>
    <n v="61"/>
    <d v="2012-02-17T00:00:00"/>
    <d v="2012-01-06T00:00:00"/>
    <n v="1240"/>
    <d v="2012-01-20T00:00:00"/>
    <n v="1240"/>
    <m/>
    <d v="2012-01-20T00:00:00"/>
    <n v="1240"/>
    <d v="2012-02-29T00:00:00"/>
    <d v="2012-01-18T00:00:00"/>
    <n v="1240"/>
    <n v="1240"/>
    <x v="21"/>
    <d v="2012-02-29T00:00:00"/>
    <m/>
    <n v="9321677370"/>
    <n v="10"/>
    <s v="SUDU6847780"/>
    <s v="MAERSK LUZ 202W/"/>
    <m/>
    <s v="YANTIAN"/>
    <s v="SP-NO-FORECAST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4"/>
    <s v="SP-NO-FORECAST"/>
    <n v="-3"/>
    <n v="-3"/>
    <x v="15"/>
    <n v="1"/>
    <x v="0"/>
    <x v="0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5338/000010"/>
    <n v="1370152880"/>
    <n v="10"/>
    <x v="8"/>
    <x v="8"/>
    <s v="K9"/>
    <n v="8000033881"/>
    <n v="38"/>
    <s v="PJ5006B2       "/>
    <s v="PJ5006B2 NDG CIRCOLO RED 220V BR                  "/>
    <s v="S"/>
    <d v="2012-01-23T00:00:00"/>
    <m/>
    <s v="X"/>
    <x v="76"/>
    <n v="52.43"/>
    <n v="59"/>
    <d v="2012-02-17T00:00:00"/>
    <d v="2012-01-06T00:00:00"/>
    <n v="600"/>
    <d v="2012-01-20T00:00:00"/>
    <n v="600"/>
    <m/>
    <d v="2012-01-20T00:00:00"/>
    <n v="600"/>
    <d v="2012-02-29T00:00:00"/>
    <d v="2012-01-18T00:00:00"/>
    <n v="600"/>
    <n v="600"/>
    <x v="21"/>
    <d v="2012-02-29T00:00:00"/>
    <m/>
    <n v="9321677372"/>
    <n v="10"/>
    <s v="SUDU5593382"/>
    <s v="MAERSK LUZ 202W/"/>
    <m/>
    <s v="YANTIAN"/>
    <s v="SP-NO-FORECAST/"/>
    <m/>
    <s v="THOMAS HO"/>
    <s v="FO9"/>
    <s v="BEVERAGE                      "/>
    <s v="CONFIRMED"/>
    <n v="1"/>
    <n v="3"/>
    <d v="2012-01-18T00:00:00"/>
    <s v="KITCHEN ELECTRICS             "/>
    <s v="BREAKFAST &amp; BREVAGE PREP      "/>
    <x v="4"/>
    <x v="1"/>
    <x v="14"/>
    <s v="SP-NO-FORECAST"/>
    <n v="-3"/>
    <n v="-3"/>
    <x v="15"/>
    <n v="1"/>
    <x v="0"/>
    <x v="0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5536/000010"/>
    <n v="1370152889"/>
    <n v="10"/>
    <x v="8"/>
    <x v="8"/>
    <s v="K9"/>
    <n v="8000033893"/>
    <n v="38"/>
    <s v="PJ2106B1B      "/>
    <s v="PJ2106B1 NDG MELODY 2 127V RED BR                 "/>
    <s v="S"/>
    <d v="2012-01-31T00:00:00"/>
    <m/>
    <s v="X"/>
    <x v="76"/>
    <n v="46.25"/>
    <n v="52"/>
    <d v="2012-02-17T00:00:00"/>
    <d v="2012-01-06T00:00:00"/>
    <n v="1240"/>
    <d v="2012-01-06T00:00:00"/>
    <n v="1240"/>
    <m/>
    <d v="2012-01-06T00:00:00"/>
    <n v="1240"/>
    <d v="2012-02-22T00:00:00"/>
    <d v="2012-01-11T00:00:00"/>
    <n v="1240"/>
    <n v="1240"/>
    <x v="17"/>
    <d v="2012-02-22T00:00:00"/>
    <m/>
    <n v="9321677373"/>
    <n v="10"/>
    <s v="SUDU5735960"/>
    <s v="COSCO VIETNAM 201W"/>
    <m/>
    <s v="YANTIAN"/>
    <m/>
    <m/>
    <s v="THOMAS HO"/>
    <s v="FO9"/>
    <s v="BEVERAGE                      "/>
    <s v="CONFIRMED"/>
    <n v="1"/>
    <n v="2"/>
    <d v="2012-01-11T00:00:00"/>
    <s v="KITCHEN ELECTRICS             "/>
    <s v="BREAKFAST &amp; BREVAGE PREP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5532/000010"/>
    <n v="1370152892"/>
    <n v="10"/>
    <x v="8"/>
    <x v="8"/>
    <s v="K9"/>
    <n v="8000034023"/>
    <n v="38"/>
    <s v="PJ1002B1       "/>
    <s v="PJ1002B1 NDG PICCOLO WHT 127V BR                  "/>
    <s v="S"/>
    <d v="2012-02-03T00:00:00"/>
    <m/>
    <s v="X"/>
    <x v="76"/>
    <n v="34.619999999999997"/>
    <n v="39"/>
    <d v="2012-02-17T00:00:00"/>
    <d v="2012-01-06T00:00:00"/>
    <n v="4584"/>
    <d v="2012-01-27T00:00:00"/>
    <n v="4320"/>
    <m/>
    <d v="2012-01-27T00:00:00"/>
    <n v="4320"/>
    <d v="2012-03-09T00:00:00"/>
    <d v="2012-01-27T00:00:00"/>
    <n v="4320"/>
    <n v="2160"/>
    <x v="27"/>
    <d v="2012-03-07T00:00:00"/>
    <m/>
    <n v="9321677377"/>
    <n v="10"/>
    <s v="MAEU6344612"/>
    <s v="MAERSK LA PAZ 203W/"/>
    <m/>
    <s v="YANTIAN"/>
    <s v="C-SHORTL/T/"/>
    <m/>
    <s v="THOMAS HO"/>
    <s v="FO9"/>
    <s v="BEVERAGE                      "/>
    <s v="CONFIRMED"/>
    <n v="1"/>
    <n v="4"/>
    <d v="2012-01-25T00:00:00"/>
    <s v="KITCHEN ELECTRICS             "/>
    <s v="BREAKFAST &amp; BREVAGE PREP      "/>
    <x v="4"/>
    <x v="1"/>
    <x v="1"/>
    <m/>
    <n v="0"/>
    <n v="0"/>
    <x v="1"/>
    <n v="2"/>
    <x v="0"/>
    <x v="0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5532/000010"/>
    <n v="1370152892"/>
    <n v="10"/>
    <x v="8"/>
    <x v="8"/>
    <s v="K9"/>
    <n v="8000034023"/>
    <n v="38"/>
    <s v="PJ1002B1       "/>
    <s v="PJ1002B1 NDG PICCOLO WHT 127V BR                  "/>
    <s v="S"/>
    <d v="2012-02-03T00:00:00"/>
    <m/>
    <s v="X"/>
    <x v="76"/>
    <n v="34.619999999999997"/>
    <n v="39"/>
    <d v="2012-02-17T00:00:00"/>
    <d v="2012-01-06T00:00:00"/>
    <n v="4584"/>
    <d v="2012-01-27T00:00:00"/>
    <n v="4320"/>
    <m/>
    <d v="2012-01-27T00:00:00"/>
    <n v="4320"/>
    <d v="2012-03-09T00:00:00"/>
    <d v="2012-01-27T00:00:00"/>
    <n v="4320"/>
    <n v="2160"/>
    <x v="27"/>
    <d v="2012-03-07T00:00:00"/>
    <m/>
    <n v="9321677377"/>
    <n v="10"/>
    <s v="MSKU6684800"/>
    <s v="MAERSK LA PAZ 203W/"/>
    <m/>
    <s v="YANTIAN"/>
    <s v="C-SHORTL/T/"/>
    <m/>
    <s v="THOMAS HO"/>
    <s v="FO9"/>
    <s v="BEVERAGE                      "/>
    <s v="CONFIRMED"/>
    <n v="1"/>
    <n v="4"/>
    <d v="2012-01-25T00:00:00"/>
    <s v="KITCHEN ELECTRICS             "/>
    <s v="BREAKFAST &amp; BREVAGE PREP      "/>
    <x v="4"/>
    <x v="1"/>
    <x v="1"/>
    <m/>
    <n v="0"/>
    <n v="0"/>
    <x v="1"/>
    <n v="2"/>
    <x v="0"/>
    <x v="0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5530/000010"/>
    <n v="1370152893"/>
    <n v="10"/>
    <x v="8"/>
    <x v="8"/>
    <s v="K9"/>
    <n v="8000034024"/>
    <n v="38"/>
    <s v="PJ1002B2       "/>
    <s v="PJ1002B2 NDG PICCOLO WHT 220V BR                  "/>
    <s v="S"/>
    <d v="2012-02-03T00:00:00"/>
    <m/>
    <s v="X"/>
    <x v="76"/>
    <n v="32.090000000000003"/>
    <n v="36"/>
    <d v="2012-02-17T00:00:00"/>
    <d v="2012-01-06T00:00:00"/>
    <n v="2160"/>
    <d v="2012-01-27T00:00:00"/>
    <n v="2160"/>
    <m/>
    <d v="2012-01-27T00:00:00"/>
    <n v="2160"/>
    <d v="2012-03-09T00:00:00"/>
    <d v="2012-01-27T00:00:00"/>
    <n v="2160"/>
    <n v="2160"/>
    <x v="27"/>
    <d v="2012-03-07T00:00:00"/>
    <m/>
    <n v="9321677382"/>
    <n v="10"/>
    <s v="MAEU6265621"/>
    <s v="MAERSK LA PAZ 203W/"/>
    <m/>
    <s v="YANTIAN"/>
    <s v="C-SHORTL/T/"/>
    <m/>
    <s v="THOMAS HO"/>
    <s v="FO9"/>
    <s v="BEVERAGE                      "/>
    <s v="CONFIRMED"/>
    <n v="1"/>
    <n v="4"/>
    <d v="2012-01-25T00:00:00"/>
    <s v="KITCHEN ELECTRICS             "/>
    <s v="BREAKFAST &amp; BREVAGE PREP      "/>
    <x v="4"/>
    <x v="1"/>
    <x v="1"/>
    <m/>
    <n v="0"/>
    <n v="0"/>
    <x v="1"/>
    <n v="2"/>
    <x v="0"/>
    <x v="0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5529/000010"/>
    <n v="1370152894"/>
    <n v="10"/>
    <x v="8"/>
    <x v="8"/>
    <s v="K9"/>
    <n v="8000034025"/>
    <n v="38"/>
    <s v="PJ1006B1       "/>
    <s v="PJ1006B1 NDG PICCOLO RED 127V BR                  "/>
    <s v="S"/>
    <d v="2012-02-03T00:00:00"/>
    <m/>
    <s v="X"/>
    <x v="76"/>
    <n v="34.54"/>
    <n v="39"/>
    <d v="2012-02-17T00:00:00"/>
    <d v="2012-01-06T00:00:00"/>
    <n v="4320"/>
    <d v="2012-01-27T00:00:00"/>
    <n v="4320"/>
    <m/>
    <d v="2012-02-10T00:00:00"/>
    <n v="4320"/>
    <d v="2012-03-09T00:00:00"/>
    <d v="2012-01-27T00:00:00"/>
    <n v="4320"/>
    <n v="2160"/>
    <x v="27"/>
    <d v="2012-03-07T00:00:00"/>
    <m/>
    <n v="9321677384"/>
    <n v="10"/>
    <s v="MSKU6526148"/>
    <s v="MAERSK LA PAZ 203W/"/>
    <m/>
    <s v="YANTIAN"/>
    <s v="C-SHORTL/T/"/>
    <m/>
    <s v="THOMAS HO"/>
    <s v="FO9"/>
    <s v="BEVERAGE                      "/>
    <s v="CONFIRMED"/>
    <n v="1"/>
    <n v="4"/>
    <d v="2012-01-25T00:00:00"/>
    <s v="KITCHEN ELECTRICS             "/>
    <s v="BREAKFAST &amp; BREVAGE PREP      "/>
    <x v="4"/>
    <x v="1"/>
    <x v="1"/>
    <m/>
    <n v="0"/>
    <n v="0"/>
    <x v="1"/>
    <n v="2"/>
    <x v="0"/>
    <x v="0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5529/000010"/>
    <n v="1370152894"/>
    <n v="10"/>
    <x v="8"/>
    <x v="8"/>
    <s v="K9"/>
    <n v="8000034025"/>
    <n v="38"/>
    <s v="PJ1006B1       "/>
    <s v="PJ1006B1 NDG PICCOLO RED 127V BR                  "/>
    <s v="S"/>
    <d v="2012-02-03T00:00:00"/>
    <m/>
    <s v="X"/>
    <x v="76"/>
    <n v="34.54"/>
    <n v="39"/>
    <d v="2012-02-17T00:00:00"/>
    <d v="2012-01-06T00:00:00"/>
    <n v="4320"/>
    <d v="2012-01-27T00:00:00"/>
    <n v="4320"/>
    <m/>
    <d v="2012-02-10T00:00:00"/>
    <n v="4320"/>
    <d v="2012-03-09T00:00:00"/>
    <d v="2012-01-27T00:00:00"/>
    <n v="4320"/>
    <n v="2160"/>
    <x v="27"/>
    <d v="2012-03-07T00:00:00"/>
    <m/>
    <n v="9321677384"/>
    <n v="10"/>
    <s v="PONU1851926"/>
    <s v="MAERSK LA PAZ 203W/"/>
    <m/>
    <s v="YANTIAN"/>
    <s v="C-SHORTL/T/"/>
    <m/>
    <s v="THOMAS HO"/>
    <s v="FO9"/>
    <s v="BEVERAGE                      "/>
    <s v="CONFIRMED"/>
    <n v="1"/>
    <n v="4"/>
    <d v="2012-01-25T00:00:00"/>
    <s v="KITCHEN ELECTRICS             "/>
    <s v="BREAKFAST &amp; BREVAGE PREP      "/>
    <x v="4"/>
    <x v="1"/>
    <x v="1"/>
    <m/>
    <n v="0"/>
    <n v="0"/>
    <x v="1"/>
    <n v="2"/>
    <x v="0"/>
    <x v="0"/>
    <x v="1"/>
    <n v="1"/>
    <n v="0"/>
    <n v="1"/>
    <n v="0"/>
    <n v="0"/>
    <n v="1"/>
    <x v="0"/>
    <x v="0"/>
    <x v="1"/>
    <x v="1"/>
  </r>
  <r>
    <s v="Shipment"/>
    <n v="99001800"/>
    <s v="GROUPE SEB COLOMBIA                               "/>
    <n v="99001800"/>
    <x v="26"/>
    <s v="22593/039773"/>
    <n v="1370152872"/>
    <n v="10"/>
    <x v="85"/>
    <x v="85"/>
    <s v="M1"/>
    <n v="1830004149"/>
    <n v="4"/>
    <s v="SO9060I0       "/>
    <s v="SO9060I0 CERAMIC FAN HEATER MINI EXCEL            "/>
    <s v="S"/>
    <d v="2012-01-18T00:00:00"/>
    <m/>
    <s v="X"/>
    <x v="76"/>
    <n v="16.37"/>
    <n v="19"/>
    <d v="2012-03-23T00:00:00"/>
    <d v="2012-02-17T00:00:00"/>
    <n v="2200"/>
    <d v="2012-01-19T00:00:00"/>
    <n v="2200"/>
    <m/>
    <d v="2012-02-24T00:00:00"/>
    <n v="2200"/>
    <d v="2012-02-23T00:00:00"/>
    <d v="2012-01-19T00:00:00"/>
    <n v="2200"/>
    <n v="2200"/>
    <x v="8"/>
    <d v="2012-02-20T00:00:00"/>
    <m/>
    <n v="9321677681"/>
    <n v="10"/>
    <s v="MRKU8227247"/>
    <s v="A.P. MOLLER 1201/"/>
    <m/>
    <s v="YANTIAN"/>
    <s v="C-PULLIN-CONF/C-FINALCUSTOMER-REQ/"/>
    <m/>
    <s v="THOMAS HO"/>
    <s v="FO9"/>
    <s v="HOME COMFORT                  "/>
    <s v="CONFIRMED"/>
    <n v="1"/>
    <n v="3"/>
    <d v="2012-01-16T00:00:00"/>
    <s v="LINEN PERS HOME CARE          "/>
    <s v="HOME COMFORT                  "/>
    <x v="3"/>
    <x v="2"/>
    <x v="1"/>
    <m/>
    <n v="0"/>
    <n v="0"/>
    <x v="1"/>
    <n v="2"/>
    <x v="0"/>
    <x v="0"/>
    <x v="0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653/000010"/>
    <n v="1370153288"/>
    <n v="10"/>
    <x v="0"/>
    <x v="0"/>
    <s v="A5"/>
    <n v="7115003511"/>
    <n v="201"/>
    <n v="115003511"/>
    <s v="010187020026 26X26 GRIDDLE                        "/>
    <s v="S"/>
    <d v="2012-01-18T00:00:00"/>
    <m/>
    <s v="X"/>
    <x v="77"/>
    <n v="7.2279999999999998"/>
    <n v="6"/>
    <d v="2012-02-18T00:00:00"/>
    <d v="2012-01-21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78099"/>
    <n v="10"/>
    <s v="TCKU1751218"/>
    <s v="XIN LIAN YUN GANG/12"/>
    <m/>
    <s v="NINGBO"/>
    <m/>
    <m/>
    <s v="AGNES NUNES"/>
    <s v="FO9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7296"/>
    <s v="SOCIMAR                                           "/>
    <n v="99005151"/>
    <x v="18"/>
    <s v="9321676896/000010"/>
    <n v="1370153279"/>
    <n v="10"/>
    <x v="7"/>
    <x v="7"/>
    <s v="M1"/>
    <n v="1830003164"/>
    <n v="8"/>
    <s v="VU2021F0       "/>
    <s v="VU2021F0 DESK FAN CLASSIC                         "/>
    <s v="S"/>
    <d v="2012-01-12T00:00:00"/>
    <m/>
    <s v="X"/>
    <x v="77"/>
    <n v="11.425000000000001"/>
    <n v="13"/>
    <d v="2012-01-16T00:00:00"/>
    <d v="2012-01-16T00:00:00"/>
    <n v="2072"/>
    <d v="2012-01-16T00:00:00"/>
    <n v="2072"/>
    <m/>
    <d v="2012-01-16T00:00:00"/>
    <n v="2072"/>
    <d v="2012-01-18T00:00:00"/>
    <d v="2012-01-18T00:00:00"/>
    <n v="2072"/>
    <n v="2072"/>
    <x v="21"/>
    <d v="2012-01-18T00:00:00"/>
    <m/>
    <n v="9321678107"/>
    <n v="10"/>
    <s v="MEDU8517420 / F"/>
    <s v="MSC CAMILLE V.D1202R"/>
    <m/>
    <s v="YANTIAN"/>
    <m/>
    <m/>
    <s v="RITA CHOW"/>
    <s v="FO9"/>
    <s v="HOME COMFORT                  "/>
    <s v="CONFIRMED"/>
    <n v="1"/>
    <n v="3"/>
    <d v="2012-01-18T00:00:00"/>
    <s v="LINEN PERS HOME CARE          "/>
    <s v="HOME COMFORT 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5323/000010"/>
    <n v="1370153030"/>
    <n v="10"/>
    <x v="49"/>
    <x v="49"/>
    <s v="R1"/>
    <n v="1500572103"/>
    <n v="23"/>
    <n v="572103"/>
    <s v="F1517010 TOASTCONTROL  CLASSIC                    "/>
    <s v="S"/>
    <d v="2012-01-20T00:00:00"/>
    <m/>
    <s v="X"/>
    <x v="77"/>
    <n v="8.17"/>
    <n v="7"/>
    <d v="2012-03-12T00:00:00"/>
    <d v="2012-02-06T00:00:00"/>
    <n v="3708"/>
    <d v="2012-01-19T00:00:00"/>
    <n v="3708"/>
    <m/>
    <d v="2012-01-19T00:00:00"/>
    <n v="3708"/>
    <d v="2012-02-23T00:00:00"/>
    <d v="2012-01-19T00:00:00"/>
    <n v="3708"/>
    <n v="3708"/>
    <x v="22"/>
    <d v="2012-02-23T00:00:00"/>
    <m/>
    <n v="9321678117"/>
    <n v="10"/>
    <s v="APZU4256670"/>
    <s v="MOL MATRIX/010W"/>
    <m/>
    <s v="YANTIAN"/>
    <m/>
    <m/>
    <s v="AGNES NUNES"/>
    <s v="FO9"/>
    <s v="BEVERAGE                      "/>
    <s v="CONFIRMED"/>
    <n v="1"/>
    <n v="3"/>
    <d v="2012-01-19T00:00:00"/>
    <s v="KITCHEN ELECTRICS             "/>
    <s v="BREAKFAST &amp; BREVAGE PREP      "/>
    <x v="2"/>
    <x v="1"/>
    <x v="1"/>
    <m/>
    <n v="0"/>
    <n v="0"/>
    <x v="1"/>
    <n v="0"/>
    <x v="0"/>
    <x v="0"/>
    <x v="0"/>
    <n v="1"/>
    <n v="0"/>
    <n v="1"/>
    <n v="0"/>
    <n v="0"/>
    <n v="1"/>
    <x v="0"/>
    <x v="0"/>
    <x v="1"/>
    <x v="1"/>
  </r>
  <r>
    <s v="Shipment"/>
    <n v="99008300"/>
    <s v="KRUPS GmbH &amp; Co. KG                               "/>
    <n v="99008300"/>
    <x v="15"/>
    <s v="4500265324/000010"/>
    <n v="1370153029"/>
    <n v="10"/>
    <x v="49"/>
    <x v="49"/>
    <s v="R1"/>
    <n v="1500572110"/>
    <n v="23"/>
    <n v="572110"/>
    <s v="F1511530 TOAS 2T BLK BW DE                        "/>
    <s v="S"/>
    <d v="2012-02-01T00:00:00"/>
    <m/>
    <s v="X"/>
    <x v="77"/>
    <n v="8.35"/>
    <n v="7"/>
    <d v="2012-02-23T00:00:00"/>
    <d v="2012-01-19T00:00:00"/>
    <n v="1854"/>
    <d v="2012-01-19T00:00:00"/>
    <n v="1854"/>
    <m/>
    <d v="2012-01-19T00:00:00"/>
    <n v="1854"/>
    <d v="2012-02-23T00:00:00"/>
    <d v="2012-01-19T00:00:00"/>
    <n v="1854"/>
    <n v="1854"/>
    <x v="15"/>
    <d v="2012-03-01T00:00:00"/>
    <m/>
    <n v="9321678121"/>
    <n v="10"/>
    <s v="TCLU2785539"/>
    <s v="MOL MARVEL/008W"/>
    <m/>
    <s v="YANTIAN"/>
    <m/>
    <m/>
    <s v="AGNES NUNES"/>
    <s v="FO9"/>
    <s v="BEVERAGE                      "/>
    <s v="CONFIRMED"/>
    <n v="1"/>
    <n v="4"/>
    <d v="2012-01-26T00:00:00"/>
    <s v="KITCHEN ELECTRICS             "/>
    <s v="BREAKFAST &amp; BREVAGE PREP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5322/000010"/>
    <n v="1370153033"/>
    <n v="10"/>
    <x v="55"/>
    <x v="55"/>
    <s v="P1"/>
    <n v="1500811232"/>
    <n v="106"/>
    <n v="811232"/>
    <s v="F6080131 HDM 3 MIX 7000 WHT EUR                   "/>
    <s v="S"/>
    <d v="2012-01-12T00:00:00"/>
    <m/>
    <s v="X"/>
    <x v="78"/>
    <n v="22.56"/>
    <n v="19"/>
    <d v="2012-03-12T00:00:00"/>
    <d v="2012-02-06T00:00:00"/>
    <n v="6300"/>
    <d v="2012-01-16T00:00:00"/>
    <n v="6300"/>
    <m/>
    <d v="2012-02-06T00:00:00"/>
    <n v="6300"/>
    <d v="2012-02-20T00:00:00"/>
    <d v="2012-01-16T00:00:00"/>
    <n v="6300"/>
    <n v="4500"/>
    <x v="17"/>
    <d v="2012-02-15T00:00:00"/>
    <m/>
    <n v="9321678799"/>
    <n v="10"/>
    <s v="OOLU7364172"/>
    <s v="OOCL NETHERLANDS/23W"/>
    <m/>
    <s v="YANTIAN"/>
    <s v="C-PULLIN-CONF/"/>
    <m/>
    <s v="AGNES NUNES"/>
    <s v="FO9"/>
    <s v="FOOD PREPARATION              "/>
    <s v="CONFIRMED"/>
    <n v="1"/>
    <n v="2"/>
    <d v="2012-01-11T00:00:00"/>
    <s v="KITCHEN ELECTRICS             "/>
    <s v="FOOD PREPARATION              "/>
    <x v="4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8300"/>
    <s v="KRUPS GmbH &amp; Co. KG                               "/>
    <n v="99008300"/>
    <x v="15"/>
    <s v="4500265322/000010"/>
    <n v="1370153033"/>
    <n v="10"/>
    <x v="55"/>
    <x v="55"/>
    <s v="P1"/>
    <n v="1500811232"/>
    <n v="106"/>
    <n v="811232"/>
    <s v="F6080131 HDM 3 MIX 7000 WHT EUR                   "/>
    <s v="S"/>
    <d v="2012-01-12T00:00:00"/>
    <m/>
    <s v="X"/>
    <x v="78"/>
    <n v="22.56"/>
    <n v="19"/>
    <d v="2012-03-12T00:00:00"/>
    <d v="2012-02-06T00:00:00"/>
    <n v="6300"/>
    <d v="2012-01-16T00:00:00"/>
    <n v="6300"/>
    <m/>
    <d v="2012-02-06T00:00:00"/>
    <n v="6300"/>
    <d v="2012-02-20T00:00:00"/>
    <d v="2012-01-16T00:00:00"/>
    <n v="6300"/>
    <n v="1800"/>
    <x v="17"/>
    <d v="2012-02-15T00:00:00"/>
    <m/>
    <n v="9321678799"/>
    <n v="10"/>
    <s v="GESU3732524"/>
    <s v="OOCL NETHERLANDS/23W"/>
    <m/>
    <s v="YANTIAN"/>
    <s v="C-PULLIN-CONF/"/>
    <m/>
    <s v="AGNES NUNES"/>
    <s v="FO9"/>
    <s v="FOOD PREPARATION              "/>
    <s v="CONFIRMED"/>
    <n v="1"/>
    <n v="2"/>
    <d v="2012-01-11T00:00:00"/>
    <s v="KITCHEN ELECTRICS             "/>
    <s v="FOOD PREPARATION              "/>
    <x v="4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78230/000010"/>
    <n v="1370153389"/>
    <n v="10"/>
    <x v="40"/>
    <x v="40"/>
    <s v="L4"/>
    <n v="1830003961"/>
    <n v="131"/>
    <s v="SF6012F0       "/>
    <s v="SF6012F0 STRAIGHTENER EASY STYLIST                "/>
    <s v="S"/>
    <d v="2012-02-02T00:00:00"/>
    <m/>
    <s v="X"/>
    <x v="78"/>
    <n v="11.19"/>
    <n v="9"/>
    <d v="2012-02-13T00:00:00"/>
    <d v="2012-01-16T00:00:00"/>
    <n v="3000"/>
    <d v="2012-01-16T00:00:00"/>
    <n v="3000"/>
    <m/>
    <d v="2012-01-16T00:00:00"/>
    <n v="3000"/>
    <d v="2012-02-18T00:00:00"/>
    <d v="2012-01-21T00:00:00"/>
    <n v="3000"/>
    <n v="3000"/>
    <x v="26"/>
    <d v="2012-02-18T00:00:00"/>
    <m/>
    <n v="9321678800"/>
    <n v="10"/>
    <s v="MRKU8226343"/>
    <s v="MAERSK TANJONG/1202"/>
    <m/>
    <s v="YANTIAN"/>
    <s v="CONS-SHIPT/"/>
    <m/>
    <s v="JASON FAN"/>
    <s v="FO9"/>
    <s v="PERSONAL CARE                 "/>
    <s v="CONFIRMED"/>
    <n v="1"/>
    <n v="3"/>
    <d v="2012-01-21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70386/000010"/>
    <n v="1370153335"/>
    <n v="10"/>
    <x v="40"/>
    <x v="40"/>
    <s v="L4"/>
    <n v="1830004213"/>
    <n v="131"/>
    <s v="SF6030E1       "/>
    <s v="SF6030E1 INFRARED CONTROL STRAIGHTENER            "/>
    <s v="S"/>
    <d v="2012-02-02T00:00:00"/>
    <m/>
    <s v="X"/>
    <x v="78"/>
    <n v="18.350000000000001"/>
    <n v="16"/>
    <d v="2012-02-13T00:00:00"/>
    <d v="2012-01-16T00:00:00"/>
    <n v="3000"/>
    <d v="2012-01-16T00:00:00"/>
    <n v="3000"/>
    <m/>
    <m/>
    <m/>
    <d v="2012-03-27T00:00:00"/>
    <d v="2012-02-28T00:00:00"/>
    <n v="3000"/>
    <n v="860"/>
    <x v="26"/>
    <d v="2012-02-18T00:00:00"/>
    <m/>
    <n v="9321678802"/>
    <n v="10"/>
    <s v="MRKU8226343"/>
    <s v="MAERSK TANJONG/1202"/>
    <m/>
    <s v="YANTIAN"/>
    <s v="SP-TECH/SP-TECH/CONS-SHIPT/"/>
    <m/>
    <s v="JASON FAN"/>
    <s v="FO9"/>
    <s v="PERSONAL CARE                 "/>
    <s v="CONFIRMED"/>
    <n v="1"/>
    <n v="3"/>
    <d v="2012-01-21T00:00:00"/>
    <s v="LINEN PERS HOME CARE          "/>
    <s v="PERSONAL CARE                 "/>
    <x v="3"/>
    <x v="2"/>
    <x v="2"/>
    <s v="CONS-SHIPT"/>
    <n v="1"/>
    <n v="-3"/>
    <x v="8"/>
    <n v="3"/>
    <x v="0"/>
    <x v="1"/>
    <x v="1"/>
    <n v="0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1262/000010"/>
    <n v="1370151379"/>
    <n v="10"/>
    <x v="8"/>
    <x v="8"/>
    <s v="K9"/>
    <n v="8000033880"/>
    <n v="38"/>
    <s v="PJ5006B1       "/>
    <s v="PJ5006B1 NDG CIRCOLO RED 127V BR                  "/>
    <s v="S"/>
    <d v="2012-02-03T00:00:00"/>
    <m/>
    <s v="X"/>
    <x v="78"/>
    <n v="54.27"/>
    <n v="61"/>
    <d v="2012-02-23T00:00:00"/>
    <d v="2012-01-12T00:00:00"/>
    <n v="868"/>
    <d v="2012-01-27T00:00:00"/>
    <n v="868"/>
    <m/>
    <d v="2012-01-27T00:00:00"/>
    <n v="868"/>
    <d v="2012-03-09T00:00:00"/>
    <d v="2012-01-27T00:00:00"/>
    <n v="868"/>
    <n v="868"/>
    <x v="27"/>
    <d v="2012-03-07T00:00:00"/>
    <m/>
    <n v="9321678804"/>
    <n v="10"/>
    <s v="MRKU0412790"/>
    <s v="MAERSK LA PAZ 203W/"/>
    <m/>
    <s v="YANTIAN"/>
    <s v="SP-NO-FORECAST/"/>
    <m/>
    <s v="THOMAS HO"/>
    <s v="FO9"/>
    <s v="BEVERAGE                      "/>
    <s v="CONFIRMED"/>
    <n v="1"/>
    <n v="4"/>
    <d v="2012-01-25T00:00:00"/>
    <s v="KITCHEN ELECTRICS             "/>
    <s v="BREAKFAST &amp; BREVAGE PREP      "/>
    <x v="4"/>
    <x v="1"/>
    <x v="14"/>
    <s v="SP-NO-FORECAST"/>
    <n v="-3"/>
    <n v="-3"/>
    <x v="15"/>
    <n v="1"/>
    <x v="0"/>
    <x v="0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1263/000010"/>
    <n v="1370151378"/>
    <n v="10"/>
    <x v="8"/>
    <x v="8"/>
    <s v="K9"/>
    <n v="8000033881"/>
    <n v="38"/>
    <s v="PJ5006B2       "/>
    <s v="PJ5006B2 NDG CIRCOLO RED 220V BR                  "/>
    <s v="S"/>
    <d v="2012-02-03T00:00:00"/>
    <m/>
    <s v="X"/>
    <x v="78"/>
    <n v="52.43"/>
    <n v="59"/>
    <d v="2012-02-23T00:00:00"/>
    <d v="2012-01-12T00:00:00"/>
    <n v="372"/>
    <d v="2012-01-27T00:00:00"/>
    <n v="372"/>
    <m/>
    <d v="2012-01-27T00:00:00"/>
    <n v="372"/>
    <d v="2012-03-09T00:00:00"/>
    <d v="2012-01-27T00:00:00"/>
    <n v="372"/>
    <n v="372"/>
    <x v="27"/>
    <d v="2012-03-07T00:00:00"/>
    <m/>
    <n v="9321678805"/>
    <n v="10"/>
    <s v="MRKU0412790"/>
    <s v="MAERSK LA PAZ 203W/"/>
    <m/>
    <s v="YANTIAN"/>
    <s v="SP-NO-FORECAST/"/>
    <m/>
    <s v="THOMAS HO"/>
    <s v="FO9"/>
    <s v="BEVERAGE                      "/>
    <s v="CONFIRMED"/>
    <n v="1"/>
    <n v="4"/>
    <d v="2012-01-25T00:00:00"/>
    <s v="KITCHEN ELECTRICS             "/>
    <s v="BREAKFAST &amp; BREVAGE PREP      "/>
    <x v="4"/>
    <x v="1"/>
    <x v="14"/>
    <s v="SP-NO-FORECAST"/>
    <n v="-3"/>
    <n v="-3"/>
    <x v="15"/>
    <n v="1"/>
    <x v="0"/>
    <x v="0"/>
    <x v="1"/>
    <n v="1"/>
    <n v="0"/>
    <n v="1"/>
    <n v="0"/>
    <n v="0"/>
    <n v="1"/>
    <x v="0"/>
    <x v="0"/>
    <x v="1"/>
    <x v="1"/>
  </r>
  <r>
    <s v="Shipment"/>
    <n v="99001621"/>
    <s v="GRUPO SEB DO BRASIL                               "/>
    <n v="99001600"/>
    <x v="2"/>
    <s v="9820642028/000010"/>
    <n v="1370152740"/>
    <n v="10"/>
    <x v="55"/>
    <x v="55"/>
    <s v="P1"/>
    <n v="1500832892"/>
    <n v="78"/>
    <n v="832892"/>
    <s v="IG5007B1 ICM GELATO 127V WHT/PINK BR              "/>
    <s v="S"/>
    <d v="2012-02-08T00:00:00"/>
    <m/>
    <s v="X"/>
    <x v="78"/>
    <n v="20.39"/>
    <n v="23"/>
    <d v="2012-03-01T00:00:00"/>
    <d v="2012-01-19T00:00:00"/>
    <n v="1996"/>
    <d v="2012-02-01T00:00:00"/>
    <n v="1996"/>
    <m/>
    <d v="2012-01-23T00:00:00"/>
    <n v="1996"/>
    <d v="2012-03-20T00:00:00"/>
    <d v="2012-02-07T00:00:00"/>
    <n v="1996"/>
    <n v="1996"/>
    <x v="20"/>
    <d v="2012-03-13T00:00:00"/>
    <m/>
    <n v="9321678996"/>
    <n v="10"/>
    <s v="SUDU4975708"/>
    <s v="HAI BANG DA 88 993C/"/>
    <m/>
    <s v="YANTIAN"/>
    <s v="NEWREQ-CUSTOMS/"/>
    <m/>
    <s v="THOMAS HO"/>
    <s v="FO9"/>
    <s v="FOOD PREPARATION              "/>
    <s v="CONFIRMED"/>
    <n v="1"/>
    <n v="5"/>
    <d v="2012-01-31T00:00:00"/>
    <s v="KITCHEN ELECTRICS             "/>
    <s v="FOOD PREPARATION              "/>
    <x v="4"/>
    <x v="1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2028/000020"/>
    <n v="1370152740"/>
    <n v="20"/>
    <x v="55"/>
    <x v="55"/>
    <s v="P1"/>
    <n v="1500832893"/>
    <n v="78"/>
    <n v="832893"/>
    <s v="IG5007B2 ICM GELATO 220V WHT/PINK BR              "/>
    <s v="S"/>
    <d v="2012-02-08T00:00:00"/>
    <m/>
    <s v="X"/>
    <x v="78"/>
    <n v="19.940000000000001"/>
    <n v="23"/>
    <d v="2012-03-01T00:00:00"/>
    <d v="2012-01-19T00:00:00"/>
    <n v="854"/>
    <d v="2012-02-01T00:00:00"/>
    <n v="854"/>
    <m/>
    <d v="2012-01-20T00:00:00"/>
    <n v="854"/>
    <d v="2012-03-20T00:00:00"/>
    <d v="2012-02-07T00:00:00"/>
    <n v="854"/>
    <n v="854"/>
    <x v="20"/>
    <d v="2012-03-13T00:00:00"/>
    <m/>
    <n v="9321678996"/>
    <n v="20"/>
    <s v="SUDU4975708"/>
    <s v="HAI BANG DA 88 993C/"/>
    <m/>
    <s v="YANTIAN"/>
    <s v="NEWREQ-CUSTOMS/"/>
    <m/>
    <s v="THOMAS HO"/>
    <s v="FO9"/>
    <s v="FOOD PREPARATION              "/>
    <s v="CONFIRMED"/>
    <n v="1"/>
    <n v="5"/>
    <d v="2012-01-31T00:00:00"/>
    <s v="KITCHEN ELECTRICS             "/>
    <s v="FOOD PREPARATION              "/>
    <x v="4"/>
    <x v="1"/>
    <x v="8"/>
    <s v="NEWREQ-CUSTOMS"/>
    <n v="1"/>
    <n v="1"/>
    <x v="14"/>
    <n v="1"/>
    <x v="0"/>
    <x v="0"/>
    <x v="1"/>
    <n v="0"/>
    <n v="1"/>
    <n v="0"/>
    <n v="0"/>
    <n v="0"/>
    <n v="1"/>
    <x v="0"/>
    <x v="0"/>
    <x v="0"/>
    <x v="0"/>
  </r>
  <r>
    <s v="Shipment"/>
    <n v="99008000"/>
    <s v="GROUPE SEB MOULINEX SAS                           "/>
    <n v="99008000"/>
    <x v="23"/>
    <s v="9321673410/000010"/>
    <n v="1370153334"/>
    <n v="10"/>
    <x v="22"/>
    <x v="22"/>
    <s v="R2"/>
    <n v="7211000722"/>
    <n v="55"/>
    <n v="211000722"/>
    <s v="FLF34W KET AQUACONTROL SUCCESS SS EUR             "/>
    <s v="S"/>
    <d v="2012-01-07T00:00:00"/>
    <m/>
    <s v="X"/>
    <x v="78"/>
    <n v="23.238199999999999"/>
    <n v="19"/>
    <d v="2012-01-19T00:00:00"/>
    <d v="2011-12-15T00:00:00"/>
    <n v="1806"/>
    <d v="2012-01-02T00:00:00"/>
    <n v="1806"/>
    <m/>
    <d v="2011-12-22T00:00:00"/>
    <n v="1806"/>
    <d v="2012-02-04T00:00:00"/>
    <d v="2011-12-31T00:00:00"/>
    <n v="1806"/>
    <n v="1806"/>
    <x v="13"/>
    <d v="2012-02-05T00:00:00"/>
    <m/>
    <n v="9321679026"/>
    <n v="10"/>
    <s v="OOLU1548676"/>
    <s v="CHINA EXPRESS/08W52"/>
    <m/>
    <s v="NINGBO"/>
    <m/>
    <m/>
    <s v="JASON FAN"/>
    <s v="FO9"/>
    <s v="BEVERAGE                      "/>
    <s v="CONFIRMED"/>
    <n v="1"/>
    <n v="52"/>
    <d v="2012-01-01T00:00:00"/>
    <s v="KITCHEN ELECTRICS             "/>
    <s v="BREAKFAST &amp; BREVAGE PREP      "/>
    <x v="0"/>
    <x v="0"/>
    <x v="1"/>
    <m/>
    <n v="0"/>
    <n v="0"/>
    <x v="1"/>
    <n v="0"/>
    <x v="0"/>
    <x v="0"/>
    <x v="1"/>
    <n v="0"/>
    <n v="1"/>
    <n v="0"/>
    <n v="0"/>
    <n v="0"/>
    <n v="1"/>
    <x v="0"/>
    <x v="0"/>
    <x v="0"/>
    <x v="0"/>
  </r>
  <r>
    <s v="Shipment"/>
    <n v="99001621"/>
    <s v="GRUPO SEB DO BRASIL                               "/>
    <n v="99001600"/>
    <x v="2"/>
    <s v="9820644821/000010"/>
    <n v="1370152707"/>
    <n v="10"/>
    <x v="42"/>
    <x v="42"/>
    <s v="N1"/>
    <n v="2100066419"/>
    <n v="50"/>
    <s v="GC305084       "/>
    <s v="GC305084 GRILL UC600 A12 CLASSIC ARNO 12          "/>
    <s v="S"/>
    <d v="2012-01-21T00:00:00"/>
    <m/>
    <s v="X"/>
    <x v="78"/>
    <n v="25.39"/>
    <n v="29"/>
    <d v="2012-02-29T00:00:00"/>
    <d v="2012-01-18T00:00:00"/>
    <n v="840"/>
    <d v="2012-01-18T00:00:00"/>
    <n v="840"/>
    <m/>
    <d v="2012-01-18T00:00:00"/>
    <n v="840"/>
    <d v="2012-02-29T00:00:00"/>
    <d v="2012-01-18T00:00:00"/>
    <n v="840"/>
    <n v="840"/>
    <x v="21"/>
    <d v="2012-02-29T00:00:00"/>
    <m/>
    <n v="9321679041"/>
    <n v="10"/>
    <s v="SUDU6806116"/>
    <s v="MAERSK LUZ 202W/"/>
    <m/>
    <s v="YANTIAN"/>
    <m/>
    <m/>
    <s v="THOMAS HO"/>
    <s v="FO9"/>
    <s v="ELECTRICAL COOKING            "/>
    <s v="CONFIRMED"/>
    <n v="1"/>
    <n v="3"/>
    <d v="2012-01-18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8561/000010"/>
    <n v="1370153371"/>
    <n v="10"/>
    <x v="35"/>
    <x v="35"/>
    <s v="N3"/>
    <n v="1500633101"/>
    <n v="177"/>
    <n v="633101"/>
    <s v="FF102500 FRIT.SIMPLY INVENTS A                    "/>
    <s v="S"/>
    <d v="2012-01-17T00:00:00"/>
    <m/>
    <s v="X"/>
    <x v="79"/>
    <n v="20.46"/>
    <n v="17"/>
    <d v="2012-02-20T00:00:00"/>
    <d v="2012-01-16T00:00:00"/>
    <n v="1140"/>
    <d v="2012-01-16T00:00:00"/>
    <n v="1140"/>
    <m/>
    <d v="2012-01-16T00:00:00"/>
    <n v="1140"/>
    <d v="2012-02-15T00:00:00"/>
    <d v="2012-01-11T00:00:00"/>
    <n v="1140"/>
    <n v="1140"/>
    <x v="17"/>
    <d v="2012-02-15T00:00:00"/>
    <m/>
    <n v="9321679524"/>
    <n v="10"/>
    <s v="MRKU0304500"/>
    <s v="GRETE MAERSK 121W/"/>
    <m/>
    <s v="SHENZHEN"/>
    <s v="SAILING-SCHED-UPDATE/"/>
    <m/>
    <s v="JASON FAN"/>
    <s v="FO9"/>
    <s v="ELECTRICAL COOKING            "/>
    <s v="CONFIRMED"/>
    <n v="1"/>
    <n v="2"/>
    <d v="2012-01-11T00:00:00"/>
    <s v="KITCHEN ELECTRICS             "/>
    <s v="ELECTRICAL COOKING            "/>
    <x v="2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8916/000010"/>
    <n v="1370153554"/>
    <n v="10"/>
    <x v="35"/>
    <x v="35"/>
    <s v="N3"/>
    <n v="1500633101"/>
    <n v="177"/>
    <n v="633101"/>
    <s v="FF102500 FRIT.SIMPLY INVENTS A                    "/>
    <s v="S"/>
    <d v="2012-01-18T00:00:00"/>
    <m/>
    <s v="X"/>
    <x v="79"/>
    <n v="20.46"/>
    <n v="17"/>
    <d v="2012-02-23T00:00:00"/>
    <d v="2012-01-19T00:00:00"/>
    <n v="1140"/>
    <d v="2012-01-19T00:00:00"/>
    <n v="1140"/>
    <m/>
    <d v="2012-01-19T00:00:00"/>
    <n v="1140"/>
    <d v="2012-02-23T00:00:00"/>
    <d v="2012-01-19T00:00:00"/>
    <n v="1140"/>
    <n v="1140"/>
    <x v="19"/>
    <d v="2012-02-21T00:00:00"/>
    <m/>
    <n v="9321679525"/>
    <n v="10"/>
    <s v="TTNU5312099"/>
    <s v="OOCL KUALA LUMPUR 41"/>
    <m/>
    <s v="SHENZHEN"/>
    <m/>
    <m/>
    <s v="JASON FAN"/>
    <s v="FO9"/>
    <s v="ELECTRICAL COOKING            "/>
    <s v="CONFIRMED"/>
    <n v="1"/>
    <n v="3"/>
    <d v="2012-01-17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9112/000010"/>
    <n v="1370153571"/>
    <n v="10"/>
    <x v="35"/>
    <x v="35"/>
    <s v="N3"/>
    <n v="1500633114"/>
    <n v="177"/>
    <n v="633114"/>
    <s v="FF102601 FRY.SIMP.INVEN.S/S&quot;A&quot;                    "/>
    <s v="S"/>
    <d v="2012-01-18T00:00:00"/>
    <m/>
    <s v="X"/>
    <x v="79"/>
    <n v="23.07"/>
    <n v="20"/>
    <d v="2012-02-23T00:00:00"/>
    <d v="2012-01-19T00:00:00"/>
    <n v="1140"/>
    <d v="2012-01-19T00:00:00"/>
    <n v="1140"/>
    <m/>
    <d v="2012-01-19T00:00:00"/>
    <n v="1140"/>
    <d v="2012-02-23T00:00:00"/>
    <d v="2012-01-19T00:00:00"/>
    <n v="1140"/>
    <n v="1140"/>
    <x v="19"/>
    <d v="2012-02-21T00:00:00"/>
    <m/>
    <n v="9321679527"/>
    <n v="10"/>
    <s v="DRYU4045834"/>
    <s v="OOCL KUALA LUMPUR 41"/>
    <m/>
    <s v="SHENZHEN"/>
    <m/>
    <m/>
    <s v="JASON FAN"/>
    <s v="FO9"/>
    <s v="ELECTRICAL COOKING            "/>
    <s v="CONFIRMED"/>
    <n v="1"/>
    <n v="3"/>
    <d v="2012-01-17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8914/000010"/>
    <n v="1370153592"/>
    <n v="10"/>
    <x v="35"/>
    <x v="35"/>
    <s v="N3"/>
    <n v="1500633101"/>
    <n v="177"/>
    <n v="633101"/>
    <s v="FF102500 FRIT.SIMPLY INVENTS A                    "/>
    <s v="S"/>
    <d v="2012-01-18T00:00:00"/>
    <m/>
    <s v="X"/>
    <x v="79"/>
    <n v="20.46"/>
    <n v="17"/>
    <d v="2012-02-23T00:00:00"/>
    <d v="2012-01-19T00:00:00"/>
    <n v="1140"/>
    <d v="2012-01-19T00:00:00"/>
    <n v="1140"/>
    <m/>
    <d v="2012-01-19T00:00:00"/>
    <n v="1140"/>
    <d v="2012-02-23T00:00:00"/>
    <d v="2012-01-19T00:00:00"/>
    <n v="1140"/>
    <n v="1140"/>
    <x v="19"/>
    <d v="2012-02-21T00:00:00"/>
    <m/>
    <n v="9321679528"/>
    <n v="10"/>
    <s v="NYKU6301417"/>
    <s v="OOCL KUALA LUMPUR 41"/>
    <m/>
    <s v="SHENZHEN"/>
    <m/>
    <m/>
    <s v="JASON FAN"/>
    <s v="FO9"/>
    <s v="ELECTRICAL COOKING            "/>
    <s v="CONFIRMED"/>
    <n v="1"/>
    <n v="3"/>
    <d v="2012-01-17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77315/000010"/>
    <n v="1370153390"/>
    <n v="10"/>
    <x v="46"/>
    <x v="46"/>
    <s v="L4"/>
    <n v="1830003139"/>
    <n v="175"/>
    <s v="CF4032E0       "/>
    <s v="CF4032E0 MULTI STYLER APPLIANCE                   "/>
    <s v="S"/>
    <d v="2012-01-21T00:00:00"/>
    <m/>
    <s v="X"/>
    <x v="79"/>
    <n v="14.91"/>
    <n v="12"/>
    <d v="2012-03-05T00:00:00"/>
    <d v="2012-02-06T00:00:00"/>
    <n v="3000"/>
    <d v="2012-01-24T00:00:00"/>
    <n v="3000"/>
    <m/>
    <d v="2012-01-24T00:00:00"/>
    <n v="3000"/>
    <d v="2012-02-21T00:00:00"/>
    <d v="2012-01-24T00:00:00"/>
    <n v="3000"/>
    <n v="3000"/>
    <x v="26"/>
    <d v="2012-02-18T00:00:00"/>
    <m/>
    <n v="9321679553"/>
    <n v="10"/>
    <s v="MSKU2359799"/>
    <s v="MAERSK TANJONG/1202"/>
    <m/>
    <s v="YANTIAN"/>
    <s v="SP-HOLIDAY/"/>
    <m/>
    <s v="JASON FAN"/>
    <s v="FO9"/>
    <s v="PERSONAL CARE                 "/>
    <s v="CONFIRMED"/>
    <n v="1"/>
    <n v="3"/>
    <d v="2012-01-21T00:00:00"/>
    <s v="LINEN PERS HOME CARE          "/>
    <s v="PERSONAL CARE                 "/>
    <x v="3"/>
    <x v="2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78612/000010"/>
    <n v="1370153492"/>
    <n v="10"/>
    <x v="46"/>
    <x v="46"/>
    <s v="L4"/>
    <n v="1830003142"/>
    <n v="175"/>
    <s v="CF4032D0       "/>
    <s v="CF4032D0 MULTI STYLER APPLIANCE                   "/>
    <s v="S"/>
    <d v="2012-01-29T00:00:00"/>
    <m/>
    <s v="X"/>
    <x v="79"/>
    <n v="14.88"/>
    <n v="520"/>
    <d v="2012-03-30T00:00:00"/>
    <d v="2012-02-10T00:00:00"/>
    <n v="3000"/>
    <d v="2012-01-26T00:00:00"/>
    <n v="3000"/>
    <m/>
    <d v="2012-01-26T00:00:00"/>
    <n v="3000"/>
    <d v="2012-03-15T00:00:00"/>
    <d v="2012-01-26T00:00:00"/>
    <n v="3000"/>
    <n v="3000"/>
    <x v="4"/>
    <d v="2012-03-11T00:00:00"/>
    <m/>
    <n v="9321679555"/>
    <n v="10"/>
    <s v="APZU3859895"/>
    <s v="MOL CHARISMA/009W"/>
    <m/>
    <s v="YANTIAN"/>
    <s v="SP-HOLIDAY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102353"/>
    <s v="THE BRANCH OF ZAO &quot;GROUPE SEB                     "/>
    <n v="99004801"/>
    <x v="1"/>
    <s v="9321678542/000010"/>
    <n v="1370153515"/>
    <n v="10"/>
    <x v="46"/>
    <x v="46"/>
    <s v="L4"/>
    <n v="1830001529"/>
    <n v="175"/>
    <s v="CF2012D0       "/>
    <s v="CF2012D0 CURLING IRON JUMBO                       "/>
    <s v="S"/>
    <d v="2012-01-29T00:00:00"/>
    <m/>
    <s v="X"/>
    <x v="79"/>
    <n v="5.24"/>
    <n v="186"/>
    <d v="2012-03-27T00:00:00"/>
    <d v="2012-02-07T00:00:00"/>
    <n v="3900"/>
    <d v="2012-01-24T00:00:00"/>
    <n v="3900"/>
    <m/>
    <d v="2012-01-24T00:00:00"/>
    <n v="3900"/>
    <d v="2012-03-13T00:00:00"/>
    <d v="2012-01-24T00:00:00"/>
    <n v="3900"/>
    <n v="3900"/>
    <x v="4"/>
    <d v="2012-03-11T00:00:00"/>
    <m/>
    <n v="9321679556"/>
    <n v="10"/>
    <s v="APZU3859895"/>
    <s v="MOL CHARISMA/009W"/>
    <m/>
    <s v="YANTIAN"/>
    <s v="SP-HOLIDAY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2501"/>
    <s v="GROUPE SEB NEDERLAND BV                           "/>
    <n v="99002501"/>
    <x v="30"/>
    <s v="9321679082/000010"/>
    <n v="1370153477"/>
    <n v="10"/>
    <x v="13"/>
    <x v="13"/>
    <s v="A3"/>
    <n v="2100064927"/>
    <n v="205"/>
    <s v="C806A714       "/>
    <s v="C806A714 SET 7P SAT&amp;GLAS VOLUPTY SS UNCO          "/>
    <s v="S"/>
    <d v="2012-01-18T00:00:00"/>
    <m/>
    <s v="X"/>
    <x v="79"/>
    <n v="30.69"/>
    <n v="26"/>
    <d v="2012-03-05T00:00:00"/>
    <d v="2012-02-06T00:00:00"/>
    <n v="910"/>
    <d v="2012-01-19T00:00:00"/>
    <n v="910"/>
    <m/>
    <d v="2012-02-06T00:00:00"/>
    <n v="910"/>
    <d v="2012-02-14T00:00:00"/>
    <d v="2012-01-17T00:00:00"/>
    <n v="910"/>
    <n v="910"/>
    <x v="19"/>
    <d v="2012-02-14T00:00:00"/>
    <m/>
    <n v="9321679572"/>
    <n v="10"/>
    <s v="MRKU8232705"/>
    <s v="MAERSK ESSEX 1202/"/>
    <m/>
    <s v="YANTIAN"/>
    <m/>
    <m/>
    <s v="KENUS WO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"/>
    <m/>
    <n v="0"/>
    <n v="0"/>
    <x v="1"/>
    <n v="0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8644/000010"/>
    <n v="1370153372"/>
    <n v="10"/>
    <x v="44"/>
    <x v="44"/>
    <s v="P1"/>
    <n v="1500814221"/>
    <n v="106"/>
    <n v="814221"/>
    <s v="HT411121 HMX PREPLINE 450W WHT FR                 "/>
    <s v="S"/>
    <d v="2012-01-17T00:00:00"/>
    <m/>
    <s v="X"/>
    <x v="79"/>
    <n v="12.61"/>
    <n v="11"/>
    <d v="2012-02-17T00:00:00"/>
    <d v="2012-01-13T00:00:00"/>
    <n v="3600"/>
    <d v="2012-01-13T00:00:00"/>
    <n v="3600"/>
    <m/>
    <d v="2012-01-13T00:00:00"/>
    <n v="3600"/>
    <d v="2012-02-17T00:00:00"/>
    <d v="2012-01-13T00:00:00"/>
    <n v="3600"/>
    <n v="3600"/>
    <x v="24"/>
    <d v="2012-02-17T00:00:00"/>
    <m/>
    <n v="9321679602"/>
    <n v="10"/>
    <s v="MRKU0761620"/>
    <s v="CMA CGM A VESPUCCI 1"/>
    <m/>
    <s v="YANTIAN"/>
    <m/>
    <m/>
    <s v="JASON FAN"/>
    <s v="FO9"/>
    <s v="FOOD PREPARATION              "/>
    <s v="CONFIRMED"/>
    <n v="1"/>
    <n v="2"/>
    <d v="2012-01-13T00:00:00"/>
    <s v="KITCHEN ELECTRICS             "/>
    <s v="FOOD PREPARATION  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79276/000010"/>
    <n v="1370153508"/>
    <n v="10"/>
    <x v="44"/>
    <x v="44"/>
    <s v="P1"/>
    <n v="1500833781"/>
    <n v="105"/>
    <n v="833781"/>
    <s v="JU210081 JUI VITAE BLC MLX RU                     "/>
    <s v="S"/>
    <d v="2012-01-19T00:00:00"/>
    <m/>
    <s v="X"/>
    <x v="79"/>
    <n v="13.13"/>
    <n v="503"/>
    <d v="2012-03-05T00:00:00"/>
    <d v="2012-01-16T00:00:00"/>
    <n v="2320"/>
    <d v="2012-01-16T00:00:00"/>
    <n v="2320"/>
    <m/>
    <d v="2012-01-16T00:00:00"/>
    <n v="2320"/>
    <d v="2012-03-07T00:00:00"/>
    <d v="2012-01-18T00:00:00"/>
    <n v="2320"/>
    <n v="2320"/>
    <x v="21"/>
    <d v="2012-03-07T00:00:00"/>
    <m/>
    <n v="9321679604"/>
    <n v="10"/>
    <s v="TCKU2768067"/>
    <s v="OOCL CALIFORNIA/29W0"/>
    <m/>
    <s v="YANTIAN"/>
    <s v="SAILING-SCHED-UPDATE/"/>
    <m/>
    <s v="KENUS WONG"/>
    <s v="FO9"/>
    <s v="FOOD PREPARATION              "/>
    <s v="CONFIRMED"/>
    <n v="1"/>
    <n v="3"/>
    <d v="2012-01-18T00:00:00"/>
    <s v="KITCHEN ELECTRICS             "/>
    <s v="FOOD PREPARATION              "/>
    <x v="2"/>
    <x v="1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77309/000010"/>
    <n v="1370153270"/>
    <n v="10"/>
    <x v="23"/>
    <x v="23"/>
    <s v="N4"/>
    <n v="2820135215"/>
    <n v="32"/>
    <n v="634267"/>
    <s v="VC135215 STMC MINI COMPACT 3B SS/BLK GB-          "/>
    <s v="S"/>
    <d v="2012-01-30T00:00:00"/>
    <m/>
    <s v="X"/>
    <x v="79"/>
    <n v="16.581"/>
    <n v="12"/>
    <d v="2012-03-12T00:00:00"/>
    <d v="2012-02-06T00:00:00"/>
    <n v="1344"/>
    <d v="2012-01-22T00:00:00"/>
    <n v="1344"/>
    <m/>
    <d v="2012-02-06T00:00:00"/>
    <n v="1344"/>
    <d v="2012-02-26T00:00:00"/>
    <d v="2012-01-22T00:00:00"/>
    <n v="1344"/>
    <n v="1344"/>
    <x v="14"/>
    <d v="2012-02-24T00:00:00"/>
    <m/>
    <n v="9321679618"/>
    <n v="10"/>
    <s v="TRLU9490138"/>
    <s v="OOCL LONG BEACH 65W0"/>
    <m/>
    <s v="SHANGHAI"/>
    <s v="SP-HOLIDAY"/>
    <m/>
    <s v="KENUS WONG"/>
    <s v="FO9"/>
    <s v="ELECTRICAL COOKING            "/>
    <s v="CONFIRMED"/>
    <n v="1"/>
    <n v="3"/>
    <d v="2012-01-20T00:00:00"/>
    <s v="KITCHEN ELECTRICS             "/>
    <s v="ELECTRICAL COOKING            "/>
    <x v="0"/>
    <x v="0"/>
    <x v="7"/>
    <s v="SP-HOLIDAY"/>
    <n v="-3"/>
    <n v="-3"/>
    <x v="6"/>
    <n v="1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77306/000010"/>
    <n v="1370153271"/>
    <n v="10"/>
    <x v="23"/>
    <x v="23"/>
    <s v="N4"/>
    <n v="2820000032"/>
    <n v="32"/>
    <s v="VC100715       "/>
    <s v="VC100715 STMC ULTRACOMP.BLK/CHR                   "/>
    <s v="S"/>
    <d v="2012-01-30T00:00:00"/>
    <m/>
    <s v="X"/>
    <x v="79"/>
    <n v="17.971699999999998"/>
    <n v="13"/>
    <d v="2012-03-12T00:00:00"/>
    <d v="2012-02-06T00:00:00"/>
    <n v="1092"/>
    <d v="2012-01-22T00:00:00"/>
    <n v="1092"/>
    <m/>
    <d v="2012-02-06T00:00:00"/>
    <n v="1092"/>
    <d v="2012-02-26T00:00:00"/>
    <d v="2012-01-22T00:00:00"/>
    <n v="1092"/>
    <n v="1092"/>
    <x v="14"/>
    <d v="2012-02-24T00:00:00"/>
    <m/>
    <n v="9321679619"/>
    <n v="10"/>
    <s v="NYKU8372087"/>
    <s v="OOCL LONG BEACH 65W0"/>
    <m/>
    <s v="SHANGHAI"/>
    <s v="SP-HOLIDAY"/>
    <m/>
    <s v="KENUS WONG"/>
    <s v="FO9"/>
    <s v="ELECTRICAL COOKING            "/>
    <s v="CONFIRMED"/>
    <n v="1"/>
    <n v="3"/>
    <d v="2012-01-20T00:00:00"/>
    <s v="KITCHEN ELECTRICS             "/>
    <s v="ELECTRICAL COOKING            "/>
    <x v="0"/>
    <x v="0"/>
    <x v="7"/>
    <s v="SP-HOLIDAY"/>
    <n v="-3"/>
    <n v="-3"/>
    <x v="6"/>
    <n v="1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77303/000010"/>
    <n v="1370153275"/>
    <n v="10"/>
    <x v="23"/>
    <x v="23"/>
    <s v="N4"/>
    <n v="2820000018"/>
    <n v="32"/>
    <s v="VC100615       "/>
    <s v="VC100615 STMC ULTRA COMPACT 3B                    "/>
    <s v="S"/>
    <d v="2012-01-30T00:00:00"/>
    <m/>
    <s v="X"/>
    <x v="79"/>
    <n v="19.408300000000001"/>
    <n v="14"/>
    <d v="2012-03-12T00:00:00"/>
    <d v="2012-02-06T00:00:00"/>
    <n v="1092"/>
    <d v="2012-01-22T00:00:00"/>
    <n v="1092"/>
    <m/>
    <d v="2012-02-06T00:00:00"/>
    <n v="1092"/>
    <d v="2012-02-26T00:00:00"/>
    <d v="2012-01-22T00:00:00"/>
    <n v="1092"/>
    <n v="1092"/>
    <x v="14"/>
    <d v="2012-02-24T00:00:00"/>
    <m/>
    <n v="9321679620"/>
    <n v="10"/>
    <s v="NYKU8372087"/>
    <s v="OOCL LONG BEACH 65W0"/>
    <m/>
    <s v="SHANGHAI"/>
    <s v="SP-HOLIDAY"/>
    <m/>
    <s v="KENUS WONG"/>
    <s v="FO9"/>
    <s v="ELECTRICAL COOKING            "/>
    <s v="CONFIRMED"/>
    <n v="1"/>
    <n v="3"/>
    <d v="2012-01-20T00:00:00"/>
    <s v="KITCHEN ELECTRICS             "/>
    <s v="ELECTRICAL COOKING            "/>
    <x v="0"/>
    <x v="0"/>
    <x v="7"/>
    <s v="SP-HOLIDAY"/>
    <n v="-3"/>
    <n v="-3"/>
    <x v="6"/>
    <n v="1"/>
    <x v="0"/>
    <x v="0"/>
    <x v="0"/>
    <n v="0"/>
    <n v="1"/>
    <n v="0"/>
    <n v="0"/>
    <n v="0"/>
    <n v="1"/>
    <x v="0"/>
    <x v="0"/>
    <x v="0"/>
    <x v="0"/>
  </r>
  <r>
    <s v="Shipment"/>
    <n v="99002901"/>
    <s v="GROUPE SEB CENTRAL EUROPE KFT.                    "/>
    <n v="99002901"/>
    <x v="29"/>
    <s v="4500265824/000020"/>
    <n v="1370153329"/>
    <n v="10"/>
    <x v="23"/>
    <x v="23"/>
    <s v="N4"/>
    <n v="2820300831"/>
    <n v="32"/>
    <n v="635183"/>
    <s v="VC300831 STMC N_LIGHT 3B+CAKE BLK EE              "/>
    <s v="S"/>
    <d v="2012-01-19T00:00:00"/>
    <m/>
    <s v="X"/>
    <x v="79"/>
    <n v="33.126100000000001"/>
    <n v="7953"/>
    <d v="2012-02-14T00:00:00"/>
    <d v="2012-01-10T00:00:00"/>
    <n v="916"/>
    <d v="2012-01-22T00:00:00"/>
    <n v="916"/>
    <m/>
    <d v="2012-02-06T00:00:00"/>
    <n v="916"/>
    <d v="2012-02-26T00:00:00"/>
    <d v="2012-01-22T00:00:00"/>
    <n v="916"/>
    <n v="916"/>
    <x v="26"/>
    <d v="2012-02-25T00:00:00"/>
    <m/>
    <n v="9321679621"/>
    <n v="10"/>
    <s v="DAYU4219649"/>
    <s v="SL ILLINOIS/1202"/>
    <m/>
    <s v="SHANGHAI"/>
    <s v="SP-HOLIDAY"/>
    <m/>
    <s v="KENUS WONG"/>
    <s v="FO9"/>
    <s v="ELECTRICAL COOKING            "/>
    <s v="CONFIRMED"/>
    <n v="1"/>
    <n v="3"/>
    <d v="2012-01-21T00:00:00"/>
    <s v="KITCHEN ELECTRICS             "/>
    <s v="ELECTRICAL COOKING            "/>
    <x v="0"/>
    <x v="0"/>
    <x v="7"/>
    <s v="SP-HOLIDAY"/>
    <n v="-3"/>
    <n v="-3"/>
    <x v="6"/>
    <n v="1"/>
    <x v="0"/>
    <x v="0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75174/000010"/>
    <n v="1370153373"/>
    <n v="10"/>
    <x v="23"/>
    <x v="23"/>
    <s v="N4"/>
    <n v="2820101611"/>
    <n v="32"/>
    <n v="633034"/>
    <s v="VC101601 STMC SIMPLY INVENT 3B BLK/SS FR          "/>
    <s v="S"/>
    <d v="2012-01-19T00:00:00"/>
    <m/>
    <s v="X"/>
    <x v="79"/>
    <n v="24.087299999999999"/>
    <n v="20"/>
    <d v="2012-02-23T00:00:00"/>
    <d v="2012-01-19T00:00:00"/>
    <n v="1074"/>
    <d v="2012-01-19T00:00:00"/>
    <n v="1074"/>
    <m/>
    <d v="2012-01-19T00:00:00"/>
    <n v="1074"/>
    <d v="2012-02-23T00:00:00"/>
    <d v="2012-01-19T00:00:00"/>
    <n v="1074"/>
    <n v="1074"/>
    <x v="19"/>
    <d v="2012-02-21T00:00:00"/>
    <m/>
    <n v="9321679623"/>
    <n v="10"/>
    <s v="PRGU2120769"/>
    <s v="MAERSK EINDHOVEN 120"/>
    <m/>
    <s v="SHANGHAI"/>
    <m/>
    <m/>
    <s v="JASON FAN"/>
    <s v="FO9"/>
    <s v="ELECTRICAL COOKING            "/>
    <s v="CONFIRMED"/>
    <n v="1"/>
    <n v="3"/>
    <d v="2012-01-17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5183/000010"/>
    <n v="1370153376"/>
    <n v="10"/>
    <x v="23"/>
    <x v="23"/>
    <s v="N4"/>
    <n v="2820135000"/>
    <n v="32"/>
    <n v="634241"/>
    <s v="VC135000 STMC MINI COMP. 3B MET/WHT FR            "/>
    <s v="S"/>
    <d v="2012-01-19T00:00:00"/>
    <m/>
    <s v="X"/>
    <x v="79"/>
    <n v="16.201499999999999"/>
    <n v="13"/>
    <d v="2012-02-23T00:00:00"/>
    <d v="2012-01-19T00:00:00"/>
    <n v="1344"/>
    <d v="2012-01-19T00:00:00"/>
    <n v="1344"/>
    <m/>
    <d v="2012-01-19T00:00:00"/>
    <n v="1344"/>
    <d v="2012-02-23T00:00:00"/>
    <d v="2012-01-19T00:00:00"/>
    <n v="1344"/>
    <n v="1344"/>
    <x v="19"/>
    <d v="2012-02-21T00:00:00"/>
    <m/>
    <n v="9321679624"/>
    <n v="10"/>
    <s v="MFTU4110379"/>
    <s v="MAERSK EINDHOVEN 120"/>
    <m/>
    <s v="SHANGHAI"/>
    <m/>
    <m/>
    <s v="JASON FAN"/>
    <s v="FO9"/>
    <s v="ELECTRICAL COOKING            "/>
    <s v="CONFIRMED"/>
    <n v="1"/>
    <n v="3"/>
    <d v="2012-01-17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5178/000010"/>
    <n v="1370153383"/>
    <n v="10"/>
    <x v="23"/>
    <x v="23"/>
    <s v="N4"/>
    <n v="2820102100"/>
    <n v="32"/>
    <n v="633291"/>
    <s v="VC102100 STMC 3B EUR                              "/>
    <s v="S"/>
    <d v="2012-01-18T00:00:00"/>
    <m/>
    <s v="X"/>
    <x v="79"/>
    <n v="15.476699999999999"/>
    <n v="13"/>
    <d v="2012-02-23T00:00:00"/>
    <d v="2012-01-19T00:00:00"/>
    <n v="1008"/>
    <d v="2012-01-19T00:00:00"/>
    <n v="1008"/>
    <m/>
    <d v="2012-01-19T00:00:00"/>
    <n v="1008"/>
    <d v="2012-02-23T00:00:00"/>
    <d v="2012-01-19T00:00:00"/>
    <n v="1008"/>
    <n v="1008"/>
    <x v="19"/>
    <d v="2012-02-21T00:00:00"/>
    <m/>
    <n v="9321679625"/>
    <n v="10"/>
    <s v="MSKU6635323"/>
    <s v="MAERSK EINDHOVEN 120"/>
    <m/>
    <s v="SHANGHAI"/>
    <m/>
    <m/>
    <s v="JASON FAN"/>
    <s v="FO9"/>
    <s v="ELECTRICAL COOKING            "/>
    <s v="CONFIRMED"/>
    <n v="1"/>
    <n v="3"/>
    <d v="2012-01-17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5179/000010"/>
    <n v="1370153384"/>
    <n v="10"/>
    <x v="23"/>
    <x v="23"/>
    <s v="N4"/>
    <n v="2804910020"/>
    <n v="32"/>
    <s v="VC100200       "/>
    <s v="VC100200 STMC ULTRACOMPACT 3B BE                  "/>
    <s v="S"/>
    <d v="2012-01-19T00:00:00"/>
    <m/>
    <s v="X"/>
    <x v="79"/>
    <n v="17.421900000000001"/>
    <n v="14"/>
    <d v="2012-02-23T00:00:00"/>
    <d v="2012-01-19T00:00:00"/>
    <n v="2352"/>
    <d v="2012-01-19T00:00:00"/>
    <n v="2352"/>
    <m/>
    <d v="2012-01-19T00:00:00"/>
    <n v="2352"/>
    <d v="2012-02-23T00:00:00"/>
    <d v="2012-01-19T00:00:00"/>
    <n v="2352"/>
    <n v="2352"/>
    <x v="19"/>
    <d v="2012-02-21T00:00:00"/>
    <m/>
    <n v="9321679626"/>
    <n v="10"/>
    <s v="MFTU4113634"/>
    <s v="MAERSK EINDHOVEN 120"/>
    <m/>
    <s v="SHANGHAI"/>
    <m/>
    <m/>
    <s v="JASON FAN"/>
    <s v="FO9"/>
    <s v="ELECTRICAL COOKING            "/>
    <s v="CONFIRMED"/>
    <n v="1"/>
    <n v="3"/>
    <d v="2012-01-17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102353"/>
    <s v="THE BRANCH OF ZAO &quot;GROUPE SEB                     "/>
    <n v="99004801"/>
    <x v="1"/>
    <s v="9321679094/000010"/>
    <n v="1370153502"/>
    <n v="10"/>
    <x v="23"/>
    <x v="23"/>
    <s v="N4"/>
    <n v="2802102300"/>
    <n v="32"/>
    <s v="VC100230       "/>
    <s v="VC100230 STMC ULTRA COMPACT PL 2B                 "/>
    <s v="S"/>
    <d v="2012-01-12T00:00:00"/>
    <m/>
    <s v="X"/>
    <x v="79"/>
    <n v="18.578800000000001"/>
    <n v="642"/>
    <d v="2012-02-27T00:00:00"/>
    <d v="2012-01-09T00:00:00"/>
    <n v="1092"/>
    <d v="2012-01-09T00:00:00"/>
    <n v="1092"/>
    <m/>
    <d v="2012-01-09T00:00:00"/>
    <n v="1092"/>
    <d v="2012-02-27T00:00:00"/>
    <d v="2012-01-09T00:00:00"/>
    <n v="1092"/>
    <n v="1092"/>
    <x v="17"/>
    <d v="2012-02-29T00:00:00"/>
    <m/>
    <n v="9321679630"/>
    <n v="10"/>
    <s v="TRLU6180226"/>
    <s v="HYUNDAI BRAVE/023W"/>
    <m/>
    <s v="SHANGHAI"/>
    <m/>
    <m/>
    <s v="KENUS WONG"/>
    <s v="FO9"/>
    <s v="ELECTRICAL COOKING            "/>
    <s v="CONFIRMED"/>
    <n v="1"/>
    <n v="2"/>
    <d v="2012-01-11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76998/000010"/>
    <n v="1370153273"/>
    <n v="10"/>
    <x v="22"/>
    <x v="22"/>
    <s v="N4"/>
    <n v="7211000424"/>
    <n v="177"/>
    <n v="211000424"/>
    <s v="FR404615 FRY FILTRA PRO I&amp;D 3L ENA STAIN          "/>
    <s v="S"/>
    <d v="2012-02-02T00:00:00"/>
    <m/>
    <s v="X"/>
    <x v="79"/>
    <n v="34.156300000000002"/>
    <n v="23"/>
    <d v="2012-03-19T00:00:00"/>
    <d v="2012-02-13T00:00:00"/>
    <n v="588"/>
    <d v="2012-01-21T00:00:00"/>
    <n v="588"/>
    <m/>
    <d v="2012-02-23T00:00:00"/>
    <n v="588"/>
    <d v="2012-02-25T00:00:00"/>
    <d v="2012-01-21T00:00:00"/>
    <n v="588"/>
    <n v="588"/>
    <x v="1"/>
    <d v="2012-02-27T00:00:00"/>
    <m/>
    <n v="9321679655"/>
    <n v="10"/>
    <s v="FCIU4454090"/>
    <s v="CSCL OCEANIA 0653W/"/>
    <m/>
    <s v="NINGBO"/>
    <s v="SP-HOLIDAY/docs received on 1-Feb"/>
    <m/>
    <s v="KENUS WONG"/>
    <s v="FO9"/>
    <s v="ELECTRICAL COOKING            "/>
    <s v="CONFIRMED"/>
    <n v="1"/>
    <n v="4"/>
    <d v="2012-01-23T00:00:00"/>
    <s v="KITCHEN ELECTRICS             "/>
    <s v="ELECTRICAL COOKING            "/>
    <x v="0"/>
    <x v="0"/>
    <x v="7"/>
    <s v="SP-HOLIDAY"/>
    <n v="-3"/>
    <n v="-3"/>
    <x v="6"/>
    <n v="2"/>
    <x v="0"/>
    <x v="0"/>
    <x v="0"/>
    <n v="1"/>
    <n v="0"/>
    <n v="1"/>
    <n v="0"/>
    <n v="0"/>
    <n v="1"/>
    <x v="0"/>
    <x v="0"/>
    <x v="1"/>
    <x v="1"/>
  </r>
  <r>
    <s v="Shipment"/>
    <n v="99008200"/>
    <s v="GROUPE SEB IBERICA                                "/>
    <n v="99008200"/>
    <x v="21"/>
    <s v="9321678464/000010"/>
    <n v="1370153398"/>
    <n v="10"/>
    <x v="22"/>
    <x v="22"/>
    <s v="N4"/>
    <n v="7211000324"/>
    <n v="177"/>
    <n v="211000324"/>
    <s v="FR404730 FRY FILTRA PRO I&amp;D 3L STAIN EUR          "/>
    <s v="S"/>
    <d v="2012-01-29T00:00:00"/>
    <m/>
    <s v="X"/>
    <x v="79"/>
    <n v="36.988199999999999"/>
    <n v="29"/>
    <d v="2012-03-06T00:00:00"/>
    <d v="2012-02-07T00:00:00"/>
    <n v="588"/>
    <d v="2012-01-25T00:00:00"/>
    <n v="588"/>
    <m/>
    <d v="2012-02-16T00:00:00"/>
    <n v="588"/>
    <d v="2012-02-22T00:00:00"/>
    <d v="2012-01-25T00:00:00"/>
    <n v="588"/>
    <n v="588"/>
    <x v="27"/>
    <d v="2012-02-22T00:00:00"/>
    <m/>
    <n v="9321679656"/>
    <n v="10"/>
    <s v="MSKU6808389"/>
    <s v="MAERSK SEVILLE/1202"/>
    <m/>
    <s v="NINGBO"/>
    <s v="SP-HOLIDAY/"/>
    <m/>
    <s v="JASON FAN"/>
    <s v="FO9"/>
    <s v="ELECTRICAL COOKING            "/>
    <s v="CONFIRMED"/>
    <n v="1"/>
    <n v="4"/>
    <d v="2012-01-25T00:00:00"/>
    <s v="KITCHEN ELECTRICS             "/>
    <s v="ELECTRICAL COOKING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8200"/>
    <s v="GROUPE SEB IBERICA                                "/>
    <n v="99008200"/>
    <x v="21"/>
    <s v="9321678465/000010"/>
    <n v="1370153399"/>
    <n v="10"/>
    <x v="22"/>
    <x v="22"/>
    <s v="N4"/>
    <n v="7211000787"/>
    <n v="177"/>
    <n v="211000787"/>
    <s v="FR405430 FRY FAMILY PRO ECO 3L SS EUR             "/>
    <s v="S"/>
    <d v="2012-01-29T00:00:00"/>
    <m/>
    <s v="X"/>
    <x v="79"/>
    <n v="28.3935"/>
    <n v="22"/>
    <d v="2012-03-05T00:00:00"/>
    <d v="2012-02-06T00:00:00"/>
    <n v="588"/>
    <d v="2012-01-25T00:00:00"/>
    <n v="588"/>
    <m/>
    <d v="2012-02-16T00:00:00"/>
    <n v="588"/>
    <d v="2012-02-22T00:00:00"/>
    <d v="2012-01-25T00:00:00"/>
    <n v="588"/>
    <n v="588"/>
    <x v="27"/>
    <d v="2012-02-22T00:00:00"/>
    <m/>
    <n v="9321679657"/>
    <n v="10"/>
    <s v="MSKU6808389"/>
    <s v="MAERSK SEVILLE/1202"/>
    <m/>
    <s v="NINGBO"/>
    <s v="SP-HOLIDAY/"/>
    <m/>
    <s v="JASON FAN"/>
    <s v="FO9"/>
    <s v="ELECTRICAL COOKING            "/>
    <s v="CONFIRMED"/>
    <n v="1"/>
    <n v="4"/>
    <d v="2012-01-25T00:00:00"/>
    <s v="KITCHEN ELECTRICS             "/>
    <s v="ELECTRICAL COOKING            "/>
    <x v="0"/>
    <x v="0"/>
    <x v="7"/>
    <s v="SP-HOLIDAY"/>
    <n v="-3"/>
    <n v="-3"/>
    <x v="6"/>
    <n v="1"/>
    <x v="0"/>
    <x v="0"/>
    <x v="0"/>
    <n v="1"/>
    <n v="0"/>
    <n v="1"/>
    <n v="0"/>
    <n v="0"/>
    <n v="1"/>
    <x v="0"/>
    <x v="0"/>
    <x v="1"/>
    <x v="1"/>
  </r>
  <r>
    <s v="Shipment"/>
    <n v="99003221"/>
    <s v="GROUPE SEB CANADA INC                             "/>
    <n v="99003200"/>
    <x v="27"/>
    <s v="22598/039786"/>
    <n v="1370153489"/>
    <n v="40"/>
    <x v="39"/>
    <x v="39"/>
    <s v="L2"/>
    <n v="2100068480"/>
    <n v="48"/>
    <s v="TD4210Q0       "/>
    <s v="TD4210Q0 CANADA STERILISER BABY BOTTLE W          "/>
    <s v="S"/>
    <d v="2012-02-02T00:00:00"/>
    <m/>
    <s v="X"/>
    <x v="79"/>
    <n v="11.62"/>
    <n v="8"/>
    <d v="2012-02-15T00:00:00"/>
    <d v="2012-01-18T00:00:00"/>
    <n v="1056"/>
    <d v="2012-01-18T00:00:00"/>
    <n v="1056"/>
    <m/>
    <m/>
    <m/>
    <d v="2012-03-14T00:00:00"/>
    <d v="2012-02-15T00:00:00"/>
    <n v="1056"/>
    <n v="988"/>
    <x v="27"/>
    <d v="2012-02-22T00:00:00"/>
    <m/>
    <n v="9321679672"/>
    <n v="40"/>
    <s v="OOLU3796096"/>
    <s v="HONG KONG EXPRESS 60"/>
    <m/>
    <s v="YANTIAN"/>
    <s v="CONS-SHIPT/C-PULLIN-CONF/C-PULLIN-CONF/SP-MTL/"/>
    <m/>
    <s v="TWEETY LEUNG"/>
    <s v="FO9"/>
    <s v="PERSONAL CARE                 "/>
    <s v="CONFIRMED"/>
    <n v="1"/>
    <n v="4"/>
    <d v="2012-01-25T00:00:00"/>
    <s v="LINEN PERS HOME CARE          "/>
    <s v="PERSONAL CARE                 "/>
    <x v="4"/>
    <x v="1"/>
    <x v="9"/>
    <s v="CONS-SHIPT"/>
    <n v="1"/>
    <n v="-3"/>
    <x v="8"/>
    <n v="4"/>
    <x v="0"/>
    <x v="1"/>
    <x v="1"/>
    <n v="0"/>
    <n v="0"/>
    <n v="1"/>
    <n v="0"/>
    <n v="0"/>
    <n v="1"/>
    <x v="0"/>
    <x v="0"/>
    <x v="1"/>
    <x v="1"/>
  </r>
  <r>
    <s v="Shipment"/>
    <n v="99003221"/>
    <s v="GROUPE SEB CANADA INC                             "/>
    <n v="99003200"/>
    <x v="27"/>
    <s v="22595/039779"/>
    <n v="1370153488"/>
    <n v="10"/>
    <x v="40"/>
    <x v="40"/>
    <s v="L4"/>
    <n v="1830004074"/>
    <n v="5"/>
    <s v="CV8528U1       "/>
    <s v="CV8528U1 HAIR DRYER NFINI PRO AUTO SENSO          "/>
    <s v="S"/>
    <d v="2012-02-03T00:00:00"/>
    <m/>
    <s v="X"/>
    <x v="79"/>
    <n v="25.54"/>
    <n v="20"/>
    <d v="2011-12-31T00:00:00"/>
    <d v="2011-12-03T00:00:00"/>
    <n v="1500"/>
    <d v="2012-01-25T00:00:00"/>
    <n v="1500"/>
    <m/>
    <d v="2012-01-01T00:00:00"/>
    <n v="1500"/>
    <d v="2012-02-22T00:00:00"/>
    <d v="2012-01-25T00:00:00"/>
    <n v="1500"/>
    <n v="1500"/>
    <x v="27"/>
    <d v="2012-02-22T00:00:00"/>
    <m/>
    <n v="9321679674"/>
    <n v="10"/>
    <s v="OOLU7414041"/>
    <s v="HONG KONG EXPRESS 60"/>
    <m/>
    <s v="YANTIAN"/>
    <s v="CONS-SHIPT/"/>
    <m/>
    <s v="TWEETY LEUNG"/>
    <s v="FO9"/>
    <s v="PERSONAL CARE                 "/>
    <s v="CONFIRMED"/>
    <n v="1"/>
    <n v="4"/>
    <d v="2012-01-25T00:00:00"/>
    <s v="LINEN PERS HOME CARE          "/>
    <s v="PERSONAL CARE                 "/>
    <x v="3"/>
    <x v="2"/>
    <x v="10"/>
    <s v="CONS-SHIPT"/>
    <n v="-3"/>
    <n v="-3"/>
    <x v="8"/>
    <n v="1"/>
    <x v="0"/>
    <x v="0"/>
    <x v="1"/>
    <n v="1"/>
    <n v="0"/>
    <n v="1"/>
    <n v="0"/>
    <n v="0"/>
    <n v="1"/>
    <x v="0"/>
    <x v="0"/>
    <x v="1"/>
    <x v="1"/>
  </r>
  <r>
    <s v="Shipment"/>
    <n v="99003221"/>
    <s v="GROUPE SEB CANADA INC                             "/>
    <n v="99003200"/>
    <x v="27"/>
    <s v="22595/039780"/>
    <n v="1370153488"/>
    <n v="20"/>
    <x v="40"/>
    <x v="40"/>
    <s v="L4"/>
    <n v="1830004073"/>
    <n v="131"/>
    <s v="CF7698U1       "/>
    <s v="CF7698U1 PROFESSIONAL FLAT IRON                   "/>
    <s v="S"/>
    <d v="2012-02-03T00:00:00"/>
    <m/>
    <s v="X"/>
    <x v="79"/>
    <n v="22.55"/>
    <n v="20"/>
    <d v="2011-12-31T00:00:00"/>
    <d v="2011-12-03T00:00:00"/>
    <n v="1500"/>
    <d v="2012-01-25T00:00:00"/>
    <n v="1500"/>
    <m/>
    <d v="2012-01-17T00:00:00"/>
    <n v="1500"/>
    <d v="2012-02-22T00:00:00"/>
    <d v="2012-01-25T00:00:00"/>
    <n v="1500"/>
    <n v="1500"/>
    <x v="27"/>
    <d v="2012-02-22T00:00:00"/>
    <m/>
    <n v="9321679674"/>
    <n v="20"/>
    <s v="OOLU7414041"/>
    <s v="HONG KONG EXPRESS 60"/>
    <m/>
    <s v="YANTIAN"/>
    <s v="CONS-SHIPT/SP-PROD-ISSUE/"/>
    <m/>
    <s v="TWEETY LEUNG"/>
    <s v="FO9"/>
    <s v="PERSONAL CARE                 "/>
    <s v="CONFIRMED"/>
    <n v="1"/>
    <n v="4"/>
    <d v="2012-01-25T00:00:00"/>
    <s v="LINEN PERS HOME CARE          "/>
    <s v="PERSONAL CARE                 "/>
    <x v="3"/>
    <x v="2"/>
    <x v="10"/>
    <s v="CONS-SHIPT"/>
    <n v="-3"/>
    <n v="-3"/>
    <x v="8"/>
    <n v="2"/>
    <x v="0"/>
    <x v="0"/>
    <x v="1"/>
    <n v="1"/>
    <n v="0"/>
    <n v="1"/>
    <n v="0"/>
    <n v="0"/>
    <n v="1"/>
    <x v="0"/>
    <x v="0"/>
    <x v="1"/>
    <x v="1"/>
  </r>
  <r>
    <s v="Shipment"/>
    <n v="99003221"/>
    <s v="GROUPE SEB CANADA INC                             "/>
    <n v="99003200"/>
    <x v="27"/>
    <s v="22595/039781"/>
    <n v="1370153488"/>
    <n v="30"/>
    <x v="40"/>
    <x v="40"/>
    <s v="L4"/>
    <n v="1830004125"/>
    <n v="131"/>
    <s v="SF7228U1       "/>
    <s v="SF7228U1 ROWENTA DOUBLE STRAIGHT                  "/>
    <s v="S"/>
    <d v="2012-02-03T00:00:00"/>
    <m/>
    <s v="X"/>
    <x v="79"/>
    <n v="25.68"/>
    <n v="20"/>
    <d v="2011-12-31T00:00:00"/>
    <d v="2011-12-03T00:00:00"/>
    <n v="1500"/>
    <d v="2012-01-25T00:00:00"/>
    <n v="1456"/>
    <m/>
    <d v="2012-02-17T00:00:00"/>
    <n v="3044"/>
    <d v="2012-02-22T00:00:00"/>
    <d v="2012-01-25T00:00:00"/>
    <n v="1456"/>
    <n v="1456"/>
    <x v="27"/>
    <d v="2012-02-22T00:00:00"/>
    <m/>
    <n v="9321679674"/>
    <n v="30"/>
    <s v="OOLU7414041"/>
    <s v="HONG KONG EXPRESS 60"/>
    <m/>
    <s v="YANTIAN"/>
    <s v="SP-PROD-ISSUE/CONS-SHIPT/"/>
    <m/>
    <s v="TWEETY LEUNG"/>
    <s v="FO9"/>
    <s v="PERSONAL CARE                 "/>
    <s v="CONFIRMED"/>
    <n v="1"/>
    <n v="4"/>
    <d v="2012-01-25T00:00:00"/>
    <s v="LINEN PERS HOME CARE          "/>
    <s v="PERSONAL CARE                 "/>
    <x v="3"/>
    <x v="2"/>
    <x v="10"/>
    <s v="CONS-SHIPT"/>
    <n v="-3"/>
    <n v="-3"/>
    <x v="8"/>
    <n v="2"/>
    <x v="0"/>
    <x v="0"/>
    <x v="1"/>
    <n v="1"/>
    <n v="0"/>
    <n v="1"/>
    <n v="0"/>
    <n v="0"/>
    <n v="1"/>
    <x v="0"/>
    <x v="0"/>
    <x v="1"/>
    <x v="1"/>
  </r>
  <r>
    <s v="Shipment"/>
    <n v="99002501"/>
    <s v="GROUPE SEB NEDERLAND BV                           "/>
    <n v="99002501"/>
    <x v="30"/>
    <s v="9321674579/000010"/>
    <n v="1370152967"/>
    <n v="10"/>
    <x v="22"/>
    <x v="22"/>
    <s v="N4"/>
    <n v="7211000704"/>
    <n v="177"/>
    <n v="211000704"/>
    <s v="FR406830 FRY FILTRA PRO I&amp;D 4L DIG SS EU          "/>
    <s v="S"/>
    <d v="2012-02-02T00:00:00"/>
    <m/>
    <s v="X"/>
    <x v="79"/>
    <n v="37.316400000000002"/>
    <n v="29"/>
    <d v="2012-02-18T00:00:00"/>
    <d v="2012-01-21T00:00:00"/>
    <n v="1152"/>
    <d v="2012-01-21T00:00:00"/>
    <n v="1152"/>
    <m/>
    <d v="2012-03-16T00:00:00"/>
    <n v="1194"/>
    <d v="2012-04-13T00:00:00"/>
    <d v="2012-03-16T00:00:00"/>
    <n v="1152"/>
    <n v="1110"/>
    <x v="4"/>
    <d v="2012-02-19T00:00:00"/>
    <m/>
    <n v="9321679689"/>
    <n v="10"/>
    <s v="PONU1627330"/>
    <s v="EUGEN MAERSK 1202/"/>
    <m/>
    <s v="NINGBO"/>
    <s v="SP-WRONGSHIP/docs received on 1-Feb"/>
    <m/>
    <s v="KENUS WONG"/>
    <s v="FO9"/>
    <s v="ELECTRICAL COOKING            "/>
    <s v="CONFIRMED"/>
    <n v="1"/>
    <n v="3"/>
    <d v="2012-01-22T00:00:00"/>
    <s v="KITCHEN ELECTRICS             "/>
    <s v="ELECTRICAL COOKING            "/>
    <x v="0"/>
    <x v="0"/>
    <x v="18"/>
    <s v="SP-WRONGSHIP"/>
    <n v="1"/>
    <n v="1"/>
    <x v="18"/>
    <n v="2"/>
    <x v="0"/>
    <x v="1"/>
    <x v="1"/>
    <n v="1"/>
    <n v="0"/>
    <n v="1"/>
    <n v="0"/>
    <n v="0"/>
    <n v="1"/>
    <x v="0"/>
    <x v="0"/>
    <x v="1"/>
    <x v="1"/>
  </r>
  <r>
    <s v="Shipment"/>
    <n v="99008491"/>
    <s v="GROUPE SEB USA                                    "/>
    <n v="99008400"/>
    <x v="12"/>
    <s v="9321662390/000010"/>
    <n v="1370150394"/>
    <n v="10"/>
    <x v="21"/>
    <x v="21"/>
    <s v="A7"/>
    <n v="2100043387"/>
    <n v="205"/>
    <n v="50025"/>
    <s v="50025 FOOD MILL 3-1/2 ST.STEEL (PURCH)            "/>
    <s v="S"/>
    <d v="2012-02-01T00:00:00"/>
    <m/>
    <s v="X"/>
    <x v="79"/>
    <n v="9.2799999999999994"/>
    <n v="11"/>
    <d v="2012-02-23T00:00:00"/>
    <d v="2012-01-19T00:00:00"/>
    <n v="3000"/>
    <d v="2012-01-19T00:00:00"/>
    <n v="3000"/>
    <m/>
    <d v="2012-01-22T00:00:00"/>
    <n v="3000"/>
    <d v="2012-02-24T00:00:00"/>
    <d v="2012-01-20T00:00:00"/>
    <n v="3000"/>
    <n v="3000"/>
    <x v="1"/>
    <d v="2012-02-27T00:00:00"/>
    <m/>
    <n v="9321679693"/>
    <n v="10"/>
    <s v="HLXU4250910"/>
    <s v="NYK RIGEL 16E03/"/>
    <m/>
    <s v="YANTIAN"/>
    <m/>
    <m/>
    <s v="TWEETY LEUNG"/>
    <s v="FO9"/>
    <s v="COOKWARE                      "/>
    <s v="CONFIRMED"/>
    <n v="1"/>
    <n v="4"/>
    <d v="2012-01-23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501"/>
    <s v="GROUPE SEB NEDERLAND BV                           "/>
    <n v="99002501"/>
    <x v="30"/>
    <s v="9321677264/000010"/>
    <n v="1370153481"/>
    <n v="10"/>
    <x v="42"/>
    <x v="42"/>
    <s v="N1"/>
    <n v="2100059178"/>
    <n v="50"/>
    <s v="GC306012       "/>
    <s v="GC306012 GRIL UC 600 COMFORT A12 TEF EUR          "/>
    <s v="S"/>
    <d v="2012-02-02T00:00:00"/>
    <m/>
    <s v="X"/>
    <x v="79"/>
    <n v="31.41"/>
    <n v="27"/>
    <d v="2012-03-05T00:00:00"/>
    <d v="2012-02-06T00:00:00"/>
    <n v="1740"/>
    <d v="2012-02-06T00:00:00"/>
    <n v="1680"/>
    <m/>
    <d v="2012-02-13T00:00:00"/>
    <n v="2580"/>
    <d v="2012-03-12T00:00:00"/>
    <d v="2012-02-13T00:00:00"/>
    <n v="1680"/>
    <n v="840"/>
    <x v="27"/>
    <d v="2012-02-22T00:00:00"/>
    <m/>
    <n v="9321679699"/>
    <n v="10"/>
    <s v="MSKU3403704"/>
    <s v="EUGEN MAERSK 1202/"/>
    <m/>
    <s v="YANTIAN"/>
    <s v="SP-INSP-FAILED/C-PULLIN-CONF/C-POST-CONF/C-POST-CONF/C-PULLIN-CONF/SP- HOLIDAY/"/>
    <m/>
    <s v="KENUS WONG"/>
    <s v="FO9"/>
    <s v="ELECTRICAL COOKING            "/>
    <s v="CONFIRMED"/>
    <n v="1"/>
    <n v="4"/>
    <d v="2012-01-25T00:00:00"/>
    <s v="KITCHEN ELECTRICS             "/>
    <s v="ELECTRICAL COOKING            "/>
    <x v="2"/>
    <x v="1"/>
    <x v="12"/>
    <s v="C-POST-CONF"/>
    <n v="1"/>
    <n v="-3"/>
    <x v="0"/>
    <n v="6"/>
    <x v="0"/>
    <x v="0"/>
    <x v="0"/>
    <n v="0"/>
    <n v="0"/>
    <n v="0"/>
    <n v="0"/>
    <n v="0"/>
    <n v="0"/>
    <x v="1"/>
    <x v="0"/>
    <x v="1"/>
    <x v="0"/>
  </r>
  <r>
    <s v="Shipment"/>
    <n v="99005220"/>
    <s v="GROUPE SEB ARGENTINA SA                           "/>
    <n v="99005200"/>
    <x v="33"/>
    <s v="994/000001"/>
    <n v="1370153286"/>
    <n v="10"/>
    <x v="8"/>
    <x v="8"/>
    <s v="K9"/>
    <n v="8000034359"/>
    <n v="38"/>
    <s v="PV5006AR       "/>
    <s v="PV5006AR NDG CIRCOLO RED AR                       "/>
    <s v="S"/>
    <d v="2012-02-02T00:00:00"/>
    <m/>
    <s v="X"/>
    <x v="79"/>
    <n v="52.28"/>
    <n v="59"/>
    <d v="2012-03-19T00:00:00"/>
    <d v="2012-02-06T00:00:00"/>
    <n v="4960"/>
    <d v="2012-01-27T00:00:00"/>
    <n v="4960"/>
    <m/>
    <d v="2012-02-10T00:00:00"/>
    <n v="8680"/>
    <d v="2012-03-23T00:00:00"/>
    <d v="2012-02-10T00:00:00"/>
    <n v="4960"/>
    <n v="1240"/>
    <x v="27"/>
    <d v="2012-03-07T00:00:00"/>
    <m/>
    <n v="9321679721"/>
    <n v="10"/>
    <s v="FRLU8604248"/>
    <s v="MAERSK LA PAZ 203W/"/>
    <m/>
    <s v="YANTIAN"/>
    <s v="SP-HOLIDAY/C-PULLIN-CONF/docs received on 1-Feb/Prepayment"/>
    <m/>
    <s v="THOMAS HO"/>
    <s v="FO9"/>
    <s v="BEVERAGE                      "/>
    <s v="CONFIRMED"/>
    <n v="1"/>
    <n v="4"/>
    <d v="2012-01-25T00:00:00"/>
    <s v="KITCHEN ELECTRICS             "/>
    <s v="BREAKFAST &amp; BREVAGE PREP      "/>
    <x v="4"/>
    <x v="1"/>
    <x v="7"/>
    <s v="SP-HOLIDAY"/>
    <n v="-3"/>
    <n v="-3"/>
    <x v="6"/>
    <n v="4"/>
    <x v="0"/>
    <x v="0"/>
    <x v="0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76918/000010"/>
    <n v="1370153374"/>
    <n v="10"/>
    <x v="13"/>
    <x v="13"/>
    <s v="A3"/>
    <n v="2100069428"/>
    <n v="223"/>
    <s v="L9082904       "/>
    <s v="L9082904 SCP18 STR H90 INGENIO 4 SS BRUS          "/>
    <s v="S"/>
    <d v="2012-02-03T00:00:00"/>
    <m/>
    <s v="X"/>
    <x v="79"/>
    <n v="3.94"/>
    <n v="3"/>
    <d v="2012-02-24T00:00:00"/>
    <d v="2012-01-20T00:00:00"/>
    <n v="22998"/>
    <d v="2012-01-20T00:00:00"/>
    <n v="22504"/>
    <m/>
    <d v="2012-01-20T00:00:00"/>
    <n v="22998"/>
    <d v="2012-03-02T00:00:00"/>
    <d v="2012-01-27T00:00:00"/>
    <n v="22504"/>
    <n v="8000"/>
    <x v="25"/>
    <d v="2012-02-28T00:00:00"/>
    <m/>
    <n v="9321679723"/>
    <n v="10"/>
    <s v="TTNU9292318"/>
    <s v="LOS ANGELES EXPRESS/"/>
    <m/>
    <s v="YANTIAN"/>
    <s v="supplier missed the schedule"/>
    <m/>
    <s v="JASON FAN"/>
    <s v="FO9"/>
    <s v="COOKWARE                      "/>
    <s v="CONFIRMED"/>
    <n v="1"/>
    <n v="4"/>
    <d v="2012-01-24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76918/000010"/>
    <n v="1370153374"/>
    <n v="10"/>
    <x v="13"/>
    <x v="13"/>
    <s v="A3"/>
    <n v="2100069428"/>
    <n v="223"/>
    <s v="L9082904       "/>
    <s v="L9082904 SCP18 STR H90 INGENIO 4 SS BRUS          "/>
    <s v="S"/>
    <d v="2012-02-03T00:00:00"/>
    <m/>
    <s v="X"/>
    <x v="79"/>
    <n v="3.94"/>
    <n v="3"/>
    <d v="2012-02-24T00:00:00"/>
    <d v="2012-01-20T00:00:00"/>
    <n v="22998"/>
    <d v="2012-01-20T00:00:00"/>
    <n v="22504"/>
    <m/>
    <d v="2012-01-20T00:00:00"/>
    <n v="22998"/>
    <d v="2012-03-02T00:00:00"/>
    <d v="2012-01-27T00:00:00"/>
    <n v="22504"/>
    <n v="1200"/>
    <x v="18"/>
    <d v="2012-03-02T00:00:00"/>
    <m/>
    <n v="9321679723"/>
    <n v="10"/>
    <s v="TRLU8146658"/>
    <s v="LOS ANGELES EXPRESS/"/>
    <m/>
    <s v="YANTIAN"/>
    <s v="supplier missed the schedule"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76918/000010"/>
    <n v="1370153374"/>
    <n v="10"/>
    <x v="13"/>
    <x v="13"/>
    <s v="A3"/>
    <n v="2100069428"/>
    <n v="223"/>
    <s v="L9082904       "/>
    <s v="L9082904 SCP18 STR H90 INGENIO 4 SS BRUS          "/>
    <s v="S"/>
    <d v="2012-02-03T00:00:00"/>
    <m/>
    <s v="X"/>
    <x v="79"/>
    <n v="3.94"/>
    <n v="3"/>
    <d v="2012-02-24T00:00:00"/>
    <d v="2012-01-20T00:00:00"/>
    <n v="22998"/>
    <d v="2012-01-20T00:00:00"/>
    <n v="22504"/>
    <m/>
    <d v="2012-01-20T00:00:00"/>
    <n v="22998"/>
    <d v="2012-03-02T00:00:00"/>
    <d v="2012-01-27T00:00:00"/>
    <n v="22504"/>
    <n v="2568"/>
    <x v="18"/>
    <d v="2012-03-02T00:00:00"/>
    <m/>
    <n v="9321679723"/>
    <n v="10"/>
    <s v="OOLU8494735"/>
    <s v="LOS ANGELES EXPRESS/"/>
    <m/>
    <s v="YANTIAN"/>
    <s v="supplier missed the schedule"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76918/000010"/>
    <n v="1370153374"/>
    <n v="10"/>
    <x v="13"/>
    <x v="13"/>
    <s v="A3"/>
    <n v="2100069428"/>
    <n v="223"/>
    <s v="L9082904       "/>
    <s v="L9082904 SCP18 STR H90 INGENIO 4 SS BRUS          "/>
    <s v="S"/>
    <d v="2012-02-03T00:00:00"/>
    <m/>
    <s v="X"/>
    <x v="79"/>
    <n v="3.94"/>
    <n v="3"/>
    <d v="2012-02-24T00:00:00"/>
    <d v="2012-01-20T00:00:00"/>
    <n v="22998"/>
    <d v="2012-01-20T00:00:00"/>
    <n v="22504"/>
    <m/>
    <d v="2012-01-20T00:00:00"/>
    <n v="22998"/>
    <d v="2012-03-02T00:00:00"/>
    <d v="2012-01-27T00:00:00"/>
    <n v="22504"/>
    <n v="10736"/>
    <x v="18"/>
    <d v="2012-03-02T00:00:00"/>
    <m/>
    <n v="9321679723"/>
    <n v="10"/>
    <s v="TRLU7435722"/>
    <s v="LOS ANGELES EXPRESS/"/>
    <m/>
    <s v="YANTIAN"/>
    <s v="supplier missed the schedule"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76917/000010"/>
    <n v="1370153375"/>
    <n v="10"/>
    <x v="13"/>
    <x v="13"/>
    <s v="A3"/>
    <n v="2100069427"/>
    <n v="223"/>
    <s v="L9082704       "/>
    <s v="L9082704 SCP14 STR H90 INGENIO 4 SS BRUS          "/>
    <s v="S"/>
    <d v="2012-02-03T00:00:00"/>
    <m/>
    <s v="X"/>
    <x v="79"/>
    <n v="2.95"/>
    <n v="3"/>
    <d v="2012-02-24T00:00:00"/>
    <d v="2012-01-20T00:00:00"/>
    <n v="18000"/>
    <d v="2012-01-20T00:00:00"/>
    <n v="18000"/>
    <m/>
    <d v="2012-01-20T00:00:00"/>
    <n v="18000"/>
    <d v="2012-03-02T00:00:00"/>
    <d v="2012-01-27T00:00:00"/>
    <n v="18000"/>
    <n v="13872"/>
    <x v="18"/>
    <d v="2012-03-02T00:00:00"/>
    <m/>
    <n v="9321679724"/>
    <n v="10"/>
    <s v="TRLU8146658"/>
    <s v="LOS ANGELES EXPRESS/"/>
    <m/>
    <s v="YANTIAN"/>
    <s v="supplier missed the schedule"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76917/000010"/>
    <n v="1370153375"/>
    <n v="10"/>
    <x v="13"/>
    <x v="13"/>
    <s v="A3"/>
    <n v="2100069427"/>
    <n v="223"/>
    <s v="L9082704       "/>
    <s v="L9082704 SCP14 STR H90 INGENIO 4 SS BRUS          "/>
    <s v="S"/>
    <d v="2012-02-03T00:00:00"/>
    <m/>
    <s v="X"/>
    <x v="79"/>
    <n v="2.95"/>
    <n v="3"/>
    <d v="2012-02-24T00:00:00"/>
    <d v="2012-01-20T00:00:00"/>
    <n v="18000"/>
    <d v="2012-01-20T00:00:00"/>
    <n v="18000"/>
    <m/>
    <d v="2012-01-20T00:00:00"/>
    <n v="18000"/>
    <d v="2012-03-02T00:00:00"/>
    <d v="2012-01-27T00:00:00"/>
    <n v="18000"/>
    <n v="4128"/>
    <x v="25"/>
    <d v="2012-02-28T00:00:00"/>
    <m/>
    <n v="9321679724"/>
    <n v="10"/>
    <s v="TTNU9292318"/>
    <s v="LOS ANGELES EXPRESS/"/>
    <m/>
    <s v="YANTIAN"/>
    <s v="supplier missed the schedule"/>
    <m/>
    <s v="JASON FAN"/>
    <s v="FO9"/>
    <s v="COOKWARE                      "/>
    <s v="CONFIRMED"/>
    <n v="1"/>
    <n v="4"/>
    <d v="2012-01-24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76919/000010"/>
    <n v="1370153377"/>
    <n v="10"/>
    <x v="13"/>
    <x v="13"/>
    <s v="A3"/>
    <n v="2100069429"/>
    <n v="223"/>
    <s v="L9081704       "/>
    <s v="L9081704 SCP22 STR H90 INGENIO 4 SS BRUS          "/>
    <s v="S"/>
    <d v="2012-02-03T00:00:00"/>
    <m/>
    <s v="X"/>
    <x v="79"/>
    <n v="5.31"/>
    <n v="5"/>
    <d v="2012-02-23T00:00:00"/>
    <d v="2012-01-19T00:00:00"/>
    <n v="34002"/>
    <d v="2012-01-20T00:00:00"/>
    <n v="33750"/>
    <m/>
    <d v="2012-01-20T00:00:00"/>
    <n v="34002"/>
    <d v="2012-03-02T00:00:00"/>
    <d v="2012-01-27T00:00:00"/>
    <n v="33750"/>
    <n v="7092"/>
    <x v="25"/>
    <d v="2012-02-28T00:00:00"/>
    <m/>
    <n v="9321679725"/>
    <n v="10"/>
    <s v="TGHU7669464"/>
    <s v="LOS ANGELES EXPRESS/"/>
    <m/>
    <s v="YANTIAN"/>
    <s v="supplier missed the schedule"/>
    <m/>
    <s v="JASON FAN"/>
    <s v="FO9"/>
    <s v="COOKWARE                      "/>
    <s v="CONFIRMED"/>
    <n v="1"/>
    <n v="4"/>
    <d v="2012-01-24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76919/000010"/>
    <n v="1370153377"/>
    <n v="10"/>
    <x v="13"/>
    <x v="13"/>
    <s v="A3"/>
    <n v="2100069429"/>
    <n v="223"/>
    <s v="L9081704       "/>
    <s v="L9081704 SCP22 STR H90 INGENIO 4 SS BRUS          "/>
    <s v="S"/>
    <d v="2012-02-03T00:00:00"/>
    <m/>
    <s v="X"/>
    <x v="79"/>
    <n v="5.31"/>
    <n v="5"/>
    <d v="2012-02-23T00:00:00"/>
    <d v="2012-01-19T00:00:00"/>
    <n v="34002"/>
    <d v="2012-01-20T00:00:00"/>
    <n v="33750"/>
    <m/>
    <d v="2012-01-20T00:00:00"/>
    <n v="34002"/>
    <d v="2012-03-02T00:00:00"/>
    <d v="2012-01-27T00:00:00"/>
    <n v="33750"/>
    <n v="5382"/>
    <x v="18"/>
    <d v="2012-03-02T00:00:00"/>
    <m/>
    <n v="9321679725"/>
    <n v="10"/>
    <s v="OOLU8494735"/>
    <s v="LOS ANGELES EXPRESS/"/>
    <m/>
    <s v="YANTIAN"/>
    <s v="supplier missed the schedule"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1"/>
    <x v="0"/>
    <x v="0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76919/000010"/>
    <n v="1370153377"/>
    <n v="10"/>
    <x v="13"/>
    <x v="13"/>
    <s v="A3"/>
    <n v="2100069429"/>
    <n v="223"/>
    <s v="L9081704       "/>
    <s v="L9081704 SCP22 STR H90 INGENIO 4 SS BRUS          "/>
    <s v="S"/>
    <d v="2012-02-06T00:00:00"/>
    <m/>
    <s v="X"/>
    <x v="79"/>
    <n v="5.31"/>
    <n v="5"/>
    <d v="2012-02-23T00:00:00"/>
    <d v="2012-01-19T00:00:00"/>
    <n v="34002"/>
    <d v="2012-01-20T00:00:00"/>
    <n v="33750"/>
    <m/>
    <d v="2012-01-20T00:00:00"/>
    <n v="34002"/>
    <d v="2012-03-02T00:00:00"/>
    <d v="2012-01-27T00:00:00"/>
    <n v="33750"/>
    <n v="7092"/>
    <x v="18"/>
    <d v="2012-03-02T00:00:00"/>
    <m/>
    <n v="9321679725"/>
    <n v="10"/>
    <s v="HDMU6790162"/>
    <s v="LOS ANGELES EXPRESS/"/>
    <m/>
    <s v="YANTIAN"/>
    <s v="supplier missed the schedule"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1"/>
    <x v="0"/>
    <x v="0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76919/000010"/>
    <n v="1370153377"/>
    <n v="10"/>
    <x v="13"/>
    <x v="13"/>
    <s v="A3"/>
    <n v="2100069429"/>
    <n v="223"/>
    <s v="L9081704       "/>
    <s v="L9081704 SCP22 STR H90 INGENIO 4 SS BRUS          "/>
    <s v="S"/>
    <d v="2012-02-03T00:00:00"/>
    <m/>
    <s v="X"/>
    <x v="79"/>
    <n v="5.31"/>
    <n v="5"/>
    <d v="2012-02-23T00:00:00"/>
    <d v="2012-01-19T00:00:00"/>
    <n v="34002"/>
    <d v="2012-01-20T00:00:00"/>
    <n v="33750"/>
    <m/>
    <d v="2012-01-20T00:00:00"/>
    <n v="34002"/>
    <d v="2012-03-02T00:00:00"/>
    <d v="2012-01-27T00:00:00"/>
    <n v="33750"/>
    <n v="7092"/>
    <x v="18"/>
    <d v="2012-03-02T00:00:00"/>
    <m/>
    <n v="9321679725"/>
    <n v="10"/>
    <s v="TCNU6043140"/>
    <s v="LOS ANGELES EXPRESS/"/>
    <m/>
    <s v="YANTIAN"/>
    <s v="supplier missed the schedule"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1"/>
    <x v="0"/>
    <x v="0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76919/000010"/>
    <n v="1370153377"/>
    <n v="10"/>
    <x v="13"/>
    <x v="13"/>
    <s v="A3"/>
    <n v="2100069429"/>
    <n v="223"/>
    <s v="L9081704       "/>
    <s v="L9081704 SCP22 STR H90 INGENIO 4 SS BRUS          "/>
    <s v="S"/>
    <d v="2012-02-03T00:00:00"/>
    <m/>
    <s v="X"/>
    <x v="79"/>
    <n v="5.31"/>
    <n v="5"/>
    <d v="2012-02-23T00:00:00"/>
    <d v="2012-01-19T00:00:00"/>
    <n v="34002"/>
    <d v="2012-01-20T00:00:00"/>
    <n v="33750"/>
    <m/>
    <d v="2012-01-20T00:00:00"/>
    <n v="34002"/>
    <d v="2012-03-02T00:00:00"/>
    <d v="2012-01-27T00:00:00"/>
    <n v="33750"/>
    <n v="7092"/>
    <x v="25"/>
    <d v="2012-02-28T00:00:00"/>
    <m/>
    <n v="9321679725"/>
    <n v="10"/>
    <s v="GLDU7615585"/>
    <s v="LOS ANGELES EXPRESS/"/>
    <m/>
    <s v="YANTIAN"/>
    <s v="supplier missed the schedule"/>
    <m/>
    <s v="JASON FAN"/>
    <s v="FO9"/>
    <s v="COOKWARE                      "/>
    <s v="CONFIRMED"/>
    <n v="1"/>
    <n v="4"/>
    <d v="2012-01-24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9216/000010"/>
    <n v="1370153550"/>
    <n v="10"/>
    <x v="55"/>
    <x v="55"/>
    <s v="P4"/>
    <n v="8000034557"/>
    <n v="77"/>
    <s v="QA405G01       "/>
    <s v="QA405G01 KTM MC GOURMET CONES+ACC RED FR          "/>
    <s v="S"/>
    <d v="2012-01-18T00:00:00"/>
    <m/>
    <s v="X"/>
    <x v="79"/>
    <n v="94.06"/>
    <n v="81"/>
    <d v="2012-03-12T00:00:00"/>
    <d v="2012-02-06T00:00:00"/>
    <n v="570"/>
    <d v="2012-01-18T00:00:00"/>
    <n v="570"/>
    <m/>
    <d v="2012-02-06T00:00:00"/>
    <n v="570"/>
    <d v="2012-02-21T00:00:00"/>
    <d v="2012-01-17T00:00:00"/>
    <n v="570"/>
    <n v="570"/>
    <x v="19"/>
    <d v="2012-02-21T00:00:00"/>
    <m/>
    <n v="9321679728"/>
    <n v="10"/>
    <s v="TRLU4887626"/>
    <s v="APL DHAKA/002W"/>
    <m/>
    <s v="YANTIAN"/>
    <s v="C-ETD-TEMP/"/>
    <m/>
    <s v="JASON FAN"/>
    <s v="FO9"/>
    <s v="FOOD PREPARATION              "/>
    <s v="CONFIRMED"/>
    <n v="1"/>
    <n v="3"/>
    <d v="2012-01-17T00:00:00"/>
    <s v="KITCHEN ELECTRICS             "/>
    <s v="FOOD PREPARATION              "/>
    <x v="4"/>
    <x v="1"/>
    <x v="16"/>
    <s v="C-ETD-TEMP"/>
    <n v="-3"/>
    <n v="-3"/>
    <x v="7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8969/000010"/>
    <n v="1370153567"/>
    <n v="10"/>
    <x v="4"/>
    <x v="4"/>
    <s v="M5"/>
    <n v="2210015093"/>
    <n v="68"/>
    <s v="RH854801       "/>
    <s v="RH854801 CORDLESS HANDSTICK-18V                   "/>
    <s v="S"/>
    <d v="2012-01-27T00:00:00"/>
    <m/>
    <s v="X"/>
    <x v="79"/>
    <n v="47.98"/>
    <n v="41"/>
    <d v="2012-03-12T00:00:00"/>
    <d v="2012-02-06T00:00:00"/>
    <n v="1722"/>
    <d v="2012-02-06T00:00:00"/>
    <n v="1722"/>
    <m/>
    <d v="2012-01-18T00:00:00"/>
    <n v="1722"/>
    <d v="2012-02-22T00:00:00"/>
    <d v="2012-01-18T00:00:00"/>
    <n v="1722"/>
    <n v="1722"/>
    <x v="14"/>
    <d v="2012-02-24T00:00:00"/>
    <m/>
    <n v="9321679730"/>
    <n v="10"/>
    <s v="INBU4868994"/>
    <s v="MAERSK EINDHOVEN"/>
    <m/>
    <s v="YANTIAN"/>
    <s v="SP-HOLIDAY/"/>
    <m/>
    <s v="JASON FAN"/>
    <s v="FO9"/>
    <s v="HOME CLEANING                 "/>
    <s v="CONFIRMED"/>
    <n v="1"/>
    <n v="3"/>
    <d v="2012-01-20T00:00:00"/>
    <s v="HOME CLEANING                 "/>
    <s v="HOME CLEANING                 "/>
    <x v="3"/>
    <x v="2"/>
    <x v="7"/>
    <s v="SP-HOLIDAY"/>
    <n v="-3"/>
    <n v="-3"/>
    <x v="6"/>
    <n v="1"/>
    <x v="0"/>
    <x v="0"/>
    <x v="0"/>
    <n v="1"/>
    <n v="0"/>
    <n v="0"/>
    <n v="0"/>
    <n v="1"/>
    <n v="1"/>
    <x v="0"/>
    <x v="0"/>
    <x v="1"/>
    <x v="1"/>
  </r>
  <r>
    <s v="Shipment"/>
    <n v="99003600"/>
    <s v="GROUPE SEB ISTANBUL EV ALETLERI                   "/>
    <n v="99003600"/>
    <x v="13"/>
    <s v="4500265419/000010"/>
    <n v="1370153061"/>
    <n v="10"/>
    <x v="8"/>
    <x v="8"/>
    <s v="L4"/>
    <n v="1830003337"/>
    <n v="131"/>
    <s v="SF6150E4       "/>
    <s v="SF6150E4 LISS &amp; CURL PRO STRAIGHTENER             "/>
    <s v="S"/>
    <d v="2012-02-01T00:00:00"/>
    <m/>
    <s v="X"/>
    <x v="79"/>
    <n v="14.57"/>
    <n v="30"/>
    <d v="2012-03-12T00:00:00"/>
    <d v="2012-02-06T00:00:00"/>
    <n v="3000"/>
    <d v="2012-01-27T00:00:00"/>
    <n v="1500"/>
    <m/>
    <d v="2012-02-10T00:00:00"/>
    <n v="3000"/>
    <d v="2012-03-02T00:00:00"/>
    <d v="2012-01-27T00:00:00"/>
    <n v="1500"/>
    <n v="1500"/>
    <x v="18"/>
    <d v="2012-03-02T00:00:00"/>
    <m/>
    <n v="9321679807"/>
    <n v="10"/>
    <s v="MSKU7821533"/>
    <s v="NEDLLOYD BARENTSZ/12"/>
    <m/>
    <s v="YANTIAN"/>
    <s v="SP-TOOLING/C-PULLIN-CONF/"/>
    <m/>
    <s v="KENUS WONG"/>
    <s v="FO9"/>
    <s v="PERSONAL CARE                 "/>
    <s v="CONFIRMED"/>
    <n v="1"/>
    <n v="4"/>
    <d v="2012-01-27T00:00:00"/>
    <s v="LINEN PERS HOME CARE          "/>
    <s v="PERSONAL CARE                 "/>
    <x v="4"/>
    <x v="1"/>
    <x v="15"/>
    <s v="SP-TOOLING"/>
    <n v="1"/>
    <n v="1"/>
    <x v="21"/>
    <n v="2"/>
    <x v="0"/>
    <x v="0"/>
    <x v="0"/>
    <n v="0"/>
    <n v="1"/>
    <n v="0"/>
    <n v="0"/>
    <n v="0"/>
    <n v="1"/>
    <x v="0"/>
    <x v="0"/>
    <x v="0"/>
    <x v="0"/>
  </r>
  <r>
    <s v="Shipment"/>
    <n v="99005600"/>
    <s v="GROUPE SEB CHILE                                  "/>
    <n v="99005600"/>
    <x v="32"/>
    <s v="850/000001"/>
    <n v="1370149488"/>
    <n v="10"/>
    <x v="0"/>
    <x v="0"/>
    <s v="A1"/>
    <n v="2100055649"/>
    <n v="205"/>
    <n v="116000559"/>
    <s v="C878SA84 ELEGANCE SS SET 10PC                     "/>
    <s v="S"/>
    <d v="2012-01-31T00:00:00"/>
    <m/>
    <s v="X"/>
    <x v="79"/>
    <n v="47.259399999999999"/>
    <n v="47"/>
    <d v="2012-02-18T00:00:00"/>
    <d v="2012-01-07T00:00:00"/>
    <n v="1000"/>
    <d v="2012-01-26T00:00:00"/>
    <n v="1000"/>
    <m/>
    <d v="2012-01-26T00:00:00"/>
    <n v="1000"/>
    <d v="2012-03-08T00:00:00"/>
    <d v="2012-01-26T00:00:00"/>
    <n v="1000"/>
    <n v="1000"/>
    <x v="1"/>
    <d v="2012-03-05T00:00:00"/>
    <m/>
    <n v="9321679818"/>
    <n v="10"/>
    <s v="SUDU6822170"/>
    <s v="MONTE VERDE VOY 203E"/>
    <m/>
    <s v="NINGBO"/>
    <s v="SP-OVERCAP/"/>
    <m/>
    <s v="THOMAS HO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5600"/>
    <s v="GROUPE SEB CHILE                                  "/>
    <n v="99005600"/>
    <x v="32"/>
    <s v="851/000001"/>
    <n v="1370149489"/>
    <n v="10"/>
    <x v="0"/>
    <x v="0"/>
    <s v="AA"/>
    <n v="7114000222"/>
    <n v="253"/>
    <n v="114000222"/>
    <s v="YL223LA6 T-FAL 6QT PRESSURE COOKER                "/>
    <s v="S"/>
    <d v="2012-01-31T00:00:00"/>
    <m/>
    <s v="X"/>
    <x v="79"/>
    <n v="13.459300000000001"/>
    <n v="14"/>
    <d v="2012-02-18T00:00:00"/>
    <d v="2012-01-07T00:00:00"/>
    <n v="1000"/>
    <d v="2012-01-26T00:00:00"/>
    <n v="1000"/>
    <m/>
    <d v="2012-01-26T00:00:00"/>
    <n v="1000"/>
    <d v="2012-03-08T00:00:00"/>
    <d v="2012-01-26T00:00:00"/>
    <n v="1000"/>
    <n v="740"/>
    <x v="1"/>
    <d v="2012-03-05T00:00:00"/>
    <m/>
    <n v="9321679820"/>
    <n v="10"/>
    <s v="SUDU1734672"/>
    <s v="MONTE VERDE VOY 203E"/>
    <m/>
    <s v="NINGBO"/>
    <s v="SP-OVERCAP/"/>
    <m/>
    <s v="THOMAS HO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5600"/>
    <s v="GROUPE SEB CHILE                                  "/>
    <n v="99005600"/>
    <x v="32"/>
    <s v="851/000001"/>
    <n v="1370149489"/>
    <n v="10"/>
    <x v="0"/>
    <x v="0"/>
    <s v="AA"/>
    <n v="7114000222"/>
    <n v="253"/>
    <n v="114000222"/>
    <s v="YL223LA6 T-FAL 6QT PRESSURE COOKER                "/>
    <s v="S"/>
    <d v="2012-01-31T00:00:00"/>
    <m/>
    <s v="X"/>
    <x v="79"/>
    <n v="13.459300000000001"/>
    <n v="14"/>
    <d v="2012-02-18T00:00:00"/>
    <d v="2012-01-07T00:00:00"/>
    <n v="1000"/>
    <d v="2012-01-26T00:00:00"/>
    <n v="1000"/>
    <m/>
    <d v="2012-01-26T00:00:00"/>
    <n v="1000"/>
    <d v="2012-03-08T00:00:00"/>
    <d v="2012-01-26T00:00:00"/>
    <n v="1000"/>
    <n v="260"/>
    <x v="1"/>
    <d v="2012-03-05T00:00:00"/>
    <m/>
    <n v="9321679820"/>
    <n v="10"/>
    <s v="SUDU6822170"/>
    <s v="MONTE VERDE VOY 203E"/>
    <m/>
    <s v="NINGBO"/>
    <s v="SP-OVERCAP/"/>
    <m/>
    <s v="THOMAS HO"/>
    <s v="FO9"/>
    <s v="COOKWARE                      "/>
    <s v="CONFIRMED"/>
    <n v="1"/>
    <n v="4"/>
    <d v="2012-01-23T00:00:00"/>
    <s v="COOKWARE                      "/>
    <s v="COOKWARE                      "/>
    <x v="0"/>
    <x v="0"/>
    <x v="11"/>
    <s v="SP-OVERCAP"/>
    <n v="-3"/>
    <n v="-3"/>
    <x v="9"/>
    <n v="1"/>
    <x v="0"/>
    <x v="0"/>
    <x v="1"/>
    <n v="1"/>
    <n v="0"/>
    <n v="1"/>
    <n v="0"/>
    <n v="0"/>
    <n v="1"/>
    <x v="0"/>
    <x v="0"/>
    <x v="1"/>
    <x v="1"/>
  </r>
  <r>
    <s v="Shipment"/>
    <n v="99003800"/>
    <s v="GROUPE SEB POLSKA SP. ZO.O                        "/>
    <n v="99003800"/>
    <x v="20"/>
    <s v="4500264616/000010"/>
    <n v="1370152356"/>
    <n v="10"/>
    <x v="22"/>
    <x v="22"/>
    <s v="R2"/>
    <n v="7211000664"/>
    <n v="55"/>
    <n v="211000664"/>
    <s v="KI110D32 KET PERFORMA 1.7L SS/BLK EE              "/>
    <s v="S"/>
    <d v="2012-02-03T00:00:00"/>
    <m/>
    <s v="X"/>
    <x v="79"/>
    <n v="20.0718"/>
    <n v="65"/>
    <d v="2012-02-29T00:00:00"/>
    <d v="2012-01-18T00:00:00"/>
    <n v="2079"/>
    <d v="2012-01-18T00:00:00"/>
    <n v="2079"/>
    <m/>
    <d v="2012-01-20T00:00:00"/>
    <n v="2079"/>
    <d v="2012-03-02T00:00:00"/>
    <d v="2012-01-20T00:00:00"/>
    <n v="2079"/>
    <n v="2079"/>
    <x v="4"/>
    <d v="2012-03-04T00:00:00"/>
    <m/>
    <n v="9321679863"/>
    <n v="10"/>
    <s v="MAEU6375336"/>
    <s v="EUGEN MAERSK VOY1202"/>
    <m/>
    <s v="NINGBO"/>
    <s v="docs received on 1-Feb/WRONG EDI"/>
    <m/>
    <s v="KENUS WONG"/>
    <s v="FO9"/>
    <s v="BEVERAGE                      "/>
    <s v="CONFIRMED"/>
    <n v="1"/>
    <n v="3"/>
    <d v="2012-01-22T00:00:00"/>
    <s v="KITCHEN ELECTRICS             "/>
    <s v="BREAKFAST &amp; BREVAGE PREP      "/>
    <x v="0"/>
    <x v="0"/>
    <x v="1"/>
    <m/>
    <n v="0"/>
    <n v="0"/>
    <x v="1"/>
    <n v="2"/>
    <x v="0"/>
    <x v="1"/>
    <x v="1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368/000010"/>
    <n v="1370152241"/>
    <n v="10"/>
    <x v="55"/>
    <x v="55"/>
    <s v="P4"/>
    <n v="8000034595"/>
    <n v="77"/>
    <s v="QA403GB1       "/>
    <s v="QA403GB1 KTM MC GOURMET CONES RED SE              "/>
    <s v="S"/>
    <d v="2012-01-19T00:00:00"/>
    <m/>
    <s v="X"/>
    <x v="79"/>
    <n v="73.650000000000006"/>
    <n v="64"/>
    <d v="2012-02-13T00:00:00"/>
    <d v="2012-01-16T00:00:00"/>
    <n v="350"/>
    <d v="2012-01-16T00:00:00"/>
    <n v="350"/>
    <m/>
    <d v="2012-01-17T00:00:00"/>
    <n v="350"/>
    <d v="2012-02-14T00:00:00"/>
    <d v="2012-01-17T00:00:00"/>
    <n v="350"/>
    <n v="350"/>
    <x v="19"/>
    <d v="2012-02-14T00:00:00"/>
    <m/>
    <n v="9321680014"/>
    <n v="10"/>
    <s v="CLHU8555223"/>
    <s v="APL HAMBURG/015W"/>
    <m/>
    <s v="YANTIAN"/>
    <m/>
    <m/>
    <s v="JASON FAN"/>
    <s v="FO9"/>
    <s v="FOOD PREPARATION              "/>
    <s v="CONFIRMED"/>
    <n v="1"/>
    <n v="3"/>
    <d v="2012-01-17T00:00:00"/>
    <s v="KITCHEN ELECTRICS             "/>
    <s v="FOOD PREPARATION        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102"/>
    <s v="GROUPE SEB ITALIA S.p.a                           "/>
    <n v="99002102"/>
    <x v="14"/>
    <s v="4600079369/000010"/>
    <n v="1370152238"/>
    <n v="10"/>
    <x v="55"/>
    <x v="55"/>
    <s v="P4"/>
    <n v="8000034593"/>
    <n v="77"/>
    <s v="QA405GB1       "/>
    <s v="QA405GB1 KTM MC GOURMET CONES+ACC RED SE          "/>
    <s v="S"/>
    <d v="2012-01-19T00:00:00"/>
    <m/>
    <s v="X"/>
    <x v="79"/>
    <n v="94.06"/>
    <n v="81"/>
    <d v="2012-02-13T00:00:00"/>
    <d v="2012-01-16T00:00:00"/>
    <n v="294"/>
    <d v="2012-01-16T00:00:00"/>
    <n v="294"/>
    <m/>
    <d v="2012-01-17T00:00:00"/>
    <n v="294"/>
    <d v="2012-02-14T00:00:00"/>
    <d v="2012-01-17T00:00:00"/>
    <n v="294"/>
    <n v="294"/>
    <x v="19"/>
    <d v="2012-02-14T00:00:00"/>
    <m/>
    <n v="9321680016"/>
    <n v="10"/>
    <s v="CLHU8555223"/>
    <s v="APL HAMBURG/015W"/>
    <m/>
    <s v="YANTIAN"/>
    <m/>
    <m/>
    <s v="JASON FAN"/>
    <s v="FO9"/>
    <s v="FOOD PREPARATION              "/>
    <s v="CONFIRMED"/>
    <n v="1"/>
    <n v="3"/>
    <d v="2012-01-17T00:00:00"/>
    <s v="KITCHEN ELECTRICS             "/>
    <s v="FOOD PREPARATION        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1174/000010"/>
    <n v="1370151987"/>
    <n v="10"/>
    <x v="55"/>
    <x v="55"/>
    <s v="P1"/>
    <n v="1500832890"/>
    <n v="78"/>
    <n v="832890"/>
    <s v="IG500131 ICM GELATO WHT/BEI FR                    "/>
    <s v="S"/>
    <d v="2012-01-18T00:00:00"/>
    <m/>
    <s v="X"/>
    <x v="79"/>
    <n v="20.38"/>
    <n v="17"/>
    <d v="2012-02-17T00:00:00"/>
    <d v="2012-01-13T00:00:00"/>
    <n v="2850"/>
    <d v="2012-01-13T00:00:00"/>
    <n v="2850"/>
    <m/>
    <d v="2012-01-20T00:00:00"/>
    <n v="2850"/>
    <d v="2012-02-24T00:00:00"/>
    <d v="2012-01-20T00:00:00"/>
    <n v="2850"/>
    <n v="2850"/>
    <x v="19"/>
    <d v="2012-02-21T00:00:00"/>
    <m/>
    <n v="9321680026"/>
    <n v="10"/>
    <s v="APZU4366110"/>
    <s v="APL DHAKA/002W"/>
    <m/>
    <s v="YANTIAN"/>
    <m/>
    <m/>
    <s v="JASON FAN"/>
    <s v="FO9"/>
    <s v="FOOD PREPARATION              "/>
    <s v="CONFIRMED"/>
    <n v="1"/>
    <n v="3"/>
    <d v="2012-01-17T00:00:00"/>
    <s v="KITCHEN ELECTRICS             "/>
    <s v="FOOD PREPARATION        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8196/000010"/>
    <n v="1370153378"/>
    <n v="10"/>
    <x v="17"/>
    <x v="17"/>
    <s v="L4"/>
    <n v="1830003820"/>
    <n v="175"/>
    <s v="CF8212C0       "/>
    <s v="CF8212C0 HAIR BRUSH 1200W                         "/>
    <s v="S"/>
    <d v="2012-01-09T00:00:00"/>
    <m/>
    <s v="X"/>
    <x v="79"/>
    <n v="8"/>
    <n v="7"/>
    <d v="2012-02-10T00:00:00"/>
    <d v="2012-01-06T00:00:00"/>
    <n v="1500"/>
    <d v="2012-01-06T00:00:00"/>
    <n v="1500"/>
    <m/>
    <d v="2012-01-06T00:00:00"/>
    <n v="1500"/>
    <d v="2012-02-10T00:00:00"/>
    <d v="2012-01-06T00:00:00"/>
    <n v="1500"/>
    <n v="1500"/>
    <x v="7"/>
    <d v="2012-02-10T00:00:00"/>
    <m/>
    <n v="9321680031"/>
    <n v="10"/>
    <s v="MSKU6858902"/>
    <s v="MAERSK ESSEN/1202"/>
    <m/>
    <s v="HONG KONG"/>
    <m/>
    <m/>
    <s v="JASON FAN"/>
    <s v="FO9"/>
    <s v="PERSONAL CARE                 "/>
    <s v="CONFIRMED"/>
    <n v="1"/>
    <n v="1"/>
    <d v="2012-01-06T00:00:00"/>
    <s v="LINEN PERS HOME CARE          "/>
    <s v="PERSONAL CARE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5181/000010"/>
    <n v="1370153369"/>
    <n v="10"/>
    <x v="23"/>
    <x v="23"/>
    <s v="N4"/>
    <n v="2820130100"/>
    <n v="32"/>
    <n v="634242"/>
    <s v="VC130100 STMC MINICOMP.PLAST 3B WHT FR            "/>
    <s v="S"/>
    <d v="2012-01-19T00:00:00"/>
    <m/>
    <s v="X"/>
    <x v="79"/>
    <n v="13.4033"/>
    <n v="11"/>
    <d v="2012-02-23T00:00:00"/>
    <d v="2012-01-19T00:00:00"/>
    <n v="1344"/>
    <d v="2012-01-19T00:00:00"/>
    <n v="1344"/>
    <m/>
    <d v="2012-01-19T00:00:00"/>
    <n v="1344"/>
    <d v="2012-02-23T00:00:00"/>
    <d v="2012-01-19T00:00:00"/>
    <n v="1344"/>
    <n v="1344"/>
    <x v="19"/>
    <d v="2012-02-21T00:00:00"/>
    <m/>
    <n v="9321680033"/>
    <n v="10"/>
    <s v="MFTU4110379"/>
    <s v="MAERSK EINDHOVEN 120"/>
    <m/>
    <s v="SHANGHAI"/>
    <m/>
    <m/>
    <s v="JASON FAN"/>
    <s v="FO9"/>
    <s v="ELECTRICAL COOKING            "/>
    <s v="CONFIRMED"/>
    <n v="1"/>
    <n v="3"/>
    <d v="2012-01-17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9178/000010"/>
    <n v="1370153597"/>
    <n v="10"/>
    <x v="27"/>
    <x v="27"/>
    <s v="K9"/>
    <n v="8000032134"/>
    <n v="29"/>
    <s v="EX1500FR       "/>
    <s v="EX1500FR ESP ALLEGRO COMBI BLK FR                 "/>
    <s v="S"/>
    <d v="2012-01-20T00:00:00"/>
    <m/>
    <s v="X"/>
    <x v="79"/>
    <n v="34.49"/>
    <n v="30"/>
    <d v="2012-02-24T00:00:00"/>
    <d v="2012-01-20T00:00:00"/>
    <n v="2136"/>
    <d v="2012-02-21T00:00:00"/>
    <n v="2136"/>
    <m/>
    <d v="2012-02-21T00:00:00"/>
    <n v="2136"/>
    <d v="2012-03-27T00:00:00"/>
    <d v="2012-02-21T00:00:00"/>
    <n v="2136"/>
    <n v="1068"/>
    <x v="21"/>
    <d v="2012-02-22T00:00:00"/>
    <m/>
    <n v="9321680042"/>
    <n v="10"/>
    <s v="MRKU0751073"/>
    <s v="GJERTRUD MAERSK 121W"/>
    <m/>
    <s v="YANTIAN"/>
    <s v="SP-MTL/SP-NO-FORECAST/"/>
    <m/>
    <s v="JASON FAN"/>
    <s v="FO9"/>
    <s v="BEVERAGE                      "/>
    <s v="CONFIRMED"/>
    <n v="1"/>
    <n v="3"/>
    <d v="2012-01-18T00:00:00"/>
    <s v="KITCHEN ELECTRICS             "/>
    <s v="BREAKFAST &amp; BREVAGE PREP      "/>
    <x v="2"/>
    <x v="1"/>
    <x v="9"/>
    <s v="SP-NO-FORECAST"/>
    <n v="1"/>
    <n v="-3"/>
    <x v="15"/>
    <n v="2"/>
    <x v="0"/>
    <x v="1"/>
    <x v="1"/>
    <n v="1"/>
    <n v="0"/>
    <n v="0"/>
    <n v="0"/>
    <n v="0"/>
    <n v="0"/>
    <x v="0"/>
    <x v="1"/>
    <x v="1"/>
    <x v="0"/>
  </r>
  <r>
    <s v="Shipment"/>
    <n v="99007325"/>
    <s v="Spedition Hendricks GmbH &amp; Co.KG                  "/>
    <n v="99008300"/>
    <x v="15"/>
    <s v="4500266187/000010"/>
    <n v="1370153855"/>
    <n v="10"/>
    <x v="27"/>
    <x v="27"/>
    <s v="N1"/>
    <n v="2100069092"/>
    <n v="52"/>
    <s v="WD150816       "/>
    <s v="WD150816 WMK WAFFLE TIME 1PL BLK/SS NE            "/>
    <s v="S"/>
    <d v="2012-02-01T00:00:00"/>
    <m/>
    <s v="X"/>
    <x v="80"/>
    <n v="10.64"/>
    <n v="9"/>
    <d v="2012-02-20T00:00:00"/>
    <d v="2012-01-16T00:00:00"/>
    <n v="2352"/>
    <d v="2012-01-16T00:00:00"/>
    <n v="4864"/>
    <m/>
    <d v="2012-01-20T00:00:00"/>
    <n v="2352"/>
    <d v="2012-02-24T00:00:00"/>
    <d v="2012-01-20T00:00:00"/>
    <n v="4864"/>
    <n v="4864"/>
    <x v="1"/>
    <d v="2012-02-27T00:00:00"/>
    <m/>
    <n v="9321680550"/>
    <n v="10"/>
    <s v="MOFU0781304"/>
    <s v="HYUNDAI NAVARINO/006"/>
    <m/>
    <s v="YANTIAN"/>
    <m/>
    <m/>
    <s v="AGNES NUNES"/>
    <s v="FO9"/>
    <s v="ELECTRICAL COOKING            "/>
    <s v="CONFIRMED"/>
    <n v="1"/>
    <n v="4"/>
    <d v="2012-01-23T00:00:00"/>
    <s v="KITCHEN ELECTRICS             "/>
    <s v="ELECTRICAL COOKING            "/>
    <x v="2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27/000010"/>
    <n v="1370153700"/>
    <n v="10"/>
    <x v="58"/>
    <x v="58"/>
    <s v="A3"/>
    <n v="2100066695"/>
    <n v="231"/>
    <s v="J0879664       "/>
    <s v="J0879664 ROUND CAKE24 STEEL COMM GREY T-          "/>
    <s v="S"/>
    <d v="2012-01-19T00:00:00"/>
    <m/>
    <s v="X"/>
    <x v="79"/>
    <n v="1.1399999999999999"/>
    <n v="2"/>
    <d v="2012-02-20T00:00:00"/>
    <d v="2012-01-16T00:00:00"/>
    <n v="1500"/>
    <d v="2012-01-16T00:00:00"/>
    <n v="1500"/>
    <m/>
    <d v="2012-01-16T00:00:00"/>
    <n v="1500"/>
    <d v="2012-02-20T00:00:00"/>
    <d v="2012-01-16T00:00:00"/>
    <n v="1500"/>
    <n v="1500"/>
    <x v="19"/>
    <d v="2012-02-21T00:00:00"/>
    <m/>
    <n v="9321680555"/>
    <n v="10"/>
    <s v="HLXU6426145"/>
    <s v="NYK NEBULA 25E02/"/>
    <m/>
    <s v="YANTIAN"/>
    <s v="CONS-SHIPT/"/>
    <m/>
    <s v="TWEETY LEUNG"/>
    <s v="FO9"/>
    <s v="COOKWARE                      "/>
    <s v="CONFIRMED"/>
    <n v="1"/>
    <n v="3"/>
    <d v="2012-01-17T00:00:00"/>
    <s v="COOKWARE                      "/>
    <s v="COOKWARE                      "/>
    <x v="5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726/000090"/>
    <n v="1370153917"/>
    <n v="90"/>
    <x v="0"/>
    <x v="0"/>
    <s v="A5"/>
    <n v="7117001289"/>
    <n v="236"/>
    <n v="117001289"/>
    <s v="010145060114 14 LID  GIOIOSA                      "/>
    <s v="S"/>
    <d v="2012-01-18T00:00:00"/>
    <m/>
    <s v="X"/>
    <x v="80"/>
    <n v="3.4780000000000002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249"/>
    <n v="10"/>
    <s v="XINU8112121"/>
    <s v="XIN LIAN YUN GANG/12"/>
    <m/>
    <s v="NINGBO"/>
    <m/>
    <m/>
    <s v="AGNES NUNES"/>
    <s v="FOC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726/000100"/>
    <n v="1370153917"/>
    <n v="100"/>
    <x v="0"/>
    <x v="0"/>
    <s v="A5"/>
    <n v="7117001290"/>
    <n v="236"/>
    <n v="117001290"/>
    <s v="010145060118 18 LID GIOIOSA                       "/>
    <s v="S"/>
    <d v="2012-01-18T00:00:00"/>
    <m/>
    <s v="X"/>
    <x v="80"/>
    <n v="3.9182000000000001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249"/>
    <n v="20"/>
    <s v="XINU8112121"/>
    <s v="XIN LIAN YUN GANG/12"/>
    <m/>
    <s v="NINGBO"/>
    <m/>
    <m/>
    <s v="AGNES NUNES"/>
    <s v="FOC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726/000110"/>
    <n v="1370153917"/>
    <n v="110"/>
    <x v="0"/>
    <x v="0"/>
    <s v="A5"/>
    <n v="7117001291"/>
    <n v="236"/>
    <n v="117001291"/>
    <s v="010145060122 22 LID GIOIOSA                       "/>
    <s v="S"/>
    <d v="2012-01-18T00:00:00"/>
    <m/>
    <s v="X"/>
    <x v="80"/>
    <n v="4.4874000000000001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249"/>
    <n v="30"/>
    <s v="UACU8142483"/>
    <s v="XIN LIAN YUN GANG/12"/>
    <m/>
    <s v="NINGBO"/>
    <m/>
    <m/>
    <s v="AGNES NUNES"/>
    <s v="FOC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726/000120"/>
    <n v="1370153917"/>
    <n v="120"/>
    <x v="0"/>
    <x v="0"/>
    <s v="A5"/>
    <n v="7117001292"/>
    <n v="236"/>
    <n v="117001292"/>
    <s v="010145060124 24 LID  GIOIOSA                      "/>
    <s v="S"/>
    <d v="2012-01-18T00:00:00"/>
    <m/>
    <s v="X"/>
    <x v="80"/>
    <n v="4.7923999999999998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249"/>
    <n v="40"/>
    <s v="XINU8112121"/>
    <s v="XIN LIAN YUN GANG/12"/>
    <m/>
    <s v="NINGBO"/>
    <m/>
    <m/>
    <s v="AGNES NUNES"/>
    <s v="FOC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726/000010"/>
    <n v="1370153917"/>
    <n v="10"/>
    <x v="0"/>
    <x v="0"/>
    <s v="A5"/>
    <n v="7115003480"/>
    <n v="205"/>
    <n v="115003480"/>
    <s v="010145031724 SHALLOW 24CM GIOIOSA                 "/>
    <s v="S"/>
    <d v="2012-01-18T00:00:00"/>
    <m/>
    <s v="X"/>
    <x v="81"/>
    <n v="12.738300000000001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10"/>
    <s v="XINU8112121"/>
    <s v="XIN LIAN YUN GANG/12"/>
    <m/>
    <s v="NINGBO"/>
    <m/>
    <m/>
    <s v="AGNES NUNES"/>
    <s v="FO9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726/000020"/>
    <n v="1370153917"/>
    <n v="20"/>
    <x v="0"/>
    <x v="0"/>
    <s v="A5"/>
    <n v="7115003479"/>
    <n v="205"/>
    <n v="115003479"/>
    <s v="010145031114 SAUCEPAN 14CM  GIOIOSA               "/>
    <s v="S"/>
    <d v="2012-01-18T00:00:00"/>
    <m/>
    <s v="X"/>
    <x v="81"/>
    <n v="6.4607000000000001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20"/>
    <s v="XINU8112121"/>
    <s v="XIN LIAN YUN GANG/12"/>
    <m/>
    <s v="NINGBO"/>
    <m/>
    <m/>
    <s v="AGNES NUNES"/>
    <s v="FO9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726/000030"/>
    <n v="1370153917"/>
    <n v="30"/>
    <x v="0"/>
    <x v="0"/>
    <s v="A5"/>
    <n v="7115003472"/>
    <n v="205"/>
    <n v="115003472"/>
    <s v="010145020418 STOCKPOT 18CM GIOIOSA                "/>
    <s v="S"/>
    <d v="2012-01-18T00:00:00"/>
    <m/>
    <s v="X"/>
    <x v="81"/>
    <n v="10.9011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30"/>
    <s v="UACU8142483"/>
    <s v="XIN LIAN YUN GANG/12"/>
    <m/>
    <s v="NINGBO"/>
    <m/>
    <m/>
    <s v="AGNES NUNES"/>
    <s v="FO9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726/000040"/>
    <n v="1370153917"/>
    <n v="40"/>
    <x v="0"/>
    <x v="0"/>
    <s v="A5"/>
    <n v="7115003473"/>
    <n v="205"/>
    <n v="115003473"/>
    <s v="010145020422 STOCKPOT 22CM GIOIOSA                "/>
    <s v="S"/>
    <d v="2012-01-18T00:00:00"/>
    <m/>
    <s v="X"/>
    <x v="81"/>
    <n v="13.805400000000001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40"/>
    <s v="UACU8142483"/>
    <s v="XIN LIAN YUN GANG/12"/>
    <m/>
    <s v="NINGBO"/>
    <m/>
    <m/>
    <s v="AGNES NUNES"/>
    <s v="FO9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726/000050"/>
    <n v="1370153917"/>
    <n v="50"/>
    <x v="0"/>
    <x v="0"/>
    <s v="A5"/>
    <n v="7115003474"/>
    <n v="205"/>
    <n v="115003474"/>
    <s v="010145020424 STOCKPOT 24CM GIOIOSA                "/>
    <s v="S"/>
    <d v="2012-01-18T00:00:00"/>
    <m/>
    <s v="X"/>
    <x v="81"/>
    <n v="15.3315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50"/>
    <s v="XINU8112121"/>
    <s v="XIN LIAN YUN GANG/12"/>
    <m/>
    <s v="NINGBO"/>
    <m/>
    <m/>
    <s v="AGNES NUNES"/>
    <s v="FO9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726/000060"/>
    <n v="1370153917"/>
    <n v="60"/>
    <x v="0"/>
    <x v="0"/>
    <s v="A5"/>
    <n v="7115003475"/>
    <n v="205"/>
    <n v="115003475"/>
    <s v="010145031018 STEPWOT 18CM  GIOIOSA                "/>
    <s v="S"/>
    <d v="2012-01-18T00:00:00"/>
    <m/>
    <s v="X"/>
    <x v="81"/>
    <n v="9.9776000000000007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60"/>
    <s v="UACU8142483"/>
    <s v="XIN LIAN YUN GANG/12"/>
    <m/>
    <s v="NINGBO"/>
    <m/>
    <m/>
    <s v="AGNES NUNES"/>
    <s v="FO9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726/000070"/>
    <n v="1370153917"/>
    <n v="70"/>
    <x v="0"/>
    <x v="0"/>
    <s v="A5"/>
    <n v="7115003476"/>
    <n v="205"/>
    <n v="115003476"/>
    <s v="010145031022 STEWPOT 22CM  GIOIOSA                "/>
    <s v="S"/>
    <d v="2012-01-18T00:00:00"/>
    <m/>
    <s v="X"/>
    <x v="81"/>
    <n v="12.4678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70"/>
    <s v="UACU8142483"/>
    <s v="XIN LIAN YUN GANG/12"/>
    <m/>
    <s v="NINGBO"/>
    <m/>
    <m/>
    <s v="AGNES NUNES"/>
    <s v="FO9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726/000080"/>
    <n v="1370153917"/>
    <n v="80"/>
    <x v="0"/>
    <x v="0"/>
    <s v="A5"/>
    <n v="7115003477"/>
    <n v="205"/>
    <n v="115003477"/>
    <s v="010145031024 STEWPOT 24CM  GIOIOSA                "/>
    <s v="S"/>
    <d v="2012-01-18T00:00:00"/>
    <m/>
    <s v="X"/>
    <x v="81"/>
    <n v="13.933400000000001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80"/>
    <s v="XINU8112121"/>
    <s v="XIN LIAN YUN GANG/12"/>
    <m/>
    <s v="NINGBO"/>
    <m/>
    <m/>
    <s v="AGNES NUNES"/>
    <s v="FO9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726/000130"/>
    <n v="1370153917"/>
    <n v="130"/>
    <x v="0"/>
    <x v="0"/>
    <s v="A5"/>
    <n v="7115003478"/>
    <n v="205"/>
    <n v="115003478"/>
    <s v="010145020712 MILKPOT  12CM GIOIOSA                "/>
    <s v="S"/>
    <d v="2012-01-18T00:00:00"/>
    <m/>
    <s v="X"/>
    <x v="81"/>
    <n v="6.1115000000000004"/>
    <n v="9"/>
    <d v="2012-02-16T00:00:00"/>
    <d v="2012-01-19T00:00:00"/>
    <n v="1000"/>
    <d v="2012-01-19T00:00:00"/>
    <n v="1000"/>
    <m/>
    <d v="2012-01-21T00:00:00"/>
    <n v="1000"/>
    <d v="2012-02-18T00:00:00"/>
    <d v="2012-01-21T00:00:00"/>
    <n v="1000"/>
    <n v="1000"/>
    <x v="19"/>
    <d v="2012-02-14T00:00:00"/>
    <m/>
    <n v="9321681310"/>
    <n v="90"/>
    <s v="XINU8112121"/>
    <s v="XIN LIAN YUN GANG/12"/>
    <m/>
    <s v="NINGBO"/>
    <m/>
    <m/>
    <s v="AGNES NUNES"/>
    <s v="FO9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1311/000010"/>
    <n v="1370153682"/>
    <n v="10"/>
    <x v="30"/>
    <x v="30"/>
    <s v="N4"/>
    <n v="7211000903"/>
    <n v="39"/>
    <n v="211000903"/>
    <s v="RK302EUS RC 8IN1 MULTIPURPOSE 10C SS US           "/>
    <s v="S"/>
    <d v="2012-01-09T00:00:00"/>
    <m/>
    <s v="X"/>
    <x v="79"/>
    <n v="32.8125"/>
    <n v="36"/>
    <d v="2012-02-05T00:00:00"/>
    <d v="2012-01-01T00:00:00"/>
    <n v="6000"/>
    <d v="2012-01-05T00:00:00"/>
    <n v="6000"/>
    <m/>
    <d v="2012-01-05T00:00:00"/>
    <n v="6000"/>
    <d v="2012-02-10T00:00:00"/>
    <d v="2012-01-06T00:00:00"/>
    <n v="6000"/>
    <n v="1500"/>
    <x v="12"/>
    <d v="2012-02-11T00:00:00"/>
    <m/>
    <n v="9321681370"/>
    <n v="10"/>
    <s v="CMAU5847646"/>
    <s v="ARTHUR MAERSK/553S"/>
    <m/>
    <s v="NINGBO"/>
    <s v="C-SHORTL/T/SP-HOLIDAY"/>
    <m/>
    <s v="TWEETY LEUNG"/>
    <s v="FO9"/>
    <s v="ELECTRICAL COOKING            "/>
    <s v="CONFIRMED"/>
    <n v="1"/>
    <n v="1"/>
    <d v="2012-01-07T00:00:00"/>
    <s v="KITCHEN ELECTRICS             "/>
    <s v="ELECTRICAL COOKING            "/>
    <x v="0"/>
    <x v="0"/>
    <x v="7"/>
    <s v="SP-HOLIDAY"/>
    <n v="-3"/>
    <n v="-3"/>
    <x v="6"/>
    <n v="3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1311/000010"/>
    <n v="1370153682"/>
    <n v="10"/>
    <x v="30"/>
    <x v="30"/>
    <s v="N4"/>
    <n v="7211000903"/>
    <n v="39"/>
    <n v="211000903"/>
    <s v="RK302EUS RC 8IN1 MULTIPURPOSE 10C SS US           "/>
    <s v="S"/>
    <d v="2012-01-09T00:00:00"/>
    <m/>
    <s v="X"/>
    <x v="79"/>
    <n v="32.8125"/>
    <n v="36"/>
    <d v="2012-02-05T00:00:00"/>
    <d v="2012-01-01T00:00:00"/>
    <n v="6000"/>
    <d v="2012-01-05T00:00:00"/>
    <n v="6000"/>
    <m/>
    <d v="2012-01-05T00:00:00"/>
    <n v="6000"/>
    <d v="2012-02-10T00:00:00"/>
    <d v="2012-01-06T00:00:00"/>
    <n v="6000"/>
    <n v="1500"/>
    <x v="12"/>
    <d v="2012-02-11T00:00:00"/>
    <m/>
    <n v="9321681370"/>
    <n v="10"/>
    <s v="ECMU9881240"/>
    <s v="ARTHUR MAERSK/553S"/>
    <m/>
    <s v="NINGBO"/>
    <s v="C-SHORTL/T/SP-HOLIDAY"/>
    <m/>
    <s v="TWEETY LEUNG"/>
    <s v="FO9"/>
    <s v="ELECTRICAL COOKING            "/>
    <s v="CONFIRMED"/>
    <n v="1"/>
    <n v="1"/>
    <d v="2012-01-07T00:00:00"/>
    <s v="KITCHEN ELECTRICS             "/>
    <s v="ELECTRICAL COOKING            "/>
    <x v="0"/>
    <x v="0"/>
    <x v="7"/>
    <s v="SP-HOLIDAY"/>
    <n v="-3"/>
    <n v="-3"/>
    <x v="6"/>
    <n v="3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1311/000010"/>
    <n v="1370153682"/>
    <n v="10"/>
    <x v="30"/>
    <x v="30"/>
    <s v="N4"/>
    <n v="7211000903"/>
    <n v="39"/>
    <n v="211000903"/>
    <s v="RK302EUS RC 8IN1 MULTIPURPOSE 10C SS US           "/>
    <s v="S"/>
    <d v="2012-01-09T00:00:00"/>
    <m/>
    <s v="X"/>
    <x v="79"/>
    <n v="32.8125"/>
    <n v="36"/>
    <d v="2012-02-05T00:00:00"/>
    <d v="2012-01-01T00:00:00"/>
    <n v="6000"/>
    <d v="2012-01-05T00:00:00"/>
    <n v="6000"/>
    <m/>
    <d v="2012-01-05T00:00:00"/>
    <n v="6000"/>
    <d v="2012-02-10T00:00:00"/>
    <d v="2012-01-06T00:00:00"/>
    <n v="6000"/>
    <n v="1500"/>
    <x v="12"/>
    <d v="2012-02-11T00:00:00"/>
    <m/>
    <n v="9321681370"/>
    <n v="10"/>
    <s v="ECMU9837926"/>
    <s v="ARTHUR MAERSK/553S"/>
    <m/>
    <s v="NINGBO"/>
    <s v="C-SHORTL/T/SP-HOLIDAY"/>
    <m/>
    <s v="TWEETY LEUNG"/>
    <s v="FO9"/>
    <s v="ELECTRICAL COOKING            "/>
    <s v="CONFIRMED"/>
    <n v="1"/>
    <n v="1"/>
    <d v="2012-01-07T00:00:00"/>
    <s v="KITCHEN ELECTRICS             "/>
    <s v="ELECTRICAL COOKING            "/>
    <x v="0"/>
    <x v="0"/>
    <x v="7"/>
    <s v="SP-HOLIDAY"/>
    <n v="-3"/>
    <n v="-3"/>
    <x v="6"/>
    <n v="3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1311/000010"/>
    <n v="1370153682"/>
    <n v="10"/>
    <x v="30"/>
    <x v="30"/>
    <s v="N4"/>
    <n v="7211000903"/>
    <n v="39"/>
    <n v="211000903"/>
    <s v="RK302EUS RC 8IN1 MULTIPURPOSE 10C SS US           "/>
    <s v="S"/>
    <d v="2012-01-09T00:00:00"/>
    <m/>
    <s v="X"/>
    <x v="79"/>
    <n v="32.8125"/>
    <n v="36"/>
    <d v="2012-02-05T00:00:00"/>
    <d v="2012-01-01T00:00:00"/>
    <n v="6000"/>
    <d v="2012-01-05T00:00:00"/>
    <n v="6000"/>
    <m/>
    <d v="2012-01-05T00:00:00"/>
    <n v="6000"/>
    <d v="2012-02-10T00:00:00"/>
    <d v="2012-01-06T00:00:00"/>
    <n v="6000"/>
    <n v="1500"/>
    <x v="12"/>
    <d v="2012-02-11T00:00:00"/>
    <m/>
    <n v="9321681370"/>
    <n v="10"/>
    <s v="GESU4255386"/>
    <s v="ARTHUR MAERSK/553S"/>
    <m/>
    <s v="NINGBO"/>
    <s v="C-SHORTL/T/SP-HOLIDAY"/>
    <m/>
    <s v="TWEETY LEUNG"/>
    <s v="FO9"/>
    <s v="ELECTRICAL COOKING            "/>
    <s v="CONFIRMED"/>
    <n v="1"/>
    <n v="1"/>
    <d v="2012-01-07T00:00:00"/>
    <s v="KITCHEN ELECTRICS             "/>
    <s v="ELECTRICAL COOKING            "/>
    <x v="0"/>
    <x v="0"/>
    <x v="7"/>
    <s v="SP-HOLIDAY"/>
    <n v="-3"/>
    <n v="-3"/>
    <x v="6"/>
    <n v="3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57870/000010"/>
    <n v="1370153992"/>
    <n v="10"/>
    <x v="40"/>
    <x v="40"/>
    <s v="L4"/>
    <n v="1830004158"/>
    <n v="175"/>
    <s v="CF6511C0       "/>
    <s v="CF6511C0 CURL ACTIV' ROTATING CURLING TO          "/>
    <s v="S"/>
    <d v="2012-01-18T00:00:00"/>
    <m/>
    <s v="X"/>
    <x v="81"/>
    <n v="16.98"/>
    <n v="15"/>
    <d v="2012-02-13T00:00:00"/>
    <d v="2012-01-09T00:00:00"/>
    <n v="3000"/>
    <d v="2012-01-17T00:00:00"/>
    <n v="3000"/>
    <m/>
    <d v="2012-01-09T00:00:00"/>
    <n v="3000"/>
    <d v="2012-02-21T00:00:00"/>
    <d v="2012-01-17T00:00:00"/>
    <n v="3000"/>
    <n v="3000"/>
    <x v="19"/>
    <d v="2012-02-21T00:00:00"/>
    <m/>
    <n v="9321681375"/>
    <n v="10"/>
    <s v="APHU6841264"/>
    <s v="APL DHAKA/002W"/>
    <m/>
    <s v="YANTIAN"/>
    <s v="CONS-SHIPT/"/>
    <m/>
    <s v="JASON FAN"/>
    <s v="FO9"/>
    <s v="PERSONAL CARE                 "/>
    <s v="CONFIRMED"/>
    <n v="1"/>
    <n v="3"/>
    <d v="2012-01-17T00:00:00"/>
    <s v="LINEN PERS HOME CARE          "/>
    <s v="PERSONAL CARE                 "/>
    <x v="3"/>
    <x v="2"/>
    <x v="10"/>
    <s v="CONS-SHIPT"/>
    <n v="-3"/>
    <n v="-3"/>
    <x v="8"/>
    <n v="1"/>
    <x v="0"/>
    <x v="0"/>
    <x v="1"/>
    <n v="0"/>
    <n v="1"/>
    <n v="0"/>
    <n v="0"/>
    <n v="0"/>
    <n v="1"/>
    <x v="0"/>
    <x v="0"/>
    <x v="0"/>
    <x v="0"/>
  </r>
  <r>
    <s v="Shipment"/>
    <n v="99103498"/>
    <s v="GSE/DSV BLP WAREHOUSE YANTIAN                     "/>
    <n v="99005151"/>
    <x v="18"/>
    <s v="9321680112/000010"/>
    <n v="1370153774"/>
    <n v="10"/>
    <x v="2"/>
    <x v="2"/>
    <s v="R1"/>
    <n v="8000033903"/>
    <n v="27"/>
    <s v="FG110540       "/>
    <s v="FG110540 CM MLX CM823 10/15T FILT NR/ARG          "/>
    <s v="S"/>
    <d v="2012-01-17T00:00:00"/>
    <m/>
    <s v="X"/>
    <x v="81"/>
    <n v="8.9"/>
    <n v="10"/>
    <d v="2012-01-19T00:00:00"/>
    <d v="2012-01-18T00:00:00"/>
    <n v="1320"/>
    <d v="2012-01-18T00:00:00"/>
    <n v="1320"/>
    <m/>
    <d v="2012-01-18T00:00:00"/>
    <n v="1320"/>
    <d v="2012-01-15T00:00:00"/>
    <d v="2012-01-14T00:00:00"/>
    <n v="1320"/>
    <n v="1320"/>
    <x v="9"/>
    <d v="2012-01-15T00:00:00"/>
    <m/>
    <n v="9321681388"/>
    <n v="10"/>
    <s v="BY TRUCK"/>
    <s v="BY TRUCK"/>
    <m/>
    <s v="YANTIAN"/>
    <m/>
    <m/>
    <s v="ZANDRA LAM"/>
    <s v="FO9"/>
    <s v="BEVERAGE                      "/>
    <s v="CONFIRMED"/>
    <n v="1"/>
    <n v="2"/>
    <d v="2012-01-14T00:00:00"/>
    <s v="KITCHEN ELECTRICS             "/>
    <s v="BREAKFAST &amp; BREVAGE PREP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402"/>
    <s v="GROUPE SEB (Thailand) Ltd                         "/>
    <n v="99006402"/>
    <x v="8"/>
    <s v="542/000001"/>
    <n v="1370153798"/>
    <n v="10"/>
    <x v="22"/>
    <x v="22"/>
    <s v="P3"/>
    <n v="7211000858"/>
    <n v="36"/>
    <n v="211000858"/>
    <s v="BL3121AD BLD BLENDFORCE GLASS TRIP +W&amp;D           "/>
    <s v="S"/>
    <d v="2012-01-10T00:00:00"/>
    <m/>
    <s v="X"/>
    <x v="81"/>
    <n v="21.1251"/>
    <n v="23"/>
    <d v="2012-01-20T00:00:00"/>
    <d v="2012-01-06T00:00:00"/>
    <n v="1080"/>
    <d v="2012-01-06T00:00:00"/>
    <n v="1080"/>
    <m/>
    <d v="2012-01-05T00:00:00"/>
    <n v="1080"/>
    <d v="2012-01-19T00:00:00"/>
    <d v="2012-01-05T00:00:00"/>
    <n v="1080"/>
    <n v="1077"/>
    <x v="12"/>
    <d v="2012-01-21T00:00:00"/>
    <m/>
    <n v="9321681555"/>
    <n v="10"/>
    <s v="ZIMU2940908"/>
    <s v="NINOS 121S"/>
    <m/>
    <s v="NINGBO"/>
    <s v="PARTIAL SHIP"/>
    <m/>
    <s v="TWEETY LEUNG"/>
    <s v="FO9"/>
    <s v="FOOD PREPARATION              "/>
    <s v="CONFIRMED"/>
    <n v="1"/>
    <n v="1"/>
    <d v="2012-01-07T00:00:00"/>
    <s v="KITCHEN ELECTRICS             "/>
    <s v="FOOD PREPARATION              "/>
    <x v="0"/>
    <x v="0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6216/000010"/>
    <n v="1370154035"/>
    <n v="10"/>
    <x v="55"/>
    <x v="55"/>
    <s v="P4"/>
    <n v="8000034614"/>
    <n v="77"/>
    <s v="QA404G15       "/>
    <s v="QA404G15 KTM MC GOURMET CONES RBK RED NE          "/>
    <s v="S"/>
    <d v="2012-02-01T00:00:00"/>
    <m/>
    <s v="X"/>
    <x v="82"/>
    <n v="74.72"/>
    <n v="65"/>
    <d v="2012-02-20T00:00:00"/>
    <d v="2012-01-16T00:00:00"/>
    <n v="700"/>
    <d v="2012-01-16T00:00:00"/>
    <n v="700"/>
    <m/>
    <d v="2012-01-16T00:00:00"/>
    <n v="700"/>
    <d v="2012-02-23T00:00:00"/>
    <d v="2012-01-19T00:00:00"/>
    <n v="700"/>
    <n v="620"/>
    <x v="14"/>
    <d v="2012-02-24T00:00:00"/>
    <m/>
    <n v="9321682363"/>
    <n v="10"/>
    <s v="APHU6853413"/>
    <s v="MOL MATRIX/010W"/>
    <m/>
    <s v="YANTIAN"/>
    <m/>
    <m/>
    <s v="AGNES NUNES"/>
    <s v="FO9"/>
    <s v="FOOD PREPARATION              "/>
    <s v="CONFIRMED"/>
    <n v="1"/>
    <n v="3"/>
    <d v="2012-01-20T00:00:00"/>
    <s v="KITCHEN ELECTRICS             "/>
    <s v="FOOD PREPARATION        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8300"/>
    <x v="15"/>
    <s v="4500266216/000010"/>
    <n v="1370154035"/>
    <n v="10"/>
    <x v="55"/>
    <x v="55"/>
    <s v="P4"/>
    <n v="8000034614"/>
    <n v="77"/>
    <s v="QA404G15       "/>
    <s v="QA404G15 KTM MC GOURMET CONES RBK RED NE          "/>
    <s v="S"/>
    <d v="2012-02-01T00:00:00"/>
    <m/>
    <s v="X"/>
    <x v="82"/>
    <n v="74.72"/>
    <n v="65"/>
    <d v="2012-02-20T00:00:00"/>
    <d v="2012-01-16T00:00:00"/>
    <n v="700"/>
    <d v="2012-01-16T00:00:00"/>
    <n v="700"/>
    <m/>
    <d v="2012-01-16T00:00:00"/>
    <n v="700"/>
    <d v="2012-02-23T00:00:00"/>
    <d v="2012-01-19T00:00:00"/>
    <n v="700"/>
    <n v="80"/>
    <x v="14"/>
    <d v="2012-02-24T00:00:00"/>
    <m/>
    <n v="9321682363"/>
    <n v="10"/>
    <s v="APHU6011523"/>
    <s v="MOL MATRIX/010W"/>
    <m/>
    <s v="YANTIAN"/>
    <m/>
    <m/>
    <s v="AGNES NUNES"/>
    <s v="FO9"/>
    <s v="FOOD PREPARATION              "/>
    <s v="CONFIRMED"/>
    <n v="1"/>
    <n v="3"/>
    <d v="2012-01-20T00:00:00"/>
    <s v="KITCHEN ELECTRICS             "/>
    <s v="FOOD PREPARATION        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221"/>
    <s v="GROUPE SEB CANADA INC                             "/>
    <n v="99003200"/>
    <x v="27"/>
    <s v="22612/039801"/>
    <n v="1370154228"/>
    <n v="10"/>
    <x v="40"/>
    <x v="40"/>
    <s v="L4"/>
    <n v="1830004092"/>
    <n v="175"/>
    <s v="CF6528U1       "/>
    <s v="CF6528U1 CURL ACTIV IRON                          "/>
    <s v="S"/>
    <d v="2012-02-03T00:00:00"/>
    <m/>
    <s v="X"/>
    <x v="83"/>
    <n v="25.06"/>
    <n v="29"/>
    <d v="2012-02-10T00:00:00"/>
    <d v="2012-01-13T00:00:00"/>
    <n v="1500"/>
    <d v="2012-01-25T00:00:00"/>
    <n v="1500"/>
    <m/>
    <d v="2012-01-13T00:00:00"/>
    <n v="1500"/>
    <d v="2012-02-22T00:00:00"/>
    <d v="2012-01-25T00:00:00"/>
    <n v="1500"/>
    <n v="1500"/>
    <x v="27"/>
    <d v="2012-02-22T00:00:00"/>
    <m/>
    <n v="9321682899"/>
    <n v="10"/>
    <s v="OOLU7414041"/>
    <s v="HONG KONG EXPRESS 60"/>
    <m/>
    <s v="YANTIAN"/>
    <s v="CONS-SHIPT/"/>
    <m/>
    <s v="TWEETY LEUNG"/>
    <s v="FO9"/>
    <s v="PERSONAL CARE                 "/>
    <s v="CONFIRMED"/>
    <n v="1"/>
    <n v="4"/>
    <d v="2012-01-25T00:00:00"/>
    <s v="LINEN PERS HOME CARE          "/>
    <s v="PERSONAL CARE                 "/>
    <x v="3"/>
    <x v="2"/>
    <x v="10"/>
    <s v="CONS-SHIPT"/>
    <n v="-3"/>
    <n v="-3"/>
    <x v="8"/>
    <n v="1"/>
    <x v="0"/>
    <x v="0"/>
    <x v="1"/>
    <n v="0"/>
    <n v="1"/>
    <n v="0"/>
    <n v="0"/>
    <n v="0"/>
    <n v="1"/>
    <x v="0"/>
    <x v="0"/>
    <x v="0"/>
    <x v="0"/>
  </r>
  <r>
    <s v="Shipment"/>
    <n v="99003700"/>
    <s v="SEB ASIA LTD                                      "/>
    <n v="99003700"/>
    <x v="7"/>
    <s v="SAS-10-349/HKG/"/>
    <n v="1370154299"/>
    <n v="10"/>
    <x v="46"/>
    <x v="46"/>
    <s v="L4"/>
    <n v="1830003509"/>
    <n v="175"/>
    <s v="CF4032M0       "/>
    <s v="CF4032M0 MULTI STYLER APPLIANCE                   "/>
    <s v="S"/>
    <d v="2012-01-11T00:00:00"/>
    <m/>
    <s v="X"/>
    <x v="83"/>
    <n v="15.23"/>
    <n v="16"/>
    <d v="2012-01-24T00:00:00"/>
    <d v="2012-01-10T00:00:00"/>
    <n v="1002"/>
    <d v="2012-01-10T00:00:00"/>
    <n v="1002"/>
    <m/>
    <d v="2012-01-10T00:00:00"/>
    <n v="1002"/>
    <d v="2012-01-24T00:00:00"/>
    <d v="2012-01-10T00:00:00"/>
    <n v="1002"/>
    <n v="1002"/>
    <x v="10"/>
    <d v="2012-01-26T00:00:00"/>
    <m/>
    <n v="9321683038"/>
    <n v="10"/>
    <s v="TRUCK"/>
    <s v="LOCAL DELIVERY"/>
    <m/>
    <s v="YANTIAN"/>
    <m/>
    <m/>
    <s v="THOMAS HO"/>
    <s v="FO9"/>
    <s v="PERSONAL CARE                 "/>
    <s v="CONFIRMED"/>
    <n v="1"/>
    <n v="2"/>
    <d v="2012-01-12T00:00:00"/>
    <s v="LINEN PERS HOME CARE          "/>
    <s v="PERSONAL CARE                 "/>
    <x v="3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6199/000010"/>
    <n v="1370153819"/>
    <n v="10"/>
    <x v="16"/>
    <x v="16"/>
    <s v="L4"/>
    <n v="1830003966"/>
    <n v="5"/>
    <s v="CV7650E0       "/>
    <s v="CV7650E0 SILENCE RESPECT HAIR DRYER AC            "/>
    <s v="S"/>
    <d v="2012-01-21T00:00:00"/>
    <m/>
    <s v="X"/>
    <x v="84"/>
    <n v="17.13"/>
    <n v="35"/>
    <d v="2012-03-13T00:00:00"/>
    <d v="2012-02-07T00:00:00"/>
    <n v="2848"/>
    <d v="2012-01-19T00:00:00"/>
    <n v="2848"/>
    <m/>
    <d v="2012-02-06T00:00:00"/>
    <n v="2848"/>
    <d v="2012-02-20T00:00:00"/>
    <d v="2012-01-16T00:00:00"/>
    <n v="2848"/>
    <n v="2848"/>
    <x v="14"/>
    <d v="2012-02-24T00:00:00"/>
    <m/>
    <n v="9321683589"/>
    <n v="10"/>
    <s v="MRKU8240850"/>
    <s v="MAERSK LAGUNA/1202"/>
    <m/>
    <s v="YANTIAN"/>
    <s v="BU-ETD-TEMP/"/>
    <m/>
    <s v="KENUS WONG"/>
    <s v="FO9"/>
    <s v="PERSONAL CARE                 "/>
    <s v="CONFIRMED"/>
    <n v="1"/>
    <n v="3"/>
    <d v="2012-01-20T00:00:00"/>
    <s v="LINEN PERS HOME CARE          "/>
    <s v="PERSONAL CARE                 "/>
    <x v="3"/>
    <x v="2"/>
    <x v="4"/>
    <s v="BU-ETD-TEMP"/>
    <n v="-3"/>
    <n v="-3"/>
    <x v="3"/>
    <n v="1"/>
    <x v="0"/>
    <x v="0"/>
    <x v="0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82060/000010"/>
    <n v="1370154433"/>
    <n v="10"/>
    <x v="2"/>
    <x v="2"/>
    <s v="R1"/>
    <n v="1500634513"/>
    <n v="27"/>
    <n v="634513"/>
    <s v="FG110800 FCM SUBITO 10C BLK/RED FR                "/>
    <s v="S"/>
    <d v="2012-01-16T00:00:00"/>
    <m/>
    <s v="X"/>
    <x v="84"/>
    <n v="9.16"/>
    <n v="8"/>
    <d v="2012-03-16T00:00:00"/>
    <d v="2012-02-10T00:00:00"/>
    <n v="2670"/>
    <d v="2012-01-15T00:00:00"/>
    <n v="2670"/>
    <m/>
    <d v="2012-02-15T00:00:00"/>
    <n v="2670"/>
    <d v="2012-02-17T00:00:00"/>
    <d v="2012-01-13T00:00:00"/>
    <n v="2670"/>
    <n v="2670"/>
    <x v="9"/>
    <d v="2012-02-18T00:00:00"/>
    <m/>
    <n v="9321683707"/>
    <n v="10"/>
    <s v="MAEU6297341"/>
    <s v="CMA CGM A VESPUCCI/1"/>
    <m/>
    <s v="YANTIAN"/>
    <s v="SP-OVERCAP/"/>
    <m/>
    <s v="JASON FAN"/>
    <s v="FO9"/>
    <s v="BEVERAGE                      "/>
    <s v="CONFIRMED"/>
    <n v="1"/>
    <n v="2"/>
    <d v="2012-01-14T00:00:00"/>
    <s v="KITCHEN ELECTRICS             "/>
    <s v="BREAKFAST &amp; BREVAGE PREP      "/>
    <x v="1"/>
    <x v="1"/>
    <x v="11"/>
    <s v="SP-OVERCAP"/>
    <n v="-3"/>
    <n v="-3"/>
    <x v="9"/>
    <n v="1"/>
    <x v="0"/>
    <x v="0"/>
    <x v="0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82/000010"/>
    <n v="1370153659"/>
    <n v="10"/>
    <x v="0"/>
    <x v="0"/>
    <s v="A1"/>
    <n v="2100069043"/>
    <n v="205"/>
    <s v="E9279764       "/>
    <s v="E9279764 SAUCIER 16(1QT) EMERIL SS NAT C          "/>
    <s v="S"/>
    <d v="2012-01-17T00:00:00"/>
    <m/>
    <s v="X"/>
    <x v="84"/>
    <n v="7.6955999999999998"/>
    <n v="8"/>
    <d v="2012-02-20T00:00:00"/>
    <d v="2012-01-16T00:00:00"/>
    <n v="7292"/>
    <d v="2012-01-16T00:00:00"/>
    <n v="7292"/>
    <m/>
    <d v="2012-01-20T00:00:00"/>
    <n v="7292"/>
    <d v="2012-02-17T00:00:00"/>
    <d v="2012-01-13T00:00:00"/>
    <n v="7292"/>
    <n v="7292"/>
    <x v="9"/>
    <d v="2012-02-18T00:00:00"/>
    <m/>
    <n v="9321683757"/>
    <n v="10"/>
    <s v="TGHU9898599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79/000010"/>
    <n v="1370153663"/>
    <n v="10"/>
    <x v="0"/>
    <x v="0"/>
    <s v="A1"/>
    <n v="2100068843"/>
    <n v="205"/>
    <s v="E9279364       "/>
    <s v="E9279364 HIGH SCP18LID EMERIL SS NAT CHA          "/>
    <s v="S"/>
    <d v="2012-01-17T00:00:00"/>
    <m/>
    <s v="X"/>
    <x v="84"/>
    <n v="11.5143"/>
    <n v="11"/>
    <d v="2012-02-20T00:00:00"/>
    <d v="2012-01-16T00:00:00"/>
    <n v="2392"/>
    <d v="2012-01-16T00:00:00"/>
    <n v="2392"/>
    <m/>
    <d v="2012-01-20T00:00:00"/>
    <n v="2392"/>
    <d v="2012-02-17T00:00:00"/>
    <d v="2012-01-13T00:00:00"/>
    <n v="2392"/>
    <n v="100"/>
    <x v="9"/>
    <d v="2012-02-18T00:00:00"/>
    <m/>
    <n v="9321683760"/>
    <n v="10"/>
    <s v="TGHU9898599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79/000010"/>
    <n v="1370153663"/>
    <n v="10"/>
    <x v="0"/>
    <x v="0"/>
    <s v="A1"/>
    <n v="2100068843"/>
    <n v="205"/>
    <s v="E9279364       "/>
    <s v="E9279364 HIGH SCP18LID EMERIL SS NAT CHA          "/>
    <s v="S"/>
    <d v="2012-01-17T00:00:00"/>
    <m/>
    <s v="X"/>
    <x v="84"/>
    <n v="11.5143"/>
    <n v="11"/>
    <d v="2012-02-20T00:00:00"/>
    <d v="2012-01-16T00:00:00"/>
    <n v="2392"/>
    <d v="2012-01-16T00:00:00"/>
    <n v="2392"/>
    <m/>
    <d v="2012-01-20T00:00:00"/>
    <n v="2392"/>
    <d v="2012-02-17T00:00:00"/>
    <d v="2012-01-13T00:00:00"/>
    <n v="2392"/>
    <n v="1852"/>
    <x v="9"/>
    <d v="2012-02-18T00:00:00"/>
    <m/>
    <n v="9321683760"/>
    <n v="10"/>
    <s v="CMAU4237079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79/000010"/>
    <n v="1370153663"/>
    <n v="10"/>
    <x v="0"/>
    <x v="0"/>
    <s v="A1"/>
    <n v="2100068843"/>
    <n v="205"/>
    <s v="E9279364       "/>
    <s v="E9279364 HIGH SCP18LID EMERIL SS NAT CHA          "/>
    <s v="S"/>
    <d v="2012-01-17T00:00:00"/>
    <m/>
    <s v="X"/>
    <x v="84"/>
    <n v="11.5143"/>
    <n v="11"/>
    <d v="2012-02-20T00:00:00"/>
    <d v="2012-01-16T00:00:00"/>
    <n v="2392"/>
    <d v="2012-01-16T00:00:00"/>
    <n v="2392"/>
    <m/>
    <d v="2012-01-20T00:00:00"/>
    <n v="2392"/>
    <d v="2012-02-17T00:00:00"/>
    <d v="2012-01-13T00:00:00"/>
    <n v="2392"/>
    <n v="440"/>
    <x v="9"/>
    <d v="2012-02-18T00:00:00"/>
    <m/>
    <n v="9321683760"/>
    <n v="10"/>
    <s v="ECMU9631344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74/000010"/>
    <n v="1370153677"/>
    <n v="10"/>
    <x v="0"/>
    <x v="0"/>
    <s v="A1"/>
    <n v="2100068841"/>
    <n v="204"/>
    <s v="E9288264       "/>
    <s v="E9288264 STP31LID EMERIL HARD ENAMEL BLA          "/>
    <s v="S"/>
    <d v="2012-02-01T00:00:00"/>
    <m/>
    <s v="X"/>
    <x v="84"/>
    <n v="18.272400000000001"/>
    <n v="19"/>
    <d v="2012-02-20T00:00:00"/>
    <d v="2012-01-16T00:00:00"/>
    <n v="1000"/>
    <d v="2012-01-16T00:00:00"/>
    <n v="1000"/>
    <m/>
    <d v="2012-01-20T00:00:00"/>
    <n v="1000"/>
    <d v="2012-02-24T00:00:00"/>
    <d v="2012-01-20T00:00:00"/>
    <n v="1000"/>
    <n v="1000"/>
    <x v="14"/>
    <d v="2012-02-24T00:00:00"/>
    <m/>
    <n v="9321683767"/>
    <n v="10"/>
    <s v="ECMU9867330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73/000010"/>
    <n v="1370153678"/>
    <n v="10"/>
    <x v="0"/>
    <x v="0"/>
    <s v="A1"/>
    <n v="2100068840"/>
    <n v="204"/>
    <s v="E9280764       "/>
    <s v="E9280764 FP30 EMERIL HARD ENAMEL BLACK R          "/>
    <s v="S"/>
    <d v="2012-02-01T00:00:00"/>
    <m/>
    <s v="X"/>
    <x v="84"/>
    <n v="12.0236"/>
    <n v="13"/>
    <d v="2012-02-20T00:00:00"/>
    <d v="2012-01-16T00:00:00"/>
    <n v="4452"/>
    <d v="2012-01-16T00:00:00"/>
    <n v="4452"/>
    <m/>
    <d v="2012-01-20T00:00:00"/>
    <n v="4452"/>
    <d v="2012-02-24T00:00:00"/>
    <d v="2012-01-20T00:00:00"/>
    <n v="4452"/>
    <n v="2900"/>
    <x v="14"/>
    <d v="2012-02-24T00:00:00"/>
    <m/>
    <n v="9321683768"/>
    <n v="10"/>
    <s v="CAXU9151059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73/000010"/>
    <n v="1370153678"/>
    <n v="10"/>
    <x v="0"/>
    <x v="0"/>
    <s v="A1"/>
    <n v="2100068840"/>
    <n v="204"/>
    <s v="E9280764       "/>
    <s v="E9280764 FP30 EMERIL HARD ENAMEL BLACK R          "/>
    <s v="S"/>
    <d v="2012-02-01T00:00:00"/>
    <m/>
    <s v="X"/>
    <x v="84"/>
    <n v="12.0236"/>
    <n v="13"/>
    <d v="2012-02-20T00:00:00"/>
    <d v="2012-01-16T00:00:00"/>
    <n v="4452"/>
    <d v="2012-01-16T00:00:00"/>
    <n v="4452"/>
    <m/>
    <d v="2012-01-20T00:00:00"/>
    <n v="4452"/>
    <d v="2012-02-24T00:00:00"/>
    <d v="2012-01-20T00:00:00"/>
    <n v="4452"/>
    <n v="400"/>
    <x v="14"/>
    <d v="2012-02-24T00:00:00"/>
    <m/>
    <n v="9321683768"/>
    <n v="10"/>
    <s v="ECMU9867330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73/000010"/>
    <n v="1370153678"/>
    <n v="10"/>
    <x v="0"/>
    <x v="0"/>
    <s v="A1"/>
    <n v="2100068840"/>
    <n v="204"/>
    <s v="E9280764       "/>
    <s v="E9280764 FP30 EMERIL HARD ENAMEL BLACK R          "/>
    <s v="S"/>
    <d v="2012-02-01T00:00:00"/>
    <m/>
    <s v="X"/>
    <x v="84"/>
    <n v="12.0236"/>
    <n v="13"/>
    <d v="2012-02-20T00:00:00"/>
    <d v="2012-01-16T00:00:00"/>
    <n v="4452"/>
    <d v="2012-01-16T00:00:00"/>
    <n v="4452"/>
    <m/>
    <d v="2012-01-20T00:00:00"/>
    <n v="4452"/>
    <d v="2012-02-24T00:00:00"/>
    <d v="2012-01-20T00:00:00"/>
    <n v="4452"/>
    <n v="1152"/>
    <x v="14"/>
    <d v="2012-02-24T00:00:00"/>
    <m/>
    <n v="9321683768"/>
    <n v="10"/>
    <s v="CAXU9969868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84/000010"/>
    <n v="1370153685"/>
    <n v="10"/>
    <x v="0"/>
    <x v="0"/>
    <s v="A1"/>
    <n v="2100068851"/>
    <n v="208"/>
    <s v="E926SC64       "/>
    <s v="E926SC64 SET 12P EMERIL NAT CHAINS HARD           "/>
    <s v="S"/>
    <d v="2012-02-01T00:00:00"/>
    <m/>
    <s v="X"/>
    <x v="84"/>
    <n v="69.444199999999995"/>
    <n v="73"/>
    <d v="2012-02-20T00:00:00"/>
    <d v="2012-01-16T00:00:00"/>
    <n v="1000"/>
    <d v="2012-01-16T00:00:00"/>
    <n v="1000"/>
    <m/>
    <d v="2012-01-20T00:00:00"/>
    <n v="1000"/>
    <d v="2012-02-24T00:00:00"/>
    <d v="2012-01-20T00:00:00"/>
    <n v="1000"/>
    <n v="940"/>
    <x v="14"/>
    <d v="2012-02-24T00:00:00"/>
    <m/>
    <n v="9321683770"/>
    <n v="10"/>
    <s v="CAXU9924436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84/000010"/>
    <n v="1370153685"/>
    <n v="10"/>
    <x v="0"/>
    <x v="0"/>
    <s v="A1"/>
    <n v="2100068851"/>
    <n v="208"/>
    <s v="E926SC64       "/>
    <s v="E926SC64 SET 12P EMERIL NAT CHAINS HARD           "/>
    <s v="S"/>
    <d v="2012-02-01T00:00:00"/>
    <m/>
    <s v="X"/>
    <x v="84"/>
    <n v="69.444199999999995"/>
    <n v="73"/>
    <d v="2012-02-20T00:00:00"/>
    <d v="2012-01-16T00:00:00"/>
    <n v="1000"/>
    <d v="2012-01-16T00:00:00"/>
    <n v="1000"/>
    <m/>
    <d v="2012-01-20T00:00:00"/>
    <n v="1000"/>
    <d v="2012-02-24T00:00:00"/>
    <d v="2012-01-20T00:00:00"/>
    <n v="1000"/>
    <n v="60"/>
    <x v="14"/>
    <d v="2012-02-24T00:00:00"/>
    <m/>
    <n v="9321683770"/>
    <n v="10"/>
    <s v="CZZU9796082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80/000010"/>
    <n v="1370153686"/>
    <n v="10"/>
    <x v="0"/>
    <x v="0"/>
    <s v="A1"/>
    <n v="2100068844"/>
    <n v="205"/>
    <s v="E9274664       "/>
    <s v="E9274664 D.OV24LID EMERIL SS NAT CHAINS           "/>
    <s v="S"/>
    <d v="2012-01-17T00:00:00"/>
    <m/>
    <s v="X"/>
    <x v="84"/>
    <n v="13.7803"/>
    <n v="14"/>
    <d v="2012-02-20T00:00:00"/>
    <d v="2012-01-16T00:00:00"/>
    <n v="1720"/>
    <d v="2012-01-16T00:00:00"/>
    <n v="1720"/>
    <m/>
    <d v="2012-01-20T00:00:00"/>
    <n v="1720"/>
    <d v="2012-02-17T00:00:00"/>
    <d v="2012-01-13T00:00:00"/>
    <n v="1720"/>
    <n v="1720"/>
    <x v="9"/>
    <d v="2012-02-18T00:00:00"/>
    <m/>
    <n v="9321683771"/>
    <n v="10"/>
    <s v="CMAU4237079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81/000010"/>
    <n v="1370153687"/>
    <n v="10"/>
    <x v="0"/>
    <x v="0"/>
    <s v="A1"/>
    <n v="2100068845"/>
    <n v="205"/>
    <s v="E927SC64       "/>
    <s v="E927SC64 SET 12P EMERIL SS NAT CHAINS US          "/>
    <s v="S"/>
    <d v="2012-01-17T00:00:00"/>
    <m/>
    <s v="X"/>
    <x v="84"/>
    <n v="73.323999999999998"/>
    <n v="73"/>
    <d v="2012-02-20T00:00:00"/>
    <d v="2012-01-16T00:00:00"/>
    <n v="4850"/>
    <d v="2012-01-16T00:00:00"/>
    <n v="4847"/>
    <m/>
    <d v="2012-01-20T00:00:00"/>
    <n v="4850"/>
    <d v="2012-02-17T00:00:00"/>
    <d v="2012-01-13T00:00:00"/>
    <n v="4847"/>
    <n v="850"/>
    <x v="9"/>
    <d v="2012-02-18T00:00:00"/>
    <m/>
    <n v="9321683772"/>
    <n v="10"/>
    <s v="CLHU8620925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81/000010"/>
    <n v="1370153687"/>
    <n v="10"/>
    <x v="0"/>
    <x v="0"/>
    <s v="A1"/>
    <n v="2100068845"/>
    <n v="205"/>
    <s v="E927SC64       "/>
    <s v="E927SC64 SET 12P EMERIL SS NAT CHAINS US          "/>
    <s v="S"/>
    <d v="2012-01-17T00:00:00"/>
    <m/>
    <s v="X"/>
    <x v="84"/>
    <n v="73.323999999999998"/>
    <n v="73"/>
    <d v="2012-02-20T00:00:00"/>
    <d v="2012-01-16T00:00:00"/>
    <n v="4850"/>
    <d v="2012-01-16T00:00:00"/>
    <n v="4847"/>
    <m/>
    <d v="2012-01-20T00:00:00"/>
    <n v="4850"/>
    <d v="2012-02-17T00:00:00"/>
    <d v="2012-01-13T00:00:00"/>
    <n v="4847"/>
    <n v="850"/>
    <x v="9"/>
    <d v="2012-02-18T00:00:00"/>
    <m/>
    <n v="9321683772"/>
    <n v="10"/>
    <s v="INKU6307980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81/000010"/>
    <n v="1370153687"/>
    <n v="10"/>
    <x v="0"/>
    <x v="0"/>
    <s v="A1"/>
    <n v="2100068845"/>
    <n v="205"/>
    <s v="E927SC64       "/>
    <s v="E927SC64 SET 12P EMERIL SS NAT CHAINS US          "/>
    <s v="S"/>
    <d v="2012-01-17T00:00:00"/>
    <m/>
    <s v="X"/>
    <x v="84"/>
    <n v="73.323999999999998"/>
    <n v="73"/>
    <d v="2012-02-20T00:00:00"/>
    <d v="2012-01-16T00:00:00"/>
    <n v="4850"/>
    <d v="2012-01-16T00:00:00"/>
    <n v="4847"/>
    <m/>
    <d v="2012-01-20T00:00:00"/>
    <n v="4850"/>
    <d v="2012-02-17T00:00:00"/>
    <d v="2012-01-13T00:00:00"/>
    <n v="4847"/>
    <n v="850"/>
    <x v="9"/>
    <d v="2012-02-18T00:00:00"/>
    <m/>
    <n v="9321683772"/>
    <n v="10"/>
    <s v="ECMU9497317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81/000010"/>
    <n v="1370153687"/>
    <n v="10"/>
    <x v="0"/>
    <x v="0"/>
    <s v="A1"/>
    <n v="2100068845"/>
    <n v="205"/>
    <s v="E927SC64       "/>
    <s v="E927SC64 SET 12P EMERIL SS NAT CHAINS US          "/>
    <s v="S"/>
    <d v="2012-01-17T00:00:00"/>
    <m/>
    <s v="X"/>
    <x v="84"/>
    <n v="73.323999999999998"/>
    <n v="73"/>
    <d v="2012-02-20T00:00:00"/>
    <d v="2012-01-16T00:00:00"/>
    <n v="4850"/>
    <d v="2012-01-16T00:00:00"/>
    <n v="4847"/>
    <m/>
    <d v="2012-01-20T00:00:00"/>
    <n v="4850"/>
    <d v="2012-02-17T00:00:00"/>
    <d v="2012-01-13T00:00:00"/>
    <n v="4847"/>
    <n v="850"/>
    <x v="9"/>
    <d v="2012-02-18T00:00:00"/>
    <m/>
    <n v="9321683772"/>
    <n v="10"/>
    <s v="TCNU9912545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81/000010"/>
    <n v="1370153687"/>
    <n v="10"/>
    <x v="0"/>
    <x v="0"/>
    <s v="A1"/>
    <n v="2100068845"/>
    <n v="205"/>
    <s v="E927SC64       "/>
    <s v="E927SC64 SET 12P EMERIL SS NAT CHAINS US          "/>
    <s v="S"/>
    <d v="2012-01-17T00:00:00"/>
    <m/>
    <s v="X"/>
    <x v="84"/>
    <n v="73.323999999999998"/>
    <n v="73"/>
    <d v="2012-02-20T00:00:00"/>
    <d v="2012-01-16T00:00:00"/>
    <n v="4850"/>
    <d v="2012-01-16T00:00:00"/>
    <n v="4847"/>
    <m/>
    <d v="2012-01-20T00:00:00"/>
    <n v="4850"/>
    <d v="2012-02-17T00:00:00"/>
    <d v="2012-01-13T00:00:00"/>
    <n v="4847"/>
    <n v="597"/>
    <x v="9"/>
    <d v="2012-02-18T00:00:00"/>
    <m/>
    <n v="9321683772"/>
    <n v="10"/>
    <s v="CMAU5655495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81/000010"/>
    <n v="1370153687"/>
    <n v="10"/>
    <x v="0"/>
    <x v="0"/>
    <s v="A1"/>
    <n v="2100068845"/>
    <n v="205"/>
    <s v="E927SC64       "/>
    <s v="E927SC64 SET 12P EMERIL SS NAT CHAINS US          "/>
    <s v="S"/>
    <d v="2012-01-17T00:00:00"/>
    <m/>
    <s v="X"/>
    <x v="84"/>
    <n v="73.323999999999998"/>
    <n v="73"/>
    <d v="2012-02-20T00:00:00"/>
    <d v="2012-01-16T00:00:00"/>
    <n v="4850"/>
    <d v="2012-01-16T00:00:00"/>
    <n v="4847"/>
    <m/>
    <d v="2012-01-20T00:00:00"/>
    <n v="4850"/>
    <d v="2012-02-17T00:00:00"/>
    <d v="2012-01-13T00:00:00"/>
    <n v="4847"/>
    <n v="850"/>
    <x v="9"/>
    <d v="2012-02-18T00:00:00"/>
    <m/>
    <n v="9321683772"/>
    <n v="10"/>
    <s v="GESU5873938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75/000010"/>
    <n v="1370153688"/>
    <n v="10"/>
    <x v="0"/>
    <x v="0"/>
    <s v="A1"/>
    <n v="2100068842"/>
    <n v="204"/>
    <s v="E928SA64       "/>
    <s v="E928SA64 SET 10P EMERIL HARD ENAMEL BLAC          "/>
    <s v="S"/>
    <d v="2012-02-01T00:00:00"/>
    <m/>
    <s v="X"/>
    <x v="84"/>
    <n v="67.015600000000006"/>
    <n v="74"/>
    <d v="2012-02-20T00:00:00"/>
    <d v="2012-01-16T00:00:00"/>
    <n v="3350"/>
    <d v="2012-01-16T00:00:00"/>
    <n v="3347"/>
    <m/>
    <d v="2012-01-20T00:00:00"/>
    <n v="3353"/>
    <d v="2012-02-24T00:00:00"/>
    <d v="2012-01-20T00:00:00"/>
    <n v="3347"/>
    <n v="1078"/>
    <x v="14"/>
    <d v="2012-02-24T00:00:00"/>
    <m/>
    <n v="9321683773"/>
    <n v="10"/>
    <s v="CAXU9214265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75/000010"/>
    <n v="1370153688"/>
    <n v="10"/>
    <x v="0"/>
    <x v="0"/>
    <s v="A1"/>
    <n v="2100068842"/>
    <n v="204"/>
    <s v="E928SA64       "/>
    <s v="E928SA64 SET 10P EMERIL HARD ENAMEL BLAC          "/>
    <s v="S"/>
    <d v="2012-02-01T00:00:00"/>
    <m/>
    <s v="X"/>
    <x v="84"/>
    <n v="67.015600000000006"/>
    <n v="74"/>
    <d v="2012-02-20T00:00:00"/>
    <d v="2012-01-16T00:00:00"/>
    <n v="3350"/>
    <d v="2012-01-16T00:00:00"/>
    <n v="3347"/>
    <m/>
    <d v="2012-01-20T00:00:00"/>
    <n v="3353"/>
    <d v="2012-02-24T00:00:00"/>
    <d v="2012-01-20T00:00:00"/>
    <n v="3347"/>
    <n v="113"/>
    <x v="14"/>
    <d v="2012-02-24T00:00:00"/>
    <m/>
    <n v="9321683773"/>
    <n v="10"/>
    <s v="INKU2578941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75/000010"/>
    <n v="1370153688"/>
    <n v="10"/>
    <x v="0"/>
    <x v="0"/>
    <s v="A1"/>
    <n v="2100068842"/>
    <n v="204"/>
    <s v="E928SA64       "/>
    <s v="E928SA64 SET 10P EMERIL HARD ENAMEL BLAC          "/>
    <s v="S"/>
    <d v="2012-02-01T00:00:00"/>
    <m/>
    <s v="X"/>
    <x v="84"/>
    <n v="67.015600000000006"/>
    <n v="74"/>
    <d v="2012-02-20T00:00:00"/>
    <d v="2012-01-16T00:00:00"/>
    <n v="3350"/>
    <d v="2012-01-16T00:00:00"/>
    <n v="3347"/>
    <m/>
    <d v="2012-01-20T00:00:00"/>
    <n v="3353"/>
    <d v="2012-02-24T00:00:00"/>
    <d v="2012-01-20T00:00:00"/>
    <n v="3347"/>
    <n v="1078"/>
    <x v="14"/>
    <d v="2012-02-24T00:00:00"/>
    <m/>
    <n v="9321683773"/>
    <n v="10"/>
    <s v="INKU2505354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78775/000010"/>
    <n v="1370153688"/>
    <n v="10"/>
    <x v="0"/>
    <x v="0"/>
    <s v="A1"/>
    <n v="2100068842"/>
    <n v="204"/>
    <s v="E928SA64       "/>
    <s v="E928SA64 SET 10P EMERIL HARD ENAMEL BLAC          "/>
    <s v="S"/>
    <d v="2012-02-01T00:00:00"/>
    <m/>
    <s v="X"/>
    <x v="84"/>
    <n v="67.015600000000006"/>
    <n v="74"/>
    <d v="2012-02-20T00:00:00"/>
    <d v="2012-01-16T00:00:00"/>
    <n v="3350"/>
    <d v="2012-01-16T00:00:00"/>
    <n v="3347"/>
    <m/>
    <d v="2012-01-20T00:00:00"/>
    <n v="3353"/>
    <d v="2012-02-24T00:00:00"/>
    <d v="2012-01-20T00:00:00"/>
    <n v="3347"/>
    <n v="1078"/>
    <x v="14"/>
    <d v="2012-02-24T00:00:00"/>
    <m/>
    <n v="9321683773"/>
    <n v="10"/>
    <s v="CAXU9162834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82205/000010"/>
    <n v="1370154465"/>
    <n v="10"/>
    <x v="0"/>
    <x v="0"/>
    <s v="A1"/>
    <n v="2100069432"/>
    <n v="205"/>
    <s v="E9270264       "/>
    <s v="E9270264 FP20 EMERIL SS HIGH END UNCOATE          "/>
    <s v="S"/>
    <d v="2012-01-17T00:00:00"/>
    <m/>
    <s v="X"/>
    <x v="84"/>
    <n v="7.1978999999999997"/>
    <n v="7"/>
    <d v="2012-02-20T00:00:00"/>
    <d v="2012-01-16T00:00:00"/>
    <n v="4384"/>
    <d v="2012-01-16T00:00:00"/>
    <n v="4384"/>
    <m/>
    <d v="2012-01-20T00:00:00"/>
    <n v="4384"/>
    <d v="2012-02-17T00:00:00"/>
    <d v="2012-01-13T00:00:00"/>
    <n v="4384"/>
    <n v="4384"/>
    <x v="9"/>
    <d v="2012-02-18T00:00:00"/>
    <m/>
    <n v="9321683787"/>
    <n v="10"/>
    <s v="FCIU9378521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82158/000010"/>
    <n v="1370154483"/>
    <n v="10"/>
    <x v="0"/>
    <x v="0"/>
    <s v="A1"/>
    <n v="2100068850"/>
    <n v="208"/>
    <s v="E9263764       "/>
    <s v="E9263764 STP28LID EMERIL NAT CHAINS HARD          "/>
    <s v="S"/>
    <d v="2012-02-01T00:00:00"/>
    <m/>
    <s v="X"/>
    <x v="84"/>
    <n v="15.4947"/>
    <n v="16"/>
    <d v="2012-02-20T00:00:00"/>
    <d v="2012-01-16T00:00:00"/>
    <n v="1000"/>
    <d v="2012-01-16T00:00:00"/>
    <n v="1000"/>
    <m/>
    <d v="2012-01-20T00:00:00"/>
    <n v="1000"/>
    <d v="2012-02-24T00:00:00"/>
    <d v="2012-01-20T00:00:00"/>
    <n v="1000"/>
    <n v="1000"/>
    <x v="14"/>
    <d v="2012-02-24T00:00:00"/>
    <m/>
    <n v="9321683794"/>
    <n v="10"/>
    <s v="ECMU9867330"/>
    <s v="CLEMENTINE MAERSK"/>
    <m/>
    <s v="NINGBO"/>
    <m/>
    <m/>
    <s v="TWEETY LEUNG"/>
    <s v="FO9"/>
    <s v="COOKWARE                      "/>
    <s v="CONFIRMED"/>
    <n v="1"/>
    <n v="3"/>
    <d v="2012-01-20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82204/000010"/>
    <n v="1370154484"/>
    <n v="10"/>
    <x v="0"/>
    <x v="0"/>
    <s v="A1"/>
    <n v="2100069411"/>
    <n v="205"/>
    <s v="E888S264       "/>
    <s v="E888S264 EMERIL SS NATIONAL CHAINS 8/12           "/>
    <s v="S"/>
    <d v="2012-01-17T00:00:00"/>
    <m/>
    <s v="X"/>
    <x v="84"/>
    <n v="19.368099999999998"/>
    <n v="19"/>
    <d v="2012-02-20T00:00:00"/>
    <d v="2012-01-16T00:00:00"/>
    <n v="6406"/>
    <d v="2012-01-16T00:00:00"/>
    <n v="6402"/>
    <m/>
    <d v="2012-01-20T00:00:00"/>
    <n v="6406"/>
    <d v="2012-02-17T00:00:00"/>
    <d v="2012-01-13T00:00:00"/>
    <n v="6402"/>
    <n v="3402"/>
    <x v="9"/>
    <d v="2012-02-18T00:00:00"/>
    <m/>
    <n v="9321683795"/>
    <n v="10"/>
    <s v="CMAU5596685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82204/000010"/>
    <n v="1370154484"/>
    <n v="10"/>
    <x v="0"/>
    <x v="0"/>
    <s v="A1"/>
    <n v="2100069411"/>
    <n v="205"/>
    <s v="E888S264       "/>
    <s v="E888S264 EMERIL SS NATIONAL CHAINS 8/12           "/>
    <s v="S"/>
    <d v="2012-01-17T00:00:00"/>
    <m/>
    <s v="X"/>
    <x v="84"/>
    <n v="19.368099999999998"/>
    <n v="19"/>
    <d v="2012-02-20T00:00:00"/>
    <d v="2012-01-16T00:00:00"/>
    <n v="6406"/>
    <d v="2012-01-16T00:00:00"/>
    <n v="6402"/>
    <m/>
    <d v="2012-01-20T00:00:00"/>
    <n v="6406"/>
    <d v="2012-02-17T00:00:00"/>
    <d v="2012-01-13T00:00:00"/>
    <n v="6402"/>
    <n v="3000"/>
    <x v="9"/>
    <d v="2012-02-18T00:00:00"/>
    <m/>
    <n v="9321683795"/>
    <n v="10"/>
    <s v="ECMU9631344"/>
    <s v="CMA CGM TANCREDI/US5"/>
    <m/>
    <s v="NINGBO"/>
    <m/>
    <m/>
    <s v="TWEETY LEUNG"/>
    <s v="FO9"/>
    <s v="COOKWARE                      "/>
    <s v="CONFIRMED"/>
    <n v="1"/>
    <n v="2"/>
    <d v="2012-01-14T00:00:00"/>
    <s v="COOKWARE                      "/>
    <s v="COOKWARE          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80949/000010"/>
    <n v="1370153914"/>
    <n v="10"/>
    <x v="8"/>
    <x v="8"/>
    <s v="K9"/>
    <n v="8000033944"/>
    <n v="30"/>
    <s v="XN200340       "/>
    <s v="XN200340 NES ESSENZA MANUAL BLK GB                "/>
    <s v="S"/>
    <d v="2012-02-01T00:00:00"/>
    <m/>
    <s v="X"/>
    <x v="84"/>
    <n v="41.3"/>
    <n v="30"/>
    <d v="2012-03-05T00:00:00"/>
    <d v="2012-01-30T00:00:00"/>
    <n v="2040"/>
    <d v="2012-01-30T00:00:00"/>
    <n v="2040"/>
    <m/>
    <d v="2012-01-23T00:00:00"/>
    <n v="2040"/>
    <d v="2012-02-27T00:00:00"/>
    <d v="2012-01-23T00:00:00"/>
    <n v="2040"/>
    <n v="2040"/>
    <x v="4"/>
    <d v="2012-02-26T00:00:00"/>
    <m/>
    <n v="9321683855"/>
    <n v="10"/>
    <s v="MRKU0019782"/>
    <s v="MAERSK SAIGON 1204/"/>
    <m/>
    <s v="YANTIAN"/>
    <s v="SP-HOLIDAY"/>
    <m/>
    <s v="KENUS WONG"/>
    <s v="FO9"/>
    <s v="BEVERAGE                      "/>
    <s v="CONFIRMED"/>
    <n v="1"/>
    <n v="3"/>
    <d v="2012-01-22T00:00:00"/>
    <s v="KITCHEN ELECTRICS             "/>
    <s v="BREAKFAST &amp; BREVAGE PREP      "/>
    <x v="4"/>
    <x v="1"/>
    <x v="7"/>
    <s v="SP-HOLIDAY"/>
    <n v="-3"/>
    <n v="-3"/>
    <x v="6"/>
    <n v="1"/>
    <x v="0"/>
    <x v="0"/>
    <x v="1"/>
    <n v="0"/>
    <n v="0"/>
    <n v="0"/>
    <n v="0"/>
    <n v="0"/>
    <n v="0"/>
    <x v="1"/>
    <x v="0"/>
    <x v="1"/>
    <x v="0"/>
  </r>
  <r>
    <s v="Shipment"/>
    <n v="99008491"/>
    <s v="GROUPE SEB USA                                    "/>
    <n v="99008400"/>
    <x v="12"/>
    <s v="9321684253/000010"/>
    <n v="1370154593"/>
    <n v="10"/>
    <x v="20"/>
    <x v="20"/>
    <s v="A7"/>
    <n v="2100035545"/>
    <n v="235"/>
    <s v="K0031462       "/>
    <s v="K0031462 ODD SIZE MEASURING CUP AND SPOO          "/>
    <s v="S"/>
    <d v="2012-02-01T00:00:00"/>
    <m/>
    <s v="X"/>
    <x v="85"/>
    <n v="10"/>
    <n v="12"/>
    <d v="2012-03-02T00:00:00"/>
    <d v="2012-01-27T00:00:00"/>
    <n v="1000"/>
    <d v="2012-01-26T00:00:00"/>
    <n v="1000"/>
    <m/>
    <d v="2012-01-27T00:00:00"/>
    <n v="1000"/>
    <d v="2012-02-27T00:00:00"/>
    <d v="2012-01-23T00:00:00"/>
    <n v="1000"/>
    <n v="1000"/>
    <x v="1"/>
    <d v="2012-02-27T00:00:00"/>
    <m/>
    <n v="9321684424"/>
    <n v="10"/>
    <s v="CPSU4054923"/>
    <s v="NYK RIGEL 16E03/"/>
    <m/>
    <s v="YANTIAN"/>
    <s v="C-SHORTL/T(MARKET SEND THE ENQUIRY BY EMAIL ON DEC 08  2011 SUPPLIER HAVE BEEN CONFIRMED ETD 20-27 J"/>
    <m/>
    <s v="TWEETY LEUNG"/>
    <s v="FO9"/>
    <s v="COOKWARE                      "/>
    <s v="CONFIRMED"/>
    <n v="1"/>
    <n v="4"/>
    <d v="2012-01-23T00:00:00"/>
    <s v="COOKWARE                      "/>
    <s v="COOKWARE                      "/>
    <x v="5"/>
    <x v="2"/>
    <x v="1"/>
    <m/>
    <n v="0"/>
    <n v="0"/>
    <x v="1"/>
    <n v="2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81809/000010"/>
    <n v="1370154434"/>
    <n v="10"/>
    <x v="13"/>
    <x v="13"/>
    <s v="A3"/>
    <n v="2100069429"/>
    <n v="223"/>
    <s v="L9081704       "/>
    <s v="L9081704 SCP22 STR H90 INGENIO 4 SS BRUS          "/>
    <s v="S"/>
    <d v="2012-02-06T00:00:00"/>
    <m/>
    <s v="X"/>
    <x v="86"/>
    <n v="5.31"/>
    <n v="5"/>
    <d v="2012-02-24T00:00:00"/>
    <d v="2012-01-20T00:00:00"/>
    <n v="40500"/>
    <d v="2012-01-20T00:00:00"/>
    <n v="40500"/>
    <m/>
    <d v="2012-01-20T00:00:00"/>
    <n v="40500"/>
    <d v="2012-03-02T00:00:00"/>
    <d v="2012-01-27T00:00:00"/>
    <n v="40500"/>
    <n v="7092"/>
    <x v="18"/>
    <d v="2012-03-02T00:00:00"/>
    <m/>
    <n v="9321686220"/>
    <n v="10"/>
    <s v="HDMU6666608"/>
    <s v="LOS ANGELES EXPRESS/"/>
    <m/>
    <s v="YANTIAN"/>
    <m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81809/000010"/>
    <n v="1370154434"/>
    <n v="10"/>
    <x v="13"/>
    <x v="13"/>
    <s v="A3"/>
    <n v="2100069429"/>
    <n v="223"/>
    <s v="L9081704       "/>
    <s v="L9081704 SCP22 STR H90 INGENIO 4 SS BRUS          "/>
    <s v="S"/>
    <d v="2012-02-08T00:00:00"/>
    <m/>
    <s v="X"/>
    <x v="86"/>
    <n v="5.31"/>
    <n v="5"/>
    <d v="2012-02-24T00:00:00"/>
    <d v="2012-01-20T00:00:00"/>
    <n v="40500"/>
    <d v="2012-01-20T00:00:00"/>
    <n v="40500"/>
    <m/>
    <d v="2012-01-20T00:00:00"/>
    <n v="40500"/>
    <d v="2012-03-02T00:00:00"/>
    <d v="2012-01-27T00:00:00"/>
    <n v="40500"/>
    <n v="7092"/>
    <x v="18"/>
    <d v="2012-03-02T00:00:00"/>
    <m/>
    <n v="9321686220"/>
    <n v="10"/>
    <s v="HDMU6761930"/>
    <s v="LOS ANGELES EXPRESS/"/>
    <m/>
    <s v="YANTIAN"/>
    <m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81809/000010"/>
    <n v="1370154434"/>
    <n v="10"/>
    <x v="13"/>
    <x v="13"/>
    <s v="A3"/>
    <n v="2100069429"/>
    <n v="223"/>
    <s v="L9081704       "/>
    <s v="L9081704 SCP22 STR H90 INGENIO 4 SS BRUS          "/>
    <s v="S"/>
    <d v="2012-02-06T00:00:00"/>
    <m/>
    <s v="X"/>
    <x v="86"/>
    <n v="5.31"/>
    <n v="5"/>
    <d v="2012-02-24T00:00:00"/>
    <d v="2012-01-20T00:00:00"/>
    <n v="40500"/>
    <d v="2012-01-20T00:00:00"/>
    <n v="40500"/>
    <m/>
    <d v="2012-01-20T00:00:00"/>
    <n v="40500"/>
    <d v="2012-03-02T00:00:00"/>
    <d v="2012-01-27T00:00:00"/>
    <n v="40500"/>
    <n v="7092"/>
    <x v="18"/>
    <d v="2012-03-02T00:00:00"/>
    <m/>
    <n v="9321686220"/>
    <n v="10"/>
    <s v="HDMU6381776"/>
    <s v="LOS ANGELES EXPRESS/"/>
    <m/>
    <s v="YANTIAN"/>
    <m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81809/000010"/>
    <n v="1370154434"/>
    <n v="10"/>
    <x v="13"/>
    <x v="13"/>
    <s v="A3"/>
    <n v="2100069429"/>
    <n v="223"/>
    <s v="L9081704       "/>
    <s v="L9081704 SCP22 STR H90 INGENIO 4 SS BRUS          "/>
    <s v="S"/>
    <d v="2012-02-08T00:00:00"/>
    <m/>
    <s v="X"/>
    <x v="86"/>
    <n v="5.31"/>
    <n v="5"/>
    <d v="2012-02-24T00:00:00"/>
    <d v="2012-01-20T00:00:00"/>
    <n v="40500"/>
    <d v="2012-01-20T00:00:00"/>
    <n v="40500"/>
    <m/>
    <d v="2012-01-20T00:00:00"/>
    <n v="40500"/>
    <d v="2012-03-02T00:00:00"/>
    <d v="2012-01-27T00:00:00"/>
    <n v="40500"/>
    <n v="7092"/>
    <x v="18"/>
    <d v="2012-03-02T00:00:00"/>
    <m/>
    <n v="9321686220"/>
    <n v="10"/>
    <s v="HDMU6836453"/>
    <s v="LOS ANGELES EXPRESS/"/>
    <m/>
    <s v="YANTIAN"/>
    <m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81809/000010"/>
    <n v="1370154434"/>
    <n v="10"/>
    <x v="13"/>
    <x v="13"/>
    <s v="A3"/>
    <n v="2100069429"/>
    <n v="223"/>
    <s v="L9081704       "/>
    <s v="L9081704 SCP22 STR H90 INGENIO 4 SS BRUS          "/>
    <s v="S"/>
    <d v="2012-02-03T00:00:00"/>
    <m/>
    <s v="X"/>
    <x v="86"/>
    <n v="5.31"/>
    <n v="5"/>
    <d v="2012-02-24T00:00:00"/>
    <d v="2012-01-20T00:00:00"/>
    <n v="40500"/>
    <d v="2012-01-20T00:00:00"/>
    <n v="40500"/>
    <m/>
    <d v="2012-01-20T00:00:00"/>
    <n v="40500"/>
    <d v="2012-03-02T00:00:00"/>
    <d v="2012-01-27T00:00:00"/>
    <n v="40500"/>
    <n v="960"/>
    <x v="25"/>
    <d v="2012-02-28T00:00:00"/>
    <m/>
    <n v="9321686220"/>
    <n v="10"/>
    <s v="GSTU7725993"/>
    <s v="LOS ANGELES EXPRESS/"/>
    <m/>
    <s v="YANTIAN"/>
    <m/>
    <m/>
    <s v="JASON FAN"/>
    <s v="FO9"/>
    <s v="COOKWARE                      "/>
    <s v="CONFIRMED"/>
    <n v="1"/>
    <n v="4"/>
    <d v="2012-01-24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81809/000010"/>
    <n v="1370154434"/>
    <n v="10"/>
    <x v="13"/>
    <x v="13"/>
    <s v="A3"/>
    <n v="2100069429"/>
    <n v="223"/>
    <s v="L9081704       "/>
    <s v="L9081704 SCP22 STR H90 INGENIO 4 SS BRUS          "/>
    <s v="S"/>
    <d v="2012-02-03T00:00:00"/>
    <m/>
    <s v="X"/>
    <x v="86"/>
    <n v="5.31"/>
    <n v="5"/>
    <d v="2012-02-24T00:00:00"/>
    <d v="2012-01-20T00:00:00"/>
    <n v="40500"/>
    <d v="2012-01-20T00:00:00"/>
    <n v="40500"/>
    <m/>
    <d v="2012-01-20T00:00:00"/>
    <n v="40500"/>
    <d v="2012-03-02T00:00:00"/>
    <d v="2012-01-27T00:00:00"/>
    <n v="40500"/>
    <n v="4080"/>
    <x v="25"/>
    <d v="2012-02-28T00:00:00"/>
    <m/>
    <n v="9321686220"/>
    <n v="10"/>
    <s v="GESU5681581"/>
    <s v="LOS ANGELES EXPRESS/"/>
    <m/>
    <s v="YANTIAN"/>
    <m/>
    <m/>
    <s v="JASON FAN"/>
    <s v="FO9"/>
    <s v="COOKWARE                      "/>
    <s v="CONFIRMED"/>
    <n v="1"/>
    <n v="4"/>
    <d v="2012-01-24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81809/000010"/>
    <n v="1370154434"/>
    <n v="10"/>
    <x v="13"/>
    <x v="13"/>
    <s v="A3"/>
    <n v="2100069429"/>
    <n v="223"/>
    <s v="L9081704       "/>
    <s v="L9081704 SCP22 STR H90 INGENIO 4 SS BRUS          "/>
    <s v="S"/>
    <d v="2012-02-06T00:00:00"/>
    <m/>
    <s v="X"/>
    <x v="86"/>
    <n v="5.31"/>
    <n v="5"/>
    <d v="2012-02-24T00:00:00"/>
    <d v="2012-01-20T00:00:00"/>
    <n v="40500"/>
    <d v="2012-01-20T00:00:00"/>
    <n v="40500"/>
    <m/>
    <d v="2012-01-20T00:00:00"/>
    <n v="40500"/>
    <d v="2012-03-02T00:00:00"/>
    <d v="2012-01-27T00:00:00"/>
    <n v="40500"/>
    <n v="7092"/>
    <x v="18"/>
    <d v="2012-03-02T00:00:00"/>
    <m/>
    <n v="9321686220"/>
    <n v="10"/>
    <s v="HDMU6329274"/>
    <s v="LOS ANGELES EXPRESS/"/>
    <m/>
    <s v="YANTIAN"/>
    <m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81808/000010"/>
    <n v="1370154437"/>
    <n v="10"/>
    <x v="13"/>
    <x v="13"/>
    <s v="A3"/>
    <n v="2100069428"/>
    <n v="223"/>
    <s v="L9082904       "/>
    <s v="L9082904 SCP18 STR H90 INGENIO 4 SS BRUS          "/>
    <s v="S"/>
    <d v="2012-02-03T00:00:00"/>
    <m/>
    <s v="X"/>
    <x v="86"/>
    <n v="3.94"/>
    <n v="3"/>
    <d v="2012-02-24T00:00:00"/>
    <d v="2012-01-20T00:00:00"/>
    <n v="27000"/>
    <d v="2012-01-20T00:00:00"/>
    <n v="27000"/>
    <m/>
    <d v="2012-01-20T00:00:00"/>
    <n v="27000"/>
    <d v="2012-03-02T00:00:00"/>
    <d v="2012-01-27T00:00:00"/>
    <n v="27000"/>
    <n v="7600"/>
    <x v="18"/>
    <d v="2012-03-02T00:00:00"/>
    <m/>
    <n v="9321686221"/>
    <n v="10"/>
    <s v="OOLU7671250"/>
    <s v="LOS ANGELES EXPRESS/"/>
    <m/>
    <s v="YANTIAN"/>
    <s v="supplier missed the schedule"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81808/000010"/>
    <n v="1370154437"/>
    <n v="10"/>
    <x v="13"/>
    <x v="13"/>
    <s v="A3"/>
    <n v="2100069428"/>
    <n v="223"/>
    <s v="L9082904       "/>
    <s v="L9082904 SCP18 STR H90 INGENIO 4 SS BRUS          "/>
    <s v="S"/>
    <d v="2012-02-03T00:00:00"/>
    <m/>
    <s v="X"/>
    <x v="86"/>
    <n v="3.94"/>
    <n v="3"/>
    <d v="2012-02-24T00:00:00"/>
    <d v="2012-01-20T00:00:00"/>
    <n v="27000"/>
    <d v="2012-01-20T00:00:00"/>
    <n v="27000"/>
    <m/>
    <d v="2012-01-20T00:00:00"/>
    <n v="27000"/>
    <d v="2012-03-02T00:00:00"/>
    <d v="2012-01-27T00:00:00"/>
    <n v="27000"/>
    <n v="8800"/>
    <x v="18"/>
    <d v="2012-03-02T00:00:00"/>
    <m/>
    <n v="9321686221"/>
    <n v="10"/>
    <s v="OOLU7699176"/>
    <s v="LOS ANGELES EXPRESS/"/>
    <m/>
    <s v="YANTIAN"/>
    <s v="supplier missed the schedule"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81808/000010"/>
    <n v="1370154437"/>
    <n v="10"/>
    <x v="13"/>
    <x v="13"/>
    <s v="A3"/>
    <n v="2100069428"/>
    <n v="223"/>
    <s v="L9082904       "/>
    <s v="L9082904 SCP18 STR H90 INGENIO 4 SS BRUS          "/>
    <s v="S"/>
    <d v="2012-02-06T00:00:00"/>
    <m/>
    <s v="X"/>
    <x v="86"/>
    <n v="3.94"/>
    <n v="3"/>
    <d v="2012-02-24T00:00:00"/>
    <d v="2012-01-20T00:00:00"/>
    <n v="27000"/>
    <d v="2012-01-20T00:00:00"/>
    <n v="27000"/>
    <m/>
    <d v="2012-01-20T00:00:00"/>
    <n v="27000"/>
    <d v="2012-03-02T00:00:00"/>
    <d v="2012-01-27T00:00:00"/>
    <n v="27000"/>
    <n v="10600"/>
    <x v="18"/>
    <d v="2012-03-02T00:00:00"/>
    <m/>
    <n v="9321686221"/>
    <n v="10"/>
    <s v="HDMU6641507"/>
    <s v="LOS ANGELES EXPRESS/"/>
    <m/>
    <s v="YANTIAN"/>
    <s v="supplier missed the schedule"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81806/000010"/>
    <n v="1370154438"/>
    <n v="10"/>
    <x v="13"/>
    <x v="13"/>
    <s v="A3"/>
    <n v="2100069427"/>
    <n v="223"/>
    <s v="L9082704       "/>
    <s v="L9082704 SCP14 STR H90 INGENIO 4 SS BRUS          "/>
    <s v="S"/>
    <d v="2012-02-03T00:00:00"/>
    <m/>
    <s v="X"/>
    <x v="86"/>
    <n v="2.95"/>
    <n v="3"/>
    <d v="2012-02-24T00:00:00"/>
    <d v="2012-01-20T00:00:00"/>
    <n v="21600"/>
    <d v="2012-01-20T00:00:00"/>
    <n v="21600"/>
    <m/>
    <d v="2012-01-20T00:00:00"/>
    <n v="21600"/>
    <d v="2012-03-02T00:00:00"/>
    <d v="2012-01-27T00:00:00"/>
    <n v="21600"/>
    <n v="1408"/>
    <x v="18"/>
    <d v="2012-03-02T00:00:00"/>
    <m/>
    <n v="9321686222"/>
    <n v="10"/>
    <s v="OOLU7671250"/>
    <s v="LOS ANGELES EXPRESS/"/>
    <m/>
    <s v="YANTIAN"/>
    <s v="suppiler missed the schedule"/>
    <m/>
    <s v="JASON FAN"/>
    <s v="FO9"/>
    <s v="COOKWARE                      "/>
    <s v="CONFIRMED"/>
    <n v="1"/>
    <n v="4"/>
    <d v="2012-01-27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81806/000010"/>
    <n v="1370154438"/>
    <n v="10"/>
    <x v="13"/>
    <x v="13"/>
    <s v="A3"/>
    <n v="2100069427"/>
    <n v="223"/>
    <s v="L9082704       "/>
    <s v="L9082704 SCP14 STR H90 INGENIO 4 SS BRUS          "/>
    <s v="S"/>
    <d v="2012-02-03T00:00:00"/>
    <m/>
    <s v="X"/>
    <x v="86"/>
    <n v="2.95"/>
    <n v="3"/>
    <d v="2012-02-24T00:00:00"/>
    <d v="2012-01-20T00:00:00"/>
    <n v="21600"/>
    <d v="2012-01-20T00:00:00"/>
    <n v="21600"/>
    <m/>
    <d v="2012-01-20T00:00:00"/>
    <n v="21600"/>
    <d v="2012-03-02T00:00:00"/>
    <d v="2012-01-27T00:00:00"/>
    <n v="21600"/>
    <n v="6400"/>
    <x v="25"/>
    <d v="2012-02-28T00:00:00"/>
    <m/>
    <n v="9321686222"/>
    <n v="10"/>
    <s v="GESU5681581"/>
    <s v="LOS ANGELES EXPRESS/"/>
    <m/>
    <s v="YANTIAN"/>
    <s v="suppiler missed the schedule"/>
    <m/>
    <s v="JASON FAN"/>
    <s v="FO9"/>
    <s v="COOKWARE                      "/>
    <s v="CONFIRMED"/>
    <n v="1"/>
    <n v="4"/>
    <d v="2012-01-24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6104"/>
    <s v="SAS GROUPE SEB FRANCE                             "/>
    <n v="99006100"/>
    <x v="3"/>
    <s v="9321681806/000010"/>
    <n v="1370154438"/>
    <n v="10"/>
    <x v="13"/>
    <x v="13"/>
    <s v="A3"/>
    <n v="2100069427"/>
    <n v="223"/>
    <s v="L9082704       "/>
    <s v="L9082704 SCP14 STR H90 INGENIO 4 SS BRUS          "/>
    <s v="S"/>
    <d v="2012-02-03T00:00:00"/>
    <m/>
    <s v="X"/>
    <x v="86"/>
    <n v="2.95"/>
    <n v="3"/>
    <d v="2012-02-24T00:00:00"/>
    <d v="2012-01-20T00:00:00"/>
    <n v="21600"/>
    <d v="2012-01-20T00:00:00"/>
    <n v="21600"/>
    <m/>
    <d v="2012-01-20T00:00:00"/>
    <n v="21600"/>
    <d v="2012-03-02T00:00:00"/>
    <d v="2012-01-27T00:00:00"/>
    <n v="21600"/>
    <n v="13792"/>
    <x v="25"/>
    <d v="2012-02-28T00:00:00"/>
    <m/>
    <n v="9321686222"/>
    <n v="10"/>
    <s v="GSTU7725993"/>
    <s v="LOS ANGELES EXPRESS/"/>
    <m/>
    <s v="YANTIAN"/>
    <s v="suppiler missed the schedule"/>
    <m/>
    <s v="JASON FAN"/>
    <s v="FO9"/>
    <s v="COOKWARE                      "/>
    <s v="CONFIRMED"/>
    <n v="1"/>
    <n v="4"/>
    <d v="2012-01-24T00:00:00"/>
    <s v="COOKWARE                      "/>
    <s v="COOKWARE                      "/>
    <x v="5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103708"/>
    <s v="Central Advanced Digitech Co.Ltd                  "/>
    <n v="99005151"/>
    <x v="18"/>
    <s v="9321686213/000010"/>
    <n v="1370154987"/>
    <n v="10"/>
    <x v="22"/>
    <x v="22"/>
    <s v="P3"/>
    <n v="7211000598"/>
    <n v="36"/>
    <n v="211000598"/>
    <s v="LM2211BM BLD UNO 1.25L 1 ACC WHT MO               "/>
    <s v="S"/>
    <d v="2012-01-18T00:00:00"/>
    <m/>
    <s v="X"/>
    <x v="87"/>
    <n v="13.0976"/>
    <n v="14"/>
    <d v="2012-02-15T00:00:00"/>
    <d v="2012-02-15T00:00:00"/>
    <n v="3045"/>
    <d v="2012-01-18T00:00:00"/>
    <n v="3045"/>
    <m/>
    <d v="2012-01-19T00:00:00"/>
    <n v="3045"/>
    <d v="2012-01-18T00:00:00"/>
    <d v="2012-01-18T00:00:00"/>
    <n v="3045"/>
    <n v="3045"/>
    <x v="21"/>
    <d v="2012-01-18T00:00:00"/>
    <m/>
    <n v="9321686718"/>
    <n v="10"/>
    <s v="MSCU4916805 / F"/>
    <s v="MSC LUCIANA /FT1203R"/>
    <m/>
    <s v="NINGBO"/>
    <s v="C-PULLIN-CONF/"/>
    <m/>
    <s v="RITA CHOW"/>
    <s v="FO9"/>
    <s v="FOOD PREPARATION              "/>
    <s v="CONFIRMED"/>
    <n v="1"/>
    <n v="3"/>
    <d v="2012-01-18T00:00:00"/>
    <s v="KITCHEN ELECTRICS             "/>
    <s v="FOOD PREPARATION              "/>
    <x v="0"/>
    <x v="0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103708"/>
    <s v="Central Advanced Digitech Co.Ltd                  "/>
    <n v="99005151"/>
    <x v="18"/>
    <s v="9321686214/000010"/>
    <n v="1370154988"/>
    <n v="10"/>
    <x v="22"/>
    <x v="22"/>
    <s v="P3"/>
    <n v="7211000598"/>
    <n v="36"/>
    <n v="211000598"/>
    <s v="LM2211BM BLD UNO 1.25L 1 ACC WHT MO               "/>
    <s v="S"/>
    <d v="2012-01-18T00:00:00"/>
    <m/>
    <s v="X"/>
    <x v="87"/>
    <n v="13.0976"/>
    <n v="14"/>
    <d v="2012-02-16T00:00:00"/>
    <d v="2012-02-16T00:00:00"/>
    <n v="3045"/>
    <d v="2012-01-18T00:00:00"/>
    <n v="3045"/>
    <m/>
    <d v="2012-01-19T00:00:00"/>
    <n v="3045"/>
    <d v="2012-01-18T00:00:00"/>
    <d v="2012-01-18T00:00:00"/>
    <n v="3045"/>
    <n v="3045"/>
    <x v="21"/>
    <d v="2012-01-18T00:00:00"/>
    <m/>
    <n v="9321686723"/>
    <n v="10"/>
    <s v="MEDU4018438 / F"/>
    <s v="MSC LUCIANA /FT1203R"/>
    <m/>
    <s v="NINGBO"/>
    <s v="C-PULLIN-CONF/"/>
    <m/>
    <s v="RITA CHOW"/>
    <s v="FO9"/>
    <s v="FOOD PREPARATION              "/>
    <s v="CONFIRMED"/>
    <n v="1"/>
    <n v="3"/>
    <d v="2012-01-18T00:00:00"/>
    <s v="KITCHEN ELECTRICS             "/>
    <s v="FOOD PREPARATION              "/>
    <x v="0"/>
    <x v="0"/>
    <x v="1"/>
    <m/>
    <n v="0"/>
    <n v="0"/>
    <x v="1"/>
    <n v="1"/>
    <x v="0"/>
    <x v="0"/>
    <x v="0"/>
    <n v="1"/>
    <n v="0"/>
    <n v="1"/>
    <n v="0"/>
    <n v="0"/>
    <n v="1"/>
    <x v="0"/>
    <x v="0"/>
    <x v="1"/>
    <x v="1"/>
  </r>
  <r>
    <s v="Shipment"/>
    <n v="99008900"/>
    <s v="LAGOSTINA S.P.A.                                  "/>
    <n v="99008900"/>
    <x v="0"/>
    <s v="4600079812/000010"/>
    <n v="1370154999"/>
    <n v="10"/>
    <x v="0"/>
    <x v="0"/>
    <s v="AA"/>
    <n v="7115003422"/>
    <n v="206"/>
    <n v="115003422"/>
    <s v="011830040120 20CM  FRYPAN  ACCADEMIA BIA          "/>
    <s v="S"/>
    <d v="2012-01-18T00:00:00"/>
    <m/>
    <s v="X"/>
    <x v="86"/>
    <n v="13.940899999999999"/>
    <n v="11"/>
    <d v="2012-02-11T00:00:00"/>
    <d v="2012-01-14T00:00:00"/>
    <n v="500"/>
    <d v="2012-01-14T00:00:00"/>
    <n v="500"/>
    <m/>
    <d v="2012-01-17T00:00:00"/>
    <n v="800"/>
    <d v="2012-02-14T00:00:00"/>
    <d v="2012-01-17T00:00:00"/>
    <n v="500"/>
    <n v="300"/>
    <x v="19"/>
    <d v="2012-02-14T00:00:00"/>
    <m/>
    <n v="9321686857"/>
    <n v="10"/>
    <s v="TCKU1751218"/>
    <s v="XIN LIAN YUN GANG/12"/>
    <m/>
    <s v="NINGBO"/>
    <s v="C-SHORTL/T"/>
    <m/>
    <s v="AGNES NUNES"/>
    <s v="FO9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2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812/000010"/>
    <n v="1370154999"/>
    <n v="10"/>
    <x v="0"/>
    <x v="0"/>
    <s v="AA"/>
    <n v="7115003422"/>
    <n v="206"/>
    <n v="115003422"/>
    <s v="011830040120 20CM  FRYPAN  ACCADEMIA BIA          "/>
    <s v="S"/>
    <d v="2012-01-18T00:00:00"/>
    <m/>
    <s v="X"/>
    <x v="86"/>
    <n v="13.940899999999999"/>
    <n v="11"/>
    <d v="2012-02-11T00:00:00"/>
    <d v="2012-01-14T00:00:00"/>
    <n v="500"/>
    <d v="2012-01-14T00:00:00"/>
    <n v="500"/>
    <m/>
    <d v="2012-01-17T00:00:00"/>
    <n v="800"/>
    <d v="2012-02-14T00:00:00"/>
    <d v="2012-01-17T00:00:00"/>
    <n v="500"/>
    <n v="200"/>
    <x v="21"/>
    <d v="2012-02-15T00:00:00"/>
    <m/>
    <n v="9321686857"/>
    <n v="10"/>
    <s v="HAWB CLQ-0103-6"/>
    <s v="FLIGHT SV999"/>
    <m/>
    <s v="NINGBO"/>
    <s v="C-SHORTL/T"/>
    <m/>
    <s v="AGNES NUNES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2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812/000020"/>
    <n v="1370154999"/>
    <n v="20"/>
    <x v="0"/>
    <x v="0"/>
    <s v="AA"/>
    <n v="7115003426"/>
    <n v="206"/>
    <n v="115003426"/>
    <s v="011830031020 20CM STEWPOT+LID ACCADEMIA           "/>
    <s v="S"/>
    <d v="2012-01-18T00:00:00"/>
    <m/>
    <s v="X"/>
    <x v="86"/>
    <n v="21.235299999999999"/>
    <n v="11"/>
    <d v="2012-02-11T00:00:00"/>
    <d v="2012-01-14T00:00:00"/>
    <n v="500"/>
    <d v="2012-01-14T00:00:00"/>
    <n v="500"/>
    <m/>
    <d v="2012-01-17T00:00:00"/>
    <n v="1000"/>
    <d v="2012-02-14T00:00:00"/>
    <d v="2012-01-17T00:00:00"/>
    <n v="500"/>
    <n v="428"/>
    <x v="19"/>
    <d v="2012-02-14T00:00:00"/>
    <m/>
    <n v="9321686857"/>
    <n v="20"/>
    <s v="TCKU1751218"/>
    <s v="XIN LIAN YUN GANG/12"/>
    <m/>
    <s v="NINGBO"/>
    <s v="C-SHORTL/T"/>
    <m/>
    <s v="AGNES NUNES"/>
    <s v="FO9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2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812/000020"/>
    <n v="1370154999"/>
    <n v="20"/>
    <x v="0"/>
    <x v="0"/>
    <s v="AA"/>
    <n v="7115003426"/>
    <n v="206"/>
    <n v="115003426"/>
    <s v="011830031020 20CM STEWPOT+LID ACCADEMIA           "/>
    <s v="S"/>
    <d v="2012-01-18T00:00:00"/>
    <m/>
    <s v="X"/>
    <x v="86"/>
    <n v="21.235299999999999"/>
    <n v="11"/>
    <d v="2012-02-11T00:00:00"/>
    <d v="2012-01-14T00:00:00"/>
    <n v="500"/>
    <d v="2012-01-14T00:00:00"/>
    <n v="500"/>
    <m/>
    <d v="2012-01-17T00:00:00"/>
    <n v="1000"/>
    <d v="2012-02-14T00:00:00"/>
    <d v="2012-01-17T00:00:00"/>
    <n v="500"/>
    <n v="72"/>
    <x v="21"/>
    <d v="2012-02-15T00:00:00"/>
    <m/>
    <n v="9321686857"/>
    <n v="20"/>
    <s v="HAWB CLQ-0103-6"/>
    <s v="FLIGHT SV999"/>
    <m/>
    <s v="NINGBO"/>
    <s v="C-SHORTL/T"/>
    <m/>
    <s v="AGNES NUNES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2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812/000030"/>
    <n v="1370154999"/>
    <n v="30"/>
    <x v="0"/>
    <x v="0"/>
    <s v="AA"/>
    <n v="7115003429"/>
    <n v="206"/>
    <n v="115003429"/>
    <s v="011830031116 16CM  SAUCEPAN ACCADEMIA BI          "/>
    <s v="S"/>
    <d v="2012-01-18T00:00:00"/>
    <m/>
    <s v="X"/>
    <x v="86"/>
    <n v="12.4558"/>
    <n v="11"/>
    <d v="2012-02-11T00:00:00"/>
    <d v="2012-01-14T00:00:00"/>
    <n v="500"/>
    <d v="2012-01-14T00:00:00"/>
    <n v="500"/>
    <m/>
    <d v="2012-01-17T00:00:00"/>
    <n v="1000"/>
    <d v="2012-02-14T00:00:00"/>
    <d v="2012-01-17T00:00:00"/>
    <n v="500"/>
    <n v="400"/>
    <x v="19"/>
    <d v="2012-02-14T00:00:00"/>
    <m/>
    <n v="9321686857"/>
    <n v="30"/>
    <s v="TCKU1751218"/>
    <s v="XIN LIAN YUN GANG/12"/>
    <m/>
    <s v="NINGBO"/>
    <s v="C-SHORTL/T"/>
    <m/>
    <s v="AGNES NUNES"/>
    <s v="FO9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2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812/000030"/>
    <n v="1370154999"/>
    <n v="30"/>
    <x v="0"/>
    <x v="0"/>
    <s v="AA"/>
    <n v="7115003429"/>
    <n v="206"/>
    <n v="115003429"/>
    <s v="011830031116 16CM  SAUCEPAN ACCADEMIA BI          "/>
    <s v="S"/>
    <d v="2012-01-18T00:00:00"/>
    <m/>
    <s v="X"/>
    <x v="86"/>
    <n v="12.4558"/>
    <n v="11"/>
    <d v="2012-02-11T00:00:00"/>
    <d v="2012-01-14T00:00:00"/>
    <n v="500"/>
    <d v="2012-01-14T00:00:00"/>
    <n v="500"/>
    <m/>
    <d v="2012-01-17T00:00:00"/>
    <n v="1000"/>
    <d v="2012-02-14T00:00:00"/>
    <d v="2012-01-17T00:00:00"/>
    <n v="500"/>
    <n v="100"/>
    <x v="21"/>
    <d v="2012-02-15T00:00:00"/>
    <m/>
    <n v="9321686857"/>
    <n v="30"/>
    <s v="HAWB CLQ-0103-6"/>
    <s v="FLIGHT SV999"/>
    <m/>
    <s v="NINGBO"/>
    <s v="C-SHORTL/T"/>
    <m/>
    <s v="AGNES NUNES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2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812/000040"/>
    <n v="1370154999"/>
    <n v="40"/>
    <x v="0"/>
    <x v="0"/>
    <s v="AA"/>
    <n v="7117001274"/>
    <n v="236"/>
    <n v="117001274"/>
    <s v="011830060116 16CM LID  ACCADEMIA BIANCA           "/>
    <s v="S"/>
    <d v="2012-01-18T00:00:00"/>
    <m/>
    <s v="X"/>
    <x v="86"/>
    <n v="3.8172999999999999"/>
    <n v="11"/>
    <d v="2012-02-11T00:00:00"/>
    <d v="2012-01-14T00:00:00"/>
    <n v="500"/>
    <d v="2012-01-14T00:00:00"/>
    <n v="500"/>
    <m/>
    <d v="2012-01-17T00:00:00"/>
    <n v="1000"/>
    <d v="2012-02-14T00:00:00"/>
    <d v="2012-01-17T00:00:00"/>
    <n v="500"/>
    <n v="448"/>
    <x v="19"/>
    <d v="2012-02-14T00:00:00"/>
    <m/>
    <n v="9321686857"/>
    <n v="40"/>
    <s v="XINU8112121"/>
    <s v="XIN LIAN YUN GANG/12"/>
    <m/>
    <s v="NINGBO"/>
    <s v="C-SHORTL/T"/>
    <m/>
    <s v="AGNES NUNES"/>
    <s v="FO9"/>
    <s v="COOKWARE                      "/>
    <s v="CONFIRMED"/>
    <n v="1"/>
    <n v="3"/>
    <d v="2012-01-17T00:00:00"/>
    <s v="COOKWARE                      "/>
    <s v="COOKWARE                      "/>
    <x v="0"/>
    <x v="0"/>
    <x v="1"/>
    <m/>
    <n v="0"/>
    <n v="0"/>
    <x v="1"/>
    <n v="2"/>
    <x v="0"/>
    <x v="1"/>
    <x v="1"/>
    <n v="0"/>
    <n v="1"/>
    <n v="0"/>
    <n v="0"/>
    <n v="0"/>
    <n v="1"/>
    <x v="0"/>
    <x v="0"/>
    <x v="0"/>
    <x v="0"/>
  </r>
  <r>
    <s v="Shipment"/>
    <n v="99008900"/>
    <s v="LAGOSTINA S.P.A.                                  "/>
    <n v="99008900"/>
    <x v="0"/>
    <s v="4600079812/000040"/>
    <n v="1370154999"/>
    <n v="40"/>
    <x v="0"/>
    <x v="0"/>
    <s v="AA"/>
    <n v="7117001274"/>
    <n v="236"/>
    <n v="117001274"/>
    <s v="011830060116 16CM LID  ACCADEMIA BIANCA           "/>
    <s v="S"/>
    <d v="2012-01-18T00:00:00"/>
    <m/>
    <s v="X"/>
    <x v="86"/>
    <n v="3.8172999999999999"/>
    <n v="11"/>
    <d v="2012-02-11T00:00:00"/>
    <d v="2012-01-14T00:00:00"/>
    <n v="500"/>
    <d v="2012-01-14T00:00:00"/>
    <n v="500"/>
    <m/>
    <d v="2012-01-17T00:00:00"/>
    <n v="1000"/>
    <d v="2012-02-14T00:00:00"/>
    <d v="2012-01-17T00:00:00"/>
    <n v="500"/>
    <n v="52"/>
    <x v="21"/>
    <d v="2012-02-15T00:00:00"/>
    <m/>
    <n v="9321686857"/>
    <n v="40"/>
    <s v="HAWB CLQ-0103-6"/>
    <s v="FLIGHT SV999"/>
    <m/>
    <s v="NINGBO"/>
    <s v="C-SHORTL/T"/>
    <m/>
    <s v="AGNES NUNES"/>
    <s v="FO9"/>
    <s v="COOKWARE                      "/>
    <s v="CONFIRMED"/>
    <n v="1"/>
    <n v="3"/>
    <d v="2012-01-18T00:00:00"/>
    <s v="COOKWARE                      "/>
    <s v="COOKWARE                      "/>
    <x v="0"/>
    <x v="0"/>
    <x v="1"/>
    <m/>
    <n v="0"/>
    <n v="0"/>
    <x v="1"/>
    <n v="2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057/000010"/>
    <n v="1370152284"/>
    <n v="10"/>
    <x v="22"/>
    <x v="22"/>
    <s v="N4"/>
    <n v="7211000466"/>
    <n v="177"/>
    <n v="211000466"/>
    <s v="AF102630 FRY UNO FIX N.STICK TIM SS/BLK           "/>
    <s v="S"/>
    <d v="2012-02-02T00:00:00"/>
    <m/>
    <s v="X"/>
    <x v="88"/>
    <n v="21.886800000000001"/>
    <n v="17"/>
    <d v="2012-02-24T00:00:00"/>
    <d v="2012-01-20T00:00:00"/>
    <n v="1970"/>
    <d v="2012-01-20T00:00:00"/>
    <n v="1970"/>
    <m/>
    <d v="2012-01-25T00:00:00"/>
    <n v="1970"/>
    <d v="2012-02-29T00:00:00"/>
    <d v="2012-01-25T00:00:00"/>
    <n v="1970"/>
    <n v="1970"/>
    <x v="4"/>
    <d v="2012-02-26T00:00:00"/>
    <m/>
    <n v="9321687588"/>
    <n v="10"/>
    <s v="UESU4666673"/>
    <s v="CMA CGM CORTE REAL 1"/>
    <m/>
    <s v="NINGBO"/>
    <m/>
    <m/>
    <s v="JASON FAN"/>
    <s v="FO9"/>
    <s v="ELECTRICAL COOKING            "/>
    <s v="CONFIRMED"/>
    <n v="1"/>
    <n v="3"/>
    <d v="2012-01-22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079/000010"/>
    <n v="1370152288"/>
    <n v="10"/>
    <x v="22"/>
    <x v="22"/>
    <s v="N4"/>
    <n v="7211000829"/>
    <n v="177"/>
    <n v="211000829"/>
    <s v="FF162100 FRY ONE FILTRA PLAST WHT FR              "/>
    <s v="S"/>
    <d v="2012-02-02T00:00:00"/>
    <m/>
    <s v="X"/>
    <x v="88"/>
    <n v="24.508500000000002"/>
    <n v="19"/>
    <d v="2012-02-24T00:00:00"/>
    <d v="2012-01-20T00:00:00"/>
    <n v="1140"/>
    <d v="2012-01-20T00:00:00"/>
    <n v="1140"/>
    <m/>
    <d v="2012-01-22T00:00:00"/>
    <n v="1140"/>
    <d v="2012-02-26T00:00:00"/>
    <d v="2012-01-22T00:00:00"/>
    <n v="1140"/>
    <n v="1140"/>
    <x v="4"/>
    <d v="2012-02-26T00:00:00"/>
    <m/>
    <n v="9321687594"/>
    <n v="10"/>
    <s v="TTNU4745303"/>
    <s v="CMA CGM CORTE REAL 1"/>
    <m/>
    <s v="NINGBO"/>
    <m/>
    <m/>
    <s v="JASON FAN"/>
    <s v="FO9"/>
    <s v="ELECTRICAL COOKING            "/>
    <s v="CONFIRMED"/>
    <n v="1"/>
    <n v="3"/>
    <d v="2012-01-22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095/000010"/>
    <n v="1370152289"/>
    <n v="10"/>
    <x v="11"/>
    <x v="11"/>
    <s v="N3"/>
    <n v="1500578004"/>
    <n v="53"/>
    <n v="578004"/>
    <s v="OX130230 OVEN UNO GRILL M 15L SILVER FR           "/>
    <s v="S"/>
    <d v="2012-01-27T00:00:00"/>
    <m/>
    <s v="X"/>
    <x v="88"/>
    <n v="27.81"/>
    <n v="23"/>
    <d v="2012-02-24T00:00:00"/>
    <d v="2012-01-20T00:00:00"/>
    <n v="390"/>
    <d v="2012-01-20T00:00:00"/>
    <n v="390"/>
    <m/>
    <d v="2012-01-18T00:00:00"/>
    <n v="390"/>
    <d v="2012-02-22T00:00:00"/>
    <d v="2012-01-18T00:00:00"/>
    <n v="390"/>
    <n v="390"/>
    <x v="27"/>
    <d v="2012-02-29T00:00:00"/>
    <m/>
    <n v="9321687595"/>
    <n v="10"/>
    <s v="MSKU3494670"/>
    <s v="MAERSK SURABAYA"/>
    <m/>
    <s v="XIAMEN"/>
    <m/>
    <m/>
    <s v="JASON FAN"/>
    <s v="FO9"/>
    <s v="ELECTRICAL COOKING            "/>
    <s v="CONFIRMED"/>
    <n v="1"/>
    <n v="4"/>
    <d v="2012-01-25T00:00:00"/>
    <s v="KITCHEN ELECTRICS             "/>
    <s v="ELECTRICAL COOKING            "/>
    <x v="1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70116/000010"/>
    <n v="1370152304"/>
    <n v="10"/>
    <x v="42"/>
    <x v="42"/>
    <s v="N1"/>
    <n v="2100059181"/>
    <n v="50"/>
    <s v="GC305012       "/>
    <s v="GC305012 GRIL UC 600 A12 CLASSIC TEF EUR          "/>
    <s v="S"/>
    <d v="2012-01-29T00:00:00"/>
    <m/>
    <s v="X"/>
    <x v="88"/>
    <n v="24.71"/>
    <n v="21"/>
    <d v="2012-02-24T00:00:00"/>
    <d v="2012-01-20T00:00:00"/>
    <n v="2010"/>
    <d v="2012-01-20T00:00:00"/>
    <n v="2010"/>
    <m/>
    <d v="2012-02-20T00:00:00"/>
    <n v="2010"/>
    <d v="2012-02-24T00:00:00"/>
    <d v="2012-01-20T00:00:00"/>
    <n v="2010"/>
    <n v="2010"/>
    <x v="26"/>
    <d v="2012-02-25T00:00:00"/>
    <m/>
    <n v="9321687607"/>
    <n v="10"/>
    <s v="MRKU2352431"/>
    <s v="MAERSK EINDHOVEN/120"/>
    <m/>
    <s v="YANTIAN"/>
    <s v="C-PULLIN-CONF/SP-HOLIDAY/"/>
    <m/>
    <s v="JASON FAN"/>
    <s v="FO9"/>
    <s v="ELECTRICAL COOKING            "/>
    <s v="CONFIRMED"/>
    <n v="1"/>
    <n v="3"/>
    <d v="2012-01-21T00:00:00"/>
    <s v="KITCHEN ELECTRICS             "/>
    <s v="ELECTRICAL COOKING            "/>
    <x v="2"/>
    <x v="1"/>
    <x v="7"/>
    <s v="SP-HOLIDAY"/>
    <n v="-3"/>
    <n v="-3"/>
    <x v="6"/>
    <n v="2"/>
    <x v="0"/>
    <x v="1"/>
    <x v="1"/>
    <n v="1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9080/000010"/>
    <n v="1370152307"/>
    <n v="10"/>
    <x v="22"/>
    <x v="22"/>
    <s v="N4"/>
    <n v="7211000829"/>
    <n v="177"/>
    <n v="211000829"/>
    <s v="FF162100 FRY ONE FILTRA PLAST WHT FR              "/>
    <s v="S"/>
    <d v="2012-02-02T00:00:00"/>
    <m/>
    <s v="X"/>
    <x v="88"/>
    <n v="24.508500000000002"/>
    <n v="19"/>
    <d v="2012-02-24T00:00:00"/>
    <d v="2012-01-20T00:00:00"/>
    <n v="1140"/>
    <d v="2012-01-20T00:00:00"/>
    <n v="1140"/>
    <m/>
    <d v="2012-01-22T00:00:00"/>
    <n v="1140"/>
    <d v="2012-02-26T00:00:00"/>
    <d v="2012-01-22T00:00:00"/>
    <n v="1140"/>
    <n v="1140"/>
    <x v="4"/>
    <d v="2012-02-26T00:00:00"/>
    <m/>
    <n v="9321687609"/>
    <n v="10"/>
    <s v="MRKU0120798"/>
    <s v="CMA CGM CORTE REAL 1"/>
    <m/>
    <s v="NINGBO"/>
    <m/>
    <m/>
    <s v="JASON FAN"/>
    <s v="FO9"/>
    <s v="ELECTRICAL COOKING            "/>
    <s v="CONFIRMED"/>
    <n v="1"/>
    <n v="3"/>
    <d v="2012-01-22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3600"/>
    <s v="GROUPE SEB ISTANBUL EV ALETLERI                   "/>
    <n v="99003600"/>
    <x v="13"/>
    <s v="4500266785/000010"/>
    <n v="1370154550"/>
    <n v="10"/>
    <x v="46"/>
    <x v="46"/>
    <s v="L4"/>
    <n v="1830001512"/>
    <n v="175"/>
    <s v="CF2002E0       "/>
    <s v="CF2002E0 CURLING IRON STRUCTURE                   "/>
    <s v="S"/>
    <d v="2012-01-29T00:00:00"/>
    <m/>
    <s v="X"/>
    <x v="89"/>
    <n v="3.14"/>
    <n v="6"/>
    <d v="2012-03-15T00:00:00"/>
    <d v="2012-02-09T00:00:00"/>
    <n v="6000"/>
    <d v="2012-01-25T00:00:00"/>
    <n v="6000"/>
    <m/>
    <d v="2012-01-25T00:00:00"/>
    <n v="6000"/>
    <d v="2012-02-29T00:00:00"/>
    <d v="2012-01-25T00:00:00"/>
    <n v="6000"/>
    <n v="6000"/>
    <x v="4"/>
    <d v="2012-02-26T00:00:00"/>
    <m/>
    <n v="9321688455"/>
    <n v="10"/>
    <s v="PONU1446986"/>
    <s v="CMA CGM CORNEILLE/81"/>
    <m/>
    <s v="YANTIAN"/>
    <s v="SP-HOLIDAY/"/>
    <m/>
    <s v="KENUS WONG"/>
    <s v="FO9"/>
    <s v="PERSONAL CARE                 "/>
    <s v="CONFIRMED"/>
    <n v="1"/>
    <n v="3"/>
    <d v="2012-01-22T00:00:00"/>
    <s v="LINEN PERS HOME CARE          "/>
    <s v="PERSONAL CARE                 "/>
    <x v="3"/>
    <x v="2"/>
    <x v="7"/>
    <s v="SP-HOLIDAY"/>
    <n v="-3"/>
    <n v="-3"/>
    <x v="6"/>
    <n v="1"/>
    <x v="0"/>
    <x v="0"/>
    <x v="1"/>
    <n v="1"/>
    <n v="0"/>
    <n v="1"/>
    <n v="0"/>
    <n v="0"/>
    <n v="1"/>
    <x v="0"/>
    <x v="0"/>
    <x v="1"/>
    <x v="1"/>
  </r>
  <r>
    <s v="Shipment"/>
    <n v="99005400"/>
    <s v="GROUPE SEB KOREA                                  "/>
    <n v="99005400"/>
    <x v="6"/>
    <s v="3408/000001"/>
    <n v="1370155212"/>
    <n v="10"/>
    <x v="25"/>
    <x v="25"/>
    <s v="R1"/>
    <n v="1500573409"/>
    <n v="23"/>
    <n v="573409"/>
    <s v="TT356170 TOAS EXPRESS 3S BL/CHB KP/KR             "/>
    <s v="S"/>
    <d v="2012-01-18T00:00:00"/>
    <m/>
    <s v="X"/>
    <x v="89"/>
    <n v="10.28"/>
    <n v="9"/>
    <d v="2012-02-28T00:00:00"/>
    <d v="2012-02-14T00:00:00"/>
    <n v="2252"/>
    <d v="2012-01-21T00:00:00"/>
    <n v="2252"/>
    <m/>
    <d v="2012-02-10T00:00:00"/>
    <n v="2252"/>
    <d v="2012-02-04T00:00:00"/>
    <d v="2012-01-21T00:00:00"/>
    <n v="2252"/>
    <n v="2252"/>
    <x v="4"/>
    <d v="2012-02-05T00:00:00"/>
    <m/>
    <n v="9321688464"/>
    <n v="10"/>
    <s v="MSKU6003698"/>
    <s v="ST.MARY/1202"/>
    <m/>
    <s v="YANTIAN"/>
    <s v="C-PULLIN-CONF/"/>
    <m/>
    <s v="AGNES NUNES"/>
    <s v="FO9"/>
    <s v="BEVERAGE                      "/>
    <s v="CONFIRMED"/>
    <n v="1"/>
    <n v="3"/>
    <d v="2012-01-22T00:00:00"/>
    <s v="KITCHEN ELECTRICS             "/>
    <s v="BREAKFAST &amp; BREVAGE PREP      "/>
    <x v="4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5400"/>
    <s v="GROUPE SEB KOREA                                  "/>
    <n v="99005400"/>
    <x v="6"/>
    <s v="3408/000002"/>
    <n v="1370155212"/>
    <n v="20"/>
    <x v="25"/>
    <x v="25"/>
    <s v="R9"/>
    <n v="1500578105"/>
    <n v="23"/>
    <n v="578105"/>
    <s v="TT111070 TOAS PRINCIPIO1BIS 2S LID WHT/G          "/>
    <s v="S"/>
    <d v="2012-01-18T00:00:00"/>
    <m/>
    <s v="X"/>
    <x v="89"/>
    <n v="7.58"/>
    <n v="9"/>
    <d v="2012-02-28T00:00:00"/>
    <d v="2012-02-14T00:00:00"/>
    <n v="2140"/>
    <d v="2012-01-21T00:00:00"/>
    <n v="2140"/>
    <m/>
    <d v="2012-02-10T00:00:00"/>
    <n v="2140"/>
    <d v="2012-02-04T00:00:00"/>
    <d v="2012-01-21T00:00:00"/>
    <n v="2140"/>
    <n v="2140"/>
    <x v="4"/>
    <d v="2012-02-05T00:00:00"/>
    <m/>
    <n v="9321688464"/>
    <n v="20"/>
    <s v="MSKU6003698"/>
    <s v="ST.MARY/1202"/>
    <m/>
    <s v="YANTIAN"/>
    <s v="C-PULLIN-CONF/"/>
    <m/>
    <s v="AGNES NUNES"/>
    <s v="FO9"/>
    <s v="BEVERAGE                      "/>
    <s v="CONFIRMED"/>
    <n v="1"/>
    <n v="3"/>
    <d v="2012-01-22T00:00:00"/>
    <s v="KITCHEN ELECTRICS             "/>
    <s v="BREAKFAST &amp; BREVAGE PREP      "/>
    <x v="4"/>
    <x v="1"/>
    <x v="1"/>
    <m/>
    <n v="0"/>
    <n v="0"/>
    <x v="1"/>
    <n v="1"/>
    <x v="0"/>
    <x v="0"/>
    <x v="0"/>
    <n v="0"/>
    <n v="1"/>
    <n v="0"/>
    <n v="0"/>
    <n v="0"/>
    <n v="1"/>
    <x v="0"/>
    <x v="0"/>
    <x v="0"/>
    <x v="0"/>
  </r>
  <r>
    <s v="Shipment"/>
    <n v="99003800"/>
    <s v="GROUPE SEB POLSKA SP. ZO.O                        "/>
    <n v="99003800"/>
    <x v="20"/>
    <s v="4500266942/000010"/>
    <n v="1370155065"/>
    <n v="10"/>
    <x v="23"/>
    <x v="23"/>
    <s v="N4"/>
    <n v="2820300831"/>
    <n v="32"/>
    <n v="635183"/>
    <s v="VC300831 STMC N_LIGHT 3B+CAKE BLK EE              "/>
    <s v="S"/>
    <d v="2012-01-30T00:00:00"/>
    <m/>
    <s v="X"/>
    <x v="89"/>
    <n v="33.126100000000001"/>
    <n v="115"/>
    <d v="2012-02-29T00:00:00"/>
    <d v="2012-01-18T00:00:00"/>
    <n v="916"/>
    <d v="2012-01-18T00:00:00"/>
    <n v="916"/>
    <m/>
    <d v="2012-01-18T00:00:00"/>
    <n v="916"/>
    <d v="2012-03-06T00:00:00"/>
    <d v="2012-01-24T00:00:00"/>
    <n v="916"/>
    <n v="916"/>
    <x v="25"/>
    <d v="2012-03-06T00:00:00"/>
    <m/>
    <n v="9321688575"/>
    <n v="10"/>
    <s v="TGHU4986676"/>
    <s v="CMA CGM CORTE REAL V"/>
    <m/>
    <s v="SHANGHAI"/>
    <m/>
    <m/>
    <s v="KENUS WONG"/>
    <s v="FO9"/>
    <s v="ELECTRICAL COOKING            "/>
    <s v="CONFIRMED"/>
    <n v="1"/>
    <n v="4"/>
    <d v="2012-01-24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82010/000010"/>
    <n v="1370154092"/>
    <n v="10"/>
    <x v="8"/>
    <x v="8"/>
    <s v="K9"/>
    <n v="8000033966"/>
    <n v="38"/>
    <s v="KP100640       "/>
    <s v="KP100640 NDG PICCOLO RED UK                       "/>
    <s v="S"/>
    <d v="2012-02-03T00:00:00"/>
    <m/>
    <s v="X"/>
    <x v="89"/>
    <n v="34.520000000000003"/>
    <n v="25"/>
    <d v="2012-03-05T00:00:00"/>
    <d v="2012-01-30T00:00:00"/>
    <n v="2160"/>
    <d v="2012-01-30T00:00:00"/>
    <n v="2160"/>
    <m/>
    <d v="2012-01-27T00:00:00"/>
    <n v="2160"/>
    <d v="2012-03-02T00:00:00"/>
    <d v="2012-01-27T00:00:00"/>
    <n v="2160"/>
    <n v="2160"/>
    <x v="30"/>
    <d v="2012-03-04T00:00:00"/>
    <m/>
    <n v="9321688718"/>
    <n v="10"/>
    <s v="PONU1304852"/>
    <s v="ANNA MAERSK 1202/"/>
    <m/>
    <s v="YANTIAN"/>
    <s v="C-POST-CONF/"/>
    <m/>
    <s v="KENUS WONG"/>
    <s v="FO9"/>
    <s v="BEVERAGE                      "/>
    <s v="CONFIRMED"/>
    <n v="1"/>
    <n v="4"/>
    <d v="2012-01-29T00:00:00"/>
    <s v="KITCHEN ELECTRICS             "/>
    <s v="BREAKFAST &amp; BREVAGE PREP      "/>
    <x v="4"/>
    <x v="1"/>
    <x v="3"/>
    <s v="C-POST-CONF"/>
    <n v="-3"/>
    <n v="-3"/>
    <x v="0"/>
    <n v="1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86968/000010"/>
    <n v="1370155399"/>
    <n v="10"/>
    <x v="55"/>
    <x v="55"/>
    <s v="P4"/>
    <n v="8000034556"/>
    <n v="77"/>
    <s v="QA403G01       "/>
    <s v="QA403G01 KTM MC GOURMET CONES RED FR              "/>
    <s v="S"/>
    <d v="2012-01-27T00:00:00"/>
    <m/>
    <s v="X"/>
    <x v="89"/>
    <n v="73.650000000000006"/>
    <n v="64"/>
    <d v="2012-02-23T00:00:00"/>
    <d v="2012-01-19T00:00:00"/>
    <n v="1560"/>
    <d v="2012-01-19T00:00:00"/>
    <n v="1560"/>
    <m/>
    <d v="2012-01-20T00:00:00"/>
    <n v="1560"/>
    <d v="2012-02-24T00:00:00"/>
    <d v="2012-01-20T00:00:00"/>
    <n v="1560"/>
    <n v="780"/>
    <x v="26"/>
    <d v="2012-02-25T00:00:00"/>
    <m/>
    <n v="9321688981"/>
    <n v="10"/>
    <s v="MRKU3371478"/>
    <s v="MAERSK EINDHOVEN"/>
    <m/>
    <s v="YANTIAN"/>
    <m/>
    <m/>
    <s v="JASON FAN"/>
    <s v="FO9"/>
    <s v="FOOD PREPARATION              "/>
    <s v="CONFIRMED"/>
    <n v="1"/>
    <n v="3"/>
    <d v="2012-01-21T00:00:00"/>
    <s v="KITCHEN ELECTRICS             "/>
    <s v="FOOD PREPARATION        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86968/000010"/>
    <n v="1370155399"/>
    <n v="10"/>
    <x v="55"/>
    <x v="55"/>
    <s v="P4"/>
    <n v="8000034556"/>
    <n v="77"/>
    <s v="QA403G01       "/>
    <s v="QA403G01 KTM MC GOURMET CONES RED FR              "/>
    <s v="S"/>
    <d v="2012-01-27T00:00:00"/>
    <m/>
    <s v="X"/>
    <x v="89"/>
    <n v="73.650000000000006"/>
    <n v="64"/>
    <d v="2012-02-23T00:00:00"/>
    <d v="2012-01-19T00:00:00"/>
    <n v="1560"/>
    <d v="2012-01-19T00:00:00"/>
    <n v="1560"/>
    <m/>
    <d v="2012-01-20T00:00:00"/>
    <n v="1560"/>
    <d v="2012-02-24T00:00:00"/>
    <d v="2012-01-20T00:00:00"/>
    <n v="1560"/>
    <n v="780"/>
    <x v="26"/>
    <d v="2012-02-25T00:00:00"/>
    <m/>
    <n v="9321688981"/>
    <n v="10"/>
    <s v="MRKU3368350"/>
    <s v="MAERSK EINDHOVEN"/>
    <m/>
    <s v="YANTIAN"/>
    <m/>
    <m/>
    <s v="JASON FAN"/>
    <s v="FO9"/>
    <s v="FOOD PREPARATION              "/>
    <s v="CONFIRMED"/>
    <n v="1"/>
    <n v="3"/>
    <d v="2012-01-21T00:00:00"/>
    <s v="KITCHEN ELECTRICS             "/>
    <s v="FOOD PREPARATION              "/>
    <x v="4"/>
    <x v="1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200"/>
    <s v="GROUPE SEB IBERICA                                "/>
    <n v="99008200"/>
    <x v="21"/>
    <s v="9321665935/000010"/>
    <n v="1370155088"/>
    <n v="10"/>
    <x v="16"/>
    <x v="16"/>
    <s v="L4"/>
    <n v="1830004105"/>
    <n v="5"/>
    <s v="CV7420E6       "/>
    <s v="CV7420E6 RESPECTISSIM PRO HAIR DRYER              "/>
    <s v="S"/>
    <d v="2012-01-21T00:00:00"/>
    <m/>
    <s v="X"/>
    <x v="90"/>
    <n v="12.02"/>
    <n v="10"/>
    <d v="2012-02-13T00:00:00"/>
    <d v="2012-01-16T00:00:00"/>
    <n v="1000"/>
    <d v="2012-01-21T00:00:00"/>
    <n v="1000"/>
    <m/>
    <d v="2012-01-21T00:00:00"/>
    <n v="1000"/>
    <d v="2012-02-18T00:00:00"/>
    <d v="2012-01-21T00:00:00"/>
    <n v="1000"/>
    <n v="1000"/>
    <x v="26"/>
    <d v="2012-02-18T00:00:00"/>
    <m/>
    <n v="9321689314"/>
    <n v="10"/>
    <s v="MSKU6029516"/>
    <s v="MAERSK TANJONG/1202"/>
    <m/>
    <s v="YANTIAN"/>
    <s v="CONS-SHIPT/"/>
    <m/>
    <s v="JASON FAN"/>
    <s v="FO9"/>
    <s v="PERSONAL CARE                 "/>
    <s v="CONFIRMED"/>
    <n v="1"/>
    <n v="3"/>
    <d v="2012-01-21T00:00:00"/>
    <s v="LINEN PERS HOME CARE          "/>
    <s v="PERSONAL CARE                 "/>
    <x v="3"/>
    <x v="2"/>
    <x v="10"/>
    <s v="CONS-SHIPT"/>
    <n v="-3"/>
    <n v="-3"/>
    <x v="8"/>
    <n v="1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87277/000010"/>
    <n v="1370155422"/>
    <n v="10"/>
    <x v="48"/>
    <x v="48"/>
    <s v="A3"/>
    <n v="2100069409"/>
    <n v="235"/>
    <s v="K024S363       "/>
    <s v="K024S363 EMERIL NYLON 3PC SET TOOL HSN            "/>
    <s v="S"/>
    <d v="2012-02-03T00:00:00"/>
    <m/>
    <s v="X"/>
    <x v="91"/>
    <n v="6.28"/>
    <n v="8"/>
    <d v="2012-03-26T00:00:00"/>
    <d v="2012-02-20T00:00:00"/>
    <n v="5000"/>
    <d v="2012-01-23T00:00:00"/>
    <n v="4840"/>
    <m/>
    <d v="2012-02-20T00:00:00"/>
    <n v="5000"/>
    <d v="2012-02-24T00:00:00"/>
    <d v="2012-01-20T00:00:00"/>
    <n v="4840"/>
    <n v="4840"/>
    <x v="25"/>
    <d v="2012-02-28T00:00:00"/>
    <m/>
    <n v="9321690886"/>
    <n v="10"/>
    <s v="CMAU0065710"/>
    <s v="CLEMENTINE MAERSK US"/>
    <m/>
    <s v="HONG KONG"/>
    <s v="SP-HOLIDAY/SP-HOLIDAY/C-PULLIN-CONF/DOCS RECEIVED ON 1-FEB"/>
    <m/>
    <s v="TWEETY LEUNG"/>
    <s v="FO9"/>
    <s v="COOKWARE                      "/>
    <s v="CONFIRMED"/>
    <n v="1"/>
    <n v="4"/>
    <d v="2012-01-24T00:00:00"/>
    <s v="COOKWARE                      "/>
    <s v="COOKWARE                      "/>
    <x v="5"/>
    <x v="2"/>
    <x v="7"/>
    <s v="SP-HOLIDAY"/>
    <n v="-3"/>
    <n v="-3"/>
    <x v="6"/>
    <n v="4"/>
    <x v="0"/>
    <x v="0"/>
    <x v="0"/>
    <n v="0"/>
    <n v="1"/>
    <n v="0"/>
    <n v="0"/>
    <n v="0"/>
    <n v="1"/>
    <x v="0"/>
    <x v="0"/>
    <x v="0"/>
    <x v="0"/>
  </r>
  <r>
    <s v="Shipment"/>
    <n v="99002601"/>
    <s v="GROUPE SEB UK LTD                                 "/>
    <n v="99002601"/>
    <x v="10"/>
    <s v="9321682063/000010"/>
    <n v="1370155124"/>
    <n v="10"/>
    <x v="8"/>
    <x v="8"/>
    <s v="K9"/>
    <n v="8000034360"/>
    <n v="38"/>
    <s v="KP100040       "/>
    <s v="KP100040 NDG PICCOLO BLK GB                       "/>
    <s v="S"/>
    <d v="2012-02-03T00:00:00"/>
    <m/>
    <s v="X"/>
    <x v="91"/>
    <n v="34.520000000000003"/>
    <n v="25"/>
    <d v="2012-03-05T00:00:00"/>
    <d v="2012-01-30T00:00:00"/>
    <n v="2160"/>
    <d v="2012-01-30T00:00:00"/>
    <n v="2080"/>
    <m/>
    <m/>
    <m/>
    <d v="2012-03-19T00:00:00"/>
    <d v="2012-02-13T00:00:00"/>
    <n v="2080"/>
    <n v="1040"/>
    <x v="30"/>
    <d v="2012-03-04T00:00:00"/>
    <m/>
    <n v="9321690974"/>
    <n v="10"/>
    <s v="PONU0126967"/>
    <s v="ANNA MAERSK 1202/"/>
    <m/>
    <s v="YANTIAN"/>
    <s v="C-SHORTL/T/SP-TOOLING/SP-HOLIDAY/"/>
    <m/>
    <s v="KENUS WONG"/>
    <s v="FO9"/>
    <s v="BEVERAGE                      "/>
    <s v="CONFIRMED"/>
    <n v="1"/>
    <n v="4"/>
    <d v="2012-01-29T00:00:00"/>
    <s v="KITCHEN ELECTRICS             "/>
    <s v="BREAKFAST &amp; BREVAGE PREP      "/>
    <x v="4"/>
    <x v="1"/>
    <x v="15"/>
    <s v="SP-HOLIDAY"/>
    <n v="1"/>
    <n v="-3"/>
    <x v="6"/>
    <n v="4"/>
    <x v="0"/>
    <x v="1"/>
    <x v="1"/>
    <n v="0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83335/000010"/>
    <n v="1370154435"/>
    <n v="10"/>
    <x v="22"/>
    <x v="22"/>
    <s v="N4"/>
    <n v="7211000838"/>
    <n v="177"/>
    <n v="211000838"/>
    <s v="AM302130 FRY SUPER UNO TIMER WHT FR               "/>
    <s v="S"/>
    <d v="2012-02-02T00:00:00"/>
    <m/>
    <s v="X"/>
    <x v="91"/>
    <n v="34.063099999999999"/>
    <n v="28"/>
    <d v="2012-02-23T00:00:00"/>
    <d v="2012-01-19T00:00:00"/>
    <n v="1022"/>
    <d v="2012-01-19T00:00:00"/>
    <n v="1022"/>
    <m/>
    <d v="2012-01-22T00:00:00"/>
    <n v="1022"/>
    <d v="2012-02-26T00:00:00"/>
    <d v="2012-01-22T00:00:00"/>
    <n v="1022"/>
    <n v="1022"/>
    <x v="4"/>
    <d v="2012-02-26T00:00:00"/>
    <m/>
    <n v="9321691502"/>
    <n v="10"/>
    <s v="PONU1866171"/>
    <s v="CMA CGM CORTE REAL 1"/>
    <m/>
    <s v="NINGBO"/>
    <m/>
    <m/>
    <s v="JASON FAN"/>
    <s v="FO9"/>
    <s v="ELECTRICAL COOKING            "/>
    <s v="CONFIRMED"/>
    <n v="1"/>
    <n v="3"/>
    <d v="2012-01-22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89185/000010"/>
    <n v="1370156470"/>
    <n v="10"/>
    <x v="4"/>
    <x v="4"/>
    <s v="M5"/>
    <n v="2210016537"/>
    <n v="68"/>
    <s v="RH8548U1       "/>
    <s v="RH8548U1 CORDLESS HANDSTICK-DETA FORCE-1          "/>
    <s v="S"/>
    <d v="2012-02-03T00:00:00"/>
    <m/>
    <s v="X"/>
    <x v="92"/>
    <n v="47.56"/>
    <n v="55"/>
    <d v="2012-01-18T00:00:00"/>
    <d v="2012-01-18T00:00:00"/>
    <n v="826"/>
    <d v="2012-01-23T00:00:00"/>
    <n v="826"/>
    <m/>
    <d v="2012-01-18T00:00:00"/>
    <n v="826"/>
    <d v="2012-01-23T00:00:00"/>
    <d v="2012-01-23T00:00:00"/>
    <n v="826"/>
    <n v="826"/>
    <x v="1"/>
    <d v="2012-01-23T00:00:00"/>
    <m/>
    <n v="9321693166"/>
    <n v="10"/>
    <s v="INBU5296790"/>
    <s v="CHISWICK BRIDGE0064W"/>
    <m/>
    <s v="SHANGHAI"/>
    <s v="EDI MISSING"/>
    <m/>
    <s v="TWEETY LEUNG"/>
    <s v="FO9"/>
    <s v="HOME CLEANING                 "/>
    <s v="CONFIRMED"/>
    <n v="1"/>
    <n v="4"/>
    <d v="2012-01-23T00:00:00"/>
    <s v="HOME CLEANING                 "/>
    <s v="HOME CLEANING                 "/>
    <x v="3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08491"/>
    <s v="GROUPE SEB USA                                    "/>
    <n v="99008400"/>
    <x v="12"/>
    <s v="9321689187/000010"/>
    <n v="1370156474"/>
    <n v="10"/>
    <x v="4"/>
    <x v="4"/>
    <s v="M5"/>
    <n v="2210016796"/>
    <n v="68"/>
    <s v="RH8552U1       "/>
    <s v="RH8552U1 DELTA FORCE 18V BLUE                     "/>
    <s v="S"/>
    <d v="2012-02-03T00:00:00"/>
    <m/>
    <s v="X"/>
    <x v="92"/>
    <n v="47.56"/>
    <n v="55"/>
    <d v="2012-01-18T00:00:00"/>
    <d v="2012-01-18T00:00:00"/>
    <n v="826"/>
    <d v="2012-01-23T00:00:00"/>
    <n v="826"/>
    <m/>
    <d v="2012-01-18T00:00:00"/>
    <n v="826"/>
    <d v="2012-01-23T00:00:00"/>
    <d v="2012-01-23T00:00:00"/>
    <n v="826"/>
    <n v="826"/>
    <x v="1"/>
    <d v="2012-01-23T00:00:00"/>
    <m/>
    <n v="9321693168"/>
    <n v="10"/>
    <s v="INBU5296790"/>
    <s v="CHISWICK BRIDGE0064W"/>
    <m/>
    <s v="YANTIAN"/>
    <s v="EDI MISSING"/>
    <m/>
    <s v="TWEETY LEUNG"/>
    <s v="FO9"/>
    <s v="HOME CLEANING                 "/>
    <s v="CONFIRMED"/>
    <n v="1"/>
    <n v="4"/>
    <d v="2012-01-23T00:00:00"/>
    <s v="HOME CLEANING                 "/>
    <s v="HOME CLEANING                 "/>
    <x v="3"/>
    <x v="2"/>
    <x v="1"/>
    <m/>
    <n v="0"/>
    <n v="0"/>
    <x v="1"/>
    <n v="1"/>
    <x v="0"/>
    <x v="1"/>
    <x v="1"/>
    <n v="0"/>
    <n v="1"/>
    <n v="0"/>
    <n v="0"/>
    <n v="0"/>
    <n v="1"/>
    <x v="0"/>
    <x v="0"/>
    <x v="0"/>
    <x v="0"/>
  </r>
  <r>
    <s v="Shipment"/>
    <n v="99010220"/>
    <s v="Groupe Seb Peru S.R.L. / ALCONSA                  "/>
    <n v="99010200"/>
    <x v="35"/>
    <s v="146/000001"/>
    <n v="1370156199"/>
    <n v="10"/>
    <x v="70"/>
    <x v="70"/>
    <s v="P7"/>
    <n v="8000034611"/>
    <n v="39"/>
    <s v="MK2201PE       "/>
    <s v="MK2201PE RC MAXIMO 15C WHT PE                     "/>
    <s v="S"/>
    <d v="2012-02-03T00:00:00"/>
    <m/>
    <s v="X"/>
    <x v="92"/>
    <n v="13.85"/>
    <n v="15"/>
    <d v="2012-03-26T00:00:00"/>
    <d v="2012-02-13T00:00:00"/>
    <n v="980"/>
    <d v="2012-01-15T00:00:00"/>
    <n v="980"/>
    <m/>
    <m/>
    <m/>
    <d v="2012-03-12T00:00:00"/>
    <d v="2012-01-30T00:00:00"/>
    <n v="980"/>
    <n v="980"/>
    <x v="28"/>
    <d v="2012-03-12T00:00:00"/>
    <m/>
    <n v="9321693174"/>
    <n v="10"/>
    <s v="FSCU3501936"/>
    <s v="APL SWEDEN 088E/"/>
    <m/>
    <s v="YANTIAN"/>
    <s v="FORWARDER-PROB/TP MISSING/SUPPLIER LATE BOOKING/NO SPACE FOR ETD 16-Jan Schedule/rolled to next sche"/>
    <m/>
    <s v="THOMAS HO"/>
    <s v="FO9"/>
    <s v="FOOD PREPARATION              "/>
    <s v="CONFIRMED"/>
    <n v="1"/>
    <n v="5"/>
    <d v="2012-01-30T00:00:00"/>
    <s v="KITCHEN ELECTRICS             "/>
    <s v="ELECTRICAL COOKING            "/>
    <x v="1"/>
    <x v="1"/>
    <x v="0"/>
    <s v="FORWARDER-PROB"/>
    <n v="1"/>
    <n v="1"/>
    <x v="11"/>
    <n v="5"/>
    <x v="0"/>
    <x v="0"/>
    <x v="1"/>
    <n v="0"/>
    <n v="0"/>
    <n v="0"/>
    <n v="0"/>
    <n v="0"/>
    <n v="0"/>
    <x v="0"/>
    <x v="1"/>
    <x v="1"/>
    <x v="0"/>
  </r>
  <r>
    <s v="Shipment"/>
    <n v="99006103"/>
    <s v="SAS GROUPE SEB FRANCE                             "/>
    <n v="99006100"/>
    <x v="3"/>
    <s v="9321689158/000010"/>
    <n v="1370156441"/>
    <n v="10"/>
    <x v="25"/>
    <x v="25"/>
    <s v="R9"/>
    <n v="1500576697"/>
    <n v="23"/>
    <n v="576697"/>
    <s v="TT110230 GP PRINCIPIO 1BIS 2S BLK EUR             "/>
    <s v="S"/>
    <d v="2012-01-18T00:00:00"/>
    <m/>
    <s v="X"/>
    <x v="92"/>
    <n v="6.88"/>
    <n v="6"/>
    <d v="2012-02-17T00:00:00"/>
    <d v="2012-01-13T00:00:00"/>
    <n v="3096"/>
    <d v="2012-01-13T00:00:00"/>
    <n v="2880"/>
    <m/>
    <m/>
    <m/>
    <d v="2012-02-17T00:00:00"/>
    <d v="2012-01-13T00:00:00"/>
    <n v="2880"/>
    <n v="2880"/>
    <x v="24"/>
    <d v="2012-02-17T00:00:00"/>
    <m/>
    <n v="9321693296"/>
    <n v="10"/>
    <s v="MRKU0020762"/>
    <s v="CMA CGM A VESPUCCI 1"/>
    <m/>
    <s v="YANTIAN"/>
    <s v="CONS-SHIPT/"/>
    <m/>
    <s v="JASON FAN"/>
    <s v="FO9"/>
    <s v="BEVERAGE                      "/>
    <s v="CONFIRMED"/>
    <n v="1"/>
    <n v="2"/>
    <d v="2012-01-13T00:00:00"/>
    <s v="KITCHEN ELECTRICS             "/>
    <s v="BREAKFAST &amp; BREVAGE PREP      "/>
    <x v="4"/>
    <x v="1"/>
    <x v="10"/>
    <s v="CONS-SHIPT"/>
    <n v="-3"/>
    <n v="-3"/>
    <x v="8"/>
    <n v="1"/>
    <x v="0"/>
    <x v="1"/>
    <x v="1"/>
    <n v="0"/>
    <n v="0"/>
    <n v="1"/>
    <n v="0"/>
    <n v="0"/>
    <n v="1"/>
    <x v="0"/>
    <x v="0"/>
    <x v="1"/>
    <x v="1"/>
  </r>
  <r>
    <s v="Shipment"/>
    <n v="99006103"/>
    <s v="SAS GROUPE SEB FRANCE                             "/>
    <n v="99006100"/>
    <x v="3"/>
    <s v="9321669062/000010"/>
    <n v="1370152392"/>
    <n v="10"/>
    <x v="22"/>
    <x v="22"/>
    <s v="N4"/>
    <n v="7211000351"/>
    <n v="116"/>
    <n v="211000351"/>
    <s v="OW310130 BDM UNO 1KG WHT/RED B1                   "/>
    <s v="S"/>
    <d v="2012-01-21T00:00:00"/>
    <m/>
    <s v="X"/>
    <x v="93"/>
    <n v="42.151299999999999"/>
    <n v="33"/>
    <d v="2012-02-24T00:00:00"/>
    <d v="2012-01-20T00:00:00"/>
    <n v="522"/>
    <d v="2012-01-20T00:00:00"/>
    <n v="522"/>
    <m/>
    <d v="2012-01-20T00:00:00"/>
    <n v="522"/>
    <d v="2012-02-22T00:00:00"/>
    <d v="2012-01-18T00:00:00"/>
    <n v="522"/>
    <n v="522"/>
    <x v="21"/>
    <d v="2012-02-22T00:00:00"/>
    <m/>
    <n v="9321695758"/>
    <n v="10"/>
    <s v="CMAU8079726"/>
    <s v="CMA CGM FIDELIO FM42"/>
    <m/>
    <s v="NINGBO"/>
    <m/>
    <m/>
    <s v="JASON FAN"/>
    <s v="FO9"/>
    <s v="ELECTRICAL COOKING            "/>
    <s v="CONFIRMED"/>
    <n v="1"/>
    <n v="3"/>
    <d v="2012-01-18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6103"/>
    <s v="SAS GROUPE SEB FRANCE                             "/>
    <n v="99006100"/>
    <x v="3"/>
    <s v="9321669045/000010"/>
    <n v="1370152394"/>
    <n v="10"/>
    <x v="30"/>
    <x v="30"/>
    <s v="N4"/>
    <n v="7211000845"/>
    <n v="39"/>
    <n v="211000845"/>
    <s v="RK302E00 RC 8IN1 10C SS FR                        "/>
    <s v="S"/>
    <d v="2012-01-17T00:00:00"/>
    <m/>
    <s v="X"/>
    <x v="94"/>
    <n v="31.103899999999999"/>
    <n v="25"/>
    <d v="2012-02-24T00:00:00"/>
    <d v="2012-01-20T00:00:00"/>
    <n v="612"/>
    <d v="2012-01-20T00:00:00"/>
    <n v="612"/>
    <m/>
    <d v="2012-01-15T00:00:00"/>
    <n v="612"/>
    <d v="2012-02-19T00:00:00"/>
    <d v="2012-01-15T00:00:00"/>
    <n v="612"/>
    <n v="612"/>
    <x v="11"/>
    <d v="2012-02-19T00:00:00"/>
    <m/>
    <n v="9321696682"/>
    <n v="10"/>
    <s v="MSKU6202236"/>
    <s v="MAERSK EINDHOVEN 120"/>
    <m/>
    <s v="NINGBO"/>
    <m/>
    <m/>
    <s v="JASON FAN"/>
    <s v="FO9"/>
    <s v="ELECTRICAL COOKING            "/>
    <s v="CONFIRMED"/>
    <n v="1"/>
    <n v="2"/>
    <d v="2012-01-15T00:00:00"/>
    <s v="KITCHEN ELECTRICS             "/>
    <s v="ELECTRICAL COOKING            "/>
    <x v="0"/>
    <x v="0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1800"/>
    <s v="GROUPE SEB COLOMBIA                               "/>
    <n v="99001800"/>
    <x v="26"/>
    <s v="22643/039832"/>
    <n v="1370157889"/>
    <n v="10"/>
    <x v="18"/>
    <x v="18"/>
    <s v="M5"/>
    <n v="2210015916"/>
    <n v="161"/>
    <s v="SG3063WA       "/>
    <s v="SG3063WA VAC CLEANERCOMPACTEO CYCLONIC            "/>
    <s v="S"/>
    <d v="2012-01-17T00:00:00"/>
    <m/>
    <s v="X"/>
    <x v="95"/>
    <n v="31.45"/>
    <n v="37"/>
    <d v="2012-02-17T00:00:00"/>
    <d v="2012-01-13T00:00:00"/>
    <n v="730"/>
    <d v="2012-01-13T00:00:00"/>
    <n v="730"/>
    <m/>
    <d v="2012-01-13T00:00:00"/>
    <n v="730"/>
    <d v="2012-02-17T00:00:00"/>
    <d v="2012-01-13T00:00:00"/>
    <n v="730"/>
    <n v="730"/>
    <x v="9"/>
    <d v="2012-02-18T00:00:00"/>
    <m/>
    <n v="9321700506"/>
    <n v="10"/>
    <s v="MSKU6561067"/>
    <s v="MAERSK SANA 1203/"/>
    <m/>
    <s v="SHANGHAI"/>
    <m/>
    <m/>
    <s v="THOMAS HO"/>
    <s v="FO9"/>
    <s v="HOME CLEANING                 "/>
    <s v="CONFIRMED"/>
    <n v="1"/>
    <n v="2"/>
    <d v="2012-01-14T00:00:00"/>
    <s v="HOME CLEANING                 "/>
    <s v="HOME CLEANING                 "/>
    <x v="6"/>
    <x v="2"/>
    <x v="1"/>
    <m/>
    <n v="0"/>
    <n v="0"/>
    <x v="1"/>
    <n v="0"/>
    <x v="0"/>
    <x v="1"/>
    <x v="1"/>
    <n v="0"/>
    <n v="1"/>
    <n v="0"/>
    <n v="0"/>
    <n v="0"/>
    <n v="1"/>
    <x v="0"/>
    <x v="0"/>
    <x v="0"/>
    <x v="0"/>
  </r>
  <r>
    <s v="Shipment"/>
    <n v="99007325"/>
    <s v="Spedition Hendricks GmbH &amp; Co.KG                  "/>
    <n v="99007300"/>
    <x v="17"/>
    <s v="4500283934/000010"/>
    <n v="1370178188"/>
    <n v="10"/>
    <x v="8"/>
    <x v="8"/>
    <s v="L4"/>
    <n v="1830002335"/>
    <n v="175"/>
    <s v="CF9220N0       "/>
    <s v="CF9220N0 ROTATIVE HAIR BRUSH                      "/>
    <s v="S"/>
    <d v="2012-08-03T00:00:00"/>
    <m/>
    <s v="X"/>
    <x v="96"/>
    <n v="16.95"/>
    <n v="14"/>
    <d v="2012-09-06T00:00:00"/>
    <d v="2012-08-02T00:00:00"/>
    <n v="4620"/>
    <d v="2012-08-02T00:00:00"/>
    <n v="4620"/>
    <m/>
    <d v="2012-08-03T00:00:00"/>
    <n v="4620"/>
    <d v="2012-09-05T00:00:00"/>
    <d v="2012-08-01T00:00:00"/>
    <n v="4620"/>
    <n v="4620"/>
    <x v="3"/>
    <d v="2012-02-06T00:00:00"/>
    <m/>
    <n v="9321791328"/>
    <n v="10"/>
    <s v="MOFU0636918"/>
    <s v="SOFIA EXPRESS/012W30"/>
    <m/>
    <s v="HONG KONG"/>
    <m/>
    <m/>
    <s v="AGNES NUNES"/>
    <s v="FO9"/>
    <s v="PERSONAL CARE                 "/>
    <s v="CONFIRMED"/>
    <n v="1"/>
    <n v="1"/>
    <d v="2012-01-02T00:00:00"/>
    <s v="LINEN PERS HOME CARE          "/>
    <s v="PERSONAL CARE                 "/>
    <x v="4"/>
    <x v="1"/>
    <x v="1"/>
    <m/>
    <n v="0"/>
    <n v="0"/>
    <x v="1"/>
    <n v="0"/>
    <x v="0"/>
    <x v="0"/>
    <x v="1"/>
    <n v="0"/>
    <n v="0"/>
    <n v="0"/>
    <n v="0"/>
    <n v="0"/>
    <n v="0"/>
    <x v="1"/>
    <x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ONSOLIDATED SHIPT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Suppliers" colHeaderCaption="class of Reliability">
  <location ref="AI15:AL17" firstHeaderRow="1" firstDataRow="2" firstDataCol="0" rowPageCount="9" colPageCount="1"/>
  <pivotFields count="76">
    <pivotField showAll="0"/>
    <pivotField showAll="0" defaultSubtotal="0"/>
    <pivotField showAll="0" defaultSubtotal="0"/>
    <pivotField showAll="0" defaultSubtotal="0"/>
    <pivotField name="Sold To Party Name" axis="axisPage" showAll="0" defaultSubtotal="0">
      <items count="36">
        <item x="19"/>
        <item x="4"/>
        <item x="5"/>
        <item x="8"/>
        <item x="33"/>
        <item x="27"/>
        <item x="29"/>
        <item x="32"/>
        <item x="26"/>
        <item x="17"/>
        <item x="18"/>
        <item x="3"/>
        <item x="21"/>
        <item x="13"/>
        <item x="14"/>
        <item x="25"/>
        <item x="6"/>
        <item x="28"/>
        <item x="23"/>
        <item x="30"/>
        <item x="35"/>
        <item x="20"/>
        <item x="9"/>
        <item x="11"/>
        <item x="10"/>
        <item x="12"/>
        <item x="34"/>
        <item x="2"/>
        <item x="15"/>
        <item x="0"/>
        <item x="7"/>
        <item x="22"/>
        <item x="24"/>
        <item x="16"/>
        <item x="31"/>
        <item x="1"/>
      </items>
    </pivotField>
    <pivotField showAll="0"/>
    <pivotField showAll="0"/>
    <pivotField showAll="0"/>
    <pivotField axis="axisPage" multipleItemSelectionAllowed="1" showAll="0">
      <items count="87">
        <item x="55"/>
        <item x="16"/>
        <item x="5"/>
        <item x="34"/>
        <item x="77"/>
        <item x="33"/>
        <item x="8"/>
        <item x="35"/>
        <item x="56"/>
        <item x="27"/>
        <item x="7"/>
        <item x="9"/>
        <item x="52"/>
        <item x="28"/>
        <item x="40"/>
        <item x="36"/>
        <item x="61"/>
        <item x="26"/>
        <item x="46"/>
        <item x="37"/>
        <item x="47"/>
        <item x="25"/>
        <item x="18"/>
        <item x="84"/>
        <item x="29"/>
        <item x="82"/>
        <item x="41"/>
        <item x="11"/>
        <item x="20"/>
        <item x="53"/>
        <item x="71"/>
        <item x="49"/>
        <item x="4"/>
        <item x="38"/>
        <item x="54"/>
        <item x="13"/>
        <item x="39"/>
        <item x="78"/>
        <item x="2"/>
        <item x="42"/>
        <item x="21"/>
        <item x="70"/>
        <item x="57"/>
        <item x="62"/>
        <item x="3"/>
        <item x="72"/>
        <item x="73"/>
        <item x="63"/>
        <item x="64"/>
        <item x="65"/>
        <item x="10"/>
        <item x="58"/>
        <item x="17"/>
        <item x="14"/>
        <item x="15"/>
        <item x="74"/>
        <item x="12"/>
        <item x="6"/>
        <item x="43"/>
        <item x="66"/>
        <item x="51"/>
        <item x="59"/>
        <item x="85"/>
        <item x="83"/>
        <item x="81"/>
        <item x="1"/>
        <item x="75"/>
        <item x="44"/>
        <item x="24"/>
        <item x="67"/>
        <item x="19"/>
        <item x="32"/>
        <item x="68"/>
        <item x="48"/>
        <item x="79"/>
        <item x="80"/>
        <item x="69"/>
        <item x="60"/>
        <item x="23"/>
        <item x="0"/>
        <item x="22"/>
        <item x="30"/>
        <item x="31"/>
        <item x="76"/>
        <item x="45"/>
        <item x="50"/>
        <item t="default"/>
      </items>
    </pivotField>
    <pivotField axis="axisPage" outline="0" multipleItemSelectionAllowed="1" showAll="0" sortType="ascending" defaultSubtotal="0">
      <items count="86">
        <item x="4"/>
        <item x="77"/>
        <item x="44"/>
        <item x="5"/>
        <item x="46"/>
        <item x="37"/>
        <item x="72"/>
        <item x="6"/>
        <item x="33"/>
        <item x="65"/>
        <item x="66"/>
        <item x="39"/>
        <item x="38"/>
        <item x="3"/>
        <item x="68"/>
        <item x="62"/>
        <item x="74"/>
        <item x="49"/>
        <item x="43"/>
        <item x="63"/>
        <item x="83"/>
        <item x="51"/>
        <item x="79"/>
        <item x="28"/>
        <item x="58"/>
        <item x="21"/>
        <item x="2"/>
        <item x="82"/>
        <item x="80"/>
        <item x="1"/>
        <item x="12"/>
        <item x="56"/>
        <item x="47"/>
        <item x="42"/>
        <item x="35"/>
        <item x="75"/>
        <item x="40"/>
        <item x="59"/>
        <item x="61"/>
        <item x="84"/>
        <item x="26"/>
        <item x="67"/>
        <item x="13"/>
        <item x="54"/>
        <item x="55"/>
        <item x="81"/>
        <item x="19"/>
        <item x="52"/>
        <item x="41"/>
        <item x="15"/>
        <item x="24"/>
        <item x="32"/>
        <item x="34"/>
        <item x="9"/>
        <item x="10"/>
        <item x="45"/>
        <item x="57"/>
        <item x="23"/>
        <item x="22"/>
        <item x="85"/>
        <item x="16"/>
        <item x="73"/>
        <item x="36"/>
        <item x="17"/>
        <item x="76"/>
        <item x="78"/>
        <item x="18"/>
        <item x="48"/>
        <item x="50"/>
        <item x="11"/>
        <item x="27"/>
        <item x="69"/>
        <item x="7"/>
        <item x="8"/>
        <item x="20"/>
        <item x="31"/>
        <item x="64"/>
        <item x="29"/>
        <item x="25"/>
        <item x="53"/>
        <item x="70"/>
        <item x="14"/>
        <item x="0"/>
        <item x="30"/>
        <item x="71"/>
        <item x="60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 defaultSubtotal="0"/>
    <pivotField showAll="0" defaultSubtotal="0"/>
    <pivotField numFmtId="14" showAll="0"/>
    <pivotField showAll="0" defaultSubtotal="0"/>
    <pivotField showAll="0" defaultSubtotal="0"/>
    <pivotField showAll="0" defaultSubtotal="0"/>
    <pivotField numFmtId="14" showAll="0"/>
    <pivotField showAll="0" defaultSubtotal="0"/>
    <pivotField numFmtId="14" showAll="0"/>
    <pivotField showAll="0" defaultSubtotal="0"/>
    <pivotField showAll="0"/>
    <pivotField showAll="0" defaultSubtotal="0"/>
    <pivotField showAll="0" defaultSubtotal="0"/>
    <pivotField numFmtId="14" showAll="0" defaultSubtotal="0"/>
    <pivotField numFmtId="14" showAll="0"/>
    <pivotField showAll="0" defaultSubtotal="0"/>
    <pivotField showAll="0"/>
    <pivotField name="Month" axis="axisPage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numFmtId="14" showAll="0" defaultSubtotal="0"/>
    <pivotField showAll="0"/>
    <pivotField showAll="0"/>
    <pivotField name="SP Current" axis="axisPage" showAll="0" defaultSubtotal="0">
      <items count="8">
        <item x="7"/>
        <item x="6"/>
        <item x="1"/>
        <item x="4"/>
        <item x="3"/>
        <item x="2"/>
        <item x="5"/>
        <item x="0"/>
      </items>
    </pivotField>
    <pivotField name="Manager" axis="axisPage" showAll="0" defaultSubtotal="0">
      <items count="4">
        <item x="3"/>
        <item x="2"/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name="Gap SSL SASL" axis="axisPage" multipleItemSelectionAllowed="1" showAll="0" defaultSubtotal="0">
      <items count="22">
        <item h="1" x="3"/>
        <item h="1" x="7"/>
        <item x="8"/>
        <item h="1" x="0"/>
        <item h="1" x="11"/>
        <item h="1" x="5"/>
        <item h="1" x="14"/>
        <item h="1" x="19"/>
        <item h="1" x="16"/>
        <item h="1" x="20"/>
        <item h="1" x="6"/>
        <item h="1" x="12"/>
        <item h="1" x="17"/>
        <item h="1" x="10"/>
        <item h="1" x="15"/>
        <item h="1" x="9"/>
        <item h="1" x="2"/>
        <item h="1" x="13"/>
        <item h="1" x="4"/>
        <item h="1" x="21"/>
        <item h="1" x="18"/>
        <item h="1" x="1"/>
      </items>
    </pivotField>
    <pivotField showAll="0" defaultSubtotal="0"/>
    <pivotField showAll="0" defaultSubtotal="0"/>
    <pivotField name="Shipvs1stietd" axis="axisPage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axis="axisPage" showAll="0" defaultSubtotal="0">
      <items count="3">
        <item x="0"/>
        <item x="1"/>
        <item x="2"/>
      </items>
    </pivotField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9">
    <pageField fld="4" hier="-1"/>
    <pageField fld="9" hier="-1"/>
    <pageField fld="8" hier="-1"/>
    <pageField fld="34" hier="-1"/>
    <pageField fld="75" hier="-1"/>
    <pageField fld="55" hier="-1"/>
    <pageField fld="54" hier="-1"/>
    <pageField fld="63" item="0" hier="-1"/>
    <pageField fld="60" hier="-1"/>
  </pageFields>
  <dataFields count="4">
    <dataField name="Sum of L1 + L2 adjust" fld="73" baseField="0" baseItem="0"/>
    <dataField name="Sum of L3 + L4 adjust" fld="74" baseField="0" baseItem="0"/>
    <dataField name="Sum of L2 - sasl adjust" fld="71" baseField="0" baseItem="0"/>
    <dataField name="Sum of L4 - sasl adjust" fld="72" baseField="0" baseItem="0"/>
  </dataFields>
  <formats count="16">
    <format dxfId="15">
      <pivotArea type="all" dataOnly="0" outline="0" fieldPosition="0"/>
    </format>
    <format dxfId="14">
      <pivotArea type="origin" dataOnly="0" labelOnly="1" outline="0" fieldPosition="0"/>
    </format>
    <format dxfId="13">
      <pivotArea field="-2" type="button" dataOnly="0" labelOnly="1" outline="0" axis="axisCol" fieldPosition="0"/>
    </format>
    <format dxfId="12">
      <pivotArea type="topRight" dataOnly="0" labelOnly="1" outline="0" fieldPosition="0"/>
    </format>
    <format dxfId="11">
      <pivotArea type="origin" dataOnly="0" labelOnly="1" outline="0" fieldPosition="0"/>
    </format>
    <format dxfId="10">
      <pivotArea field="9" type="button" dataOnly="0" labelOnly="1" outline="0" axis="axisPage" fieldPosition="1"/>
    </format>
    <format dxfId="9">
      <pivotArea field="-2" type="button" dataOnly="0" labelOnly="1" outline="0" axis="axisCol" fieldPosition="0"/>
    </format>
    <format dxfId="8">
      <pivotArea type="topRight" dataOnly="0" labelOnly="1" outline="0" fieldPosition="0"/>
    </format>
    <format dxfId="7">
      <pivotArea outline="0" collapsedLevelsAreSubtotals="1" fieldPosition="0"/>
    </format>
    <format dxfId="6">
      <pivotArea field="9" type="button" dataOnly="0" labelOnly="1" outline="0" axis="axisPage" fieldPosition="1"/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field="9" type="button" dataOnly="0" labelOnly="1" outline="0" axis="axisPage" fieldPosition="1"/>
    </format>
    <format dxfId="2">
      <pivotArea dataOnly="0" labelOnly="1" outline="0" fieldPosition="0">
        <references count="1">
          <reference field="9" count="0"/>
        </references>
      </pivotArea>
    </format>
    <format dxfId="1">
      <pivotArea field="9" type="button" dataOnly="0" labelOnly="1" outline="0" axis="axisPage" fieldPosition="1"/>
    </format>
    <format dxfId="0">
      <pivotArea field="9" type="button" dataOnly="0" labelOnly="1" outline="0" axis="axisPage" fieldPosition="1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New Item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Suppliers" colHeaderCaption="class of Reliability">
  <location ref="AC15:AF17" firstHeaderRow="1" firstDataRow="2" firstDataCol="0" rowPageCount="9" colPageCount="1"/>
  <pivotFields count="76">
    <pivotField showAll="0"/>
    <pivotField showAll="0" defaultSubtotal="0"/>
    <pivotField showAll="0" defaultSubtotal="0"/>
    <pivotField showAll="0" defaultSubtotal="0"/>
    <pivotField name="Sold To Party Name" axis="axisPage" showAll="0" defaultSubtotal="0">
      <items count="36">
        <item x="19"/>
        <item x="4"/>
        <item x="5"/>
        <item x="8"/>
        <item x="33"/>
        <item x="27"/>
        <item x="29"/>
        <item x="32"/>
        <item x="26"/>
        <item x="17"/>
        <item x="18"/>
        <item x="3"/>
        <item x="21"/>
        <item x="13"/>
        <item x="14"/>
        <item x="25"/>
        <item x="6"/>
        <item x="28"/>
        <item x="23"/>
        <item x="30"/>
        <item x="35"/>
        <item x="20"/>
        <item x="9"/>
        <item x="11"/>
        <item x="10"/>
        <item x="12"/>
        <item x="34"/>
        <item x="2"/>
        <item x="15"/>
        <item x="0"/>
        <item x="7"/>
        <item x="22"/>
        <item x="24"/>
        <item x="16"/>
        <item x="31"/>
        <item x="1"/>
      </items>
    </pivotField>
    <pivotField showAll="0"/>
    <pivotField showAll="0"/>
    <pivotField showAll="0"/>
    <pivotField axis="axisPage" multipleItemSelectionAllowed="1" showAll="0">
      <items count="87">
        <item x="55"/>
        <item x="16"/>
        <item x="5"/>
        <item x="34"/>
        <item x="77"/>
        <item x="33"/>
        <item x="8"/>
        <item x="35"/>
        <item x="56"/>
        <item x="27"/>
        <item x="7"/>
        <item x="9"/>
        <item x="52"/>
        <item x="28"/>
        <item x="40"/>
        <item x="36"/>
        <item x="61"/>
        <item x="26"/>
        <item x="46"/>
        <item x="37"/>
        <item x="47"/>
        <item x="25"/>
        <item x="18"/>
        <item x="84"/>
        <item x="29"/>
        <item x="82"/>
        <item x="41"/>
        <item x="11"/>
        <item x="20"/>
        <item x="53"/>
        <item x="71"/>
        <item x="49"/>
        <item x="4"/>
        <item x="38"/>
        <item x="54"/>
        <item x="13"/>
        <item x="39"/>
        <item x="78"/>
        <item x="2"/>
        <item x="42"/>
        <item x="21"/>
        <item x="70"/>
        <item x="57"/>
        <item x="62"/>
        <item x="3"/>
        <item x="72"/>
        <item x="73"/>
        <item x="63"/>
        <item x="64"/>
        <item x="65"/>
        <item x="10"/>
        <item x="58"/>
        <item x="17"/>
        <item x="14"/>
        <item x="15"/>
        <item x="74"/>
        <item x="12"/>
        <item x="6"/>
        <item x="43"/>
        <item x="66"/>
        <item x="51"/>
        <item x="59"/>
        <item x="85"/>
        <item x="83"/>
        <item x="81"/>
        <item x="1"/>
        <item x="75"/>
        <item x="44"/>
        <item x="24"/>
        <item x="67"/>
        <item x="19"/>
        <item x="32"/>
        <item x="68"/>
        <item x="48"/>
        <item x="79"/>
        <item x="80"/>
        <item x="69"/>
        <item x="60"/>
        <item x="23"/>
        <item x="0"/>
        <item x="22"/>
        <item x="30"/>
        <item x="31"/>
        <item x="76"/>
        <item x="45"/>
        <item x="50"/>
        <item t="default"/>
      </items>
    </pivotField>
    <pivotField axis="axisPage" outline="0" multipleItemSelectionAllowed="1" showAll="0" sortType="ascending" defaultSubtotal="0">
      <items count="86">
        <item x="4"/>
        <item x="77"/>
        <item x="44"/>
        <item x="5"/>
        <item x="46"/>
        <item x="37"/>
        <item x="72"/>
        <item x="6"/>
        <item x="33"/>
        <item x="65"/>
        <item x="66"/>
        <item x="39"/>
        <item x="38"/>
        <item x="3"/>
        <item x="68"/>
        <item x="62"/>
        <item x="74"/>
        <item x="49"/>
        <item x="43"/>
        <item x="63"/>
        <item x="83"/>
        <item x="51"/>
        <item x="79"/>
        <item x="28"/>
        <item x="58"/>
        <item x="21"/>
        <item x="2"/>
        <item x="82"/>
        <item x="80"/>
        <item x="1"/>
        <item x="12"/>
        <item x="56"/>
        <item x="47"/>
        <item x="42"/>
        <item x="35"/>
        <item x="75"/>
        <item x="40"/>
        <item x="59"/>
        <item x="61"/>
        <item x="84"/>
        <item x="26"/>
        <item x="67"/>
        <item x="13"/>
        <item x="54"/>
        <item x="55"/>
        <item x="81"/>
        <item x="19"/>
        <item x="52"/>
        <item x="41"/>
        <item x="15"/>
        <item x="24"/>
        <item x="32"/>
        <item x="34"/>
        <item x="9"/>
        <item x="10"/>
        <item x="45"/>
        <item x="57"/>
        <item x="23"/>
        <item x="22"/>
        <item x="85"/>
        <item x="16"/>
        <item x="73"/>
        <item x="36"/>
        <item x="17"/>
        <item x="76"/>
        <item x="78"/>
        <item x="18"/>
        <item x="48"/>
        <item x="50"/>
        <item x="11"/>
        <item x="27"/>
        <item x="69"/>
        <item x="7"/>
        <item x="8"/>
        <item x="20"/>
        <item x="31"/>
        <item x="64"/>
        <item x="29"/>
        <item x="25"/>
        <item x="53"/>
        <item x="70"/>
        <item x="14"/>
        <item x="0"/>
        <item x="30"/>
        <item x="71"/>
        <item x="60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 defaultSubtotal="0"/>
    <pivotField showAll="0" defaultSubtotal="0"/>
    <pivotField numFmtId="14" showAll="0"/>
    <pivotField showAll="0" defaultSubtotal="0"/>
    <pivotField showAll="0" defaultSubtotal="0"/>
    <pivotField showAll="0" defaultSubtotal="0"/>
    <pivotField numFmtId="14" showAll="0"/>
    <pivotField showAll="0" defaultSubtotal="0"/>
    <pivotField numFmtId="14" showAll="0"/>
    <pivotField showAll="0" defaultSubtotal="0"/>
    <pivotField showAll="0"/>
    <pivotField showAll="0" defaultSubtotal="0"/>
    <pivotField showAll="0" defaultSubtotal="0"/>
    <pivotField numFmtId="14" showAll="0" defaultSubtotal="0"/>
    <pivotField numFmtId="14" showAll="0"/>
    <pivotField showAll="0" defaultSubtotal="0"/>
    <pivotField showAll="0"/>
    <pivotField name="Month" axis="axisPage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numFmtId="14" showAll="0" defaultSubtotal="0"/>
    <pivotField showAll="0"/>
    <pivotField showAll="0"/>
    <pivotField name="SP Current" axis="axisPage" showAll="0" defaultSubtotal="0">
      <items count="8">
        <item x="7"/>
        <item x="6"/>
        <item x="1"/>
        <item x="4"/>
        <item x="3"/>
        <item x="2"/>
        <item x="5"/>
        <item x="0"/>
      </items>
    </pivotField>
    <pivotField name="Manager" axis="axisPage" showAll="0" defaultSubtotal="0">
      <items count="4">
        <item x="3"/>
        <item x="2"/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name="Gap SSL SASL" axis="axisPage" multipleItemSelectionAllowed="1" showAll="0" defaultSubtotal="0">
      <items count="22">
        <item x="3"/>
        <item x="7"/>
        <item x="8"/>
        <item x="0"/>
        <item x="11"/>
        <item x="5"/>
        <item x="14"/>
        <item x="19"/>
        <item x="16"/>
        <item x="20"/>
        <item x="6"/>
        <item x="12"/>
        <item x="17"/>
        <item x="10"/>
        <item x="15"/>
        <item x="9"/>
        <item x="2"/>
        <item x="13"/>
        <item x="4"/>
        <item x="21"/>
        <item x="18"/>
        <item x="1"/>
      </items>
    </pivotField>
    <pivotField showAll="0" defaultSubtotal="0"/>
    <pivotField showAll="0" defaultSubtotal="0"/>
    <pivotField name="Shipvs1stietd" axis="axisPage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axis="axisPage" showAll="0" defaultSubtotal="0">
      <items count="3">
        <item x="0"/>
        <item x="1"/>
        <item x="2"/>
      </items>
    </pivotField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9">
    <pageField fld="4" hier="-1"/>
    <pageField fld="9" hier="-1"/>
    <pageField fld="8" hier="-1"/>
    <pageField fld="34" hier="-1"/>
    <pageField fld="75" item="1" hier="-1"/>
    <pageField fld="55" hier="-1"/>
    <pageField fld="54" hier="-1"/>
    <pageField fld="63" item="0" hier="-1"/>
    <pageField fld="60" hier="-1"/>
  </pageFields>
  <dataFields count="4">
    <dataField name="Sum of L1 + L2 adjust" fld="73" baseField="0" baseItem="0"/>
    <dataField name="Sum of L3 + L4 adjust" fld="74" baseField="0" baseItem="0"/>
    <dataField name="Sum of L2 - sasl adjust" fld="71" baseField="0" baseItem="0"/>
    <dataField name="Sum of L4  - sasl adjust" fld="72" baseField="0" baseItem="0"/>
  </dataFields>
  <formats count="16">
    <format dxfId="31">
      <pivotArea type="all" dataOnly="0" outline="0" fieldPosition="0"/>
    </format>
    <format dxfId="30">
      <pivotArea type="origin" dataOnly="0" labelOnly="1" outline="0" fieldPosition="0"/>
    </format>
    <format dxfId="29">
      <pivotArea field="-2" type="button" dataOnly="0" labelOnly="1" outline="0" axis="axisCol" fieldPosition="0"/>
    </format>
    <format dxfId="28">
      <pivotArea type="topRight" dataOnly="0" labelOnly="1" outline="0" fieldPosition="0"/>
    </format>
    <format dxfId="27">
      <pivotArea type="origin" dataOnly="0" labelOnly="1" outline="0" fieldPosition="0"/>
    </format>
    <format dxfId="26">
      <pivotArea field="9" type="button" dataOnly="0" labelOnly="1" outline="0" axis="axisPage" fieldPosition="1"/>
    </format>
    <format dxfId="25">
      <pivotArea field="-2" type="button" dataOnly="0" labelOnly="1" outline="0" axis="axisCol" fieldPosition="0"/>
    </format>
    <format dxfId="24">
      <pivotArea type="topRight" dataOnly="0" labelOnly="1" outline="0" fieldPosition="0"/>
    </format>
    <format dxfId="23">
      <pivotArea outline="0" collapsedLevelsAreSubtotals="1" fieldPosition="0"/>
    </format>
    <format dxfId="22">
      <pivotArea field="9" type="button" dataOnly="0" labelOnly="1" outline="0" axis="axisPage" fieldPosition="1"/>
    </format>
    <format dxfId="21">
      <pivotArea dataOnly="0" labelOnly="1" grandRow="1" outline="0" fieldPosition="0"/>
    </format>
    <format dxfId="20">
      <pivotArea type="all" dataOnly="0" outline="0" fieldPosition="0"/>
    </format>
    <format dxfId="19">
      <pivotArea field="9" type="button" dataOnly="0" labelOnly="1" outline="0" axis="axisPage" fieldPosition="1"/>
    </format>
    <format dxfId="18">
      <pivotArea dataOnly="0" labelOnly="1" outline="0" fieldPosition="0">
        <references count="1">
          <reference field="9" count="0"/>
        </references>
      </pivotArea>
    </format>
    <format dxfId="17">
      <pivotArea field="9" type="button" dataOnly="0" labelOnly="1" outline="0" axis="axisPage" fieldPosition="1"/>
    </format>
    <format dxfId="16">
      <pivotArea field="9" type="button" dataOnly="0" labelOnly="1" outline="0" axis="axisPage" fieldPosition="1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L4_REASONS for SASL FAILED" cacheId="0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rowHeaderCaption="Comment Code" colHeaderCaption="class of Reliability">
  <location ref="Y15:Z31" firstHeaderRow="1" firstDataRow="1" firstDataCol="1" rowPageCount="8" colPageCount="1"/>
  <pivotFields count="76">
    <pivotField dataField="1" showAll="0"/>
    <pivotField showAll="0" defaultSubtotal="0"/>
    <pivotField showAll="0" defaultSubtotal="0"/>
    <pivotField showAll="0" defaultSubtotal="0"/>
    <pivotField name="Sold To Party Name" axis="axisPage" showAll="0" defaultSubtotal="0">
      <items count="36">
        <item x="19"/>
        <item x="4"/>
        <item x="5"/>
        <item x="8"/>
        <item x="33"/>
        <item x="27"/>
        <item x="29"/>
        <item x="32"/>
        <item x="26"/>
        <item x="17"/>
        <item x="18"/>
        <item x="3"/>
        <item x="21"/>
        <item x="13"/>
        <item x="14"/>
        <item x="25"/>
        <item x="6"/>
        <item x="28"/>
        <item x="23"/>
        <item x="30"/>
        <item x="35"/>
        <item x="20"/>
        <item x="9"/>
        <item x="11"/>
        <item x="10"/>
        <item x="12"/>
        <item x="34"/>
        <item x="2"/>
        <item x="15"/>
        <item x="0"/>
        <item x="7"/>
        <item x="22"/>
        <item x="24"/>
        <item x="16"/>
        <item x="31"/>
        <item x="1"/>
      </items>
    </pivotField>
    <pivotField showAll="0"/>
    <pivotField showAll="0"/>
    <pivotField showAll="0"/>
    <pivotField axis="axisPage" multipleItemSelectionAllowed="1" showAll="0">
      <items count="87">
        <item x="55"/>
        <item x="16"/>
        <item x="5"/>
        <item x="34"/>
        <item x="77"/>
        <item x="33"/>
        <item x="8"/>
        <item x="35"/>
        <item x="56"/>
        <item x="27"/>
        <item x="7"/>
        <item x="9"/>
        <item x="52"/>
        <item x="28"/>
        <item x="40"/>
        <item x="36"/>
        <item x="61"/>
        <item x="26"/>
        <item x="46"/>
        <item x="37"/>
        <item x="47"/>
        <item x="25"/>
        <item x="18"/>
        <item x="84"/>
        <item x="29"/>
        <item x="82"/>
        <item x="41"/>
        <item x="11"/>
        <item x="20"/>
        <item x="53"/>
        <item x="71"/>
        <item x="49"/>
        <item x="4"/>
        <item x="38"/>
        <item x="54"/>
        <item x="13"/>
        <item x="39"/>
        <item x="78"/>
        <item x="2"/>
        <item x="42"/>
        <item x="21"/>
        <item x="70"/>
        <item x="57"/>
        <item x="62"/>
        <item x="3"/>
        <item x="72"/>
        <item x="73"/>
        <item x="63"/>
        <item x="64"/>
        <item x="65"/>
        <item x="10"/>
        <item x="58"/>
        <item x="17"/>
        <item x="14"/>
        <item x="15"/>
        <item x="74"/>
        <item x="12"/>
        <item x="6"/>
        <item x="43"/>
        <item x="66"/>
        <item x="51"/>
        <item x="59"/>
        <item x="85"/>
        <item x="83"/>
        <item x="81"/>
        <item x="1"/>
        <item x="75"/>
        <item x="44"/>
        <item x="24"/>
        <item x="67"/>
        <item x="19"/>
        <item x="32"/>
        <item x="68"/>
        <item x="48"/>
        <item x="79"/>
        <item x="80"/>
        <item x="69"/>
        <item x="60"/>
        <item x="23"/>
        <item x="0"/>
        <item x="22"/>
        <item x="30"/>
        <item x="31"/>
        <item x="76"/>
        <item x="45"/>
        <item x="50"/>
        <item t="default"/>
      </items>
    </pivotField>
    <pivotField axis="axisPage" outline="0" multipleItemSelectionAllowed="1" showAll="0" sortType="ascending" defaultSubtotal="0">
      <items count="86">
        <item x="4"/>
        <item x="77"/>
        <item x="44"/>
        <item x="5"/>
        <item x="46"/>
        <item x="37"/>
        <item x="72"/>
        <item x="6"/>
        <item x="33"/>
        <item x="65"/>
        <item x="66"/>
        <item x="39"/>
        <item x="38"/>
        <item x="3"/>
        <item x="68"/>
        <item x="62"/>
        <item x="74"/>
        <item x="49"/>
        <item x="43"/>
        <item x="63"/>
        <item x="83"/>
        <item x="51"/>
        <item x="79"/>
        <item x="28"/>
        <item x="58"/>
        <item x="21"/>
        <item x="2"/>
        <item x="82"/>
        <item x="80"/>
        <item x="1"/>
        <item x="12"/>
        <item x="56"/>
        <item x="47"/>
        <item x="42"/>
        <item x="35"/>
        <item x="75"/>
        <item x="40"/>
        <item x="59"/>
        <item x="61"/>
        <item x="84"/>
        <item x="26"/>
        <item x="67"/>
        <item x="13"/>
        <item x="54"/>
        <item x="55"/>
        <item x="81"/>
        <item x="19"/>
        <item x="52"/>
        <item x="41"/>
        <item x="15"/>
        <item x="24"/>
        <item x="32"/>
        <item x="34"/>
        <item x="9"/>
        <item x="10"/>
        <item x="45"/>
        <item x="57"/>
        <item x="23"/>
        <item x="22"/>
        <item x="85"/>
        <item x="16"/>
        <item x="73"/>
        <item x="36"/>
        <item x="17"/>
        <item x="76"/>
        <item x="78"/>
        <item x="18"/>
        <item x="48"/>
        <item x="50"/>
        <item x="11"/>
        <item x="27"/>
        <item x="69"/>
        <item x="7"/>
        <item x="8"/>
        <item x="20"/>
        <item x="31"/>
        <item x="64"/>
        <item x="29"/>
        <item x="25"/>
        <item x="53"/>
        <item x="70"/>
        <item x="14"/>
        <item x="0"/>
        <item x="30"/>
        <item x="71"/>
        <item x="60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 defaultSubtotal="0"/>
    <pivotField showAll="0" defaultSubtotal="0"/>
    <pivotField numFmtId="14" showAll="0"/>
    <pivotField showAll="0" defaultSubtotal="0"/>
    <pivotField showAll="0" defaultSubtotal="0"/>
    <pivotField showAll="0" defaultSubtotal="0"/>
    <pivotField numFmtId="14" showAll="0"/>
    <pivotField showAll="0" defaultSubtotal="0"/>
    <pivotField numFmtId="14" showAll="0"/>
    <pivotField showAll="0" defaultSubtotal="0"/>
    <pivotField showAll="0"/>
    <pivotField showAll="0" defaultSubtotal="0"/>
    <pivotField showAll="0" defaultSubtotal="0"/>
    <pivotField numFmtId="14" showAll="0" defaultSubtotal="0"/>
    <pivotField numFmtId="14" showAll="0"/>
    <pivotField showAll="0" defaultSubtotal="0"/>
    <pivotField showAll="0"/>
    <pivotField name="Month" axis="axisPage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numFmtId="14" showAll="0" defaultSubtotal="0"/>
    <pivotField showAll="0"/>
    <pivotField showAll="0"/>
    <pivotField name="SP Current" axis="axisPage" showAll="0" defaultSubtotal="0">
      <items count="8">
        <item x="7"/>
        <item x="6"/>
        <item x="1"/>
        <item x="4"/>
        <item x="3"/>
        <item x="2"/>
        <item x="5"/>
        <item x="0"/>
      </items>
    </pivotField>
    <pivotField name="Manager" axis="axisPage" showAll="0" defaultSubtotal="0">
      <items count="4">
        <item x="3"/>
        <item x="2"/>
        <item x="1"/>
        <item x="0"/>
      </items>
    </pivotField>
    <pivotField name="SASL Failed" axis="axisRow" showAll="0" defaultSubtotal="0">
      <items count="22">
        <item x="4"/>
        <item x="16"/>
        <item x="10"/>
        <item x="3"/>
        <item x="0"/>
        <item x="5"/>
        <item x="8"/>
        <item x="19"/>
        <item x="6"/>
        <item x="20"/>
        <item x="7"/>
        <item x="21"/>
        <item x="12"/>
        <item x="17"/>
        <item x="9"/>
        <item x="14"/>
        <item x="11"/>
        <item x="13"/>
        <item x="2"/>
        <item x="15"/>
        <item x="18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ame="L4 - sasl adjust" axis="axisPage" showAll="0" defaultSubtotal="0">
      <items count="2">
        <item x="0"/>
        <item x="1"/>
      </items>
    </pivotField>
    <pivotField showAll="0" defaultSubtotal="0"/>
    <pivotField showAll="0" defaultSubtotal="0"/>
    <pivotField axis="axisPage" showAll="0" defaultSubtotal="0">
      <items count="3">
        <item x="0"/>
        <item x="1"/>
        <item x="2"/>
      </items>
    </pivotField>
  </pivotFields>
  <rowFields count="1">
    <field x="56"/>
  </rowFields>
  <rowItems count="16">
    <i>
      <x/>
    </i>
    <i>
      <x v="1"/>
    </i>
    <i>
      <x v="2"/>
    </i>
    <i>
      <x v="3"/>
    </i>
    <i>
      <x v="4"/>
    </i>
    <i>
      <x v="6"/>
    </i>
    <i>
      <x v="8"/>
    </i>
    <i>
      <x v="10"/>
    </i>
    <i>
      <x v="12"/>
    </i>
    <i>
      <x v="14"/>
    </i>
    <i>
      <x v="15"/>
    </i>
    <i>
      <x v="16"/>
    </i>
    <i>
      <x v="17"/>
    </i>
    <i>
      <x v="18"/>
    </i>
    <i>
      <x v="20"/>
    </i>
    <i>
      <x v="21"/>
    </i>
  </rowItems>
  <colItems count="1">
    <i/>
  </colItems>
  <pageFields count="8">
    <pageField fld="4" hier="-1"/>
    <pageField fld="9" hier="-1"/>
    <pageField fld="8" hier="-1"/>
    <pageField fld="34" hier="-1"/>
    <pageField fld="75" hier="-1"/>
    <pageField fld="55" hier="-1"/>
    <pageField fld="54" hier="-1"/>
    <pageField fld="72" item="1" hier="-1"/>
  </pageFields>
  <dataFields count="1">
    <dataField name="Sum of Count key" fld="0" subtotal="count" baseField="0" baseItem="0"/>
  </dataFields>
  <formats count="15">
    <format dxfId="46">
      <pivotArea type="all" dataOnly="0" outline="0" fieldPosition="0"/>
    </format>
    <format dxfId="45">
      <pivotArea type="origin" dataOnly="0" labelOnly="1" outline="0" fieldPosition="0"/>
    </format>
    <format dxfId="44">
      <pivotArea field="-2" type="button" dataOnly="0" labelOnly="1" outline="0" axis="axisValues" fieldPosition="0"/>
    </format>
    <format dxfId="43">
      <pivotArea type="topRight" dataOnly="0" labelOnly="1" outline="0" fieldPosition="0"/>
    </format>
    <format dxfId="42">
      <pivotArea type="origin" dataOnly="0" labelOnly="1" outline="0" fieldPosition="0"/>
    </format>
    <format dxfId="41">
      <pivotArea field="9" type="button" dataOnly="0" labelOnly="1" outline="0" axis="axisPage" fieldPosition="1"/>
    </format>
    <format dxfId="40">
      <pivotArea field="-2" type="button" dataOnly="0" labelOnly="1" outline="0" axis="axisValues" fieldPosition="0"/>
    </format>
    <format dxfId="39">
      <pivotArea type="topRight" dataOnly="0" labelOnly="1" outline="0" fieldPosition="0"/>
    </format>
    <format dxfId="38">
      <pivotArea outline="0" collapsedLevelsAreSubtotals="1" fieldPosition="0"/>
    </format>
    <format dxfId="37">
      <pivotArea field="9" type="button" dataOnly="0" labelOnly="1" outline="0" axis="axisPage" fieldPosition="1"/>
    </format>
    <format dxfId="36">
      <pivotArea dataOnly="0" labelOnly="1" grandRow="1" outline="0" fieldPosition="0"/>
    </format>
    <format dxfId="35">
      <pivotArea field="9" type="button" dataOnly="0" labelOnly="1" outline="0" axis="axisPage" fieldPosition="1"/>
    </format>
    <format dxfId="34">
      <pivotArea dataOnly="0" labelOnly="1" outline="0" fieldPosition="0">
        <references count="1">
          <reference field="9" count="0"/>
        </references>
      </pivotArea>
    </format>
    <format dxfId="33">
      <pivotArea field="9" type="button" dataOnly="0" labelOnly="1" outline="0" axis="axisPage" fieldPosition="1"/>
    </format>
    <format dxfId="32">
      <pivotArea field="9" type="button" dataOnly="0" labelOnly="1" outline="0" axis="axisPage" fieldPosition="1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L2_REASONS for SASL FAILED" cacheId="0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rowHeaderCaption="Comment Code" colHeaderCaption="class of Reliability">
  <location ref="U15:V34" firstHeaderRow="1" firstDataRow="1" firstDataCol="1" rowPageCount="8" colPageCount="1"/>
  <pivotFields count="76">
    <pivotField dataField="1" showAll="0"/>
    <pivotField showAll="0" defaultSubtotal="0"/>
    <pivotField showAll="0" defaultSubtotal="0"/>
    <pivotField showAll="0" defaultSubtotal="0"/>
    <pivotField name="Sold To Party Name" axis="axisPage" showAll="0" defaultSubtotal="0">
      <items count="36">
        <item x="19"/>
        <item x="4"/>
        <item x="5"/>
        <item x="8"/>
        <item x="33"/>
        <item x="27"/>
        <item x="29"/>
        <item x="32"/>
        <item x="26"/>
        <item x="17"/>
        <item x="18"/>
        <item x="3"/>
        <item x="21"/>
        <item x="13"/>
        <item x="14"/>
        <item x="25"/>
        <item x="6"/>
        <item x="28"/>
        <item x="23"/>
        <item x="30"/>
        <item x="35"/>
        <item x="20"/>
        <item x="9"/>
        <item x="11"/>
        <item x="10"/>
        <item x="12"/>
        <item x="34"/>
        <item x="2"/>
        <item x="15"/>
        <item x="0"/>
        <item x="7"/>
        <item x="22"/>
        <item x="24"/>
        <item x="16"/>
        <item x="31"/>
        <item x="1"/>
      </items>
    </pivotField>
    <pivotField showAll="0"/>
    <pivotField showAll="0"/>
    <pivotField showAll="0"/>
    <pivotField axis="axisPage" multipleItemSelectionAllowed="1" showAll="0">
      <items count="87">
        <item x="55"/>
        <item x="16"/>
        <item x="5"/>
        <item x="34"/>
        <item x="77"/>
        <item x="33"/>
        <item x="8"/>
        <item x="35"/>
        <item x="56"/>
        <item x="27"/>
        <item x="7"/>
        <item x="9"/>
        <item x="52"/>
        <item x="28"/>
        <item x="40"/>
        <item x="36"/>
        <item x="61"/>
        <item x="26"/>
        <item x="46"/>
        <item x="37"/>
        <item x="47"/>
        <item x="25"/>
        <item x="18"/>
        <item x="84"/>
        <item x="29"/>
        <item x="82"/>
        <item x="41"/>
        <item x="11"/>
        <item x="20"/>
        <item x="53"/>
        <item x="71"/>
        <item x="49"/>
        <item x="4"/>
        <item x="38"/>
        <item x="54"/>
        <item x="13"/>
        <item x="39"/>
        <item x="78"/>
        <item x="2"/>
        <item x="42"/>
        <item x="21"/>
        <item x="70"/>
        <item x="57"/>
        <item x="62"/>
        <item x="3"/>
        <item x="72"/>
        <item x="73"/>
        <item x="63"/>
        <item x="64"/>
        <item x="65"/>
        <item x="10"/>
        <item x="58"/>
        <item x="17"/>
        <item x="14"/>
        <item x="15"/>
        <item x="74"/>
        <item x="12"/>
        <item x="6"/>
        <item x="43"/>
        <item x="66"/>
        <item x="51"/>
        <item x="59"/>
        <item x="85"/>
        <item x="83"/>
        <item x="81"/>
        <item x="1"/>
        <item x="75"/>
        <item x="44"/>
        <item x="24"/>
        <item x="67"/>
        <item x="19"/>
        <item x="32"/>
        <item x="68"/>
        <item x="48"/>
        <item x="79"/>
        <item x="80"/>
        <item x="69"/>
        <item x="60"/>
        <item x="23"/>
        <item x="0"/>
        <item x="22"/>
        <item x="30"/>
        <item x="31"/>
        <item x="76"/>
        <item x="45"/>
        <item x="50"/>
        <item t="default"/>
      </items>
    </pivotField>
    <pivotField axis="axisPage" outline="0" multipleItemSelectionAllowed="1" showAll="0" sortType="ascending" defaultSubtotal="0">
      <items count="86">
        <item x="4"/>
        <item x="77"/>
        <item x="44"/>
        <item x="5"/>
        <item x="46"/>
        <item x="37"/>
        <item x="72"/>
        <item x="6"/>
        <item x="33"/>
        <item x="65"/>
        <item x="66"/>
        <item x="39"/>
        <item x="38"/>
        <item x="3"/>
        <item x="68"/>
        <item x="62"/>
        <item x="74"/>
        <item x="49"/>
        <item x="43"/>
        <item x="63"/>
        <item x="83"/>
        <item x="51"/>
        <item x="79"/>
        <item x="28"/>
        <item x="58"/>
        <item x="21"/>
        <item x="2"/>
        <item x="82"/>
        <item x="80"/>
        <item x="1"/>
        <item x="12"/>
        <item x="56"/>
        <item x="47"/>
        <item x="42"/>
        <item x="35"/>
        <item x="75"/>
        <item x="40"/>
        <item x="59"/>
        <item x="61"/>
        <item x="84"/>
        <item x="26"/>
        <item x="67"/>
        <item x="13"/>
        <item x="54"/>
        <item x="55"/>
        <item x="81"/>
        <item x="19"/>
        <item x="52"/>
        <item x="41"/>
        <item x="15"/>
        <item x="24"/>
        <item x="32"/>
        <item x="34"/>
        <item x="9"/>
        <item x="10"/>
        <item x="45"/>
        <item x="57"/>
        <item x="23"/>
        <item x="22"/>
        <item x="85"/>
        <item x="16"/>
        <item x="73"/>
        <item x="36"/>
        <item x="17"/>
        <item x="76"/>
        <item x="78"/>
        <item x="18"/>
        <item x="48"/>
        <item x="50"/>
        <item x="11"/>
        <item x="27"/>
        <item x="69"/>
        <item x="7"/>
        <item x="8"/>
        <item x="20"/>
        <item x="31"/>
        <item x="64"/>
        <item x="29"/>
        <item x="25"/>
        <item x="53"/>
        <item x="70"/>
        <item x="14"/>
        <item x="0"/>
        <item x="30"/>
        <item x="71"/>
        <item x="60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 defaultSubtotal="0"/>
    <pivotField showAll="0" defaultSubtotal="0"/>
    <pivotField numFmtId="14" showAll="0"/>
    <pivotField showAll="0" defaultSubtotal="0"/>
    <pivotField showAll="0" defaultSubtotal="0"/>
    <pivotField showAll="0" defaultSubtotal="0"/>
    <pivotField numFmtId="14" showAll="0"/>
    <pivotField showAll="0" defaultSubtotal="0"/>
    <pivotField numFmtId="14" showAll="0"/>
    <pivotField showAll="0" defaultSubtotal="0"/>
    <pivotField showAll="0"/>
    <pivotField showAll="0" defaultSubtotal="0"/>
    <pivotField showAll="0" defaultSubtotal="0"/>
    <pivotField numFmtId="14" showAll="0" defaultSubtotal="0"/>
    <pivotField numFmtId="14" showAll="0"/>
    <pivotField showAll="0" defaultSubtotal="0"/>
    <pivotField showAll="0"/>
    <pivotField name="Month" axis="axisPage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numFmtId="14" showAll="0" defaultSubtotal="0"/>
    <pivotField showAll="0"/>
    <pivotField showAll="0"/>
    <pivotField name="SP Current" axis="axisPage" showAll="0" defaultSubtotal="0">
      <items count="8">
        <item x="7"/>
        <item x="6"/>
        <item x="1"/>
        <item x="4"/>
        <item x="3"/>
        <item x="2"/>
        <item x="5"/>
        <item x="0"/>
      </items>
    </pivotField>
    <pivotField name="Manager" axis="axisPage" showAll="0" defaultSubtotal="0">
      <items count="4">
        <item x="3"/>
        <item x="2"/>
        <item x="1"/>
        <item x="0"/>
      </items>
    </pivotField>
    <pivotField name="SASL Failed" axis="axisRow" showAll="0" defaultSubtotal="0">
      <items count="22">
        <item x="4"/>
        <item x="16"/>
        <item x="10"/>
        <item x="3"/>
        <item x="0"/>
        <item x="5"/>
        <item x="8"/>
        <item x="19"/>
        <item x="6"/>
        <item x="20"/>
        <item x="7"/>
        <item x="21"/>
        <item x="12"/>
        <item x="17"/>
        <item x="9"/>
        <item x="14"/>
        <item x="11"/>
        <item x="13"/>
        <item x="2"/>
        <item x="15"/>
        <item x="18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ame="L2 - sasl adjust" axis="axisPage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axis="axisPage" showAll="0" defaultSubtotal="0">
      <items count="3">
        <item x="0"/>
        <item x="1"/>
        <item x="2"/>
      </items>
    </pivotField>
  </pivotFields>
  <rowFields count="1">
    <field x="56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pageFields count="8">
    <pageField fld="4" hier="-1"/>
    <pageField fld="9" hier="-1"/>
    <pageField fld="8" hier="-1"/>
    <pageField fld="75" hier="-1"/>
    <pageField fld="34" hier="-1"/>
    <pageField fld="55" hier="-1"/>
    <pageField fld="54" hier="-1"/>
    <pageField fld="71" item="1" hier="-1"/>
  </pageFields>
  <dataFields count="1">
    <dataField name="Sum of Count key" fld="0" subtotal="count" baseField="0" baseItem="0"/>
  </dataFields>
  <formats count="15">
    <format dxfId="61">
      <pivotArea type="all" dataOnly="0" outline="0" fieldPosition="0"/>
    </format>
    <format dxfId="60">
      <pivotArea type="origin" dataOnly="0" labelOnly="1" outline="0" fieldPosition="0"/>
    </format>
    <format dxfId="59">
      <pivotArea field="-2" type="button" dataOnly="0" labelOnly="1" outline="0" axis="axisValues" fieldPosition="0"/>
    </format>
    <format dxfId="58">
      <pivotArea type="topRight" dataOnly="0" labelOnly="1" outline="0" fieldPosition="0"/>
    </format>
    <format dxfId="57">
      <pivotArea type="origin" dataOnly="0" labelOnly="1" outline="0" fieldPosition="0"/>
    </format>
    <format dxfId="56">
      <pivotArea field="9" type="button" dataOnly="0" labelOnly="1" outline="0" axis="axisPage" fieldPosition="1"/>
    </format>
    <format dxfId="55">
      <pivotArea field="-2" type="button" dataOnly="0" labelOnly="1" outline="0" axis="axisValues" fieldPosition="0"/>
    </format>
    <format dxfId="54">
      <pivotArea type="topRight" dataOnly="0" labelOnly="1" outline="0" fieldPosition="0"/>
    </format>
    <format dxfId="53">
      <pivotArea outline="0" collapsedLevelsAreSubtotals="1" fieldPosition="0"/>
    </format>
    <format dxfId="52">
      <pivotArea field="9" type="button" dataOnly="0" labelOnly="1" outline="0" axis="axisPage" fieldPosition="1"/>
    </format>
    <format dxfId="51">
      <pivotArea dataOnly="0" labelOnly="1" grandRow="1" outline="0" fieldPosition="0"/>
    </format>
    <format dxfId="50">
      <pivotArea field="9" type="button" dataOnly="0" labelOnly="1" outline="0" axis="axisPage" fieldPosition="1"/>
    </format>
    <format dxfId="49">
      <pivotArea dataOnly="0" labelOnly="1" outline="0" fieldPosition="0">
        <references count="1">
          <reference field="9" count="0"/>
        </references>
      </pivotArea>
    </format>
    <format dxfId="48">
      <pivotArea field="9" type="button" dataOnly="0" labelOnly="1" outline="0" axis="axisPage" fieldPosition="1"/>
    </format>
    <format dxfId="47">
      <pivotArea field="9" type="button" dataOnly="0" labelOnly="1" outline="0" axis="axisPage" fieldPosition="1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L3_Supplier/FW" cacheId="0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rowHeaderCaption="Suppliers" colHeaderCaption="class of Reliability">
  <location ref="Q15:R25" firstHeaderRow="1" firstDataRow="1" firstDataCol="1" rowPageCount="9" colPageCount="1"/>
  <pivotFields count="76">
    <pivotField dataField="1" showAll="0"/>
    <pivotField showAll="0" defaultSubtotal="0"/>
    <pivotField showAll="0" defaultSubtotal="0"/>
    <pivotField showAll="0" defaultSubtotal="0"/>
    <pivotField name="Sold To Party Name" axis="axisPage" showAll="0" defaultSubtotal="0">
      <items count="36">
        <item x="19"/>
        <item x="4"/>
        <item x="5"/>
        <item x="8"/>
        <item x="33"/>
        <item x="27"/>
        <item x="29"/>
        <item x="32"/>
        <item x="26"/>
        <item x="17"/>
        <item x="18"/>
        <item x="3"/>
        <item x="21"/>
        <item x="13"/>
        <item x="14"/>
        <item x="25"/>
        <item x="6"/>
        <item x="28"/>
        <item x="23"/>
        <item x="30"/>
        <item x="35"/>
        <item x="20"/>
        <item x="9"/>
        <item x="11"/>
        <item x="10"/>
        <item x="12"/>
        <item x="34"/>
        <item x="2"/>
        <item x="15"/>
        <item x="0"/>
        <item x="7"/>
        <item x="22"/>
        <item x="24"/>
        <item x="16"/>
        <item x="31"/>
        <item x="1"/>
      </items>
    </pivotField>
    <pivotField showAll="0"/>
    <pivotField showAll="0"/>
    <pivotField showAll="0"/>
    <pivotField axis="axisPage" multipleItemSelectionAllowed="1" showAll="0">
      <items count="87">
        <item x="55"/>
        <item x="16"/>
        <item x="5"/>
        <item x="34"/>
        <item x="77"/>
        <item x="33"/>
        <item x="8"/>
        <item x="35"/>
        <item x="56"/>
        <item x="27"/>
        <item x="7"/>
        <item x="9"/>
        <item x="52"/>
        <item x="28"/>
        <item x="40"/>
        <item x="36"/>
        <item x="61"/>
        <item x="26"/>
        <item x="46"/>
        <item x="37"/>
        <item x="47"/>
        <item x="25"/>
        <item x="18"/>
        <item x="84"/>
        <item x="29"/>
        <item x="82"/>
        <item x="41"/>
        <item x="11"/>
        <item x="20"/>
        <item x="53"/>
        <item x="71"/>
        <item x="49"/>
        <item x="4"/>
        <item x="38"/>
        <item x="54"/>
        <item x="13"/>
        <item x="39"/>
        <item x="78"/>
        <item x="2"/>
        <item x="42"/>
        <item x="21"/>
        <item x="70"/>
        <item x="57"/>
        <item x="62"/>
        <item x="3"/>
        <item x="72"/>
        <item x="73"/>
        <item x="63"/>
        <item x="64"/>
        <item x="65"/>
        <item x="10"/>
        <item x="58"/>
        <item x="17"/>
        <item x="14"/>
        <item x="15"/>
        <item x="74"/>
        <item x="12"/>
        <item x="6"/>
        <item x="43"/>
        <item x="66"/>
        <item x="51"/>
        <item x="59"/>
        <item x="85"/>
        <item x="83"/>
        <item x="81"/>
        <item x="1"/>
        <item x="75"/>
        <item x="44"/>
        <item x="24"/>
        <item x="67"/>
        <item x="19"/>
        <item x="32"/>
        <item x="68"/>
        <item x="48"/>
        <item x="79"/>
        <item x="80"/>
        <item x="69"/>
        <item x="60"/>
        <item x="23"/>
        <item x="0"/>
        <item x="22"/>
        <item x="30"/>
        <item x="31"/>
        <item x="76"/>
        <item x="45"/>
        <item x="50"/>
        <item t="default"/>
      </items>
    </pivotField>
    <pivotField axis="axisPage" outline="0" multipleItemSelectionAllowed="1" showAll="0" sortType="ascending" defaultSubtotal="0">
      <items count="86">
        <item x="4"/>
        <item x="77"/>
        <item x="44"/>
        <item x="5"/>
        <item x="46"/>
        <item x="37"/>
        <item x="72"/>
        <item x="6"/>
        <item x="33"/>
        <item x="65"/>
        <item x="66"/>
        <item x="39"/>
        <item x="38"/>
        <item x="3"/>
        <item x="68"/>
        <item x="62"/>
        <item x="74"/>
        <item x="49"/>
        <item x="43"/>
        <item x="63"/>
        <item x="83"/>
        <item x="51"/>
        <item x="79"/>
        <item x="28"/>
        <item x="58"/>
        <item x="21"/>
        <item x="2"/>
        <item x="82"/>
        <item x="80"/>
        <item x="1"/>
        <item x="12"/>
        <item x="56"/>
        <item x="47"/>
        <item x="42"/>
        <item x="35"/>
        <item x="75"/>
        <item x="40"/>
        <item x="59"/>
        <item x="61"/>
        <item x="84"/>
        <item x="26"/>
        <item x="67"/>
        <item x="13"/>
        <item x="54"/>
        <item x="55"/>
        <item x="81"/>
        <item x="19"/>
        <item x="52"/>
        <item x="41"/>
        <item x="15"/>
        <item x="24"/>
        <item x="32"/>
        <item x="34"/>
        <item x="9"/>
        <item x="10"/>
        <item x="45"/>
        <item x="57"/>
        <item x="23"/>
        <item x="22"/>
        <item x="85"/>
        <item x="16"/>
        <item x="73"/>
        <item x="36"/>
        <item x="17"/>
        <item x="76"/>
        <item x="78"/>
        <item x="18"/>
        <item x="48"/>
        <item x="50"/>
        <item x="11"/>
        <item x="27"/>
        <item x="69"/>
        <item x="7"/>
        <item x="8"/>
        <item x="20"/>
        <item x="31"/>
        <item x="64"/>
        <item x="29"/>
        <item x="25"/>
        <item x="53"/>
        <item x="70"/>
        <item x="14"/>
        <item x="0"/>
        <item x="30"/>
        <item x="71"/>
        <item x="60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 defaultSubtotal="0"/>
    <pivotField showAll="0" defaultSubtotal="0"/>
    <pivotField numFmtId="14" showAll="0"/>
    <pivotField showAll="0" defaultSubtotal="0"/>
    <pivotField showAll="0" defaultSubtotal="0"/>
    <pivotField showAll="0" defaultSubtotal="0"/>
    <pivotField numFmtId="14" showAll="0"/>
    <pivotField showAll="0" defaultSubtotal="0"/>
    <pivotField numFmtId="14" showAll="0"/>
    <pivotField showAll="0" defaultSubtotal="0"/>
    <pivotField showAll="0"/>
    <pivotField showAll="0" defaultSubtotal="0"/>
    <pivotField showAll="0" defaultSubtotal="0"/>
    <pivotField numFmtId="14" showAll="0" defaultSubtotal="0"/>
    <pivotField numFmtId="14" showAll="0"/>
    <pivotField showAll="0" defaultSubtotal="0"/>
    <pivotField showAll="0"/>
    <pivotField name="Month" axis="axisPage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numFmtId="14" showAll="0" defaultSubtotal="0"/>
    <pivotField showAll="0"/>
    <pivotField showAll="0"/>
    <pivotField name="SP Current" axis="axisPage" showAll="0" defaultSubtotal="0">
      <items count="8">
        <item x="7"/>
        <item x="6"/>
        <item x="1"/>
        <item x="4"/>
        <item x="3"/>
        <item x="2"/>
        <item x="5"/>
        <item x="0"/>
      </items>
    </pivotField>
    <pivotField name="Manager" axis="axisPage" showAll="0" defaultSubtotal="0">
      <items count="4">
        <item x="3"/>
        <item x="2"/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name="Gap SSL SASL" axis="axisRow" showAll="0" defaultSubtotal="0">
      <items count="22">
        <item x="3"/>
        <item x="7"/>
        <item x="8"/>
        <item x="0"/>
        <item x="11"/>
        <item x="5"/>
        <item x="14"/>
        <item x="19"/>
        <item x="16"/>
        <item x="20"/>
        <item x="6"/>
        <item x="12"/>
        <item x="17"/>
        <item x="10"/>
        <item x="15"/>
        <item x="9"/>
        <item x="2"/>
        <item x="13"/>
        <item x="4"/>
        <item x="21"/>
        <item x="18"/>
        <item x="1"/>
      </items>
    </pivotField>
    <pivotField showAll="0" defaultSubtotal="0"/>
    <pivotField showAll="0" defaultSubtotal="0"/>
    <pivotField name="Shipvs1stietd" axis="axisPage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ame="L3 + L4 and sasl adjust" axis="axisPage" showAll="0" defaultSubtotal="0">
      <items count="2">
        <item x="0"/>
        <item x="1"/>
      </items>
    </pivotField>
    <pivotField axis="axisPage" showAll="0" defaultSubtotal="0">
      <items count="3">
        <item x="0"/>
        <item x="1"/>
        <item x="2"/>
      </items>
    </pivotField>
  </pivotFields>
  <rowFields count="1">
    <field x="60"/>
  </rowFields>
  <rowItems count="10">
    <i>
      <x/>
    </i>
    <i>
      <x v="1"/>
    </i>
    <i>
      <x v="2"/>
    </i>
    <i>
      <x v="3"/>
    </i>
    <i>
      <x v="6"/>
    </i>
    <i>
      <x v="10"/>
    </i>
    <i>
      <x v="13"/>
    </i>
    <i>
      <x v="14"/>
    </i>
    <i>
      <x v="15"/>
    </i>
    <i>
      <x v="21"/>
    </i>
  </rowItems>
  <colItems count="1">
    <i/>
  </colItems>
  <pageFields count="9">
    <pageField fld="4" hier="-1"/>
    <pageField fld="9" hier="-1"/>
    <pageField fld="8" hier="-1"/>
    <pageField fld="75" hier="-1"/>
    <pageField fld="34" hier="-1"/>
    <pageField fld="55" hier="-1"/>
    <pageField fld="54" hier="-1"/>
    <pageField fld="63" item="0" hier="-1"/>
    <pageField fld="74" item="1" hier="-1"/>
  </pageFields>
  <dataFields count="1">
    <dataField name="Sum of Count key" fld="0" subtotal="count" baseField="0" baseItem="0"/>
  </dataFields>
  <formats count="15">
    <format dxfId="76">
      <pivotArea type="all" dataOnly="0" outline="0" fieldPosition="0"/>
    </format>
    <format dxfId="75">
      <pivotArea type="origin" dataOnly="0" labelOnly="1" outline="0" fieldPosition="0"/>
    </format>
    <format dxfId="74">
      <pivotArea field="-2" type="button" dataOnly="0" labelOnly="1" outline="0" axis="axisValues" fieldPosition="0"/>
    </format>
    <format dxfId="73">
      <pivotArea type="topRight" dataOnly="0" labelOnly="1" outline="0" fieldPosition="0"/>
    </format>
    <format dxfId="72">
      <pivotArea type="origin" dataOnly="0" labelOnly="1" outline="0" fieldPosition="0"/>
    </format>
    <format dxfId="71">
      <pivotArea field="9" type="button" dataOnly="0" labelOnly="1" outline="0" axis="axisPage" fieldPosition="1"/>
    </format>
    <format dxfId="70">
      <pivotArea field="-2" type="button" dataOnly="0" labelOnly="1" outline="0" axis="axisValues" fieldPosition="0"/>
    </format>
    <format dxfId="69">
      <pivotArea type="topRight" dataOnly="0" labelOnly="1" outline="0" fieldPosition="0"/>
    </format>
    <format dxfId="68">
      <pivotArea outline="0" collapsedLevelsAreSubtotals="1" fieldPosition="0"/>
    </format>
    <format dxfId="67">
      <pivotArea field="9" type="button" dataOnly="0" labelOnly="1" outline="0" axis="axisPage" fieldPosition="1"/>
    </format>
    <format dxfId="66">
      <pivotArea dataOnly="0" labelOnly="1" grandRow="1" outline="0" fieldPosition="0"/>
    </format>
    <format dxfId="65">
      <pivotArea field="9" type="button" dataOnly="0" labelOnly="1" outline="0" axis="axisPage" fieldPosition="1"/>
    </format>
    <format dxfId="64">
      <pivotArea dataOnly="0" labelOnly="1" outline="0" fieldPosition="0">
        <references count="1">
          <reference field="9" count="0"/>
        </references>
      </pivotArea>
    </format>
    <format dxfId="63">
      <pivotArea field="9" type="button" dataOnly="0" labelOnly="1" outline="0" axis="axisPage" fieldPosition="1"/>
    </format>
    <format dxfId="62">
      <pivotArea field="9" type="button" dataOnly="0" labelOnly="1" outline="0" axis="axisPage" fieldPosition="1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L1_SUPPLIER/FW" cacheId="0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rowHeaderCaption="Suppliers" colHeaderCaption="class of Reliability">
  <location ref="M15:N28" firstHeaderRow="1" firstDataRow="1" firstDataCol="1" rowPageCount="9" colPageCount="1"/>
  <pivotFields count="76">
    <pivotField dataField="1" showAll="0"/>
    <pivotField showAll="0" defaultSubtotal="0"/>
    <pivotField showAll="0" defaultSubtotal="0"/>
    <pivotField showAll="0" defaultSubtotal="0"/>
    <pivotField name="Sold To Party Name" axis="axisPage" showAll="0" defaultSubtotal="0">
      <items count="36">
        <item x="19"/>
        <item x="4"/>
        <item x="5"/>
        <item x="8"/>
        <item x="33"/>
        <item x="27"/>
        <item x="29"/>
        <item x="32"/>
        <item x="26"/>
        <item x="17"/>
        <item x="18"/>
        <item x="3"/>
        <item x="21"/>
        <item x="13"/>
        <item x="14"/>
        <item x="25"/>
        <item x="6"/>
        <item x="28"/>
        <item x="23"/>
        <item x="30"/>
        <item x="35"/>
        <item x="20"/>
        <item x="9"/>
        <item x="11"/>
        <item x="10"/>
        <item x="12"/>
        <item x="34"/>
        <item x="2"/>
        <item x="15"/>
        <item x="0"/>
        <item x="7"/>
        <item x="22"/>
        <item x="24"/>
        <item x="16"/>
        <item x="31"/>
        <item x="1"/>
      </items>
    </pivotField>
    <pivotField showAll="0"/>
    <pivotField showAll="0"/>
    <pivotField showAll="0"/>
    <pivotField axis="axisPage" multipleItemSelectionAllowed="1" showAll="0">
      <items count="87">
        <item x="55"/>
        <item x="16"/>
        <item x="5"/>
        <item x="34"/>
        <item x="77"/>
        <item x="33"/>
        <item x="8"/>
        <item x="35"/>
        <item x="56"/>
        <item x="27"/>
        <item x="7"/>
        <item x="9"/>
        <item x="52"/>
        <item x="28"/>
        <item x="40"/>
        <item x="36"/>
        <item x="61"/>
        <item x="26"/>
        <item x="46"/>
        <item x="37"/>
        <item x="47"/>
        <item x="25"/>
        <item x="18"/>
        <item x="84"/>
        <item x="29"/>
        <item x="82"/>
        <item x="41"/>
        <item x="11"/>
        <item x="20"/>
        <item x="53"/>
        <item x="71"/>
        <item x="49"/>
        <item x="4"/>
        <item x="38"/>
        <item x="54"/>
        <item x="13"/>
        <item x="39"/>
        <item x="78"/>
        <item x="2"/>
        <item x="42"/>
        <item x="21"/>
        <item x="70"/>
        <item x="57"/>
        <item x="62"/>
        <item x="3"/>
        <item x="72"/>
        <item x="73"/>
        <item x="63"/>
        <item x="64"/>
        <item x="65"/>
        <item x="10"/>
        <item x="58"/>
        <item x="17"/>
        <item x="14"/>
        <item x="15"/>
        <item x="74"/>
        <item x="12"/>
        <item x="6"/>
        <item x="43"/>
        <item x="66"/>
        <item x="51"/>
        <item x="59"/>
        <item x="85"/>
        <item x="83"/>
        <item x="81"/>
        <item x="1"/>
        <item x="75"/>
        <item x="44"/>
        <item x="24"/>
        <item x="67"/>
        <item x="19"/>
        <item x="32"/>
        <item x="68"/>
        <item x="48"/>
        <item x="79"/>
        <item x="80"/>
        <item x="69"/>
        <item x="60"/>
        <item x="23"/>
        <item x="0"/>
        <item x="22"/>
        <item x="30"/>
        <item x="31"/>
        <item x="76"/>
        <item x="45"/>
        <item x="50"/>
        <item t="default"/>
      </items>
    </pivotField>
    <pivotField axis="axisPage" outline="0" multipleItemSelectionAllowed="1" showAll="0" sortType="ascending" defaultSubtotal="0">
      <items count="86">
        <item x="4"/>
        <item x="77"/>
        <item x="44"/>
        <item x="5"/>
        <item x="46"/>
        <item x="37"/>
        <item x="72"/>
        <item x="6"/>
        <item x="33"/>
        <item x="65"/>
        <item x="66"/>
        <item x="39"/>
        <item x="38"/>
        <item x="3"/>
        <item x="68"/>
        <item x="62"/>
        <item x="74"/>
        <item x="49"/>
        <item x="43"/>
        <item x="63"/>
        <item x="83"/>
        <item x="51"/>
        <item x="79"/>
        <item x="28"/>
        <item x="58"/>
        <item x="21"/>
        <item x="2"/>
        <item x="82"/>
        <item x="80"/>
        <item x="1"/>
        <item x="12"/>
        <item x="56"/>
        <item x="47"/>
        <item x="42"/>
        <item x="35"/>
        <item x="75"/>
        <item x="40"/>
        <item x="59"/>
        <item x="61"/>
        <item x="84"/>
        <item x="26"/>
        <item x="67"/>
        <item x="13"/>
        <item x="54"/>
        <item x="55"/>
        <item x="81"/>
        <item x="19"/>
        <item x="52"/>
        <item x="41"/>
        <item x="15"/>
        <item x="24"/>
        <item x="32"/>
        <item x="34"/>
        <item x="9"/>
        <item x="10"/>
        <item x="45"/>
        <item x="57"/>
        <item x="23"/>
        <item x="22"/>
        <item x="85"/>
        <item x="16"/>
        <item x="73"/>
        <item x="36"/>
        <item x="17"/>
        <item x="76"/>
        <item x="78"/>
        <item x="18"/>
        <item x="48"/>
        <item x="50"/>
        <item x="11"/>
        <item x="27"/>
        <item x="69"/>
        <item x="7"/>
        <item x="8"/>
        <item x="20"/>
        <item x="31"/>
        <item x="64"/>
        <item x="29"/>
        <item x="25"/>
        <item x="53"/>
        <item x="70"/>
        <item x="14"/>
        <item x="0"/>
        <item x="30"/>
        <item x="71"/>
        <item x="60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 defaultSubtotal="0"/>
    <pivotField showAll="0" defaultSubtotal="0"/>
    <pivotField numFmtId="14" showAll="0"/>
    <pivotField showAll="0" defaultSubtotal="0"/>
    <pivotField showAll="0" defaultSubtotal="0"/>
    <pivotField showAll="0" defaultSubtotal="0"/>
    <pivotField numFmtId="14" showAll="0"/>
    <pivotField showAll="0" defaultSubtotal="0"/>
    <pivotField numFmtId="14" showAll="0"/>
    <pivotField showAll="0" defaultSubtotal="0"/>
    <pivotField showAll="0"/>
    <pivotField showAll="0" defaultSubtotal="0"/>
    <pivotField showAll="0" defaultSubtotal="0"/>
    <pivotField numFmtId="14" showAll="0" defaultSubtotal="0"/>
    <pivotField numFmtId="14" showAll="0"/>
    <pivotField showAll="0" defaultSubtotal="0"/>
    <pivotField showAll="0"/>
    <pivotField name="Month" axis="axisPage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numFmtId="14" showAll="0" defaultSubtotal="0"/>
    <pivotField showAll="0"/>
    <pivotField showAll="0"/>
    <pivotField name="SP Current" axis="axisPage" showAll="0" defaultSubtotal="0">
      <items count="8">
        <item x="7"/>
        <item x="6"/>
        <item x="1"/>
        <item x="4"/>
        <item x="3"/>
        <item x="2"/>
        <item x="5"/>
        <item x="0"/>
      </items>
    </pivotField>
    <pivotField name="Manager" axis="axisPage" showAll="0" defaultSubtotal="0">
      <items count="4">
        <item x="3"/>
        <item x="2"/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name="Gap SSL SASL" axis="axisRow" showAll="0" defaultSubtotal="0">
      <items count="22">
        <item x="3"/>
        <item x="7"/>
        <item x="8"/>
        <item x="0"/>
        <item x="11"/>
        <item x="5"/>
        <item x="14"/>
        <item x="19"/>
        <item x="16"/>
        <item x="20"/>
        <item x="6"/>
        <item x="12"/>
        <item x="17"/>
        <item x="10"/>
        <item x="15"/>
        <item x="9"/>
        <item x="2"/>
        <item x="13"/>
        <item x="4"/>
        <item x="21"/>
        <item x="18"/>
        <item x="1"/>
      </items>
    </pivotField>
    <pivotField showAll="0" defaultSubtotal="0"/>
    <pivotField showAll="0" defaultSubtotal="0"/>
    <pivotField name="Shipvs1stietd" axis="axisPage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ame="L1 + L2 and sasl adjust" axis="axisPage" showAll="0" defaultSubtotal="0">
      <items count="2">
        <item x="1"/>
        <item x="0"/>
      </items>
    </pivotField>
    <pivotField showAll="0" defaultSubtotal="0"/>
    <pivotField axis="axisPage" showAll="0" defaultSubtotal="0">
      <items count="3">
        <item x="0"/>
        <item x="1"/>
        <item x="2"/>
      </items>
    </pivotField>
  </pivotFields>
  <rowFields count="1">
    <field x="6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10"/>
    </i>
    <i>
      <x v="11"/>
    </i>
    <i>
      <x v="14"/>
    </i>
    <i>
      <x v="15"/>
    </i>
    <i>
      <x v="19"/>
    </i>
    <i>
      <x v="21"/>
    </i>
  </rowItems>
  <colItems count="1">
    <i/>
  </colItems>
  <pageFields count="9">
    <pageField fld="4" hier="-1"/>
    <pageField fld="9" hier="-1"/>
    <pageField fld="8" hier="-1"/>
    <pageField fld="75" hier="-1"/>
    <pageField fld="34" hier="-1"/>
    <pageField fld="55" hier="-1"/>
    <pageField fld="54" hier="-1"/>
    <pageField fld="63" item="0" hier="-1"/>
    <pageField fld="73" item="1" hier="-1"/>
  </pageFields>
  <dataFields count="1">
    <dataField name="Sum of Count key" fld="0" subtotal="count" baseField="0" baseItem="0"/>
  </dataFields>
  <formats count="15">
    <format dxfId="91">
      <pivotArea type="all" dataOnly="0" outline="0" fieldPosition="0"/>
    </format>
    <format dxfId="90">
      <pivotArea type="origin" dataOnly="0" labelOnly="1" outline="0" fieldPosition="0"/>
    </format>
    <format dxfId="89">
      <pivotArea field="-2" type="button" dataOnly="0" labelOnly="1" outline="0" axis="axisValues" fieldPosition="0"/>
    </format>
    <format dxfId="88">
      <pivotArea type="topRight" dataOnly="0" labelOnly="1" outline="0" fieldPosition="0"/>
    </format>
    <format dxfId="87">
      <pivotArea type="origin" dataOnly="0" labelOnly="1" outline="0" fieldPosition="0"/>
    </format>
    <format dxfId="86">
      <pivotArea field="9" type="button" dataOnly="0" labelOnly="1" outline="0" axis="axisPage" fieldPosition="1"/>
    </format>
    <format dxfId="85">
      <pivotArea field="-2" type="button" dataOnly="0" labelOnly="1" outline="0" axis="axisValues" fieldPosition="0"/>
    </format>
    <format dxfId="84">
      <pivotArea type="topRight" dataOnly="0" labelOnly="1" outline="0" fieldPosition="0"/>
    </format>
    <format dxfId="83">
      <pivotArea outline="0" collapsedLevelsAreSubtotals="1" fieldPosition="0"/>
    </format>
    <format dxfId="82">
      <pivotArea field="9" type="button" dataOnly="0" labelOnly="1" outline="0" axis="axisPage" fieldPosition="1"/>
    </format>
    <format dxfId="81">
      <pivotArea dataOnly="0" labelOnly="1" grandRow="1" outline="0" fieldPosition="0"/>
    </format>
    <format dxfId="80">
      <pivotArea field="9" type="button" dataOnly="0" labelOnly="1" outline="0" axis="axisPage" fieldPosition="1"/>
    </format>
    <format dxfId="79">
      <pivotArea dataOnly="0" labelOnly="1" outline="0" fieldPosition="0">
        <references count="1">
          <reference field="9" count="0"/>
        </references>
      </pivotArea>
    </format>
    <format dxfId="78">
      <pivotArea field="9" type="button" dataOnly="0" labelOnly="1" outline="0" axis="axisPage" fieldPosition="1"/>
    </format>
    <format dxfId="77">
      <pivotArea field="9" type="button" dataOnly="0" labelOnly="1" outline="0" axis="axisPage" fieldPosition="1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SSL" colHeaderCaption="class of Reliability">
  <location ref="A15:J27" firstHeaderRow="1" firstDataRow="2" firstDataCol="1" rowPageCount="7" colPageCount="1"/>
  <pivotFields count="76">
    <pivotField dataField="1" showAll="0"/>
    <pivotField showAll="0" defaultSubtotal="0"/>
    <pivotField showAll="0" defaultSubtotal="0"/>
    <pivotField showAll="0" defaultSubtotal="0"/>
    <pivotField name="Sold To Party Name" axis="axisPage" showAll="0" defaultSubtotal="0">
      <items count="36">
        <item x="19"/>
        <item x="4"/>
        <item x="5"/>
        <item x="8"/>
        <item x="33"/>
        <item x="27"/>
        <item x="29"/>
        <item x="32"/>
        <item x="26"/>
        <item x="17"/>
        <item x="18"/>
        <item x="3"/>
        <item x="21"/>
        <item x="13"/>
        <item x="14"/>
        <item x="25"/>
        <item x="6"/>
        <item x="28"/>
        <item x="23"/>
        <item x="30"/>
        <item x="35"/>
        <item x="20"/>
        <item x="9"/>
        <item x="11"/>
        <item x="10"/>
        <item x="12"/>
        <item x="34"/>
        <item x="2"/>
        <item x="15"/>
        <item x="0"/>
        <item x="7"/>
        <item x="22"/>
        <item x="24"/>
        <item x="16"/>
        <item x="31"/>
        <item x="1"/>
      </items>
    </pivotField>
    <pivotField showAll="0"/>
    <pivotField showAll="0"/>
    <pivotField showAll="0"/>
    <pivotField axis="axisPage" multipleItemSelectionAllowed="1" showAll="0">
      <items count="87">
        <item x="55"/>
        <item x="16"/>
        <item x="5"/>
        <item x="34"/>
        <item x="77"/>
        <item x="33"/>
        <item x="8"/>
        <item x="35"/>
        <item x="56"/>
        <item x="27"/>
        <item x="7"/>
        <item x="9"/>
        <item x="52"/>
        <item x="28"/>
        <item x="40"/>
        <item x="36"/>
        <item x="61"/>
        <item x="26"/>
        <item x="46"/>
        <item x="37"/>
        <item x="47"/>
        <item x="25"/>
        <item x="18"/>
        <item x="84"/>
        <item x="29"/>
        <item x="82"/>
        <item x="41"/>
        <item x="11"/>
        <item x="20"/>
        <item x="53"/>
        <item x="71"/>
        <item x="49"/>
        <item x="4"/>
        <item x="38"/>
        <item x="54"/>
        <item x="13"/>
        <item x="39"/>
        <item x="78"/>
        <item x="2"/>
        <item x="42"/>
        <item x="21"/>
        <item x="70"/>
        <item x="57"/>
        <item x="62"/>
        <item x="3"/>
        <item x="72"/>
        <item x="73"/>
        <item x="63"/>
        <item x="64"/>
        <item x="65"/>
        <item x="10"/>
        <item x="58"/>
        <item x="17"/>
        <item x="14"/>
        <item x="15"/>
        <item x="74"/>
        <item x="12"/>
        <item x="6"/>
        <item x="43"/>
        <item x="66"/>
        <item x="51"/>
        <item x="59"/>
        <item x="85"/>
        <item x="83"/>
        <item x="81"/>
        <item x="1"/>
        <item x="75"/>
        <item x="44"/>
        <item x="24"/>
        <item x="67"/>
        <item x="19"/>
        <item x="32"/>
        <item x="68"/>
        <item x="48"/>
        <item x="79"/>
        <item x="80"/>
        <item x="69"/>
        <item x="60"/>
        <item x="23"/>
        <item x="0"/>
        <item x="22"/>
        <item x="30"/>
        <item x="31"/>
        <item x="76"/>
        <item x="45"/>
        <item x="50"/>
        <item t="default"/>
      </items>
    </pivotField>
    <pivotField axis="axisPage" outline="0" multipleItemSelectionAllowed="1" showAll="0" sortType="ascending" defaultSubtotal="0">
      <items count="86">
        <item x="4"/>
        <item x="77"/>
        <item x="44"/>
        <item x="5"/>
        <item x="46"/>
        <item x="37"/>
        <item x="72"/>
        <item x="6"/>
        <item x="33"/>
        <item x="65"/>
        <item x="66"/>
        <item x="39"/>
        <item x="38"/>
        <item x="3"/>
        <item x="68"/>
        <item x="62"/>
        <item x="74"/>
        <item x="49"/>
        <item x="43"/>
        <item x="63"/>
        <item x="83"/>
        <item x="51"/>
        <item x="79"/>
        <item x="28"/>
        <item x="58"/>
        <item x="21"/>
        <item x="2"/>
        <item x="82"/>
        <item x="80"/>
        <item x="1"/>
        <item x="12"/>
        <item x="56"/>
        <item x="47"/>
        <item x="42"/>
        <item x="35"/>
        <item x="75"/>
        <item x="40"/>
        <item x="59"/>
        <item x="61"/>
        <item x="84"/>
        <item x="26"/>
        <item x="67"/>
        <item x="13"/>
        <item x="54"/>
        <item x="55"/>
        <item x="81"/>
        <item x="19"/>
        <item x="52"/>
        <item x="41"/>
        <item x="15"/>
        <item x="24"/>
        <item x="32"/>
        <item x="34"/>
        <item x="9"/>
        <item x="10"/>
        <item x="45"/>
        <item x="57"/>
        <item x="23"/>
        <item x="22"/>
        <item x="85"/>
        <item x="16"/>
        <item x="73"/>
        <item x="36"/>
        <item x="17"/>
        <item x="76"/>
        <item x="78"/>
        <item x="18"/>
        <item x="48"/>
        <item x="50"/>
        <item x="11"/>
        <item x="27"/>
        <item x="69"/>
        <item x="7"/>
        <item x="8"/>
        <item x="20"/>
        <item x="31"/>
        <item x="64"/>
        <item x="29"/>
        <item x="25"/>
        <item x="53"/>
        <item x="70"/>
        <item x="14"/>
        <item x="0"/>
        <item x="30"/>
        <item x="71"/>
        <item x="60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 defaultSubtotal="0"/>
    <pivotField showAll="0" defaultSubtotal="0"/>
    <pivotField numFmtId="14" showAll="0"/>
    <pivotField showAll="0" defaultSubtotal="0"/>
    <pivotField showAll="0" defaultSubtotal="0"/>
    <pivotField showAll="0" defaultSubtotal="0"/>
    <pivotField numFmtId="14" showAll="0"/>
    <pivotField showAll="0" defaultSubtotal="0"/>
    <pivotField numFmtId="14" showAll="0"/>
    <pivotField showAll="0" defaultSubtotal="0"/>
    <pivotField showAll="0"/>
    <pivotField showAll="0" defaultSubtotal="0"/>
    <pivotField showAll="0" defaultSubtotal="0"/>
    <pivotField numFmtId="14" showAll="0" defaultSubtotal="0"/>
    <pivotField numFmtId="14" showAll="0"/>
    <pivotField showAll="0" defaultSubtotal="0"/>
    <pivotField showAll="0"/>
    <pivotField name="Month" axis="axisPage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numFmtId="14" showAll="0" defaultSubtotal="0"/>
    <pivotField showAll="0"/>
    <pivotField showAll="0"/>
    <pivotField name="SP Current" axis="axisPage" showAll="0" defaultSubtotal="0">
      <items count="8">
        <item x="7"/>
        <item x="6"/>
        <item x="1"/>
        <item x="4"/>
        <item x="3"/>
        <item x="2"/>
        <item x="5"/>
        <item x="0"/>
      </items>
    </pivotField>
    <pivotField name="Manager" axis="axisPage" showAll="0" defaultSubtotal="0">
      <items count="4">
        <item x="3"/>
        <item x="2"/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ame="customer demand" axis="axisRow" showAll="0" defaultSubtotal="0">
      <items count="1">
        <item x="0"/>
      </items>
    </pivotField>
    <pivotField name="Shipvs1stietd" axis="axisRow" showAll="0">
      <items count="3">
        <item x="0"/>
        <item x="1"/>
        <item t="default"/>
      </items>
    </pivotField>
    <pivotField name="shortltline" axis="axisRow" showAll="0">
      <items count="3">
        <item x="0"/>
        <item x="1"/>
        <item t="default"/>
      </items>
    </pivotField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axis="axisPage" showAll="0" defaultSubtotal="0">
      <items count="3">
        <item x="0"/>
        <item x="1"/>
        <item x="2"/>
      </items>
    </pivotField>
  </pivotFields>
  <rowFields count="3">
    <field x="63"/>
    <field x="64"/>
    <field x="62"/>
  </rowFields>
  <rowItems count="11">
    <i>
      <x/>
    </i>
    <i r="1">
      <x/>
    </i>
    <i r="2">
      <x/>
    </i>
    <i r="1">
      <x v="1"/>
    </i>
    <i r="2">
      <x/>
    </i>
    <i>
      <x v="1"/>
    </i>
    <i r="1">
      <x/>
    </i>
    <i r="2">
      <x/>
    </i>
    <i r="1">
      <x v="1"/>
    </i>
    <i r="2">
      <x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7">
    <pageField fld="4" hier="-1"/>
    <pageField fld="75" item="1" hier="-1"/>
    <pageField fld="34" item="1" hier="-1"/>
    <pageField fld="9" hier="-1"/>
    <pageField fld="8" hier="-1"/>
    <pageField fld="55" hier="-1"/>
    <pageField fld="54" hier="-1"/>
  </pageFields>
  <dataFields count="9">
    <dataField name="Count of key" fld="0" subtotal="count" baseField="0" baseItem="0"/>
    <dataField name="Sum of fail1stconf" fld="65" baseField="0" baseItem="0"/>
    <dataField name="Sum of CLASSL1" fld="66" baseField="0" baseItem="0"/>
    <dataField name="Sum of CLASSL3" fld="67" baseField="0" baseItem="0"/>
    <dataField name="Sum of L2 and sasl adjust" fld="68" baseField="0" baseItem="0"/>
    <dataField name="Sum of saslscoreboard" fld="70" baseField="0" baseItem="0"/>
    <dataField name="Sum of L4 and sasl adjust " fld="69" baseField="0" baseItem="0"/>
    <dataField name="Sum of L2 - sasl adjust" fld="71" baseField="0" baseItem="0"/>
    <dataField name="Sum of L4 - sasl adjust" fld="72" baseField="0" baseItem="0"/>
  </dataFields>
  <formats count="17">
    <format dxfId="108">
      <pivotArea type="all" dataOnly="0" outline="0" fieldPosition="0"/>
    </format>
    <format dxfId="107">
      <pivotArea type="origin" dataOnly="0" labelOnly="1" outline="0" fieldPosition="0"/>
    </format>
    <format dxfId="106">
      <pivotArea field="-2" type="button" dataOnly="0" labelOnly="1" outline="0" axis="axisCol" fieldPosition="0"/>
    </format>
    <format dxfId="105">
      <pivotArea type="topRight" dataOnly="0" labelOnly="1" outline="0" fieldPosition="0"/>
    </format>
    <format dxfId="104">
      <pivotArea type="origin" dataOnly="0" labelOnly="1" outline="0" fieldPosition="0"/>
    </format>
    <format dxfId="103">
      <pivotArea field="9" type="button" dataOnly="0" labelOnly="1" outline="0" axis="axisPage" fieldPosition="3"/>
    </format>
    <format dxfId="102">
      <pivotArea field="-2" type="button" dataOnly="0" labelOnly="1" outline="0" axis="axisCol" fieldPosition="0"/>
    </format>
    <format dxfId="101">
      <pivotArea type="topRight" dataOnly="0" labelOnly="1" outline="0" fieldPosition="0"/>
    </format>
    <format dxfId="100">
      <pivotArea outline="0" collapsedLevelsAreSubtotals="1" fieldPosition="0"/>
    </format>
    <format dxfId="99">
      <pivotArea field="9" type="button" dataOnly="0" labelOnly="1" outline="0" axis="axisPage" fieldPosition="3"/>
    </format>
    <format dxfId="98">
      <pivotArea dataOnly="0" labelOnly="1" grandRow="1" outline="0" fieldPosition="0"/>
    </format>
    <format dxfId="97">
      <pivotArea field="9" type="button" dataOnly="0" labelOnly="1" outline="0" axis="axisPage" fieldPosition="3"/>
    </format>
    <format dxfId="96">
      <pivotArea dataOnly="0" labelOnly="1" outline="0" fieldPosition="0">
        <references count="1">
          <reference field="9" count="0"/>
        </references>
      </pivotArea>
    </format>
    <format dxfId="95">
      <pivotArea field="9" type="button" dataOnly="0" labelOnly="1" outline="0" axis="axisPage" fieldPosition="3"/>
    </format>
    <format dxfId="94">
      <pivotArea field="9" type="button" dataOnly="0" labelOnly="1" outline="0" axis="axisPage" fieldPosition="3"/>
    </format>
    <format dxfId="93">
      <pivotArea type="all" dataOnly="0" outline="0" fieldPosition="0"/>
    </format>
    <format dxfId="92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N105"/>
  <sheetViews>
    <sheetView tabSelected="1" zoomScale="73" zoomScaleNormal="73" workbookViewId="0">
      <selection activeCell="L17" sqref="L17"/>
    </sheetView>
  </sheetViews>
  <sheetFormatPr defaultRowHeight="15"/>
  <cols>
    <col min="1" max="1" width="39" customWidth="1"/>
    <col min="2" max="2" width="5" style="32" customWidth="1"/>
    <col min="3" max="3" width="12.7109375" customWidth="1"/>
    <col min="4" max="4" width="3.7109375" customWidth="1"/>
    <col min="5" max="5" width="8.85546875" customWidth="1"/>
    <col min="6" max="6" width="12.7109375" customWidth="1"/>
    <col min="7" max="7" width="3.7109375" customWidth="1"/>
    <col min="8" max="8" width="12.7109375" customWidth="1"/>
    <col min="9" max="9" width="3.7109375" customWidth="1"/>
    <col min="10" max="10" width="8.7109375" customWidth="1"/>
    <col min="11" max="11" width="10.140625" customWidth="1"/>
    <col min="12" max="12" width="21.28515625" customWidth="1"/>
    <col min="13" max="13" width="12.7109375" customWidth="1"/>
    <col min="14" max="14" width="3.7109375" customWidth="1"/>
    <col min="15" max="15" width="12.7109375" customWidth="1"/>
    <col min="16" max="16" width="3.7109375" customWidth="1"/>
    <col min="17" max="17" width="9.28515625" customWidth="1"/>
    <col min="18" max="18" width="7.5703125" customWidth="1"/>
    <col min="19" max="19" width="12.7109375" customWidth="1"/>
    <col min="20" max="20" width="10.7109375" style="2" customWidth="1"/>
    <col min="21" max="21" width="12.7109375" customWidth="1"/>
    <col min="22" max="22" width="3.7109375" customWidth="1"/>
    <col min="23" max="23" width="12.7109375" customWidth="1"/>
    <col min="24" max="24" width="3.7109375" customWidth="1"/>
    <col min="25" max="25" width="12.7109375" customWidth="1"/>
    <col min="26" max="26" width="3.7109375" customWidth="1"/>
    <col min="27" max="27" width="8.7109375" customWidth="1"/>
    <col min="28" max="28" width="7.7109375" customWidth="1"/>
    <col min="29" max="29" width="12.42578125" customWidth="1"/>
    <col min="30" max="30" width="12.7109375" customWidth="1"/>
    <col min="31" max="31" width="3.7109375" customWidth="1"/>
    <col min="32" max="32" width="12.7109375" customWidth="1"/>
    <col min="33" max="33" width="4.28515625" customWidth="1"/>
    <col min="34" max="34" width="8.7109375" customWidth="1"/>
    <col min="35" max="35" width="15.7109375" customWidth="1"/>
    <col min="36" max="36" width="13.7109375" hidden="1" customWidth="1"/>
    <col min="37" max="39" width="9.140625" hidden="1" customWidth="1"/>
    <col min="40" max="43" width="0" hidden="1" customWidth="1"/>
  </cols>
  <sheetData>
    <row r="1" spans="1:40" ht="33" customHeight="1" thickBot="1">
      <c r="A1" s="364" t="s">
        <v>198</v>
      </c>
      <c r="B1" s="381" t="s">
        <v>190</v>
      </c>
      <c r="C1" s="382"/>
      <c r="D1" s="382"/>
      <c r="E1" s="383"/>
      <c r="F1" s="26"/>
      <c r="G1" s="26"/>
      <c r="H1" s="390" t="s">
        <v>221</v>
      </c>
      <c r="I1" s="391"/>
      <c r="J1" s="391"/>
      <c r="K1" s="391"/>
      <c r="L1" s="392"/>
      <c r="M1" s="26"/>
      <c r="N1" s="48"/>
      <c r="O1" s="48"/>
      <c r="P1" s="48"/>
      <c r="Q1" s="48"/>
      <c r="R1" s="48"/>
      <c r="S1" s="48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54"/>
      <c r="AF1" s="54"/>
      <c r="AG1" s="54"/>
      <c r="AH1" s="54"/>
      <c r="AI1" s="124"/>
      <c r="AJ1" s="1" t="s">
        <v>107</v>
      </c>
      <c r="AK1" s="57"/>
      <c r="AL1" s="57"/>
      <c r="AM1" s="96" t="s">
        <v>196</v>
      </c>
      <c r="AN1" s="1" t="s">
        <v>5</v>
      </c>
    </row>
    <row r="2" spans="1:40" ht="21.75" customHeight="1" thickBot="1">
      <c r="A2" s="365"/>
      <c r="B2" s="378" t="s">
        <v>191</v>
      </c>
      <c r="C2" s="379"/>
      <c r="D2" s="379"/>
      <c r="E2" s="380"/>
      <c r="F2" s="48"/>
      <c r="G2" s="48"/>
      <c r="H2" s="51" t="s">
        <v>220</v>
      </c>
      <c r="I2" s="52"/>
      <c r="J2" s="49"/>
      <c r="K2" s="163" t="s">
        <v>267</v>
      </c>
      <c r="L2" s="50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55"/>
      <c r="AF2" s="55"/>
      <c r="AG2" s="55"/>
      <c r="AH2" s="55"/>
      <c r="AI2" s="125"/>
      <c r="AJ2" s="1" t="s">
        <v>115</v>
      </c>
      <c r="AK2" s="57"/>
      <c r="AL2" s="57"/>
      <c r="AM2" s="96" t="s">
        <v>195</v>
      </c>
      <c r="AN2" s="1" t="s">
        <v>6</v>
      </c>
    </row>
    <row r="3" spans="1:40" ht="24.75" customHeight="1">
      <c r="A3" s="365"/>
      <c r="B3" s="375" t="s">
        <v>212</v>
      </c>
      <c r="C3" s="376"/>
      <c r="D3" s="376"/>
      <c r="E3" s="377"/>
      <c r="F3" s="48"/>
      <c r="G3" s="48"/>
      <c r="H3" s="393" t="s">
        <v>266</v>
      </c>
      <c r="I3" s="394"/>
      <c r="J3" s="394"/>
      <c r="K3" s="397"/>
      <c r="L3" s="39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55"/>
      <c r="AF3" s="55"/>
      <c r="AG3" s="55"/>
      <c r="AH3" s="55"/>
      <c r="AI3" s="125"/>
      <c r="AJ3" s="1" t="s">
        <v>96</v>
      </c>
      <c r="AK3" s="57"/>
      <c r="AL3" s="57"/>
      <c r="AM3" s="96" t="s">
        <v>197</v>
      </c>
      <c r="AN3" s="1" t="s">
        <v>7</v>
      </c>
    </row>
    <row r="4" spans="1:40" ht="21" customHeight="1" thickBot="1">
      <c r="A4" s="365"/>
      <c r="B4" s="372" t="s">
        <v>214</v>
      </c>
      <c r="C4" s="373"/>
      <c r="D4" s="373"/>
      <c r="E4" s="374"/>
      <c r="F4" s="106"/>
      <c r="G4" s="106"/>
      <c r="H4" s="395"/>
      <c r="I4" s="396"/>
      <c r="J4" s="396"/>
      <c r="K4" s="399"/>
      <c r="L4" s="400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7"/>
      <c r="AF4" s="107"/>
      <c r="AG4" s="107"/>
      <c r="AH4" s="107"/>
      <c r="AI4" s="126"/>
      <c r="AJ4" s="1" t="s">
        <v>105</v>
      </c>
      <c r="AK4" s="57"/>
      <c r="AL4" s="57"/>
      <c r="AM4" s="5"/>
      <c r="AN4" s="1" t="s">
        <v>8</v>
      </c>
    </row>
    <row r="5" spans="1:40" s="2" customFormat="1" ht="15.75" thickBot="1">
      <c r="A5" s="369" t="str">
        <f>"Total:  " &amp;Q7&amp; " shpt"</f>
        <v>Total:  3273 shpt</v>
      </c>
      <c r="B5" s="108"/>
      <c r="C5" s="109"/>
      <c r="D5" s="109"/>
      <c r="E5" s="109"/>
      <c r="F5" s="109"/>
      <c r="G5" s="109"/>
      <c r="H5" s="27"/>
      <c r="I5" s="27"/>
      <c r="J5" s="27"/>
      <c r="K5" s="27"/>
      <c r="L5" s="27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1"/>
      <c r="AF5" s="111"/>
      <c r="AG5" s="112"/>
      <c r="AH5" s="111"/>
      <c r="AI5" s="113"/>
      <c r="AJ5" s="1" t="s">
        <v>116</v>
      </c>
      <c r="AK5" s="57"/>
      <c r="AL5" s="57"/>
      <c r="AM5" s="5"/>
      <c r="AN5" s="1" t="s">
        <v>9</v>
      </c>
    </row>
    <row r="6" spans="1:40" ht="15.75" thickBot="1">
      <c r="A6" s="370"/>
      <c r="C6" s="3"/>
      <c r="D6" s="3"/>
      <c r="E6" s="3"/>
      <c r="F6" s="46"/>
      <c r="G6" s="46"/>
      <c r="H6" s="46"/>
      <c r="I6" s="46"/>
      <c r="J6" s="46"/>
      <c r="K6" s="46"/>
      <c r="L6" s="46"/>
      <c r="M6" s="46"/>
      <c r="N6" s="46"/>
      <c r="O6" s="3"/>
      <c r="P6" s="3"/>
      <c r="Q6" s="360" t="s">
        <v>213</v>
      </c>
      <c r="R6" s="386"/>
      <c r="S6" s="386"/>
      <c r="T6" s="386"/>
      <c r="U6" s="386"/>
      <c r="V6" s="361"/>
      <c r="W6" s="45"/>
      <c r="X6" s="3"/>
      <c r="Y6" s="46"/>
      <c r="Z6" s="46"/>
      <c r="AA6" s="46"/>
      <c r="AB6" s="46"/>
      <c r="AC6" s="46"/>
      <c r="AD6" s="46"/>
      <c r="AE6" s="58"/>
      <c r="AF6" s="58"/>
      <c r="AG6" s="114"/>
      <c r="AH6" s="58"/>
      <c r="AI6" s="115"/>
      <c r="AJ6" s="1" t="s">
        <v>104</v>
      </c>
      <c r="AK6" s="53"/>
      <c r="AL6" s="53"/>
      <c r="AN6" s="1" t="s">
        <v>130</v>
      </c>
    </row>
    <row r="7" spans="1:40" ht="15.75" thickBot="1">
      <c r="A7" s="370"/>
      <c r="C7" s="3"/>
      <c r="D7" s="3"/>
      <c r="E7" s="28"/>
      <c r="F7" s="46"/>
      <c r="G7" s="46"/>
      <c r="H7" s="46"/>
      <c r="I7" s="46"/>
      <c r="J7" s="46"/>
      <c r="K7" s="46"/>
      <c r="L7" s="46"/>
      <c r="M7" s="46"/>
      <c r="N7" s="46"/>
      <c r="O7" s="3"/>
      <c r="P7" s="3"/>
      <c r="Q7" s="387">
        <f>GETPIVOTDATA("Count of key",'KPI Graph Pivot Table'!$A$15)</f>
        <v>3273</v>
      </c>
      <c r="R7" s="388"/>
      <c r="S7" s="388"/>
      <c r="T7" s="388"/>
      <c r="U7" s="388"/>
      <c r="V7" s="389"/>
      <c r="W7" s="20"/>
      <c r="X7" s="3"/>
      <c r="Y7" s="46"/>
      <c r="Z7" s="46"/>
      <c r="AA7" s="46"/>
      <c r="AB7" s="46"/>
      <c r="AC7" s="46"/>
      <c r="AD7" s="46"/>
      <c r="AE7" s="3"/>
      <c r="AF7" s="58"/>
      <c r="AG7" s="114"/>
      <c r="AH7" s="58"/>
      <c r="AI7" s="115"/>
      <c r="AJ7" s="1" t="s">
        <v>95</v>
      </c>
      <c r="AK7" s="53"/>
      <c r="AL7" s="53"/>
      <c r="AN7" s="1" t="s">
        <v>131</v>
      </c>
    </row>
    <row r="8" spans="1:40">
      <c r="A8" s="371"/>
      <c r="B8" s="116"/>
      <c r="C8" s="117"/>
      <c r="D8" s="117"/>
      <c r="E8" s="118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19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17"/>
      <c r="AF8" s="120"/>
      <c r="AG8" s="121"/>
      <c r="AH8" s="120"/>
      <c r="AI8" s="122"/>
      <c r="AJ8" s="1" t="s">
        <v>93</v>
      </c>
      <c r="AK8" s="53"/>
      <c r="AL8" s="53"/>
      <c r="AN8" s="1" t="s">
        <v>10</v>
      </c>
    </row>
    <row r="9" spans="1:40" ht="15.75" customHeight="1" thickBot="1">
      <c r="A9" s="384" t="str">
        <f>"1st conf :      " &amp; ROUND((J13)*100,0)&amp; " %"</f>
        <v>1st conf :      81 %</v>
      </c>
      <c r="C9" s="3"/>
      <c r="D9" s="3"/>
      <c r="E9" s="95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81"/>
      <c r="U9" s="46"/>
      <c r="V9" s="46"/>
      <c r="W9" s="46"/>
      <c r="X9" s="46"/>
      <c r="Y9" s="46"/>
      <c r="Z9" s="46"/>
      <c r="AA9" s="46"/>
      <c r="AB9" s="46"/>
      <c r="AC9" s="46"/>
      <c r="AD9" s="46"/>
      <c r="AE9" s="3"/>
      <c r="AF9" s="53"/>
      <c r="AG9" s="56"/>
      <c r="AH9" s="58"/>
      <c r="AI9" s="58"/>
      <c r="AJ9" s="1" t="s">
        <v>100</v>
      </c>
      <c r="AK9" s="53"/>
      <c r="AL9" s="53"/>
      <c r="AM9" s="53"/>
      <c r="AN9" s="1" t="s">
        <v>11</v>
      </c>
    </row>
    <row r="10" spans="1:40" ht="15" customHeight="1">
      <c r="A10" s="384"/>
      <c r="C10" s="3"/>
      <c r="D10" s="3"/>
      <c r="E10" s="10"/>
      <c r="F10" s="10"/>
      <c r="G10" s="10"/>
      <c r="H10" s="10"/>
      <c r="I10" s="10"/>
      <c r="J10" s="325" t="s">
        <v>149</v>
      </c>
      <c r="K10" s="326"/>
      <c r="L10" s="10"/>
      <c r="M10" s="10"/>
      <c r="N10" s="10"/>
      <c r="O10" s="10"/>
      <c r="P10" s="10"/>
      <c r="Q10" s="10"/>
      <c r="R10" s="10"/>
      <c r="S10" s="9"/>
      <c r="T10" s="9"/>
      <c r="U10" s="10"/>
      <c r="V10" s="10"/>
      <c r="W10" s="10"/>
      <c r="X10" s="10"/>
      <c r="Y10" s="10"/>
      <c r="Z10" s="10"/>
      <c r="AA10" s="325" t="s">
        <v>148</v>
      </c>
      <c r="AB10" s="326"/>
      <c r="AC10" s="10"/>
      <c r="AD10" s="10"/>
      <c r="AE10" s="3"/>
      <c r="AF10" s="53"/>
      <c r="AG10" s="56"/>
      <c r="AH10" s="58"/>
      <c r="AI10" s="115"/>
      <c r="AJ10" s="1" t="s">
        <v>101</v>
      </c>
      <c r="AK10" s="53"/>
      <c r="AL10" s="53"/>
      <c r="AM10" s="53"/>
      <c r="AN10" s="1" t="s">
        <v>12</v>
      </c>
    </row>
    <row r="11" spans="1:40" ht="15.75" customHeight="1" thickBot="1">
      <c r="A11" s="384"/>
      <c r="C11" s="10"/>
      <c r="D11" s="10"/>
      <c r="E11" s="10"/>
      <c r="F11" s="10"/>
      <c r="G11" s="10"/>
      <c r="H11" s="10"/>
      <c r="I11" s="10"/>
      <c r="J11" s="343" t="s">
        <v>147</v>
      </c>
      <c r="K11" s="344"/>
      <c r="L11" s="10"/>
      <c r="M11" s="10"/>
      <c r="N11" s="10"/>
      <c r="O11" s="10"/>
      <c r="P11" s="10"/>
      <c r="Q11" s="10"/>
      <c r="R11" s="10"/>
      <c r="S11" s="9"/>
      <c r="T11" s="9"/>
      <c r="U11" s="10"/>
      <c r="V11" s="10"/>
      <c r="W11" s="10"/>
      <c r="X11" s="10"/>
      <c r="Y11" s="10"/>
      <c r="Z11" s="10"/>
      <c r="AA11" s="343" t="s">
        <v>146</v>
      </c>
      <c r="AB11" s="344"/>
      <c r="AC11" s="10"/>
      <c r="AD11" s="10"/>
      <c r="AE11" s="3"/>
      <c r="AF11" s="53"/>
      <c r="AG11" s="53"/>
      <c r="AH11" s="58"/>
      <c r="AI11" s="115"/>
      <c r="AJ11" s="1" t="s">
        <v>108</v>
      </c>
      <c r="AN11" s="1" t="s">
        <v>13</v>
      </c>
    </row>
    <row r="12" spans="1:40" ht="15.75" customHeight="1">
      <c r="A12" s="384"/>
      <c r="C12" s="10"/>
      <c r="D12" s="10"/>
      <c r="E12" s="10"/>
      <c r="F12" s="10"/>
      <c r="G12" s="10"/>
      <c r="H12" s="10"/>
      <c r="I12" s="10"/>
      <c r="J12" s="345">
        <f>Q7-AA12</f>
        <v>2638</v>
      </c>
      <c r="K12" s="346"/>
      <c r="L12" s="10"/>
      <c r="M12" s="10"/>
      <c r="N12" s="10"/>
      <c r="O12" s="10"/>
      <c r="P12" s="10"/>
      <c r="Q12" s="10"/>
      <c r="R12" s="10"/>
      <c r="S12" s="9"/>
      <c r="T12" s="9"/>
      <c r="U12" s="10"/>
      <c r="V12" s="10"/>
      <c r="W12" s="10"/>
      <c r="X12" s="10"/>
      <c r="Y12" s="10"/>
      <c r="Z12" s="10"/>
      <c r="AA12" s="345">
        <f>GETPIVOTDATA("Sum of fail1stconf",'KPI Graph Pivot Table'!$A$15)</f>
        <v>635</v>
      </c>
      <c r="AB12" s="346"/>
      <c r="AC12" s="10"/>
      <c r="AD12" s="10"/>
      <c r="AE12" s="3"/>
      <c r="AH12" s="3"/>
      <c r="AI12" s="123"/>
      <c r="AJ12" s="1" t="s">
        <v>110</v>
      </c>
      <c r="AN12" s="1" t="s">
        <v>14</v>
      </c>
    </row>
    <row r="13" spans="1:40" ht="15.75" customHeight="1" thickBot="1">
      <c r="A13" s="384"/>
      <c r="C13" s="10"/>
      <c r="D13" s="10"/>
      <c r="E13" s="10"/>
      <c r="F13" s="10"/>
      <c r="G13" s="10"/>
      <c r="H13" s="10"/>
      <c r="I13" s="10"/>
      <c r="J13" s="347">
        <f>J12/Q7</f>
        <v>0.80598838985640087</v>
      </c>
      <c r="K13" s="348"/>
      <c r="L13" s="10"/>
      <c r="M13" s="10"/>
      <c r="N13" s="10"/>
      <c r="O13" s="10"/>
      <c r="P13" s="10"/>
      <c r="Q13" s="10"/>
      <c r="R13" s="10"/>
      <c r="S13" s="9"/>
      <c r="T13" s="9"/>
      <c r="U13" s="10"/>
      <c r="V13" s="10"/>
      <c r="W13" s="10"/>
      <c r="X13" s="10"/>
      <c r="Y13" s="10"/>
      <c r="Z13" s="10"/>
      <c r="AA13" s="347">
        <f>AA12/Q7</f>
        <v>0.19401161014359913</v>
      </c>
      <c r="AB13" s="348"/>
      <c r="AC13" s="10"/>
      <c r="AD13" s="10"/>
      <c r="AE13" s="3"/>
      <c r="AH13" s="3"/>
      <c r="AI13" s="123"/>
      <c r="AJ13" s="1" t="s">
        <v>106</v>
      </c>
      <c r="AN13" s="1" t="s">
        <v>15</v>
      </c>
    </row>
    <row r="14" spans="1:40" ht="15" customHeight="1">
      <c r="A14" s="385"/>
      <c r="B14" s="35"/>
      <c r="C14" s="104"/>
      <c r="D14" s="104"/>
      <c r="E14" s="104"/>
      <c r="F14" s="104"/>
      <c r="G14" s="37"/>
      <c r="H14" s="37"/>
      <c r="I14" s="37"/>
      <c r="J14" s="40"/>
      <c r="K14" s="40"/>
      <c r="L14" s="37"/>
      <c r="M14" s="37"/>
      <c r="N14" s="37"/>
      <c r="O14" s="104"/>
      <c r="P14" s="104"/>
      <c r="Q14" s="104"/>
      <c r="R14" s="104"/>
      <c r="S14" s="119"/>
      <c r="T14" s="119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17"/>
      <c r="AF14" s="117"/>
      <c r="AG14" s="117"/>
      <c r="AH14" s="117"/>
      <c r="AI14" s="123"/>
      <c r="AJ14" s="1" t="s">
        <v>127</v>
      </c>
      <c r="AN14" s="1" t="s">
        <v>16</v>
      </c>
    </row>
    <row r="15" spans="1:40" ht="15.75" customHeight="1" thickBot="1">
      <c r="A15" s="366" t="str">
        <f>"SASL:      " &amp; ROUND((F18+W18)*100,0)&amp; " %"</f>
        <v>SASL:      90 %</v>
      </c>
      <c r="B15" s="39"/>
      <c r="C15" s="81"/>
      <c r="D15" s="81"/>
      <c r="E15" s="81"/>
      <c r="F15" s="105"/>
      <c r="G15" s="36"/>
      <c r="H15" s="36"/>
      <c r="I15" s="36"/>
      <c r="J15" s="38"/>
      <c r="K15" s="38"/>
      <c r="L15" s="36"/>
      <c r="M15" s="36"/>
      <c r="N15" s="36"/>
      <c r="O15" s="46"/>
      <c r="P15" s="46"/>
      <c r="Q15" s="46"/>
      <c r="R15" s="46"/>
      <c r="S15" s="81"/>
      <c r="T15" s="81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3"/>
      <c r="AF15" s="137"/>
      <c r="AG15" s="137"/>
      <c r="AH15" s="3"/>
      <c r="AI15" s="134"/>
      <c r="AJ15" s="1" t="s">
        <v>120</v>
      </c>
      <c r="AN15" s="1" t="s">
        <v>254</v>
      </c>
    </row>
    <row r="16" spans="1:40" ht="53.25" customHeight="1" thickBot="1">
      <c r="A16" s="367"/>
      <c r="B16" s="33"/>
      <c r="C16" s="31"/>
      <c r="D16" s="31"/>
      <c r="E16" s="31"/>
      <c r="F16" s="325" t="str">
        <f>"L1:  |Ship date -CIETD| &lt;= 7 days"</f>
        <v>L1:  |Ship date -CIETD| &lt;= 7 days</v>
      </c>
      <c r="G16" s="411"/>
      <c r="H16" s="3"/>
      <c r="I16" s="3"/>
      <c r="J16" s="10"/>
      <c r="K16" s="10"/>
      <c r="O16" s="349" t="str">
        <f>"L2: |ship date - CIETD| &gt; 7 days"</f>
        <v>L2: |ship date - CIETD| &gt; 7 days</v>
      </c>
      <c r="P16" s="350"/>
      <c r="Q16" s="10"/>
      <c r="R16" s="10"/>
      <c r="S16" s="9"/>
      <c r="T16" s="9"/>
      <c r="U16" s="10"/>
      <c r="V16" s="10"/>
      <c r="W16" s="325" t="s">
        <v>235</v>
      </c>
      <c r="X16" s="411"/>
      <c r="Y16" s="10"/>
      <c r="Z16" s="10"/>
      <c r="AA16" s="10"/>
      <c r="AB16" s="10"/>
      <c r="AC16" s="10"/>
      <c r="AE16" s="3"/>
      <c r="AF16" s="349" t="s">
        <v>236</v>
      </c>
      <c r="AG16" s="350"/>
      <c r="AH16" s="3"/>
      <c r="AI16" s="123"/>
      <c r="AJ16" s="1" t="s">
        <v>114</v>
      </c>
      <c r="AL16" s="81"/>
      <c r="AN16" s="1" t="s">
        <v>17</v>
      </c>
    </row>
    <row r="17" spans="1:40" ht="18" customHeight="1">
      <c r="A17" s="367"/>
      <c r="B17" s="33"/>
      <c r="C17" s="9"/>
      <c r="D17" s="9"/>
      <c r="E17" s="9"/>
      <c r="F17" s="345">
        <f>GETPIVOTDATA("Sum of CLASSL1",'KPI Graph Pivot Table'!$A$15)+GETPIVOTDATA("Sum of L2 and sasl adjust",'KPI Graph Pivot Table'!$A$15)</f>
        <v>2290</v>
      </c>
      <c r="G17" s="411"/>
      <c r="H17" s="3"/>
      <c r="I17" s="3"/>
      <c r="J17" s="10"/>
      <c r="K17" s="10"/>
      <c r="O17" s="345">
        <f>J12-F17</f>
        <v>348</v>
      </c>
      <c r="P17" s="346"/>
      <c r="Q17" s="93" t="s">
        <v>247</v>
      </c>
      <c r="R17" s="99">
        <f>(GETPIVOTDATA("Sum of L2 - sasl adjust",'KPI Graph Pivot Table'!$A$15,"Shipvs1stietd",1,"shortltline",1)+GETPIVOTDATA("Sum of L2 - sasl adjust",'KPI Graph Pivot Table'!$A$15,"Shipvs1stietd",0,"shortltline",1))/O17</f>
        <v>0.17241379310344829</v>
      </c>
      <c r="T17" s="9"/>
      <c r="U17" s="10"/>
      <c r="V17" s="10"/>
      <c r="W17" s="345">
        <f>GETPIVOTDATA("Sum of CLASSL3",'KPI Graph Pivot Table'!$A$15)+GETPIVOTDATA("Sum of L4 and sasl adjust ",'KPI Graph Pivot Table'!$A$15)</f>
        <v>659</v>
      </c>
      <c r="X17" s="411"/>
      <c r="Y17" s="10"/>
      <c r="Z17" s="10"/>
      <c r="AA17" s="10"/>
      <c r="AB17" s="10"/>
      <c r="AC17" s="10"/>
      <c r="AF17" s="345">
        <f>AA12-W17</f>
        <v>-24</v>
      </c>
      <c r="AG17" s="346"/>
      <c r="AH17" s="93" t="s">
        <v>247</v>
      </c>
      <c r="AI17" s="135">
        <f>(GETPIVOTDATA("Sum of L4 - sasl adjust",'KPI Graph Pivot Table'!$A$15,"Shipvs1stietd",0,"shortltline",0)+GETPIVOTDATA("Sum of L4 - sasl adjust",'KPI Graph Pivot Table'!$A$15,"Shipvs1stietd",1,"shortltline",0))/AF17</f>
        <v>-2.6666666666666665</v>
      </c>
      <c r="AJ17" s="1" t="s">
        <v>125</v>
      </c>
      <c r="AN17" s="1" t="s">
        <v>18</v>
      </c>
    </row>
    <row r="18" spans="1:40" ht="15.75" customHeight="1">
      <c r="A18" s="367"/>
      <c r="B18" s="33"/>
      <c r="C18" s="10"/>
      <c r="D18" s="10"/>
      <c r="E18" s="10"/>
      <c r="F18" s="329">
        <f>F17/Q7</f>
        <v>0.6996639168958142</v>
      </c>
      <c r="G18" s="351"/>
      <c r="H18" s="3"/>
      <c r="I18" s="3"/>
      <c r="J18" s="10"/>
      <c r="K18" s="10"/>
      <c r="O18" s="329">
        <f>O17/Q7</f>
        <v>0.10632447296058661</v>
      </c>
      <c r="P18" s="330"/>
      <c r="Q18" s="93" t="s">
        <v>248</v>
      </c>
      <c r="R18" s="46"/>
      <c r="S18" s="94"/>
      <c r="T18" s="9"/>
      <c r="U18" s="10"/>
      <c r="V18" s="10"/>
      <c r="W18" s="329">
        <f>W17/Q7</f>
        <v>0.20134433241674304</v>
      </c>
      <c r="X18" s="351"/>
      <c r="Y18" s="10"/>
      <c r="Z18" s="10"/>
      <c r="AA18" s="10"/>
      <c r="AB18" s="10"/>
      <c r="AC18" s="10"/>
      <c r="AF18" s="329">
        <f>AF17/Q7</f>
        <v>-7.3327222731439049E-3</v>
      </c>
      <c r="AG18" s="330"/>
      <c r="AH18" s="93" t="s">
        <v>248</v>
      </c>
      <c r="AI18" s="123"/>
      <c r="AJ18" s="1" t="s">
        <v>113</v>
      </c>
      <c r="AN18" s="1" t="s">
        <v>19</v>
      </c>
    </row>
    <row r="19" spans="1:40" ht="15.75" customHeight="1" thickBot="1">
      <c r="A19" s="367"/>
      <c r="B19" s="33"/>
      <c r="C19" s="10"/>
      <c r="D19" s="10"/>
      <c r="E19" s="10"/>
      <c r="F19" s="331">
        <f>F17/J12</f>
        <v>0.86808188021228205</v>
      </c>
      <c r="G19" s="410"/>
      <c r="H19" s="3"/>
      <c r="I19" s="3"/>
      <c r="J19" s="10"/>
      <c r="K19" s="10"/>
      <c r="O19" s="331">
        <f>O17/J12</f>
        <v>0.13191811978771797</v>
      </c>
      <c r="P19" s="332"/>
      <c r="Q19" s="10"/>
      <c r="R19" s="10"/>
      <c r="S19" s="9"/>
      <c r="T19" s="9"/>
      <c r="U19" s="10"/>
      <c r="V19" s="10"/>
      <c r="W19" s="331">
        <f>W17/AA12</f>
        <v>1.0377952755905513</v>
      </c>
      <c r="X19" s="410"/>
      <c r="Y19" s="10"/>
      <c r="Z19" s="10"/>
      <c r="AA19" s="10"/>
      <c r="AB19" s="10"/>
      <c r="AC19" s="10"/>
      <c r="AF19" s="331">
        <f>AF17/AA12</f>
        <v>-3.7795275590551181E-2</v>
      </c>
      <c r="AG19" s="332"/>
      <c r="AH19" s="3"/>
      <c r="AI19" s="123"/>
      <c r="AJ19" s="1" t="s">
        <v>118</v>
      </c>
      <c r="AN19" s="1" t="s">
        <v>20</v>
      </c>
    </row>
    <row r="20" spans="1:40" ht="15" customHeight="1" thickBot="1">
      <c r="A20" s="368"/>
      <c r="B20" s="33"/>
      <c r="C20" s="10"/>
      <c r="D20" s="104"/>
      <c r="E20" s="129"/>
      <c r="F20" s="102" t="s">
        <v>143</v>
      </c>
      <c r="G20" s="103">
        <v>1</v>
      </c>
      <c r="H20" s="4"/>
      <c r="I20" s="4"/>
      <c r="J20" s="10"/>
      <c r="K20" s="10"/>
      <c r="O20" s="41" t="s">
        <v>145</v>
      </c>
      <c r="P20" s="23">
        <v>0</v>
      </c>
      <c r="Q20" s="10"/>
      <c r="R20" s="10"/>
      <c r="S20" s="9"/>
      <c r="T20" s="9"/>
      <c r="U20" s="10"/>
      <c r="V20" s="10"/>
      <c r="W20" s="84" t="s">
        <v>143</v>
      </c>
      <c r="X20" s="85">
        <v>1</v>
      </c>
      <c r="Y20" s="10"/>
      <c r="Z20" s="10"/>
      <c r="AA20" s="10"/>
      <c r="AB20" s="10"/>
      <c r="AC20" s="10"/>
      <c r="AF20" s="41" t="s">
        <v>145</v>
      </c>
      <c r="AG20" s="23">
        <v>0</v>
      </c>
      <c r="AH20" s="3"/>
      <c r="AI20" s="123"/>
      <c r="AJ20" s="1" t="s">
        <v>98</v>
      </c>
      <c r="AN20" s="1" t="s">
        <v>21</v>
      </c>
    </row>
    <row r="21" spans="1:40" ht="15" customHeight="1" thickBot="1">
      <c r="A21" s="354" t="str">
        <f>"SCR:      " &amp; ROUND(F18/J13*100,0)&amp; " %"</f>
        <v>SCR:      87 %</v>
      </c>
      <c r="B21" s="128"/>
      <c r="C21" s="127"/>
      <c r="D21" s="46"/>
      <c r="E21" s="46"/>
      <c r="F21" s="102" t="s">
        <v>142</v>
      </c>
      <c r="G21" s="103">
        <v>1</v>
      </c>
      <c r="H21" s="4"/>
      <c r="I21" s="4"/>
      <c r="J21" s="10"/>
      <c r="K21" s="10"/>
      <c r="O21" s="42" t="s">
        <v>143</v>
      </c>
      <c r="P21" s="43">
        <v>0</v>
      </c>
      <c r="Q21" s="10"/>
      <c r="R21" s="10"/>
      <c r="S21" s="9"/>
      <c r="T21" s="9"/>
      <c r="U21" s="10"/>
      <c r="V21" s="10"/>
      <c r="W21" s="10"/>
      <c r="X21" s="10"/>
      <c r="Y21" s="10"/>
      <c r="Z21" s="10"/>
      <c r="AA21" s="10"/>
      <c r="AB21" s="10"/>
      <c r="AC21" s="10"/>
      <c r="AE21" s="3"/>
      <c r="AF21" s="21" t="s">
        <v>143</v>
      </c>
      <c r="AG21" s="22">
        <v>0</v>
      </c>
      <c r="AH21" s="3"/>
      <c r="AI21" s="123"/>
      <c r="AJ21" s="1" t="s">
        <v>103</v>
      </c>
      <c r="AN21" s="1" t="s">
        <v>128</v>
      </c>
    </row>
    <row r="22" spans="1:40" ht="15" customHeight="1" thickBot="1">
      <c r="A22" s="355"/>
      <c r="B22" s="131"/>
      <c r="C22" s="104"/>
      <c r="D22" s="104"/>
      <c r="E22" s="104"/>
      <c r="F22" s="117"/>
      <c r="G22" s="117"/>
      <c r="H22" s="132"/>
      <c r="I22" s="132"/>
      <c r="J22" s="104"/>
      <c r="K22" s="104"/>
      <c r="L22" s="117"/>
      <c r="M22" s="117"/>
      <c r="N22" s="133"/>
      <c r="O22" s="21" t="s">
        <v>142</v>
      </c>
      <c r="P22" s="22">
        <v>0</v>
      </c>
      <c r="Q22" s="46"/>
      <c r="R22" s="104"/>
      <c r="S22" s="119"/>
      <c r="T22" s="119"/>
      <c r="U22" s="104"/>
      <c r="V22" s="104"/>
      <c r="W22" s="117"/>
      <c r="X22" s="117"/>
      <c r="Y22" s="104"/>
      <c r="Z22" s="104"/>
      <c r="AA22" s="104"/>
      <c r="AB22" s="104"/>
      <c r="AC22" s="104"/>
      <c r="AD22" s="104"/>
      <c r="AE22" s="104"/>
      <c r="AF22" s="117"/>
      <c r="AG22" s="117"/>
      <c r="AH22" s="117"/>
      <c r="AI22" s="136"/>
      <c r="AJ22" s="1" t="s">
        <v>92</v>
      </c>
      <c r="AN22" s="1" t="s">
        <v>129</v>
      </c>
    </row>
    <row r="23" spans="1:40" ht="15.75" customHeight="1" thickBot="1">
      <c r="A23" s="356" t="str">
        <f>"SSL:      " &amp; ROUND((C26+U26)*100,0)&amp; " %"</f>
        <v>SSL:      58 %</v>
      </c>
      <c r="B23" s="130"/>
      <c r="C23" s="46"/>
      <c r="D23" s="46"/>
      <c r="E23" s="46"/>
      <c r="F23" s="46"/>
      <c r="G23" s="46"/>
      <c r="H23" s="46"/>
      <c r="I23" s="46"/>
      <c r="J23" s="46"/>
      <c r="K23" s="46"/>
      <c r="L23" s="10"/>
      <c r="M23" s="10"/>
      <c r="N23" s="10"/>
      <c r="O23" s="36"/>
      <c r="P23" s="36"/>
      <c r="Q23" s="127"/>
      <c r="R23" s="46"/>
      <c r="S23" s="81"/>
      <c r="T23" s="81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3"/>
      <c r="AH23" s="3"/>
      <c r="AI23" s="123"/>
      <c r="AJ23" s="1" t="s">
        <v>109</v>
      </c>
      <c r="AN23" s="1" t="s">
        <v>22</v>
      </c>
    </row>
    <row r="24" spans="1:40" ht="45.75" customHeight="1" thickBot="1">
      <c r="A24" s="356"/>
      <c r="B24" s="34"/>
      <c r="C24" s="325" t="s">
        <v>232</v>
      </c>
      <c r="D24" s="359"/>
      <c r="E24" s="8"/>
      <c r="F24" s="10"/>
      <c r="G24" s="10"/>
      <c r="H24" s="325" t="s">
        <v>233</v>
      </c>
      <c r="I24" s="326"/>
      <c r="J24" s="10"/>
      <c r="K24" s="10"/>
      <c r="L24" s="3"/>
      <c r="M24" s="3"/>
      <c r="N24" s="3"/>
      <c r="O24" s="10"/>
      <c r="P24" s="10"/>
      <c r="Q24" s="10"/>
      <c r="R24" s="10"/>
      <c r="S24" s="9"/>
      <c r="T24" s="9"/>
      <c r="U24" s="325" t="s">
        <v>231</v>
      </c>
      <c r="V24" s="359"/>
      <c r="W24" s="10"/>
      <c r="X24" s="10"/>
      <c r="Y24" s="325" t="s">
        <v>234</v>
      </c>
      <c r="Z24" s="326"/>
      <c r="AA24" s="10"/>
      <c r="AB24" s="10"/>
      <c r="AC24" s="10"/>
      <c r="AD24" s="10"/>
      <c r="AE24" s="3"/>
      <c r="AH24" s="3"/>
      <c r="AI24" s="123"/>
      <c r="AJ24" s="1" t="s">
        <v>97</v>
      </c>
      <c r="AN24" s="1" t="s">
        <v>138</v>
      </c>
    </row>
    <row r="25" spans="1:40" ht="15.75" customHeight="1">
      <c r="A25" s="356"/>
      <c r="B25" s="34"/>
      <c r="C25" s="345">
        <f>GETPIVOTDATA("Sum of CLASSL1",'KPI Graph Pivot Table'!$A$15,"Shipvs1stietd",1)+GETPIVOTDATA("Sum of L2 and sasl adjust",'KPI Graph Pivot Table'!$A$15,"Shipvs1stietd",1)</f>
        <v>1732</v>
      </c>
      <c r="D25" s="346"/>
      <c r="E25" s="7"/>
      <c r="F25" s="10"/>
      <c r="G25" s="10"/>
      <c r="H25" s="345">
        <f>F17-C25</f>
        <v>558</v>
      </c>
      <c r="I25" s="346"/>
      <c r="J25" s="93" t="s">
        <v>247</v>
      </c>
      <c r="K25" s="99">
        <f>(GETPIVOTDATA("Sum of CLASSL1",'KPI Graph Pivot Table'!$A$15,"Shipvs1stietd",0,"shortltline",1)+GETPIVOTDATA("Sum of L2 and sasl adjust",'KPI Graph Pivot Table'!$A$15,"Shipvs1stietd",0,"shortltline",1))/H25</f>
        <v>0.39068100358422941</v>
      </c>
      <c r="M25" s="92"/>
      <c r="N25" s="3"/>
      <c r="O25" s="10"/>
      <c r="P25" s="10"/>
      <c r="Q25" s="10"/>
      <c r="R25" s="10"/>
      <c r="S25" s="9"/>
      <c r="T25" s="9"/>
      <c r="U25" s="345">
        <f>GETPIVOTDATA("Sum of CLASSL3",'KPI Graph Pivot Table'!$A$15,"Shipvs1stietd",1)+GETPIVOTDATA("Sum of L4 and sasl adjust ",'KPI Graph Pivot Table'!$A$15,"Shipvs1stietd",1)</f>
        <v>156</v>
      </c>
      <c r="V25" s="346"/>
      <c r="W25" s="10"/>
      <c r="X25" s="10"/>
      <c r="Y25" s="345">
        <f>W17-U25</f>
        <v>503</v>
      </c>
      <c r="Z25" s="346"/>
      <c r="AA25" s="93" t="s">
        <v>247</v>
      </c>
      <c r="AB25" s="99">
        <f>(GETPIVOTDATA("Sum of CLASSL3",'KPI Graph Pivot Table'!$A$15,"Shipvs1stietd",0,"shortltline",1)+GETPIVOTDATA("Sum of L4 and sasl adjust ",'KPI Graph Pivot Table'!$A$15,"Shipvs1stietd",0,"shortltline",1))/Y25</f>
        <v>0.58250497017892644</v>
      </c>
      <c r="AD25" s="81"/>
      <c r="AE25" s="3"/>
      <c r="AH25" s="3"/>
      <c r="AI25" s="123"/>
      <c r="AJ25" s="1" t="s">
        <v>126</v>
      </c>
      <c r="AN25" s="1" t="s">
        <v>23</v>
      </c>
    </row>
    <row r="26" spans="1:40" ht="15.75" customHeight="1">
      <c r="A26" s="356"/>
      <c r="B26" s="34"/>
      <c r="C26" s="329">
        <f>C25/Q7</f>
        <v>0.52917812404521847</v>
      </c>
      <c r="D26" s="330"/>
      <c r="E26" s="6"/>
      <c r="F26" s="10"/>
      <c r="G26" s="10"/>
      <c r="H26" s="329">
        <f>H25/Q7</f>
        <v>0.17048579285059579</v>
      </c>
      <c r="I26" s="330"/>
      <c r="J26" s="93" t="s">
        <v>248</v>
      </c>
      <c r="K26" s="10"/>
      <c r="L26" s="92"/>
      <c r="M26" s="3"/>
      <c r="N26" s="3"/>
      <c r="O26" s="10"/>
      <c r="P26" s="10"/>
      <c r="Q26" s="10"/>
      <c r="R26" s="10"/>
      <c r="S26" s="9"/>
      <c r="T26" s="9"/>
      <c r="U26" s="329">
        <f>U25/Q7</f>
        <v>4.7662694775435381E-2</v>
      </c>
      <c r="V26" s="330"/>
      <c r="W26" s="10"/>
      <c r="X26" s="10"/>
      <c r="Y26" s="329">
        <f>Y25/Q7</f>
        <v>0.15368163764130766</v>
      </c>
      <c r="Z26" s="330"/>
      <c r="AA26" s="93" t="s">
        <v>248</v>
      </c>
      <c r="AB26" s="10"/>
      <c r="AC26" s="94"/>
      <c r="AD26" s="10"/>
      <c r="AE26" s="3"/>
      <c r="AH26" s="3"/>
      <c r="AI26" s="123"/>
      <c r="AJ26" s="1" t="s">
        <v>112</v>
      </c>
      <c r="AN26" s="1" t="s">
        <v>24</v>
      </c>
    </row>
    <row r="27" spans="1:40" ht="15.75" customHeight="1" thickBot="1">
      <c r="A27" s="357" t="s">
        <v>144</v>
      </c>
      <c r="B27" s="34"/>
      <c r="C27" s="362">
        <f>C25/F17</f>
        <v>0.7563318777292577</v>
      </c>
      <c r="D27" s="363"/>
      <c r="E27" s="6"/>
      <c r="F27" s="10"/>
      <c r="G27" s="10"/>
      <c r="H27" s="331">
        <f>H25/F17</f>
        <v>0.24366812227074236</v>
      </c>
      <c r="I27" s="332"/>
      <c r="J27" s="10"/>
      <c r="K27" s="10"/>
      <c r="L27" s="3"/>
      <c r="M27" s="3"/>
      <c r="N27" s="3"/>
      <c r="O27" s="10"/>
      <c r="P27" s="10"/>
      <c r="Q27" s="10"/>
      <c r="R27" s="10"/>
      <c r="S27" s="9"/>
      <c r="T27" s="9"/>
      <c r="U27" s="331">
        <f>U25/W17</f>
        <v>0.23672230652503792</v>
      </c>
      <c r="V27" s="332"/>
      <c r="W27" s="10"/>
      <c r="X27" s="10"/>
      <c r="Y27" s="331">
        <f>Y25/W17</f>
        <v>0.7632776934749621</v>
      </c>
      <c r="Z27" s="332"/>
      <c r="AA27" s="10"/>
      <c r="AB27" s="10"/>
      <c r="AC27" s="10"/>
      <c r="AD27" s="10"/>
      <c r="AE27" s="3"/>
      <c r="AH27" s="3"/>
      <c r="AI27" s="123"/>
      <c r="AJ27" s="1" t="s">
        <v>102</v>
      </c>
      <c r="AN27" s="1" t="s">
        <v>25</v>
      </c>
    </row>
    <row r="28" spans="1:40" ht="15.75" customHeight="1" thickBot="1">
      <c r="A28" s="357"/>
      <c r="B28" s="101"/>
      <c r="C28" s="102" t="s">
        <v>145</v>
      </c>
      <c r="D28" s="100">
        <v>1</v>
      </c>
      <c r="E28" s="4"/>
      <c r="F28" s="46"/>
      <c r="G28" s="46"/>
      <c r="H28" s="47" t="s">
        <v>145</v>
      </c>
      <c r="I28" s="24">
        <v>0</v>
      </c>
      <c r="J28" s="46"/>
      <c r="K28" s="46"/>
      <c r="L28" s="99">
        <f>(GETPIVOTDATA("Sum of CLASSL1",'KPI Graph Pivot Table'!$A$15,"Shipvs1stietd",0,"shortltline",1))</f>
        <v>169</v>
      </c>
      <c r="M28" s="3"/>
      <c r="N28" s="3"/>
      <c r="O28" s="46"/>
      <c r="P28" s="9"/>
      <c r="Q28" s="9"/>
      <c r="R28" s="9"/>
      <c r="S28" s="9"/>
      <c r="T28" s="9"/>
      <c r="U28" s="25" t="s">
        <v>145</v>
      </c>
      <c r="V28" s="24">
        <v>1</v>
      </c>
      <c r="W28" s="3"/>
      <c r="X28" s="9"/>
      <c r="Y28" s="25" t="s">
        <v>145</v>
      </c>
      <c r="Z28" s="24">
        <v>0</v>
      </c>
      <c r="AA28" s="9"/>
      <c r="AB28" s="9"/>
      <c r="AC28" s="46"/>
      <c r="AD28" s="46"/>
      <c r="AE28" s="3"/>
      <c r="AF28" s="3"/>
      <c r="AH28" s="3"/>
      <c r="AI28" s="123"/>
      <c r="AJ28" s="1" t="s">
        <v>123</v>
      </c>
      <c r="AN28" s="1" t="s">
        <v>26</v>
      </c>
    </row>
    <row r="29" spans="1:40" ht="27.75" customHeight="1">
      <c r="A29" s="358"/>
      <c r="B29" s="138"/>
      <c r="C29" s="139"/>
      <c r="D29" s="132"/>
      <c r="E29" s="132"/>
      <c r="F29" s="104"/>
      <c r="G29" s="104"/>
      <c r="H29" s="140"/>
      <c r="I29" s="104"/>
      <c r="J29" s="104"/>
      <c r="K29" s="104"/>
      <c r="L29" s="104"/>
      <c r="M29" s="119"/>
      <c r="N29" s="119"/>
      <c r="O29" s="104"/>
      <c r="P29" s="104"/>
      <c r="Q29" s="104"/>
      <c r="R29" s="104"/>
      <c r="S29" s="119"/>
      <c r="T29" s="119"/>
      <c r="U29" s="104"/>
      <c r="V29" s="104"/>
      <c r="W29" s="104"/>
      <c r="X29" s="104"/>
      <c r="Y29" s="104"/>
      <c r="Z29" s="104"/>
      <c r="AA29" s="104"/>
      <c r="AB29" s="104"/>
      <c r="AC29" s="104"/>
      <c r="AD29" s="119"/>
      <c r="AE29" s="117"/>
      <c r="AF29" s="117"/>
      <c r="AG29" s="117"/>
      <c r="AH29" s="117"/>
      <c r="AI29" s="136"/>
      <c r="AJ29" s="1" t="s">
        <v>94</v>
      </c>
      <c r="AN29" s="1" t="s">
        <v>27</v>
      </c>
    </row>
    <row r="30" spans="1:40" ht="48.75" customHeight="1" thickBot="1">
      <c r="A30" s="157" t="str">
        <f>"Gap between SSL and SASL:  "&amp;ROUND((F18+W18)*100,0)-ROUND((C26+U26)*100,0)&amp;" %"</f>
        <v>Gap between SSL and SASL:  32 %</v>
      </c>
      <c r="C30" s="3"/>
      <c r="D30" s="3"/>
      <c r="E30" s="3"/>
      <c r="F30" s="3"/>
      <c r="G30" s="3"/>
      <c r="H30" s="3"/>
      <c r="I30" s="3"/>
      <c r="L30" s="3"/>
      <c r="N30" s="20"/>
      <c r="O30" s="46"/>
      <c r="P30" s="46"/>
      <c r="Q30" s="5"/>
      <c r="R30" s="5"/>
      <c r="S30" s="7"/>
      <c r="T30" s="7"/>
      <c r="U30" s="3"/>
      <c r="V30" s="3"/>
      <c r="X30" s="20"/>
      <c r="Y30" s="46"/>
      <c r="Z30" s="46"/>
      <c r="AC30" s="3"/>
      <c r="AD30" s="156"/>
      <c r="AE30" s="156"/>
      <c r="AF30" s="46"/>
      <c r="AG30" s="46"/>
      <c r="AH30" s="3"/>
      <c r="AI30" s="123"/>
      <c r="AJ30" s="1" t="s">
        <v>111</v>
      </c>
      <c r="AN30" s="1" t="s">
        <v>28</v>
      </c>
    </row>
    <row r="31" spans="1:40" ht="15.75" customHeight="1">
      <c r="A31" s="336" t="s">
        <v>250</v>
      </c>
      <c r="C31" s="3"/>
      <c r="D31" s="3"/>
      <c r="E31" s="3"/>
      <c r="H31" s="3"/>
      <c r="I31" s="3"/>
      <c r="J31" s="317" t="s">
        <v>242</v>
      </c>
      <c r="K31" s="318"/>
      <c r="L31" s="3"/>
      <c r="N31" s="79"/>
      <c r="O31" s="46"/>
      <c r="P31" s="46"/>
      <c r="Q31" s="5"/>
      <c r="R31" s="5"/>
      <c r="S31" s="6"/>
      <c r="T31" s="6"/>
      <c r="U31" s="3"/>
      <c r="V31" s="3"/>
      <c r="X31" s="79"/>
      <c r="Y31" s="46"/>
      <c r="Z31" s="46"/>
      <c r="AA31" s="317" t="s">
        <v>241</v>
      </c>
      <c r="AB31" s="318"/>
      <c r="AC31" s="3"/>
      <c r="AD31" s="79"/>
      <c r="AE31" s="79"/>
      <c r="AF31" s="46"/>
      <c r="AG31" s="46"/>
      <c r="AH31" s="5"/>
      <c r="AI31" s="142"/>
      <c r="AJ31" s="1" t="s">
        <v>117</v>
      </c>
      <c r="AN31" s="1" t="s">
        <v>29</v>
      </c>
    </row>
    <row r="32" spans="1:40" ht="15.75" customHeight="1" thickBot="1">
      <c r="A32" s="337"/>
      <c r="C32" s="3"/>
      <c r="D32" s="3"/>
      <c r="E32" s="3"/>
      <c r="H32" s="3"/>
      <c r="I32" s="3"/>
      <c r="J32" s="319"/>
      <c r="K32" s="320"/>
      <c r="L32" s="3"/>
      <c r="N32" s="79"/>
      <c r="O32" s="46"/>
      <c r="P32" s="46"/>
      <c r="Q32" s="87"/>
      <c r="R32" s="87"/>
      <c r="S32" s="6"/>
      <c r="T32" s="6"/>
      <c r="U32" s="3"/>
      <c r="V32" s="3"/>
      <c r="W32" s="79"/>
      <c r="X32" s="79"/>
      <c r="Y32" s="46"/>
      <c r="Z32" s="46"/>
      <c r="AA32" s="319"/>
      <c r="AB32" s="320"/>
      <c r="AC32" s="3"/>
      <c r="AD32" s="79"/>
      <c r="AE32" s="79"/>
      <c r="AF32" s="46"/>
      <c r="AG32" s="46"/>
      <c r="AH32" s="87"/>
      <c r="AI32" s="143"/>
      <c r="AJ32" s="1" t="s">
        <v>237</v>
      </c>
      <c r="AK32" s="2"/>
      <c r="AL32" s="2"/>
      <c r="AM32" s="2"/>
      <c r="AN32" s="1" t="s">
        <v>30</v>
      </c>
    </row>
    <row r="33" spans="1:40" ht="15.75" customHeight="1">
      <c r="A33" s="333" t="str">
        <f>ROUND((J34+AA34)*1000,0)/10 &amp;"%    ( " &amp; ROUND((J33+AA33)/(H25+Y25)*1000,0)/10 &amp; "% of gap )"</f>
        <v>0%    ( 0% of gap )</v>
      </c>
      <c r="C33" s="3"/>
      <c r="D33" s="3"/>
      <c r="E33" s="3"/>
      <c r="F33" s="6"/>
      <c r="G33" s="6"/>
      <c r="H33" s="3"/>
      <c r="I33" s="3"/>
      <c r="J33" s="345">
        <f>IF(ISERROR(GETPIVOTDATA("Sum of CLASSL1",'KPI Graph Pivot Table'!$A$15,"Shipvs1stietd",0,"shortltline",0,"customer demand",1)),0, GETPIVOTDATA("Sum of CLASSL1",'KPI Graph Pivot Table'!$A$15,"Shipvs1stietd",0,"shortltline",0,"customer demand","1"))+ IF(ISERROR(GETPIVOTDATA("Sum of CLASSL1",'KPI Graph Pivot Table'!$A$15,"Shipvs1stietd",0,"shortltline",1,"customer demand",1)),0,GETPIVOTDATA("Sum of CLASSL1",'KPI Graph Pivot Table'!$A$15,"Shipvs1stietd",0,"shortltline",1,"customer demand",1))+IF(ISERROR(GETPIVOTDATA("Sum of L2 and sasl adjust",'KPI Graph Pivot Table'!$A$15,"Shipvs1stietd",0,"shortltline",0,"customer demand",1)),0,GETPIVOTDATA("Sum of L2 and sasl adjust",'KPI Graph Pivot Table'!$A$15,"Shipvs1stietd",0,"shortltline",0,"customer demand",1))+IF(ISERROR(GETPIVOTDATA("Sum of L2 and sasl adjust",'KPI Graph Pivot Table'!$A$15,"Shipvs1stietd",0,"shortltline",1,"customer demand",1)),0,GETPIVOTDATA("Sum of L2 and sasl adjust",'KPI Graph Pivot Table'!$A$15,"Shipvs1stietd",0,"shortltline",1,"customer demand",1))</f>
        <v>0</v>
      </c>
      <c r="K33" s="346"/>
      <c r="L33" s="3"/>
      <c r="M33" s="6"/>
      <c r="N33" s="6"/>
      <c r="O33" s="46"/>
      <c r="P33" s="46"/>
      <c r="Q33" s="87"/>
      <c r="R33" s="87"/>
      <c r="S33" s="6"/>
      <c r="T33" s="6"/>
      <c r="U33" s="3"/>
      <c r="V33" s="3"/>
      <c r="W33" s="73"/>
      <c r="X33" s="73"/>
      <c r="Y33" s="46"/>
      <c r="Z33" s="46"/>
      <c r="AA33" s="345">
        <f>IF(ISERROR(GETPIVOTDATA("Sum of CLASSL3",'KPI Graph Pivot Table'!$A$15,"Shipvs1stietd",0,"shortltline",0,"customer demand",1)),0,GETPIVOTDATA("Sum of CLASSL3",'KPI Graph Pivot Table'!$A$15,"Shipvs1stietd",0,"shortltline",0,"customer demand",1))+IF(ISERROR(GETPIVOTDATA("Sum of CLASSL3",'KPI Graph Pivot Table'!$A$15,"Shipvs1stietd",0,"shortltline",1,"customer demand",1)),0,GETPIVOTDATA("Sum of CLASSL3",'KPI Graph Pivot Table'!$A$15,"Shipvs1stietd",0,"shortltline",1,"customer demand",1))+IF(ISERROR(GETPIVOTDATA("Sum of L4 and sasl adjust ",'KPI Graph Pivot Table'!$A$15,"Shipvs1stietd",0,"shortltline",0,"customer demand",1)),0,GETPIVOTDATA("Sum of L4 and sasl adjust ",'KPI Graph Pivot Table'!$A$15,"Shipvs1stietd",0,"shortltline",0,"customer demand",1))+IF(ISERROR(GETPIVOTDATA("Sum of L4 and sasl adjust ",'KPI Graph Pivot Table'!$A$15,"Shipvs1stietd",0,"shortltline",1,"customer demand",1)),0,GETPIVOTDATA("Sum of L4 and sasl adjust ",'KPI Graph Pivot Table'!$A$15,"Shipvs1stietd",0,"shortltline",1,"customer demand",1))</f>
        <v>0</v>
      </c>
      <c r="AB33" s="346"/>
      <c r="AC33" s="3"/>
      <c r="AD33" s="95"/>
      <c r="AE33" s="95"/>
      <c r="AF33" s="71"/>
      <c r="AG33" s="71"/>
      <c r="AH33" s="87"/>
      <c r="AI33" s="143"/>
      <c r="AJ33" s="1" t="s">
        <v>124</v>
      </c>
      <c r="AN33" s="1" t="s">
        <v>139</v>
      </c>
    </row>
    <row r="34" spans="1:40" ht="15" customHeight="1">
      <c r="A34" s="333"/>
      <c r="C34" s="3"/>
      <c r="D34" s="3"/>
      <c r="E34" s="3"/>
      <c r="F34" s="46"/>
      <c r="G34" s="46"/>
      <c r="H34" s="3"/>
      <c r="I34" s="3"/>
      <c r="J34" s="329">
        <f>J33/Q7</f>
        <v>0</v>
      </c>
      <c r="K34" s="330"/>
      <c r="L34" s="3"/>
      <c r="M34" s="3"/>
      <c r="N34" s="3"/>
      <c r="O34" s="3"/>
      <c r="P34" s="3"/>
      <c r="Q34" s="20"/>
      <c r="R34" s="20"/>
      <c r="S34" s="5"/>
      <c r="T34" s="5"/>
      <c r="U34" s="3"/>
      <c r="V34" s="3"/>
      <c r="W34" s="3"/>
      <c r="X34" s="3"/>
      <c r="Y34" s="3"/>
      <c r="Z34" s="3"/>
      <c r="AA34" s="329">
        <f>AA33/Q7</f>
        <v>0</v>
      </c>
      <c r="AB34" s="330"/>
      <c r="AC34" s="3"/>
      <c r="AD34" s="3"/>
      <c r="AE34" s="3"/>
      <c r="AF34" s="3"/>
      <c r="AG34" s="3"/>
      <c r="AH34" s="20"/>
      <c r="AI34" s="144"/>
      <c r="AJ34" s="1" t="s">
        <v>119</v>
      </c>
      <c r="AN34" s="1" t="s">
        <v>31</v>
      </c>
    </row>
    <row r="35" spans="1:40" ht="15.75" customHeight="1" thickBot="1">
      <c r="A35" s="153"/>
      <c r="C35" s="3"/>
      <c r="D35" s="3"/>
      <c r="E35" s="3"/>
      <c r="F35" s="3"/>
      <c r="G35" s="3"/>
      <c r="H35" s="3"/>
      <c r="I35" s="3"/>
      <c r="J35" s="331">
        <f>J33/H25</f>
        <v>0</v>
      </c>
      <c r="K35" s="332"/>
      <c r="L35" s="3"/>
      <c r="M35" s="5"/>
      <c r="N35" s="5"/>
      <c r="O35" s="3"/>
      <c r="P35" s="3"/>
      <c r="Q35" s="79"/>
      <c r="R35" s="79"/>
      <c r="S35" s="5"/>
      <c r="T35" s="5"/>
      <c r="U35" s="3"/>
      <c r="V35" s="3"/>
      <c r="W35" s="3"/>
      <c r="X35" s="3"/>
      <c r="Y35" s="3"/>
      <c r="Z35" s="3"/>
      <c r="AA35" s="331">
        <f>AA33/Y25</f>
        <v>0</v>
      </c>
      <c r="AB35" s="332"/>
      <c r="AC35" s="3"/>
      <c r="AD35" s="3"/>
      <c r="AE35" s="3"/>
      <c r="AF35" s="3"/>
      <c r="AG35" s="3"/>
      <c r="AH35" s="79"/>
      <c r="AI35" s="145"/>
      <c r="AJ35" s="1" t="s">
        <v>99</v>
      </c>
      <c r="AN35" s="1" t="s">
        <v>32</v>
      </c>
    </row>
    <row r="36" spans="1:40" ht="26.25" customHeight="1">
      <c r="A36" s="336" t="s">
        <v>251</v>
      </c>
      <c r="C36" s="3"/>
      <c r="D36" s="3"/>
      <c r="E36" s="3"/>
      <c r="F36" s="317" t="s">
        <v>243</v>
      </c>
      <c r="G36" s="318"/>
      <c r="H36" s="3"/>
      <c r="I36" s="3"/>
      <c r="J36" s="95"/>
      <c r="K36" s="95"/>
      <c r="L36" s="5"/>
      <c r="M36" s="5"/>
      <c r="N36" s="5"/>
      <c r="O36" s="313" t="s">
        <v>245</v>
      </c>
      <c r="P36" s="314"/>
      <c r="Q36" s="79"/>
      <c r="R36" s="79"/>
      <c r="S36" s="5"/>
      <c r="T36" s="5"/>
      <c r="U36" s="3"/>
      <c r="V36" s="3"/>
      <c r="W36" s="317" t="s">
        <v>240</v>
      </c>
      <c r="X36" s="318"/>
      <c r="Y36" s="3"/>
      <c r="Z36" s="5"/>
      <c r="AA36" s="95"/>
      <c r="AB36" s="95"/>
      <c r="AC36" s="5"/>
      <c r="AD36" s="3"/>
      <c r="AE36" s="3"/>
      <c r="AF36" s="313" t="s">
        <v>245</v>
      </c>
      <c r="AG36" s="314"/>
      <c r="AH36" s="79"/>
      <c r="AI36" s="145"/>
      <c r="AN36" s="1" t="s">
        <v>33</v>
      </c>
    </row>
    <row r="37" spans="1:40" ht="21" customHeight="1" thickBot="1">
      <c r="A37" s="337"/>
      <c r="B37" s="90"/>
      <c r="C37" s="44"/>
      <c r="E37" s="44"/>
      <c r="F37" s="319"/>
      <c r="G37" s="320"/>
      <c r="L37" s="3"/>
      <c r="M37" s="87"/>
      <c r="N37" s="87"/>
      <c r="O37" s="315"/>
      <c r="P37" s="316"/>
      <c r="S37" s="8"/>
      <c r="T37" s="8"/>
      <c r="U37" s="3"/>
      <c r="V37" s="44"/>
      <c r="W37" s="319"/>
      <c r="X37" s="320"/>
      <c r="Y37" s="44"/>
      <c r="Z37" s="44"/>
      <c r="AC37" s="3"/>
      <c r="AD37" s="87"/>
      <c r="AE37" s="87"/>
      <c r="AF37" s="315"/>
      <c r="AG37" s="316"/>
      <c r="AH37" s="3"/>
      <c r="AI37" s="123"/>
      <c r="AN37" s="1" t="s">
        <v>34</v>
      </c>
    </row>
    <row r="38" spans="1:40" ht="14.25" customHeight="1">
      <c r="A38" s="333" t="str">
        <f>ROUND((F39+AA44)*1000,0)/10 &amp;"%    ( " &amp; ROUND((F38+W38)/(H25+Y25)*1000,0)/10 &amp; "% of gap )"</f>
        <v>18.4%    ( 100% of gap )</v>
      </c>
      <c r="B38" s="90"/>
      <c r="C38" s="44"/>
      <c r="E38" s="44"/>
      <c r="F38" s="338">
        <f>GETPIVOTDATA("Sum of L1 + L2 adjust",'KPI Graph Pivot Table'!$AC$15)</f>
        <v>558</v>
      </c>
      <c r="G38" s="339"/>
      <c r="L38" s="3"/>
      <c r="M38" s="87"/>
      <c r="N38" s="87"/>
      <c r="O38" s="313" t="str">
        <f>"1. " &amp; 'KPI Graph Pivot Table'!U16</f>
        <v>1. BU-ETD-TEMP</v>
      </c>
      <c r="P38" s="314"/>
      <c r="Q38" s="327" t="str">
        <f>IF(ISNA(VLOOKUP(MID(O38,4,90),commentcode,2,0)),"",VLOOKUP(MID(O38,4,90),commentcode,2,0))</f>
        <v xml:space="preserve">TEMP ETD DUE TO MISSING TECH DATA, PRODUCT FILE, MTL CONF, SAMPLE VALIDATION, PRODUCTION NOT RELEASED </v>
      </c>
      <c r="R38" s="328"/>
      <c r="S38" s="91"/>
      <c r="T38" s="91"/>
      <c r="U38" s="3"/>
      <c r="V38" s="44"/>
      <c r="W38" s="345">
        <f>GETPIVOTDATA("Sum of L3 + L4 adjust",'KPI Graph Pivot Table'!$AC$15)</f>
        <v>503</v>
      </c>
      <c r="X38" s="346"/>
      <c r="Y38" s="44"/>
      <c r="Z38" s="44"/>
      <c r="AC38" s="3"/>
      <c r="AD38" s="87"/>
      <c r="AE38" s="87"/>
      <c r="AF38" s="349" t="str">
        <f>"1. "&amp;'KPI Graph Pivot Table'!Y16</f>
        <v>1. BU-ETD-TEMP</v>
      </c>
      <c r="AG38" s="350"/>
      <c r="AH38" s="402" t="str">
        <f>IF(ISNA(VLOOKUP(MID(AF38,4,90),commentcode,2,0)),"",VLOOKUP(MID(AF38,4,90),commentcode,2,0))</f>
        <v xml:space="preserve">TEMP ETD DUE TO MISSING TECH DATA, PRODUCT FILE, MTL CONF, SAMPLE VALIDATION, PRODUCTION NOT RELEASED </v>
      </c>
      <c r="AI38" s="403"/>
      <c r="AJ38" s="89"/>
      <c r="AN38" s="1" t="s">
        <v>35</v>
      </c>
    </row>
    <row r="39" spans="1:40" ht="14.25" customHeight="1">
      <c r="A39" s="333"/>
      <c r="B39" s="90"/>
      <c r="C39" s="3"/>
      <c r="E39" s="46"/>
      <c r="F39" s="329">
        <f>F38/Q7</f>
        <v>0.17048579285059579</v>
      </c>
      <c r="G39" s="330"/>
      <c r="L39" s="3"/>
      <c r="M39" s="87"/>
      <c r="N39" s="87"/>
      <c r="O39" s="404"/>
      <c r="P39" s="405"/>
      <c r="Q39" s="327"/>
      <c r="R39" s="328"/>
      <c r="S39" s="8"/>
      <c r="T39" s="8"/>
      <c r="U39" s="3"/>
      <c r="V39" s="46"/>
      <c r="W39" s="329">
        <f>W38/Q7</f>
        <v>0.15368163764130766</v>
      </c>
      <c r="X39" s="330"/>
      <c r="AC39" s="3"/>
      <c r="AD39" s="87"/>
      <c r="AE39" s="87"/>
      <c r="AF39" s="323"/>
      <c r="AG39" s="324"/>
      <c r="AH39" s="402"/>
      <c r="AI39" s="403"/>
      <c r="AJ39" s="89"/>
      <c r="AN39" s="1" t="s">
        <v>36</v>
      </c>
    </row>
    <row r="40" spans="1:40" ht="15" customHeight="1" thickBot="1">
      <c r="A40" s="155"/>
      <c r="B40" s="90"/>
      <c r="C40" s="3"/>
      <c r="E40" s="46"/>
      <c r="F40" s="331">
        <f>F38/H25</f>
        <v>1</v>
      </c>
      <c r="G40" s="332"/>
      <c r="L40" s="3"/>
      <c r="M40" s="20"/>
      <c r="N40" s="20"/>
      <c r="O40" s="352">
        <f xml:space="preserve"> 'KPI Graph Pivot Table'!V16</f>
        <v>2</v>
      </c>
      <c r="P40" s="339"/>
      <c r="Q40" s="327"/>
      <c r="R40" s="328"/>
      <c r="S40" s="7"/>
      <c r="T40" s="7"/>
      <c r="U40" s="3"/>
      <c r="V40" s="46"/>
      <c r="W40" s="331">
        <f>W38/Y25</f>
        <v>1</v>
      </c>
      <c r="X40" s="332"/>
      <c r="AC40" s="3"/>
      <c r="AD40" s="20"/>
      <c r="AE40" s="20"/>
      <c r="AF40" s="338">
        <f>'KPI Graph Pivot Table'!Z16</f>
        <v>3</v>
      </c>
      <c r="AG40" s="339"/>
      <c r="AH40" s="402"/>
      <c r="AI40" s="403"/>
      <c r="AJ40" s="89"/>
      <c r="AN40" s="1" t="s">
        <v>37</v>
      </c>
    </row>
    <row r="41" spans="1:40" ht="15" customHeight="1">
      <c r="A41" s="336" t="s">
        <v>252</v>
      </c>
      <c r="B41" s="90"/>
      <c r="C41" s="3"/>
      <c r="E41" s="46"/>
      <c r="J41" s="317" t="s">
        <v>244</v>
      </c>
      <c r="K41" s="318"/>
      <c r="L41" s="3"/>
      <c r="M41" s="79"/>
      <c r="N41" s="79"/>
      <c r="O41" s="353">
        <f>O40/Q7</f>
        <v>6.1106018942865871E-4</v>
      </c>
      <c r="P41" s="330"/>
      <c r="Q41" s="327"/>
      <c r="R41" s="328"/>
      <c r="S41" s="6"/>
      <c r="T41" s="6"/>
      <c r="U41" s="3"/>
      <c r="V41" s="46"/>
      <c r="AA41" s="317" t="s">
        <v>244</v>
      </c>
      <c r="AB41" s="318"/>
      <c r="AC41" s="3"/>
      <c r="AD41" s="79"/>
      <c r="AE41" s="79"/>
      <c r="AF41" s="329">
        <f>AF40/Q7</f>
        <v>9.1659028414298811E-4</v>
      </c>
      <c r="AG41" s="330"/>
      <c r="AH41" s="402"/>
      <c r="AI41" s="403"/>
      <c r="AJ41" s="89"/>
      <c r="AN41" s="1" t="s">
        <v>38</v>
      </c>
    </row>
    <row r="42" spans="1:40" ht="15.75" customHeight="1" thickBot="1">
      <c r="A42" s="337"/>
      <c r="B42" s="90"/>
      <c r="C42" s="3"/>
      <c r="E42" s="46"/>
      <c r="J42" s="319"/>
      <c r="K42" s="320"/>
      <c r="L42" s="3"/>
      <c r="M42" s="79"/>
      <c r="N42" s="79"/>
      <c r="O42" s="341">
        <f>O40/O17</f>
        <v>5.7471264367816091E-3</v>
      </c>
      <c r="P42" s="342"/>
      <c r="Q42" s="327"/>
      <c r="R42" s="328"/>
      <c r="S42" s="6"/>
      <c r="T42" s="6"/>
      <c r="U42" s="3"/>
      <c r="V42" s="46"/>
      <c r="AA42" s="319"/>
      <c r="AB42" s="320"/>
      <c r="AC42" s="3"/>
      <c r="AD42" s="79"/>
      <c r="AE42" s="79"/>
      <c r="AF42" s="341">
        <f>AF40/AF17</f>
        <v>-0.125</v>
      </c>
      <c r="AG42" s="342"/>
      <c r="AH42" s="402"/>
      <c r="AI42" s="403"/>
      <c r="AJ42" s="89"/>
      <c r="AN42" s="1" t="s">
        <v>39</v>
      </c>
    </row>
    <row r="43" spans="1:40" ht="15.75" customHeight="1">
      <c r="A43" s="333" t="str">
        <f>ROUND((J44+AA44)*1000,0)/10 &amp;"%    ( " &amp; ROUND((J43+AA43)/(H25+Y25)*1000,0)/10 &amp; "% of gap )"</f>
        <v>3.9%    ( 12.1% of gap )</v>
      </c>
      <c r="B43" s="90"/>
      <c r="C43" s="3"/>
      <c r="E43" s="46"/>
      <c r="J43" s="345">
        <f>GETPIVOTDATA("Sum of L1 + L2 adjust",'KPI Graph Pivot Table'!$AI$15)</f>
        <v>84</v>
      </c>
      <c r="K43" s="346"/>
      <c r="L43" s="3"/>
      <c r="M43" s="79"/>
      <c r="N43" s="79"/>
      <c r="O43" s="321" t="str">
        <f>"2. " &amp; 'KPI Graph Pivot Table'!U17</f>
        <v>2. C-ETD-TEMP</v>
      </c>
      <c r="P43" s="322"/>
      <c r="Q43" s="327" t="str">
        <f>IF(ISNA(VLOOKUP(MID(O43,4,90),commentcode,2,0)),"",VLOOKUP(MID(O43,4,90),commentcode,2,0))</f>
        <v>TEMP ETD DUE TO MISSING PACKAGING, CERTIFICATE, CB, LABEL, HAND TAG, SAMPLE VALIDATION</v>
      </c>
      <c r="R43" s="328"/>
      <c r="S43" s="95"/>
      <c r="T43" s="95"/>
      <c r="U43" s="3"/>
      <c r="V43" s="46"/>
      <c r="AA43" s="345">
        <f>GETPIVOTDATA("Sum of L3 + L4 adjust",'KPI Graph Pivot Table'!$AI$15)</f>
        <v>44</v>
      </c>
      <c r="AB43" s="346"/>
      <c r="AC43" s="3"/>
      <c r="AD43" s="79"/>
      <c r="AE43" s="79"/>
      <c r="AF43" s="321" t="str">
        <f>"2. "&amp;'KPI Graph Pivot Table'!Y17</f>
        <v>2. C-ETD-TEMP</v>
      </c>
      <c r="AG43" s="322"/>
      <c r="AH43" s="402" t="str">
        <f>IF(ISNA(VLOOKUP(MID(AF43,4,90),commentcode,2,0)),"",VLOOKUP(MID(AF43,4,90),commentcode,2,0))</f>
        <v>TEMP ETD DUE TO MISSING PACKAGING, CERTIFICATE, CB, LABEL, HAND TAG, SAMPLE VALIDATION</v>
      </c>
      <c r="AI43" s="403"/>
      <c r="AJ43" s="89"/>
      <c r="AN43" s="1" t="s">
        <v>40</v>
      </c>
    </row>
    <row r="44" spans="1:40" ht="29.25" customHeight="1">
      <c r="A44" s="333"/>
      <c r="B44" s="90"/>
      <c r="C44" s="3"/>
      <c r="E44" s="3"/>
      <c r="J44" s="329">
        <f>J43/Q7</f>
        <v>2.5664527956003668E-2</v>
      </c>
      <c r="K44" s="330"/>
      <c r="L44" s="3"/>
      <c r="M44" s="5"/>
      <c r="N44" s="5"/>
      <c r="O44" s="323"/>
      <c r="P44" s="324"/>
      <c r="Q44" s="327"/>
      <c r="R44" s="328"/>
      <c r="S44" s="5"/>
      <c r="T44" s="5"/>
      <c r="U44" s="3"/>
      <c r="V44" s="3"/>
      <c r="AA44" s="329">
        <f>AA43/Q7</f>
        <v>1.3443324167430493E-2</v>
      </c>
      <c r="AB44" s="330"/>
      <c r="AC44" s="3"/>
      <c r="AF44" s="323"/>
      <c r="AG44" s="324"/>
      <c r="AH44" s="402"/>
      <c r="AI44" s="403"/>
      <c r="AJ44" s="89"/>
      <c r="AN44" s="1" t="s">
        <v>41</v>
      </c>
    </row>
    <row r="45" spans="1:40" ht="15" customHeight="1" thickBot="1">
      <c r="A45" s="152"/>
      <c r="B45" s="90"/>
      <c r="C45" s="3"/>
      <c r="E45" s="3"/>
      <c r="J45" s="331">
        <f>J43/H25</f>
        <v>0.15053763440860216</v>
      </c>
      <c r="K45" s="332"/>
      <c r="L45" s="3"/>
      <c r="O45" s="338">
        <f>'KPI Graph Pivot Table'!V17</f>
        <v>3</v>
      </c>
      <c r="P45" s="339"/>
      <c r="Q45" s="327"/>
      <c r="R45" s="328"/>
      <c r="S45" s="5"/>
      <c r="T45" s="5"/>
      <c r="U45" s="3"/>
      <c r="V45" s="3"/>
      <c r="AA45" s="331">
        <f>AA43/Y25</f>
        <v>8.74751491053678E-2</v>
      </c>
      <c r="AB45" s="332"/>
      <c r="AC45" s="3"/>
      <c r="AF45" s="338">
        <f>'KPI Graph Pivot Table'!Z17</f>
        <v>1</v>
      </c>
      <c r="AG45" s="339"/>
      <c r="AH45" s="402"/>
      <c r="AI45" s="403"/>
      <c r="AJ45" s="89"/>
      <c r="AN45" s="1" t="s">
        <v>122</v>
      </c>
    </row>
    <row r="46" spans="1:40" ht="18" customHeight="1" thickBot="1">
      <c r="A46" s="334" t="s">
        <v>253</v>
      </c>
      <c r="B46" s="90"/>
      <c r="C46" s="3"/>
      <c r="E46" s="3"/>
      <c r="L46" s="3"/>
      <c r="O46" s="329">
        <f>O45/Q7</f>
        <v>9.1659028414298811E-4</v>
      </c>
      <c r="P46" s="330"/>
      <c r="Q46" s="327"/>
      <c r="R46" s="328"/>
      <c r="S46" s="5"/>
      <c r="T46" s="5"/>
      <c r="U46" s="3"/>
      <c r="V46" s="3"/>
      <c r="AC46" s="3"/>
      <c r="AF46" s="329">
        <f>AF45/Q7</f>
        <v>3.0553009471432935E-4</v>
      </c>
      <c r="AG46" s="330"/>
      <c r="AH46" s="402"/>
      <c r="AI46" s="403"/>
      <c r="AJ46" s="89"/>
      <c r="AN46" s="1" t="s">
        <v>132</v>
      </c>
    </row>
    <row r="47" spans="1:40" ht="18.75" customHeight="1" thickBot="1">
      <c r="A47" s="335"/>
      <c r="B47" s="90"/>
      <c r="C47" s="3"/>
      <c r="E47" s="3"/>
      <c r="F47" s="360" t="s">
        <v>246</v>
      </c>
      <c r="G47" s="361"/>
      <c r="I47" s="77"/>
      <c r="L47" s="3"/>
      <c r="O47" s="341">
        <f>O45/O17</f>
        <v>8.6206896551724137E-3</v>
      </c>
      <c r="P47" s="342"/>
      <c r="Q47" s="327"/>
      <c r="R47" s="328"/>
      <c r="S47" s="5"/>
      <c r="T47" s="5"/>
      <c r="U47" s="3"/>
      <c r="V47" s="3"/>
      <c r="W47" s="408" t="s">
        <v>246</v>
      </c>
      <c r="X47" s="409"/>
      <c r="AC47" s="3"/>
      <c r="AF47" s="341">
        <f>AF45/AF17</f>
        <v>-4.1666666666666664E-2</v>
      </c>
      <c r="AG47" s="342"/>
      <c r="AH47" s="402"/>
      <c r="AI47" s="403"/>
      <c r="AJ47" s="89"/>
      <c r="AN47" s="1" t="s">
        <v>42</v>
      </c>
    </row>
    <row r="48" spans="1:40" ht="30.75" customHeight="1">
      <c r="A48" s="333" t="str">
        <f>ROUND((F18+W18)*100,0)-ROUND((C26+U26)*100,0)-ROUND((J34+AA34+F39+W39+J44+AA44)*1000,0)/10 &amp;"%    ( " &amp; 100- ROUND((J33+AA33+F38+W38+J43+AA43)/(H25+Y25)*1000,0)/10 &amp; "% of gap )"</f>
        <v>-4.3%    ( -12.1% of gap )</v>
      </c>
      <c r="B48" s="90"/>
      <c r="C48" s="3"/>
      <c r="E48" s="3"/>
      <c r="F48" s="325" t="str">
        <f>"1. " &amp; 'KPI Graph Pivot Table'!M16</f>
        <v>1. BU-ETD-TEMP</v>
      </c>
      <c r="G48" s="326"/>
      <c r="H48" s="327" t="str">
        <f>IF(ISNA(VLOOKUP(MID(F48,4,90),commentcode,2,0)),"",VLOOKUP(MID(F48,4,90),commentcode,2,0))</f>
        <v xml:space="preserve">TEMP ETD DUE TO MISSING TECH DATA, PRODUCT FILE, MTL CONF, SAMPLE VALIDATION, PRODUCTION NOT RELEASED </v>
      </c>
      <c r="I48" s="328"/>
      <c r="L48" s="3"/>
      <c r="O48" s="321" t="str">
        <f>"3. "&amp;'KPI Graph Pivot Table'!U18</f>
        <v>3. CONS-SHIPT</v>
      </c>
      <c r="P48" s="322"/>
      <c r="Q48" s="328" t="str">
        <f>IF(ISNA(VLOOKUP(MID(O48,4,90),commentcode,2,0)),"",VLOOKUP(MID(O48,4,90),commentcode,2,0))</f>
        <v>CONSOLIDATION SHIPMENT ARRANGED BY SEB ASIA</v>
      </c>
      <c r="R48" s="328"/>
      <c r="S48" s="5"/>
      <c r="T48" s="5"/>
      <c r="U48" s="3"/>
      <c r="V48" s="3"/>
      <c r="W48" s="325" t="str">
        <f>"1. "&amp;'KPI Graph Pivot Table'!Q16</f>
        <v>1. BU-ETD-TEMP</v>
      </c>
      <c r="X48" s="326"/>
      <c r="Y48" s="327" t="str">
        <f>IF(ISNA(VLOOKUP(MID(W48,4,90),commentcode,2,0)),"",VLOOKUP(MID(W48,4,90),commentcode,2,0))</f>
        <v xml:space="preserve">TEMP ETD DUE TO MISSING TECH DATA, PRODUCT FILE, MTL CONF, SAMPLE VALIDATION, PRODUCTION NOT RELEASED </v>
      </c>
      <c r="Z48" s="328"/>
      <c r="AA48" s="3"/>
      <c r="AB48" s="3"/>
      <c r="AC48" s="3"/>
      <c r="AF48" s="321" t="str">
        <f>"3. "&amp;'KPI Graph Pivot Table'!Y18</f>
        <v>3. CONS-SHIPT</v>
      </c>
      <c r="AG48" s="322"/>
      <c r="AH48" s="328" t="str">
        <f>IF(ISNA(VLOOKUP(MID(AF48,4,90),commentcode,2,0)),"",VLOOKUP(MID(AF48,4,90),commentcode,2,0))</f>
        <v>CONSOLIDATION SHIPMENT ARRANGED BY SEB ASIA</v>
      </c>
      <c r="AI48" s="401"/>
      <c r="AJ48" s="89"/>
      <c r="AN48" s="1" t="s">
        <v>43</v>
      </c>
    </row>
    <row r="49" spans="1:40" ht="15" customHeight="1">
      <c r="A49" s="333"/>
      <c r="B49" s="90"/>
      <c r="C49" s="3"/>
      <c r="E49" s="3"/>
      <c r="F49" s="338">
        <f xml:space="preserve"> 'KPI Graph Pivot Table'!N16</f>
        <v>5</v>
      </c>
      <c r="G49" s="339"/>
      <c r="H49" s="327"/>
      <c r="I49" s="328"/>
      <c r="L49" s="3"/>
      <c r="O49" s="338">
        <f>'KPI Graph Pivot Table'!V18</f>
        <v>19</v>
      </c>
      <c r="P49" s="339"/>
      <c r="Q49" s="328"/>
      <c r="R49" s="328"/>
      <c r="S49" s="5"/>
      <c r="T49" s="5"/>
      <c r="U49" s="3"/>
      <c r="V49" s="3"/>
      <c r="W49" s="338">
        <f>'KPI Graph Pivot Table'!R16</f>
        <v>9</v>
      </c>
      <c r="X49" s="339"/>
      <c r="Y49" s="327"/>
      <c r="Z49" s="328"/>
      <c r="AA49" s="3"/>
      <c r="AB49" s="3"/>
      <c r="AC49" s="3"/>
      <c r="AF49" s="338">
        <f>'KPI Graph Pivot Table'!Z18</f>
        <v>12</v>
      </c>
      <c r="AG49" s="339"/>
      <c r="AH49" s="328"/>
      <c r="AI49" s="401"/>
      <c r="AJ49" s="89"/>
      <c r="AN49" s="1" t="s">
        <v>44</v>
      </c>
    </row>
    <row r="50" spans="1:40" ht="15" customHeight="1">
      <c r="A50" s="154"/>
      <c r="B50" s="90"/>
      <c r="C50" s="3"/>
      <c r="E50" s="3"/>
      <c r="F50" s="329">
        <f>F49/Q7</f>
        <v>1.5276504735716467E-3</v>
      </c>
      <c r="G50" s="330"/>
      <c r="H50" s="327"/>
      <c r="I50" s="328"/>
      <c r="J50" s="3"/>
      <c r="L50" s="3"/>
      <c r="O50" s="329">
        <f>O49/Q7</f>
        <v>5.8050717995722576E-3</v>
      </c>
      <c r="P50" s="330"/>
      <c r="Q50" s="328"/>
      <c r="R50" s="328"/>
      <c r="S50" s="5"/>
      <c r="T50" s="5"/>
      <c r="U50" s="3"/>
      <c r="V50" s="3"/>
      <c r="W50" s="329">
        <f>W49/Q7</f>
        <v>2.7497708524289641E-3</v>
      </c>
      <c r="X50" s="330"/>
      <c r="Y50" s="327"/>
      <c r="Z50" s="328"/>
      <c r="AA50" s="3"/>
      <c r="AB50" s="3"/>
      <c r="AC50" s="3"/>
      <c r="AF50" s="329">
        <f>AF49/Q7</f>
        <v>3.6663611365719525E-3</v>
      </c>
      <c r="AG50" s="330"/>
      <c r="AH50" s="328"/>
      <c r="AI50" s="401"/>
      <c r="AJ50" s="89"/>
      <c r="AN50" s="1" t="s">
        <v>45</v>
      </c>
    </row>
    <row r="51" spans="1:40" ht="15.75" customHeight="1" thickBot="1">
      <c r="A51" s="151"/>
      <c r="B51" s="90"/>
      <c r="C51" s="3"/>
      <c r="E51" s="3"/>
      <c r="F51" s="331">
        <f>F49/H25</f>
        <v>8.9605734767025085E-3</v>
      </c>
      <c r="G51" s="332"/>
      <c r="H51" s="327"/>
      <c r="I51" s="328"/>
      <c r="J51" s="3"/>
      <c r="L51" s="3"/>
      <c r="O51" s="331">
        <f>O49/O17</f>
        <v>5.459770114942529E-2</v>
      </c>
      <c r="P51" s="332"/>
      <c r="Q51" s="328"/>
      <c r="R51" s="328"/>
      <c r="S51" s="5"/>
      <c r="T51" s="5"/>
      <c r="U51" s="3"/>
      <c r="V51" s="3"/>
      <c r="W51" s="341">
        <f>W49/H25</f>
        <v>1.6129032258064516E-2</v>
      </c>
      <c r="X51" s="342"/>
      <c r="Y51" s="327"/>
      <c r="Z51" s="328"/>
      <c r="AA51" s="3"/>
      <c r="AB51" s="3"/>
      <c r="AC51" s="3"/>
      <c r="AF51" s="331">
        <f>AF49/AF17</f>
        <v>-0.5</v>
      </c>
      <c r="AG51" s="332"/>
      <c r="AH51" s="328"/>
      <c r="AI51" s="401"/>
      <c r="AJ51" s="89"/>
      <c r="AN51" s="1" t="s">
        <v>46</v>
      </c>
    </row>
    <row r="52" spans="1:40" ht="30" customHeight="1">
      <c r="A52" s="151"/>
      <c r="B52" s="90"/>
      <c r="C52" s="3"/>
      <c r="E52" s="3"/>
      <c r="F52" s="325" t="str">
        <f>"2. " &amp;'KPI Graph Pivot Table'!M17</f>
        <v>2. C-ETD-TEMP</v>
      </c>
      <c r="G52" s="326"/>
      <c r="H52" s="327" t="str">
        <f>IF(ISNA(VLOOKUP(MID(F52,4,90),commentcode,2,0)),"",VLOOKUP(MID(F52,4,90),commentcode,2,0))</f>
        <v>TEMP ETD DUE TO MISSING PACKAGING, CERTIFICATE, CB, LABEL, HAND TAG, SAMPLE VALIDATION</v>
      </c>
      <c r="I52" s="328"/>
      <c r="L52" s="3"/>
      <c r="O52" s="321" t="str">
        <f>"4. "&amp;'KPI Graph Pivot Table'!U19</f>
        <v>4. C-POST-CONF</v>
      </c>
      <c r="P52" s="322"/>
      <c r="Q52" s="328" t="str">
        <f>IF(ISNA(VLOOKUP(MID(O52,4,90),commentcode,2,0)),"",VLOOKUP(MID(O52,4,90),commentcode,2,0))</f>
        <v>POSTPONEMENT REQUESTED BY MARKET AND CONFIRMED BY SUPPLIER</v>
      </c>
      <c r="R52" s="328"/>
      <c r="S52" s="5"/>
      <c r="T52" s="5"/>
      <c r="U52" s="3"/>
      <c r="V52" s="3"/>
      <c r="W52" s="406" t="str">
        <f>"2. "&amp;'KPI Graph Pivot Table'!Q17</f>
        <v>2. C-ETD-TEMP</v>
      </c>
      <c r="X52" s="407"/>
      <c r="Y52" s="327" t="str">
        <f>IF(ISNA(VLOOKUP(MID(W52,4,90),commentcode,2,0)),"",VLOOKUP(MID(W52,4,90),commentcode,2,0))</f>
        <v>TEMP ETD DUE TO MISSING PACKAGING, CERTIFICATE, CB, LABEL, HAND TAG, SAMPLE VALIDATION</v>
      </c>
      <c r="Z52" s="328"/>
      <c r="AA52" s="3"/>
      <c r="AB52" s="3"/>
      <c r="AC52" s="3"/>
      <c r="AF52" s="321" t="str">
        <f>"4. "&amp;'KPI Graph Pivot Table'!Y19</f>
        <v>4. C-POST-CONF</v>
      </c>
      <c r="AG52" s="322"/>
      <c r="AH52" s="328" t="str">
        <f>IF(ISNA(VLOOKUP(MID(AF52,4,90),commentcode,2,0)),"",VLOOKUP(MID(AF52,4,90),commentcode,2,0))</f>
        <v>POSTPONEMENT REQUESTED BY MARKET AND CONFIRMED BY SUPPLIER</v>
      </c>
      <c r="AI52" s="401"/>
      <c r="AJ52" s="89"/>
      <c r="AN52" s="1" t="s">
        <v>47</v>
      </c>
    </row>
    <row r="53" spans="1:40" ht="15" customHeight="1">
      <c r="A53" s="151"/>
      <c r="B53" s="90"/>
      <c r="C53" s="3"/>
      <c r="D53" s="3"/>
      <c r="E53" s="3"/>
      <c r="F53" s="338">
        <f>'KPI Graph Pivot Table'!N17</f>
        <v>17</v>
      </c>
      <c r="G53" s="339"/>
      <c r="H53" s="327"/>
      <c r="I53" s="328"/>
      <c r="J53" s="3"/>
      <c r="L53" s="3"/>
      <c r="O53" s="338">
        <f>'KPI Graph Pivot Table'!V19</f>
        <v>6</v>
      </c>
      <c r="P53" s="339"/>
      <c r="Q53" s="328"/>
      <c r="R53" s="328"/>
      <c r="S53" s="5"/>
      <c r="T53" s="5"/>
      <c r="U53" s="3"/>
      <c r="V53" s="3"/>
      <c r="W53" s="338">
        <f>'KPI Graph Pivot Table'!R17</f>
        <v>6</v>
      </c>
      <c r="X53" s="339"/>
      <c r="Y53" s="327"/>
      <c r="Z53" s="328"/>
      <c r="AA53" s="3"/>
      <c r="AB53" s="3"/>
      <c r="AC53" s="3"/>
      <c r="AF53" s="338">
        <f>'KPI Graph Pivot Table'!Z19</f>
        <v>2</v>
      </c>
      <c r="AG53" s="339"/>
      <c r="AH53" s="328"/>
      <c r="AI53" s="401"/>
      <c r="AJ53" s="89"/>
      <c r="AN53" s="1" t="s">
        <v>48</v>
      </c>
    </row>
    <row r="54" spans="1:40" ht="15" customHeight="1">
      <c r="A54" s="151"/>
      <c r="B54" s="90"/>
      <c r="C54" s="3"/>
      <c r="D54" s="3"/>
      <c r="E54" s="3"/>
      <c r="F54" s="329">
        <f>F53/Q7</f>
        <v>5.194011610143599E-3</v>
      </c>
      <c r="G54" s="330"/>
      <c r="H54" s="327"/>
      <c r="I54" s="328"/>
      <c r="J54" s="3"/>
      <c r="L54" s="3"/>
      <c r="O54" s="329">
        <f>O53/Q7</f>
        <v>1.8331805682859762E-3</v>
      </c>
      <c r="P54" s="330"/>
      <c r="Q54" s="328"/>
      <c r="R54" s="328"/>
      <c r="S54" s="5"/>
      <c r="T54" s="5"/>
      <c r="U54" s="3"/>
      <c r="V54" s="3"/>
      <c r="W54" s="329">
        <f>W53/Q7</f>
        <v>1.8331805682859762E-3</v>
      </c>
      <c r="X54" s="330"/>
      <c r="Y54" s="327"/>
      <c r="Z54" s="328"/>
      <c r="AA54" s="3"/>
      <c r="AB54" s="3"/>
      <c r="AC54" s="3"/>
      <c r="AF54" s="329">
        <f>AF53/Q7</f>
        <v>6.1106018942865871E-4</v>
      </c>
      <c r="AG54" s="330"/>
      <c r="AH54" s="328"/>
      <c r="AI54" s="401"/>
      <c r="AJ54" s="89"/>
      <c r="AN54" s="1" t="s">
        <v>49</v>
      </c>
    </row>
    <row r="55" spans="1:40" ht="15.75" customHeight="1" thickBot="1">
      <c r="A55" s="151"/>
      <c r="B55" s="90"/>
      <c r="C55" s="3"/>
      <c r="D55" s="3"/>
      <c r="E55" s="3"/>
      <c r="F55" s="331">
        <f>F53/H25</f>
        <v>3.046594982078853E-2</v>
      </c>
      <c r="G55" s="332"/>
      <c r="H55" s="327"/>
      <c r="I55" s="328"/>
      <c r="J55" s="3"/>
      <c r="L55" s="3"/>
      <c r="O55" s="331">
        <f>O53/O17</f>
        <v>1.7241379310344827E-2</v>
      </c>
      <c r="P55" s="332"/>
      <c r="Q55" s="328"/>
      <c r="R55" s="328"/>
      <c r="S55" s="5"/>
      <c r="T55" s="5"/>
      <c r="U55" s="3"/>
      <c r="V55" s="3"/>
      <c r="W55" s="341">
        <f>W53/Y25</f>
        <v>1.1928429423459244E-2</v>
      </c>
      <c r="X55" s="342"/>
      <c r="Y55" s="327"/>
      <c r="Z55" s="328"/>
      <c r="AA55" s="3"/>
      <c r="AB55" s="3"/>
      <c r="AC55" s="3"/>
      <c r="AF55" s="331">
        <f>AF53/AF17</f>
        <v>-8.3333333333333329E-2</v>
      </c>
      <c r="AG55" s="332"/>
      <c r="AH55" s="328"/>
      <c r="AI55" s="401"/>
      <c r="AJ55" s="89"/>
      <c r="AN55" s="1" t="s">
        <v>50</v>
      </c>
    </row>
    <row r="56" spans="1:40" ht="39" customHeight="1">
      <c r="A56" s="151"/>
      <c r="B56" s="90"/>
      <c r="C56" s="3"/>
      <c r="D56" s="3"/>
      <c r="E56" s="3"/>
      <c r="F56" s="325" t="str">
        <f>"3. " &amp; 'KPI Graph Pivot Table'!M18</f>
        <v>3. CONS-SHIPT</v>
      </c>
      <c r="G56" s="326"/>
      <c r="H56" s="327" t="str">
        <f>IF(ISNA(VLOOKUP(MID(F56,4,90),commentcode,2,0)),"",VLOOKUP(MID(F56,4,90),commentcode,2,0))</f>
        <v>CONSOLIDATION SHIPMENT ARRANGED BY SEB ASIA</v>
      </c>
      <c r="I56" s="328"/>
      <c r="L56" s="3"/>
      <c r="O56" s="321" t="str">
        <f>"5. "&amp;'KPI Graph Pivot Table'!U20</f>
        <v>5. FORWARDER-PROB</v>
      </c>
      <c r="P56" s="322"/>
      <c r="Q56" s="328" t="str">
        <f>IF(ISNA(VLOOKUP(MID(O56,4,90),commentcode,2,0)),"",VLOOKUP(MID(O56,4,90),commentcode,2,0))</f>
        <v>NO SPACE, CONTAINER OVERLOAD.</v>
      </c>
      <c r="R56" s="328"/>
      <c r="S56" s="5"/>
      <c r="T56" s="5"/>
      <c r="U56" s="3"/>
      <c r="V56" s="3"/>
      <c r="W56" s="406" t="str">
        <f>"3. "&amp;'KPI Graph Pivot Table'!Q18</f>
        <v>3. CONS-SHIPT</v>
      </c>
      <c r="X56" s="407"/>
      <c r="Y56" s="327" t="str">
        <f>IF(ISNA(VLOOKUP(MID(W56,4,90),commentcode,2,0)),"",VLOOKUP(MID(W56,4,90),commentcode,2,0))</f>
        <v>CONSOLIDATION SHIPMENT ARRANGED BY SEB ASIA</v>
      </c>
      <c r="Z56" s="328"/>
      <c r="AA56" s="3"/>
      <c r="AB56" s="3"/>
      <c r="AC56" s="3"/>
      <c r="AF56" s="321" t="str">
        <f>"5. "&amp;'KPI Graph Pivot Table'!Y20</f>
        <v>5. FORWARDER-PROB</v>
      </c>
      <c r="AG56" s="322"/>
      <c r="AH56" s="328" t="str">
        <f>IF(ISNA(VLOOKUP(MID(AF56,4,90),commentcode,2,0)),"",VLOOKUP(MID(AF56,4,90),commentcode,2,0))</f>
        <v>NO SPACE, CONTAINER OVERLOAD.</v>
      </c>
      <c r="AI56" s="401"/>
      <c r="AJ56" s="89"/>
      <c r="AN56" s="1" t="s">
        <v>51</v>
      </c>
    </row>
    <row r="57" spans="1:40" ht="15" customHeight="1">
      <c r="A57" s="151"/>
      <c r="C57" s="3"/>
      <c r="D57" s="3"/>
      <c r="E57" s="3"/>
      <c r="F57" s="338">
        <f xml:space="preserve"> 'KPI Graph Pivot Table'!N18</f>
        <v>84</v>
      </c>
      <c r="G57" s="339"/>
      <c r="H57" s="327"/>
      <c r="I57" s="328"/>
      <c r="J57" s="3"/>
      <c r="M57" s="3"/>
      <c r="O57" s="338">
        <f>'KPI Graph Pivot Table'!V20</f>
        <v>30</v>
      </c>
      <c r="P57" s="339"/>
      <c r="Q57" s="328"/>
      <c r="R57" s="328"/>
      <c r="S57" s="97"/>
      <c r="T57" s="3"/>
      <c r="V57" s="3"/>
      <c r="W57" s="338">
        <f>'KPI Graph Pivot Table'!R17</f>
        <v>6</v>
      </c>
      <c r="X57" s="339"/>
      <c r="Y57" s="327"/>
      <c r="Z57" s="328"/>
      <c r="AA57" s="3"/>
      <c r="AB57" s="3"/>
      <c r="AC57" s="3"/>
      <c r="AF57" s="338">
        <f>'KPI Graph Pivot Table'!Z20</f>
        <v>7</v>
      </c>
      <c r="AG57" s="339"/>
      <c r="AH57" s="328"/>
      <c r="AI57" s="401"/>
      <c r="AJ57" s="89"/>
      <c r="AN57" s="1" t="s">
        <v>52</v>
      </c>
    </row>
    <row r="58" spans="1:40">
      <c r="A58" s="88"/>
      <c r="C58" s="3"/>
      <c r="D58" s="3"/>
      <c r="E58" s="3"/>
      <c r="F58" s="329">
        <f>F57/Q7</f>
        <v>2.5664527956003668E-2</v>
      </c>
      <c r="G58" s="330"/>
      <c r="H58" s="327"/>
      <c r="I58" s="328"/>
      <c r="J58" s="3"/>
      <c r="K58" s="3"/>
      <c r="M58" s="3"/>
      <c r="O58" s="329">
        <f>O57/Q7</f>
        <v>9.1659028414298807E-3</v>
      </c>
      <c r="P58" s="330"/>
      <c r="Q58" s="328"/>
      <c r="R58" s="328"/>
      <c r="S58" s="3"/>
      <c r="T58"/>
      <c r="V58" s="3"/>
      <c r="W58" s="329">
        <f>W57/Q7</f>
        <v>1.8331805682859762E-3</v>
      </c>
      <c r="X58" s="330"/>
      <c r="Y58" s="327"/>
      <c r="Z58" s="328"/>
      <c r="AA58" s="3"/>
      <c r="AB58" s="3"/>
      <c r="AC58" s="3"/>
      <c r="AF58" s="329">
        <f>AF57/Q7</f>
        <v>2.1387106630003055E-3</v>
      </c>
      <c r="AG58" s="330"/>
      <c r="AH58" s="328"/>
      <c r="AI58" s="401"/>
      <c r="AJ58" s="89"/>
      <c r="AN58" s="1" t="s">
        <v>53</v>
      </c>
    </row>
    <row r="59" spans="1:40" ht="15.75" thickBot="1">
      <c r="A59" s="88"/>
      <c r="C59" s="3"/>
      <c r="D59" s="5"/>
      <c r="E59" s="98"/>
      <c r="F59" s="331">
        <f>F57/H25</f>
        <v>0.15053763440860216</v>
      </c>
      <c r="G59" s="332"/>
      <c r="H59" s="327"/>
      <c r="I59" s="328"/>
      <c r="J59" s="3"/>
      <c r="K59" s="3"/>
      <c r="L59" s="5"/>
      <c r="M59" s="3"/>
      <c r="N59" s="3"/>
      <c r="O59" s="331">
        <f>O57/O17</f>
        <v>8.6206896551724144E-2</v>
      </c>
      <c r="P59" s="332"/>
      <c r="Q59" s="328"/>
      <c r="R59" s="328"/>
      <c r="S59" s="3"/>
      <c r="T59" s="5"/>
      <c r="U59" s="3"/>
      <c r="V59" s="83"/>
      <c r="W59" s="331">
        <f>W57/Y25</f>
        <v>1.1928429423459244E-2</v>
      </c>
      <c r="X59" s="332"/>
      <c r="Y59" s="327"/>
      <c r="Z59" s="328"/>
      <c r="AA59" s="3"/>
      <c r="AB59" s="3"/>
      <c r="AC59" s="3"/>
      <c r="AD59" s="3"/>
      <c r="AE59" s="3"/>
      <c r="AF59" s="331">
        <f>AF57/AF17</f>
        <v>-0.29166666666666669</v>
      </c>
      <c r="AG59" s="332"/>
      <c r="AH59" s="328"/>
      <c r="AI59" s="401"/>
      <c r="AN59" s="1" t="s">
        <v>54</v>
      </c>
    </row>
    <row r="60" spans="1:40" ht="15" customHeight="1">
      <c r="A60" s="88"/>
      <c r="D60" s="5"/>
      <c r="E60" s="340"/>
      <c r="F60" s="340"/>
      <c r="G60" s="5"/>
      <c r="H60" s="5"/>
      <c r="I60" s="5"/>
      <c r="J60" s="5"/>
      <c r="K60" s="5"/>
      <c r="L60" s="5"/>
      <c r="N60" s="3"/>
      <c r="O60" s="59"/>
      <c r="P60" s="59"/>
      <c r="V60" s="3"/>
      <c r="W60" s="3"/>
      <c r="X60" s="3"/>
      <c r="Y60" s="60"/>
      <c r="Z60" s="60"/>
      <c r="AA60" s="3"/>
      <c r="AB60" s="3"/>
      <c r="AC60" s="3"/>
      <c r="AD60" s="3"/>
      <c r="AE60" s="3"/>
      <c r="AF60" s="60"/>
      <c r="AG60" s="60"/>
      <c r="AH60" s="93"/>
      <c r="AI60" s="141"/>
      <c r="AJ60" s="45"/>
      <c r="AN60" s="1" t="s">
        <v>133</v>
      </c>
    </row>
    <row r="61" spans="1:40">
      <c r="A61" s="146"/>
      <c r="B61" s="116"/>
      <c r="C61" s="147"/>
      <c r="D61" s="147"/>
      <c r="E61" s="147"/>
      <c r="F61" s="148">
        <f>F59+F55+F51+J45+F40+J35</f>
        <v>1.3405017921146953</v>
      </c>
      <c r="G61" s="117" t="s">
        <v>249</v>
      </c>
      <c r="H61" s="117"/>
      <c r="I61" s="147"/>
      <c r="J61" s="149"/>
      <c r="K61" s="149"/>
      <c r="L61" s="147"/>
      <c r="M61" s="147"/>
      <c r="N61" s="147"/>
      <c r="O61" s="148">
        <f>O59+O55+O51+O47+O42</f>
        <v>0.17241379310344826</v>
      </c>
      <c r="P61" s="117" t="s">
        <v>249</v>
      </c>
      <c r="Q61" s="117"/>
      <c r="R61" s="147"/>
      <c r="S61" s="149"/>
      <c r="T61" s="147"/>
      <c r="U61" s="117"/>
      <c r="V61" s="117"/>
      <c r="W61" s="148">
        <f>W59+W55+W51+AA45+W40+AA35</f>
        <v>1.1274610402103509</v>
      </c>
      <c r="X61" s="117" t="s">
        <v>249</v>
      </c>
      <c r="Y61" s="117"/>
      <c r="Z61" s="147"/>
      <c r="AA61" s="149"/>
      <c r="AB61" s="117"/>
      <c r="AC61" s="117"/>
      <c r="AD61" s="147"/>
      <c r="AE61" s="147"/>
      <c r="AF61" s="148">
        <f>AF59+AF55+AF51+AF47+AF42</f>
        <v>-1.0416666666666665</v>
      </c>
      <c r="AG61" s="117" t="s">
        <v>249</v>
      </c>
      <c r="AH61" s="117"/>
      <c r="AI61" s="150"/>
      <c r="AN61" s="1" t="s">
        <v>55</v>
      </c>
    </row>
    <row r="62" spans="1:40">
      <c r="C62" s="5"/>
      <c r="D62" s="5"/>
      <c r="E62" s="5"/>
      <c r="F62" s="5"/>
      <c r="G62" s="45"/>
      <c r="H62" s="45"/>
      <c r="I62" s="45"/>
      <c r="J62" s="45"/>
      <c r="K62" s="45"/>
      <c r="L62" s="45"/>
      <c r="M62" s="8"/>
      <c r="N62" s="8"/>
      <c r="O62" s="5"/>
      <c r="AD62" s="70"/>
      <c r="AE62" s="70"/>
      <c r="AF62" s="5"/>
      <c r="AN62" s="1" t="s">
        <v>56</v>
      </c>
    </row>
    <row r="63" spans="1:40">
      <c r="C63" s="5"/>
      <c r="D63" s="5"/>
      <c r="E63" s="5"/>
      <c r="F63" s="5"/>
      <c r="G63" s="5"/>
      <c r="H63" s="78"/>
      <c r="I63" s="5"/>
      <c r="J63" s="5"/>
      <c r="K63" s="5"/>
      <c r="L63" s="78"/>
      <c r="M63" s="86"/>
      <c r="N63" s="7"/>
      <c r="O63" s="5"/>
      <c r="AD63" s="72"/>
      <c r="AE63" s="72"/>
      <c r="AF63" s="5"/>
      <c r="AN63" s="1" t="s">
        <v>57</v>
      </c>
    </row>
    <row r="64" spans="1:40" ht="15" customHeight="1">
      <c r="C64" s="5"/>
      <c r="D64" s="5"/>
      <c r="E64" s="5"/>
      <c r="F64" s="5"/>
      <c r="G64" s="5"/>
      <c r="H64" s="20"/>
      <c r="I64" s="5"/>
      <c r="J64" s="5"/>
      <c r="K64" s="5"/>
      <c r="L64" s="20"/>
      <c r="M64" s="82"/>
      <c r="N64" s="82"/>
      <c r="O64" s="82"/>
      <c r="P64" s="82"/>
      <c r="Q64" s="82"/>
      <c r="AD64" s="73"/>
      <c r="AE64" s="73"/>
      <c r="AF64" s="5"/>
      <c r="AN64" s="1" t="s">
        <v>58</v>
      </c>
    </row>
    <row r="65" spans="3:40" ht="15" customHeight="1">
      <c r="C65" s="5"/>
      <c r="D65" s="5"/>
      <c r="E65" s="5"/>
      <c r="F65" s="5"/>
      <c r="G65" s="5"/>
      <c r="H65" s="79"/>
      <c r="I65" s="5"/>
      <c r="J65" s="5"/>
      <c r="K65" s="5"/>
      <c r="L65" s="79"/>
      <c r="M65" s="82"/>
      <c r="N65" s="82"/>
      <c r="O65" s="82"/>
      <c r="P65" s="82"/>
      <c r="Q65" s="82"/>
      <c r="AN65" s="1" t="s">
        <v>238</v>
      </c>
    </row>
    <row r="66" spans="3:40" ht="15" customHeight="1">
      <c r="C66" s="5"/>
      <c r="D66" s="5"/>
      <c r="E66" s="5"/>
      <c r="F66" s="5"/>
      <c r="G66" s="5"/>
      <c r="H66" s="79"/>
      <c r="I66" s="5"/>
      <c r="J66" s="5"/>
      <c r="K66" s="5"/>
      <c r="L66" s="79"/>
      <c r="M66" s="82"/>
      <c r="N66" s="82"/>
      <c r="O66" s="82"/>
      <c r="P66" s="82"/>
      <c r="Q66" s="82"/>
      <c r="AN66" s="1" t="s">
        <v>59</v>
      </c>
    </row>
    <row r="67" spans="3:40" ht="15" customHeight="1">
      <c r="C67" s="5"/>
      <c r="D67" s="5"/>
      <c r="E67" s="5"/>
      <c r="F67" s="5"/>
      <c r="G67" s="5"/>
      <c r="H67" s="80"/>
      <c r="I67" s="5"/>
      <c r="J67" s="80"/>
      <c r="K67" s="5"/>
      <c r="L67" s="80"/>
      <c r="M67" s="82"/>
      <c r="N67" s="82"/>
      <c r="O67" s="82"/>
      <c r="P67" s="82"/>
      <c r="Q67" s="82"/>
      <c r="U67" s="5"/>
      <c r="V67" s="5"/>
      <c r="W67" s="5"/>
      <c r="X67" s="5"/>
      <c r="Y67" s="5"/>
      <c r="AN67" s="1" t="s">
        <v>60</v>
      </c>
    </row>
    <row r="68" spans="3:40" ht="15" customHeight="1">
      <c r="C68" s="5"/>
      <c r="D68" s="5"/>
      <c r="E68" s="5"/>
      <c r="F68" s="5"/>
      <c r="G68" s="80"/>
      <c r="H68" s="80"/>
      <c r="I68" s="80"/>
      <c r="J68" s="80"/>
      <c r="K68" s="80"/>
      <c r="L68" s="80"/>
      <c r="M68" s="82"/>
      <c r="N68" s="82"/>
      <c r="O68" s="82"/>
      <c r="P68" s="82"/>
      <c r="Q68" s="82"/>
      <c r="U68" s="5"/>
      <c r="V68" s="5"/>
      <c r="W68" s="5"/>
      <c r="X68" s="5"/>
      <c r="Y68" s="5"/>
      <c r="AN68" s="1" t="s">
        <v>61</v>
      </c>
    </row>
    <row r="69" spans="3:40">
      <c r="D69" s="5"/>
      <c r="E69" s="5"/>
      <c r="F69" s="5"/>
      <c r="G69" s="77"/>
      <c r="H69" s="77"/>
      <c r="I69" s="77"/>
      <c r="J69" s="77"/>
      <c r="K69" s="77"/>
      <c r="L69" s="80"/>
      <c r="M69" s="5"/>
      <c r="N69" s="5"/>
      <c r="O69" s="5"/>
      <c r="U69" s="5"/>
      <c r="V69" s="5"/>
      <c r="W69" s="5"/>
      <c r="X69" s="5"/>
      <c r="Y69" s="5"/>
      <c r="AN69" s="1" t="s">
        <v>62</v>
      </c>
    </row>
    <row r="70" spans="3:40">
      <c r="D70" s="5"/>
      <c r="E70" s="5"/>
      <c r="F70" s="5"/>
      <c r="G70" s="77"/>
      <c r="H70" s="77"/>
      <c r="I70" s="77"/>
      <c r="J70" s="77"/>
      <c r="K70" s="77"/>
      <c r="L70" s="77"/>
      <c r="U70" s="5"/>
      <c r="V70" s="5"/>
      <c r="W70" s="340"/>
      <c r="X70" s="340"/>
      <c r="Y70" s="5"/>
      <c r="AN70" s="1" t="s">
        <v>63</v>
      </c>
    </row>
    <row r="71" spans="3:40">
      <c r="D71" s="5"/>
      <c r="E71" s="5"/>
      <c r="F71" s="5"/>
      <c r="G71" s="5"/>
      <c r="H71" s="5"/>
      <c r="I71" s="5"/>
      <c r="J71" s="45"/>
      <c r="K71" s="45"/>
      <c r="L71" s="5"/>
      <c r="U71" s="5"/>
      <c r="V71" s="5"/>
      <c r="W71" s="72"/>
      <c r="X71" s="72"/>
      <c r="Y71" s="5"/>
      <c r="AN71" s="1" t="s">
        <v>64</v>
      </c>
    </row>
    <row r="72" spans="3:40">
      <c r="D72" s="5"/>
      <c r="E72" s="5"/>
      <c r="F72" s="5"/>
      <c r="G72" s="5"/>
      <c r="H72" s="5"/>
      <c r="I72" s="5"/>
      <c r="J72" s="78"/>
      <c r="K72" s="78"/>
      <c r="L72" s="5"/>
      <c r="U72" s="5"/>
      <c r="V72" s="5"/>
      <c r="W72" s="73"/>
      <c r="X72" s="73"/>
      <c r="Y72" s="5"/>
      <c r="AN72" s="1" t="s">
        <v>65</v>
      </c>
    </row>
    <row r="73" spans="3:40">
      <c r="D73" s="5"/>
      <c r="E73" s="5"/>
      <c r="F73" s="5"/>
      <c r="G73" s="5"/>
      <c r="H73" s="5"/>
      <c r="I73" s="5"/>
      <c r="J73" s="20"/>
      <c r="K73" s="20"/>
      <c r="L73" s="5"/>
      <c r="U73" s="5"/>
      <c r="V73" s="5"/>
      <c r="W73" s="73"/>
      <c r="X73" s="73"/>
      <c r="Y73" s="5"/>
      <c r="AN73" s="1" t="s">
        <v>66</v>
      </c>
    </row>
    <row r="74" spans="3:40">
      <c r="D74" s="5"/>
      <c r="E74" s="5"/>
      <c r="F74" s="5"/>
      <c r="G74" s="5"/>
      <c r="H74" s="5"/>
      <c r="I74" s="5"/>
      <c r="J74" s="79"/>
      <c r="K74" s="79"/>
      <c r="L74" s="5"/>
      <c r="U74" s="5"/>
      <c r="V74" s="5"/>
      <c r="W74" s="5"/>
      <c r="X74" s="5"/>
      <c r="Y74" s="5"/>
      <c r="AN74" s="1" t="s">
        <v>67</v>
      </c>
    </row>
    <row r="75" spans="3:40">
      <c r="D75" s="5"/>
      <c r="E75" s="5"/>
      <c r="F75" s="5"/>
      <c r="G75" s="5"/>
      <c r="H75" s="5"/>
      <c r="I75" s="5"/>
      <c r="J75" s="79"/>
      <c r="K75" s="79"/>
      <c r="L75" s="5"/>
      <c r="U75" s="5"/>
      <c r="V75" s="5"/>
      <c r="W75" s="5"/>
      <c r="X75" s="5"/>
      <c r="Y75" s="5"/>
      <c r="AN75" s="1" t="s">
        <v>134</v>
      </c>
    </row>
    <row r="76" spans="3:40">
      <c r="D76" s="5"/>
      <c r="E76" s="5"/>
      <c r="F76" s="5"/>
      <c r="G76" s="5"/>
      <c r="H76" s="5"/>
      <c r="I76" s="5"/>
      <c r="J76" s="5"/>
      <c r="K76" s="5"/>
      <c r="L76" s="5"/>
      <c r="U76" s="5"/>
      <c r="V76" s="5"/>
      <c r="W76" s="5"/>
      <c r="X76" s="5"/>
      <c r="Y76" s="5"/>
      <c r="AN76" s="1" t="s">
        <v>255</v>
      </c>
    </row>
    <row r="77" spans="3:40">
      <c r="D77" s="5"/>
      <c r="E77" s="5"/>
      <c r="F77" s="5"/>
      <c r="G77" s="5"/>
      <c r="H77" s="5"/>
      <c r="I77" s="5"/>
      <c r="J77" s="5"/>
      <c r="K77" s="5"/>
      <c r="L77" s="5"/>
      <c r="U77" s="5"/>
      <c r="V77" s="5"/>
      <c r="W77" s="5"/>
      <c r="X77" s="5"/>
      <c r="Y77" s="5"/>
      <c r="AN77" s="1" t="s">
        <v>68</v>
      </c>
    </row>
    <row r="78" spans="3:40">
      <c r="D78" s="5"/>
      <c r="E78" s="5"/>
      <c r="F78" s="5"/>
      <c r="G78" s="5"/>
      <c r="H78" s="5"/>
      <c r="I78" s="5"/>
      <c r="J78" s="5"/>
      <c r="K78" s="5"/>
      <c r="L78" s="5"/>
      <c r="U78" s="5"/>
      <c r="V78" s="5"/>
      <c r="W78" s="5"/>
      <c r="X78" s="5"/>
      <c r="Y78" s="5"/>
      <c r="AN78" s="1" t="s">
        <v>69</v>
      </c>
    </row>
    <row r="79" spans="3:40">
      <c r="D79" s="5"/>
      <c r="E79" s="5"/>
      <c r="F79" s="5"/>
      <c r="G79" s="5"/>
      <c r="H79" s="5"/>
      <c r="I79" s="5"/>
      <c r="J79" s="5"/>
      <c r="K79" s="5"/>
      <c r="L79" s="5"/>
      <c r="AN79" s="1" t="s">
        <v>70</v>
      </c>
    </row>
    <row r="80" spans="3:40">
      <c r="D80" s="5"/>
      <c r="E80" s="5"/>
      <c r="F80" s="5"/>
      <c r="G80" s="5"/>
      <c r="H80" s="5"/>
      <c r="I80" s="5"/>
      <c r="J80" s="5"/>
      <c r="K80" s="5"/>
      <c r="L80" s="5"/>
      <c r="AN80" s="1" t="s">
        <v>71</v>
      </c>
    </row>
    <row r="81" spans="40:40">
      <c r="AN81" s="1" t="s">
        <v>72</v>
      </c>
    </row>
    <row r="82" spans="40:40">
      <c r="AN82" s="1" t="s">
        <v>73</v>
      </c>
    </row>
    <row r="83" spans="40:40">
      <c r="AN83" s="1" t="s">
        <v>74</v>
      </c>
    </row>
    <row r="84" spans="40:40">
      <c r="AN84" s="1" t="s">
        <v>75</v>
      </c>
    </row>
    <row r="85" spans="40:40">
      <c r="AN85" s="1" t="s">
        <v>76</v>
      </c>
    </row>
    <row r="86" spans="40:40">
      <c r="AN86" s="1" t="s">
        <v>135</v>
      </c>
    </row>
    <row r="87" spans="40:40">
      <c r="AN87" s="1" t="s">
        <v>77</v>
      </c>
    </row>
    <row r="88" spans="40:40">
      <c r="AN88" s="1" t="s">
        <v>78</v>
      </c>
    </row>
    <row r="89" spans="40:40">
      <c r="AN89" s="1" t="s">
        <v>79</v>
      </c>
    </row>
    <row r="90" spans="40:40">
      <c r="AN90" s="1" t="s">
        <v>80</v>
      </c>
    </row>
    <row r="91" spans="40:40">
      <c r="AN91" s="1" t="s">
        <v>140</v>
      </c>
    </row>
    <row r="92" spans="40:40">
      <c r="AN92" s="1" t="s">
        <v>136</v>
      </c>
    </row>
    <row r="93" spans="40:40">
      <c r="AN93" s="1" t="s">
        <v>81</v>
      </c>
    </row>
    <row r="94" spans="40:40">
      <c r="AN94" s="1" t="s">
        <v>141</v>
      </c>
    </row>
    <row r="95" spans="40:40">
      <c r="AN95" s="1" t="s">
        <v>137</v>
      </c>
    </row>
    <row r="96" spans="40:40">
      <c r="AN96" s="1" t="s">
        <v>82</v>
      </c>
    </row>
    <row r="97" spans="40:40">
      <c r="AN97" s="1" t="s">
        <v>83</v>
      </c>
    </row>
    <row r="98" spans="40:40">
      <c r="AN98" s="1" t="s">
        <v>84</v>
      </c>
    </row>
    <row r="99" spans="40:40">
      <c r="AN99" s="1" t="s">
        <v>85</v>
      </c>
    </row>
    <row r="100" spans="40:40">
      <c r="AN100" s="1" t="s">
        <v>86</v>
      </c>
    </row>
    <row r="101" spans="40:40">
      <c r="AN101" s="1" t="s">
        <v>87</v>
      </c>
    </row>
    <row r="102" spans="40:40">
      <c r="AN102" s="1" t="s">
        <v>88</v>
      </c>
    </row>
    <row r="103" spans="40:40">
      <c r="AN103" s="1" t="s">
        <v>89</v>
      </c>
    </row>
    <row r="104" spans="40:40">
      <c r="AN104" s="1" t="s">
        <v>90</v>
      </c>
    </row>
    <row r="105" spans="40:40">
      <c r="AN105" s="1" t="s">
        <v>91</v>
      </c>
    </row>
  </sheetData>
  <dataConsolidate/>
  <mergeCells count="174">
    <mergeCell ref="Y48:Z51"/>
    <mergeCell ref="AH52:AI55"/>
    <mergeCell ref="Y26:Z26"/>
    <mergeCell ref="U27:V27"/>
    <mergeCell ref="Y27:Z27"/>
    <mergeCell ref="O19:P19"/>
    <mergeCell ref="F39:G39"/>
    <mergeCell ref="O16:P16"/>
    <mergeCell ref="O17:P17"/>
    <mergeCell ref="F19:G19"/>
    <mergeCell ref="F38:G38"/>
    <mergeCell ref="H24:I24"/>
    <mergeCell ref="O47:P47"/>
    <mergeCell ref="U26:V26"/>
    <mergeCell ref="AH38:AI42"/>
    <mergeCell ref="W16:X16"/>
    <mergeCell ref="W17:X17"/>
    <mergeCell ref="W19:X19"/>
    <mergeCell ref="F18:G18"/>
    <mergeCell ref="F16:G16"/>
    <mergeCell ref="F17:G17"/>
    <mergeCell ref="O18:P18"/>
    <mergeCell ref="U24:V24"/>
    <mergeCell ref="U25:V25"/>
    <mergeCell ref="H56:I59"/>
    <mergeCell ref="O58:P58"/>
    <mergeCell ref="O59:P59"/>
    <mergeCell ref="J43:K43"/>
    <mergeCell ref="Q43:R47"/>
    <mergeCell ref="Q38:R42"/>
    <mergeCell ref="W57:X57"/>
    <mergeCell ref="O38:P39"/>
    <mergeCell ref="Q52:R55"/>
    <mergeCell ref="Q56:R59"/>
    <mergeCell ref="O52:P52"/>
    <mergeCell ref="O53:P53"/>
    <mergeCell ref="O54:P54"/>
    <mergeCell ref="O55:P55"/>
    <mergeCell ref="O56:P56"/>
    <mergeCell ref="O51:P51"/>
    <mergeCell ref="O48:P48"/>
    <mergeCell ref="W50:X50"/>
    <mergeCell ref="W51:X51"/>
    <mergeCell ref="H48:I51"/>
    <mergeCell ref="W56:X56"/>
    <mergeCell ref="H52:I55"/>
    <mergeCell ref="W52:X52"/>
    <mergeCell ref="W47:X47"/>
    <mergeCell ref="AF56:AG56"/>
    <mergeCell ref="AH48:AI51"/>
    <mergeCell ref="AF45:AG45"/>
    <mergeCell ref="AF50:AG50"/>
    <mergeCell ref="AF51:AG51"/>
    <mergeCell ref="AA44:AB44"/>
    <mergeCell ref="AH56:AI59"/>
    <mergeCell ref="AF57:AG57"/>
    <mergeCell ref="AF58:AG58"/>
    <mergeCell ref="AF59:AG59"/>
    <mergeCell ref="AF43:AG44"/>
    <mergeCell ref="AH43:AI47"/>
    <mergeCell ref="A1:A4"/>
    <mergeCell ref="A15:A20"/>
    <mergeCell ref="A5:A8"/>
    <mergeCell ref="B4:E4"/>
    <mergeCell ref="B3:E3"/>
    <mergeCell ref="B2:E2"/>
    <mergeCell ref="B1:E1"/>
    <mergeCell ref="A9:A14"/>
    <mergeCell ref="Q6:V6"/>
    <mergeCell ref="Q7:V7"/>
    <mergeCell ref="H1:L1"/>
    <mergeCell ref="H3:J4"/>
    <mergeCell ref="K3:L4"/>
    <mergeCell ref="A21:A22"/>
    <mergeCell ref="A23:A26"/>
    <mergeCell ref="A27:A29"/>
    <mergeCell ref="C24:D24"/>
    <mergeCell ref="F47:G47"/>
    <mergeCell ref="J35:K35"/>
    <mergeCell ref="C25:D25"/>
    <mergeCell ref="C26:D26"/>
    <mergeCell ref="C27:D27"/>
    <mergeCell ref="J33:K33"/>
    <mergeCell ref="J31:K32"/>
    <mergeCell ref="J34:K34"/>
    <mergeCell ref="J41:K42"/>
    <mergeCell ref="A31:A32"/>
    <mergeCell ref="H25:I25"/>
    <mergeCell ref="H26:I26"/>
    <mergeCell ref="H27:I27"/>
    <mergeCell ref="W70:X70"/>
    <mergeCell ref="AF40:AG40"/>
    <mergeCell ref="AF41:AG41"/>
    <mergeCell ref="AF42:AG42"/>
    <mergeCell ref="J10:K10"/>
    <mergeCell ref="J11:K11"/>
    <mergeCell ref="J12:K12"/>
    <mergeCell ref="J13:K13"/>
    <mergeCell ref="W58:X58"/>
    <mergeCell ref="W59:X59"/>
    <mergeCell ref="AF48:AG48"/>
    <mergeCell ref="O40:P40"/>
    <mergeCell ref="O41:P41"/>
    <mergeCell ref="O45:P45"/>
    <mergeCell ref="O42:P42"/>
    <mergeCell ref="O46:P46"/>
    <mergeCell ref="W53:X53"/>
    <mergeCell ref="J44:K44"/>
    <mergeCell ref="AF16:AG16"/>
    <mergeCell ref="AF17:AG17"/>
    <mergeCell ref="O49:P49"/>
    <mergeCell ref="O50:P50"/>
    <mergeCell ref="O57:P57"/>
    <mergeCell ref="AF18:AG18"/>
    <mergeCell ref="AF19:AG19"/>
    <mergeCell ref="W55:X55"/>
    <mergeCell ref="AA10:AB10"/>
    <mergeCell ref="AA11:AB11"/>
    <mergeCell ref="AA12:AB12"/>
    <mergeCell ref="AA13:AB13"/>
    <mergeCell ref="Y24:Z24"/>
    <mergeCell ref="W48:X48"/>
    <mergeCell ref="AF46:AG46"/>
    <mergeCell ref="AF47:AG47"/>
    <mergeCell ref="AF52:AG52"/>
    <mergeCell ref="AF53:AG53"/>
    <mergeCell ref="AF54:AG54"/>
    <mergeCell ref="AF55:AG55"/>
    <mergeCell ref="Y52:Z55"/>
    <mergeCell ref="W54:X54"/>
    <mergeCell ref="AF49:AG49"/>
    <mergeCell ref="AF38:AG39"/>
    <mergeCell ref="AA43:AB43"/>
    <mergeCell ref="Y25:Z25"/>
    <mergeCell ref="W18:X18"/>
    <mergeCell ref="W38:X38"/>
    <mergeCell ref="AA31:AB32"/>
    <mergeCell ref="AA33:AB33"/>
    <mergeCell ref="E60:F60"/>
    <mergeCell ref="F57:G57"/>
    <mergeCell ref="F58:G58"/>
    <mergeCell ref="F59:G59"/>
    <mergeCell ref="F51:G51"/>
    <mergeCell ref="F50:G50"/>
    <mergeCell ref="F49:G49"/>
    <mergeCell ref="F53:G53"/>
    <mergeCell ref="F55:G55"/>
    <mergeCell ref="F54:G54"/>
    <mergeCell ref="F56:G56"/>
    <mergeCell ref="F52:G52"/>
    <mergeCell ref="O36:P37"/>
    <mergeCell ref="AF36:AG37"/>
    <mergeCell ref="AA41:AB42"/>
    <mergeCell ref="O43:P44"/>
    <mergeCell ref="F48:G48"/>
    <mergeCell ref="Y56:Z59"/>
    <mergeCell ref="AA34:AB34"/>
    <mergeCell ref="AA35:AB35"/>
    <mergeCell ref="A48:A49"/>
    <mergeCell ref="AA45:AB45"/>
    <mergeCell ref="W36:X37"/>
    <mergeCell ref="W40:X40"/>
    <mergeCell ref="F36:G37"/>
    <mergeCell ref="J45:K45"/>
    <mergeCell ref="A46:A47"/>
    <mergeCell ref="F40:G40"/>
    <mergeCell ref="A33:A34"/>
    <mergeCell ref="A36:A37"/>
    <mergeCell ref="A38:A39"/>
    <mergeCell ref="A41:A42"/>
    <mergeCell ref="A43:A44"/>
    <mergeCell ref="W39:X39"/>
    <mergeCell ref="W49:X49"/>
    <mergeCell ref="Q48:R51"/>
  </mergeCells>
  <conditionalFormatting sqref="V28 X20">
    <cfRule type="iconSet" priority="40">
      <iconSet iconSet="3Symbols">
        <cfvo type="percent" val="0"/>
        <cfvo type="percent" val="33"/>
        <cfvo type="percent" val="67"/>
      </iconSet>
    </cfRule>
  </conditionalFormatting>
  <conditionalFormatting sqref="AG20:AG21">
    <cfRule type="iconSet" priority="39">
      <iconSet iconSet="3Symbols">
        <cfvo type="percent" val="0"/>
        <cfvo type="percent" val="33"/>
        <cfvo type="percent" val="67"/>
      </iconSet>
    </cfRule>
  </conditionalFormatting>
  <conditionalFormatting sqref="AG20:AG21 V28 X20">
    <cfRule type="iconSet" priority="38">
      <iconSet iconSet="3Symbols">
        <cfvo type="percent" val="0"/>
        <cfvo type="percent" val="33"/>
        <cfvo type="percent" val="67"/>
      </iconSet>
    </cfRule>
  </conditionalFormatting>
  <conditionalFormatting sqref="Z28">
    <cfRule type="iconSet" priority="37">
      <iconSet iconSet="3Symbols">
        <cfvo type="percent" val="0"/>
        <cfvo type="percent" val="33"/>
        <cfvo type="percent" val="67"/>
      </iconSet>
    </cfRule>
  </conditionalFormatting>
  <conditionalFormatting sqref="I28">
    <cfRule type="iconSet" priority="32">
      <iconSet iconSet="3Symbols">
        <cfvo type="percent" val="0"/>
        <cfvo type="percent" val="33"/>
        <cfvo type="percent" val="67"/>
      </iconSet>
    </cfRule>
  </conditionalFormatting>
  <conditionalFormatting sqref="I28 D29"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P20:P22">
    <cfRule type="iconSet" priority="80">
      <iconSet iconSet="3Symbols">
        <cfvo type="percent" val="0"/>
        <cfvo type="percent" val="33"/>
        <cfvo type="percent" val="67"/>
      </iconSet>
    </cfRule>
  </conditionalFormatting>
  <conditionalFormatting sqref="G21"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D28:E28">
    <cfRule type="iconSet" priority="148">
      <iconSet iconSet="3Symbols">
        <cfvo type="percent" val="0"/>
        <cfvo type="percent" val="33"/>
        <cfvo type="percent" val="67"/>
      </iconSet>
    </cfRule>
  </conditionalFormatting>
  <conditionalFormatting sqref="AG20:AG21 P20:P22 X20 G20 D28:D29 I28 V28 Z28">
    <cfRule type="iconSet" priority="151">
      <iconSet iconSet="3Symbols">
        <cfvo type="percent" val="0"/>
        <cfvo type="percent" val="33"/>
        <cfvo type="percent" val="67"/>
      </iconSet>
    </cfRule>
  </conditionalFormatting>
  <conditionalFormatting sqref="P20:P22 G20:G21"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Z28 V28">
    <cfRule type="iconSet" priority="4">
      <iconSet iconSet="3Symbols">
        <cfvo type="percent" val="0"/>
        <cfvo type="percent" val="33"/>
        <cfvo type="percent" val="67"/>
      </iconSet>
    </cfRule>
  </conditionalFormatting>
  <conditionalFormatting sqref="D28:D29">
    <cfRule type="iconSet" priority="189">
      <iconSet iconSet="3Symbols">
        <cfvo type="percent" val="0"/>
        <cfvo type="percent" val="33"/>
        <cfvo type="percent" val="67"/>
      </iconSet>
    </cfRule>
  </conditionalFormatting>
  <conditionalFormatting sqref="P20:P22 Z28 V28 G20 D29:E29">
    <cfRule type="iconSet" priority="205">
      <iconSet iconSet="3Symbols">
        <cfvo type="percent" val="0"/>
        <cfvo type="percent" val="33"/>
        <cfvo type="percent" val="67"/>
      </iconSet>
    </cfRule>
  </conditionalFormatting>
  <conditionalFormatting sqref="D28:E29 G20 H20:I22">
    <cfRule type="iconSet" priority="210">
      <iconSet iconSet="3Symbols">
        <cfvo type="percent" val="0"/>
        <cfvo type="percent" val="33"/>
        <cfvo type="percent" val="67"/>
      </iconSet>
    </cfRule>
  </conditionalFormatting>
  <conditionalFormatting sqref="D28:E29 C29">
    <cfRule type="iconSet" priority="213">
      <iconSet iconSet="3Symbols">
        <cfvo type="percent" val="0"/>
        <cfvo type="percent" val="33"/>
        <cfvo type="percent" val="67"/>
      </iconSet>
    </cfRule>
  </conditionalFormatting>
  <conditionalFormatting sqref="P20:P22 D28:E29 G20">
    <cfRule type="iconSet" priority="214">
      <iconSet iconSet="3Symbols">
        <cfvo type="percent" val="0"/>
        <cfvo type="percent" val="33"/>
        <cfvo type="percent" val="67"/>
      </iconSet>
    </cfRule>
  </conditionalFormatting>
  <conditionalFormatting sqref="I28 D28">
    <cfRule type="iconSet" priority="1">
      <iconSet iconSet="3Symbols">
        <cfvo type="percent" val="0"/>
        <cfvo type="percent" val="33"/>
        <cfvo type="percent" val="67"/>
      </iconSet>
    </cfRule>
  </conditionalFormatting>
  <pageMargins left="0" right="0" top="0.75" bottom="0.75" header="0.3" footer="0.3"/>
  <pageSetup paperSize="8" scale="52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BET10609"/>
  <sheetViews>
    <sheetView zoomScale="106" zoomScaleNormal="106" workbookViewId="0">
      <selection activeCell="G11" sqref="G11"/>
    </sheetView>
  </sheetViews>
  <sheetFormatPr defaultRowHeight="11.25"/>
  <cols>
    <col min="1" max="1" width="13.85546875" style="165" customWidth="1"/>
    <col min="2" max="2" width="10" style="166" customWidth="1"/>
    <col min="3" max="3" width="12.5703125" style="167" customWidth="1"/>
    <col min="4" max="5" width="11.28515625" style="167" customWidth="1"/>
    <col min="6" max="6" width="17" style="165" customWidth="1"/>
    <col min="7" max="7" width="15.5703125" style="165" customWidth="1"/>
    <col min="8" max="8" width="17.42578125" style="165" customWidth="1"/>
    <col min="9" max="10" width="15" style="165" customWidth="1"/>
    <col min="11" max="11" width="8.28515625" style="11" customWidth="1"/>
    <col min="12" max="12" width="6.7109375" style="11" customWidth="1"/>
    <col min="13" max="13" width="16" style="11" customWidth="1"/>
    <col min="14" max="14" width="12.28515625" style="11" customWidth="1"/>
    <col min="15" max="15" width="4.85546875" style="11" customWidth="1"/>
    <col min="16" max="16" width="3.7109375" style="11" customWidth="1"/>
    <col min="17" max="17" width="16" style="11" customWidth="1"/>
    <col min="18" max="18" width="12.28515625" style="11" customWidth="1"/>
    <col min="19" max="19" width="10.28515625" style="11" customWidth="1"/>
    <col min="20" max="20" width="9" style="11" customWidth="1"/>
    <col min="21" max="21" width="13.85546875" style="11" customWidth="1"/>
    <col min="22" max="22" width="13.7109375" style="11" customWidth="1"/>
    <col min="23" max="23" width="5.28515625" style="11" customWidth="1"/>
    <col min="24" max="24" width="5.7109375" style="11" customWidth="1"/>
    <col min="25" max="25" width="13.85546875" style="11" customWidth="1"/>
    <col min="26" max="26" width="13.7109375" style="11" customWidth="1"/>
    <col min="27" max="27" width="11.42578125" style="11" customWidth="1"/>
    <col min="28" max="28" width="10.28515625" style="11" customWidth="1"/>
    <col min="29" max="29" width="14.42578125" style="11" customWidth="1"/>
    <col min="30" max="30" width="14.5703125" style="11" customWidth="1"/>
    <col min="31" max="31" width="15" style="11" customWidth="1"/>
    <col min="32" max="32" width="16.42578125" style="11" customWidth="1"/>
    <col min="33" max="33" width="11.42578125" style="11" bestFit="1" customWidth="1"/>
    <col min="34" max="34" width="10.28515625" style="11" customWidth="1"/>
    <col min="35" max="35" width="14.42578125" style="11" customWidth="1"/>
    <col min="36" max="36" width="14.5703125" style="11" customWidth="1"/>
    <col min="37" max="37" width="15" style="11" customWidth="1"/>
    <col min="38" max="38" width="16.42578125" style="11" customWidth="1"/>
    <col min="39" max="39" width="10.42578125" style="11" bestFit="1" customWidth="1"/>
    <col min="40" max="40" width="5.28515625" style="11" customWidth="1"/>
    <col min="41" max="41" width="4.42578125" style="11" customWidth="1"/>
    <col min="42" max="43" width="10.42578125" style="11" bestFit="1" customWidth="1"/>
    <col min="44" max="44" width="6.140625" style="11" customWidth="1"/>
    <col min="45" max="47" width="10.42578125" style="11" bestFit="1" customWidth="1"/>
    <col min="48" max="48" width="5.28515625" style="11" customWidth="1"/>
    <col min="49" max="49" width="10.42578125" style="11" bestFit="1" customWidth="1"/>
    <col min="50" max="50" width="6.140625" style="11" customWidth="1"/>
    <col min="51" max="53" width="10.42578125" style="11" bestFit="1" customWidth="1"/>
    <col min="54" max="54" width="5.28515625" style="11" customWidth="1"/>
    <col min="55" max="56" width="10.42578125" style="11" bestFit="1" customWidth="1"/>
    <col min="57" max="57" width="9.5703125" style="11" bestFit="1" customWidth="1"/>
    <col min="58" max="62" width="10.42578125" style="11" bestFit="1" customWidth="1"/>
    <col min="63" max="63" width="6.140625" style="11" customWidth="1"/>
    <col min="64" max="64" width="10.42578125" style="11" bestFit="1" customWidth="1"/>
    <col min="65" max="65" width="9.5703125" style="11" bestFit="1" customWidth="1"/>
    <col min="66" max="70" width="10.42578125" style="11" bestFit="1" customWidth="1"/>
    <col min="71" max="71" width="7" style="11" customWidth="1"/>
    <col min="72" max="72" width="4.42578125" style="11" customWidth="1"/>
    <col min="73" max="75" width="10.42578125" style="11" bestFit="1" customWidth="1"/>
    <col min="76" max="76" width="6.140625" style="11" customWidth="1"/>
    <col min="77" max="83" width="10.42578125" style="11" bestFit="1" customWidth="1"/>
    <col min="84" max="84" width="6.140625" style="11" customWidth="1"/>
    <col min="85" max="85" width="5.28515625" style="11" customWidth="1"/>
    <col min="86" max="92" width="10.42578125" style="11" bestFit="1" customWidth="1"/>
    <col min="93" max="93" width="6.140625" style="11" customWidth="1"/>
    <col min="94" max="96" width="10.42578125" style="11" bestFit="1" customWidth="1"/>
    <col min="97" max="97" width="4.42578125" style="11" customWidth="1"/>
    <col min="98" max="99" width="10.42578125" style="11" bestFit="1" customWidth="1"/>
    <col min="100" max="100" width="7" style="11" customWidth="1"/>
    <col min="101" max="103" width="10.42578125" style="11" bestFit="1" customWidth="1"/>
    <col min="104" max="104" width="5.28515625" style="11" customWidth="1"/>
    <col min="105" max="107" width="10.42578125" style="11" bestFit="1" customWidth="1"/>
    <col min="108" max="108" width="5.28515625" style="11" customWidth="1"/>
    <col min="109" max="111" width="10.42578125" style="11" bestFit="1" customWidth="1"/>
    <col min="112" max="112" width="5.28515625" style="11" customWidth="1"/>
    <col min="113" max="114" width="10.42578125" style="11" bestFit="1" customWidth="1"/>
    <col min="115" max="115" width="5.28515625" style="11" customWidth="1"/>
    <col min="116" max="119" width="10.42578125" style="11" bestFit="1" customWidth="1"/>
    <col min="120" max="120" width="9.5703125" style="11" bestFit="1" customWidth="1"/>
    <col min="121" max="121" width="5.28515625" style="11" customWidth="1"/>
    <col min="122" max="125" width="10.42578125" style="11" bestFit="1" customWidth="1"/>
    <col min="126" max="126" width="4.42578125" style="11" customWidth="1"/>
    <col min="127" max="129" width="10.42578125" style="11" bestFit="1" customWidth="1"/>
    <col min="130" max="130" width="7" style="11" customWidth="1"/>
    <col min="131" max="131" width="9.5703125" style="11" bestFit="1" customWidth="1"/>
    <col min="132" max="132" width="10.42578125" style="11" bestFit="1" customWidth="1"/>
    <col min="133" max="134" width="6.140625" style="11" customWidth="1"/>
    <col min="135" max="135" width="5.28515625" style="11" customWidth="1"/>
    <col min="136" max="136" width="10.42578125" style="11" bestFit="1" customWidth="1"/>
    <col min="137" max="137" width="5.28515625" style="11" customWidth="1"/>
    <col min="138" max="139" width="10.42578125" style="11" bestFit="1" customWidth="1"/>
    <col min="140" max="140" width="6.140625" style="11" customWidth="1"/>
    <col min="141" max="142" width="10.42578125" style="11" bestFit="1" customWidth="1"/>
    <col min="143" max="143" width="6.140625" style="11" customWidth="1"/>
    <col min="144" max="147" width="10.42578125" style="11" bestFit="1" customWidth="1"/>
    <col min="148" max="148" width="6.140625" style="11" customWidth="1"/>
    <col min="149" max="149" width="4.42578125" style="11" customWidth="1"/>
    <col min="150" max="150" width="9.5703125" style="11" bestFit="1" customWidth="1"/>
    <col min="151" max="153" width="10.42578125" style="11" bestFit="1" customWidth="1"/>
    <col min="154" max="154" width="5.28515625" style="11" customWidth="1"/>
    <col min="155" max="155" width="10.42578125" style="11" bestFit="1" customWidth="1"/>
    <col min="156" max="157" width="5.28515625" style="11" customWidth="1"/>
    <col min="158" max="158" width="7" style="11" customWidth="1"/>
    <col min="159" max="160" width="10.42578125" style="11" bestFit="1" customWidth="1"/>
    <col min="161" max="161" width="4.42578125" style="11" customWidth="1"/>
    <col min="162" max="162" width="10.42578125" style="11" bestFit="1" customWidth="1"/>
    <col min="163" max="163" width="5.28515625" style="11" customWidth="1"/>
    <col min="164" max="167" width="10.42578125" style="11" bestFit="1" customWidth="1"/>
    <col min="168" max="168" width="5.28515625" style="11" customWidth="1"/>
    <col min="169" max="172" width="10.42578125" style="11" bestFit="1" customWidth="1"/>
    <col min="173" max="173" width="6.140625" style="11" customWidth="1"/>
    <col min="174" max="176" width="10.42578125" style="11" bestFit="1" customWidth="1"/>
    <col min="177" max="177" width="6.140625" style="11" customWidth="1"/>
    <col min="178" max="178" width="5.28515625" style="11" customWidth="1"/>
    <col min="179" max="179" width="10.42578125" style="11" bestFit="1" customWidth="1"/>
    <col min="180" max="180" width="6.140625" style="11" customWidth="1"/>
    <col min="181" max="181" width="7" style="11" customWidth="1"/>
    <col min="182" max="182" width="4.42578125" style="11" customWidth="1"/>
    <col min="183" max="188" width="10.42578125" style="11" bestFit="1" customWidth="1"/>
    <col min="189" max="189" width="5.28515625" style="11" customWidth="1"/>
    <col min="190" max="194" width="10.42578125" style="11" bestFit="1" customWidth="1"/>
    <col min="195" max="195" width="9.5703125" style="11" bestFit="1" customWidth="1"/>
    <col min="196" max="200" width="10.42578125" style="11" bestFit="1" customWidth="1"/>
    <col min="201" max="201" width="4.42578125" style="11" customWidth="1"/>
    <col min="202" max="204" width="10.42578125" style="11" bestFit="1" customWidth="1"/>
    <col min="205" max="205" width="7" style="11" customWidth="1"/>
    <col min="206" max="210" width="10.42578125" style="11" bestFit="1" customWidth="1"/>
    <col min="211" max="212" width="6.140625" style="11" customWidth="1"/>
    <col min="213" max="213" width="5.28515625" style="11" customWidth="1"/>
    <col min="214" max="214" width="6.140625" style="11" customWidth="1"/>
    <col min="215" max="215" width="10.42578125" style="11" bestFit="1" customWidth="1"/>
    <col min="216" max="216" width="9.5703125" style="11" bestFit="1" customWidth="1"/>
    <col min="217" max="217" width="10.42578125" style="11" bestFit="1" customWidth="1"/>
    <col min="218" max="218" width="9.5703125" style="11" bestFit="1" customWidth="1"/>
    <col min="219" max="221" width="10.42578125" style="11" bestFit="1" customWidth="1"/>
    <col min="222" max="222" width="6.140625" style="11" customWidth="1"/>
    <col min="223" max="224" width="10.42578125" style="11" bestFit="1" customWidth="1"/>
    <col min="225" max="225" width="4.42578125" style="11" customWidth="1"/>
    <col min="226" max="235" width="10.42578125" style="11" bestFit="1" customWidth="1"/>
    <col min="236" max="236" width="9.5703125" style="11" bestFit="1" customWidth="1"/>
    <col min="237" max="245" width="10.42578125" style="11" bestFit="1" customWidth="1"/>
    <col min="246" max="246" width="7" style="11" customWidth="1"/>
    <col min="247" max="247" width="10.42578125" style="11" bestFit="1" customWidth="1"/>
    <col min="248" max="248" width="3.5703125" style="11" customWidth="1"/>
    <col min="249" max="253" width="10.42578125" style="11" bestFit="1" customWidth="1"/>
    <col min="254" max="254" width="5.28515625" style="11" customWidth="1"/>
    <col min="255" max="255" width="10.42578125" style="11" bestFit="1" customWidth="1"/>
    <col min="256" max="256" width="5.28515625" style="11" customWidth="1"/>
    <col min="257" max="262" width="10.42578125" style="11" bestFit="1" customWidth="1"/>
    <col min="263" max="263" width="8.7109375" style="11" customWidth="1"/>
    <col min="264" max="264" width="10.42578125" style="11" bestFit="1" customWidth="1"/>
    <col min="265" max="265" width="4.42578125" style="11" customWidth="1"/>
    <col min="266" max="266" width="6.140625" style="11" customWidth="1"/>
    <col min="267" max="272" width="10.42578125" style="11" bestFit="1" customWidth="1"/>
    <col min="273" max="273" width="5.28515625" style="11" customWidth="1"/>
    <col min="274" max="275" width="10.42578125" style="11" bestFit="1" customWidth="1"/>
    <col min="276" max="276" width="6.140625" style="11" customWidth="1"/>
    <col min="277" max="279" width="10.42578125" style="11" bestFit="1" customWidth="1"/>
    <col min="280" max="280" width="5.28515625" style="11" customWidth="1"/>
    <col min="281" max="281" width="9.5703125" style="11" bestFit="1" customWidth="1"/>
    <col min="282" max="283" width="10.42578125" style="11" bestFit="1" customWidth="1"/>
    <col min="284" max="284" width="5.28515625" style="11" customWidth="1"/>
    <col min="285" max="287" width="10.42578125" style="11" bestFit="1" customWidth="1"/>
    <col min="288" max="288" width="5.28515625" style="11" customWidth="1"/>
    <col min="289" max="291" width="10.42578125" style="11" bestFit="1" customWidth="1"/>
    <col min="292" max="292" width="4.42578125" style="11" customWidth="1"/>
    <col min="293" max="300" width="10.42578125" style="11" bestFit="1" customWidth="1"/>
    <col min="301" max="301" width="5.28515625" style="11" customWidth="1"/>
    <col min="302" max="306" width="10.42578125" style="11" bestFit="1" customWidth="1"/>
    <col min="307" max="307" width="5.28515625" style="11" customWidth="1"/>
    <col min="308" max="309" width="6.140625" style="11" customWidth="1"/>
    <col min="310" max="310" width="10.42578125" style="11" bestFit="1" customWidth="1"/>
    <col min="311" max="311" width="7.85546875" style="11" customWidth="1"/>
    <col min="312" max="312" width="4.42578125" style="11" customWidth="1"/>
    <col min="313" max="313" width="6.140625" style="11" customWidth="1"/>
    <col min="314" max="314" width="10.42578125" style="11" bestFit="1" customWidth="1"/>
    <col min="315" max="315" width="5.28515625" style="11" customWidth="1"/>
    <col min="316" max="320" width="10.42578125" style="11" bestFit="1" customWidth="1"/>
    <col min="321" max="321" width="5.28515625" style="11" customWidth="1"/>
    <col min="322" max="325" width="10.42578125" style="11" bestFit="1" customWidth="1"/>
    <col min="326" max="327" width="5.28515625" style="11" customWidth="1"/>
    <col min="328" max="332" width="10.42578125" style="11" bestFit="1" customWidth="1"/>
    <col min="333" max="333" width="5.28515625" style="11" customWidth="1"/>
    <col min="334" max="334" width="9.5703125" style="11" bestFit="1" customWidth="1"/>
    <col min="335" max="344" width="10.42578125" style="11" bestFit="1" customWidth="1"/>
    <col min="345" max="345" width="4.42578125" style="11" customWidth="1"/>
    <col min="346" max="349" width="10.42578125" style="11" bestFit="1" customWidth="1"/>
    <col min="350" max="350" width="5.28515625" style="11" customWidth="1"/>
    <col min="351" max="352" width="10.42578125" style="11" bestFit="1" customWidth="1"/>
    <col min="353" max="353" width="6.140625" style="11" customWidth="1"/>
    <col min="354" max="360" width="10.42578125" style="11" bestFit="1" customWidth="1"/>
    <col min="361" max="361" width="4.42578125" style="11" customWidth="1"/>
    <col min="362" max="363" width="10.42578125" style="11" bestFit="1" customWidth="1"/>
    <col min="364" max="364" width="6.140625" style="11" customWidth="1"/>
    <col min="365" max="365" width="10.42578125" style="11" bestFit="1" customWidth="1"/>
    <col min="366" max="366" width="5.28515625" style="11" customWidth="1"/>
    <col min="367" max="367" width="10.42578125" style="11" bestFit="1" customWidth="1"/>
    <col min="368" max="368" width="9.5703125" style="11" bestFit="1" customWidth="1"/>
    <col min="369" max="369" width="7.85546875" style="11" customWidth="1"/>
    <col min="370" max="372" width="10.42578125" style="11" bestFit="1" customWidth="1"/>
    <col min="373" max="373" width="5.28515625" style="11" customWidth="1"/>
    <col min="374" max="375" width="10.42578125" style="11" bestFit="1" customWidth="1"/>
    <col min="376" max="376" width="5.28515625" style="11" customWidth="1"/>
    <col min="377" max="377" width="7" style="11" customWidth="1"/>
    <col min="378" max="382" width="10.42578125" style="11" bestFit="1" customWidth="1"/>
    <col min="383" max="383" width="4.42578125" style="11" customWidth="1"/>
    <col min="384" max="385" width="10.42578125" style="11" bestFit="1" customWidth="1"/>
    <col min="386" max="386" width="5.28515625" style="11" customWidth="1"/>
    <col min="387" max="387" width="10.42578125" style="11" bestFit="1" customWidth="1"/>
    <col min="388" max="388" width="9.5703125" style="11" bestFit="1" customWidth="1"/>
    <col min="389" max="389" width="5.28515625" style="11" customWidth="1"/>
    <col min="390" max="391" width="10.42578125" style="11" bestFit="1" customWidth="1"/>
    <col min="392" max="392" width="5.28515625" style="11" customWidth="1"/>
    <col min="393" max="394" width="10.42578125" style="11" bestFit="1" customWidth="1"/>
    <col min="395" max="395" width="4.42578125" style="11" customWidth="1"/>
    <col min="396" max="398" width="10.42578125" style="11" bestFit="1" customWidth="1"/>
    <col min="399" max="399" width="5.28515625" style="11" customWidth="1"/>
    <col min="400" max="403" width="10.42578125" style="11" bestFit="1" customWidth="1"/>
    <col min="404" max="404" width="5.28515625" style="11" customWidth="1"/>
    <col min="405" max="406" width="10.42578125" style="11" bestFit="1" customWidth="1"/>
    <col min="407" max="407" width="5.28515625" style="11" customWidth="1"/>
    <col min="408" max="408" width="10.42578125" style="11" bestFit="1" customWidth="1"/>
    <col min="409" max="409" width="5.28515625" style="11" customWidth="1"/>
    <col min="410" max="414" width="10.42578125" style="11" bestFit="1" customWidth="1"/>
    <col min="415" max="416" width="6.140625" style="11" customWidth="1"/>
    <col min="417" max="417" width="10.42578125" style="11" bestFit="1" customWidth="1"/>
    <col min="418" max="418" width="4.42578125" style="11" customWidth="1"/>
    <col min="419" max="422" width="10.42578125" style="11" bestFit="1" customWidth="1"/>
    <col min="423" max="423" width="7.85546875" style="11" customWidth="1"/>
    <col min="424" max="425" width="10.42578125" style="11" bestFit="1" customWidth="1"/>
    <col min="426" max="426" width="5.28515625" style="11" customWidth="1"/>
    <col min="427" max="427" width="8.7109375" style="11" customWidth="1"/>
    <col min="428" max="428" width="5.28515625" style="11" customWidth="1"/>
    <col min="429" max="429" width="10.42578125" style="11" bestFit="1" customWidth="1"/>
    <col min="430" max="431" width="6.140625" style="11" customWidth="1"/>
    <col min="432" max="433" width="10.42578125" style="11" bestFit="1" customWidth="1"/>
    <col min="434" max="434" width="9.5703125" style="11" bestFit="1" customWidth="1"/>
    <col min="435" max="435" width="5.28515625" style="11" customWidth="1"/>
    <col min="436" max="436" width="4.42578125" style="11" customWidth="1"/>
    <col min="437" max="437" width="6.140625" style="11" customWidth="1"/>
    <col min="438" max="438" width="10.42578125" style="11" bestFit="1" customWidth="1"/>
    <col min="439" max="439" width="5.28515625" style="11" customWidth="1"/>
    <col min="440" max="444" width="10.42578125" style="11" bestFit="1" customWidth="1"/>
    <col min="445" max="445" width="5.28515625" style="11" customWidth="1"/>
    <col min="446" max="451" width="10.42578125" style="11" bestFit="1" customWidth="1"/>
    <col min="452" max="452" width="6.140625" style="11" customWidth="1"/>
    <col min="453" max="454" width="10.42578125" style="11" bestFit="1" customWidth="1"/>
    <col min="455" max="455" width="3.5703125" style="11" customWidth="1"/>
    <col min="456" max="457" width="10.42578125" style="11" bestFit="1" customWidth="1"/>
    <col min="458" max="458" width="5.28515625" style="11" customWidth="1"/>
    <col min="459" max="460" width="10.42578125" style="11" bestFit="1" customWidth="1"/>
    <col min="461" max="461" width="5.28515625" style="11" customWidth="1"/>
    <col min="462" max="463" width="10.42578125" style="11" bestFit="1" customWidth="1"/>
    <col min="464" max="464" width="5.28515625" style="11" customWidth="1"/>
    <col min="465" max="465" width="10.42578125" style="11" bestFit="1" customWidth="1"/>
    <col min="466" max="466" width="6.140625" style="11" customWidth="1"/>
    <col min="467" max="467" width="4.42578125" style="11" customWidth="1"/>
    <col min="468" max="470" width="10.42578125" style="11" bestFit="1" customWidth="1"/>
    <col min="471" max="471" width="5.28515625" style="11" customWidth="1"/>
    <col min="472" max="472" width="7" style="11" customWidth="1"/>
    <col min="473" max="473" width="10.42578125" style="11" bestFit="1" customWidth="1"/>
    <col min="474" max="474" width="5.28515625" style="11" customWidth="1"/>
    <col min="475" max="475" width="6.140625" style="11" customWidth="1"/>
    <col min="476" max="479" width="10.42578125" style="11" bestFit="1" customWidth="1"/>
    <col min="480" max="480" width="6.140625" style="11" customWidth="1"/>
    <col min="481" max="481" width="4.42578125" style="11" customWidth="1"/>
    <col min="482" max="485" width="10.42578125" style="11" bestFit="1" customWidth="1"/>
    <col min="486" max="486" width="6.140625" style="11" customWidth="1"/>
    <col min="487" max="487" width="5.28515625" style="11" customWidth="1"/>
    <col min="488" max="488" width="10.42578125" style="11" bestFit="1" customWidth="1"/>
    <col min="489" max="489" width="6.140625" style="11" customWidth="1"/>
    <col min="490" max="490" width="9.5703125" style="11" bestFit="1" customWidth="1"/>
    <col min="491" max="491" width="10.42578125" style="11" bestFit="1" customWidth="1"/>
    <col min="492" max="492" width="5.28515625" style="11" customWidth="1"/>
    <col min="493" max="494" width="10.42578125" style="11" bestFit="1" customWidth="1"/>
    <col min="495" max="495" width="7" style="11" customWidth="1"/>
    <col min="496" max="501" width="10.42578125" style="11" bestFit="1" customWidth="1"/>
    <col min="502" max="502" width="4.42578125" style="11" customWidth="1"/>
    <col min="503" max="506" width="10.42578125" style="11" bestFit="1" customWidth="1"/>
    <col min="507" max="507" width="5.28515625" style="11" customWidth="1"/>
    <col min="508" max="513" width="10.42578125" style="11" bestFit="1" customWidth="1"/>
    <col min="514" max="514" width="7.85546875" style="11" customWidth="1"/>
    <col min="515" max="515" width="10.42578125" style="11" bestFit="1" customWidth="1"/>
    <col min="516" max="516" width="4.42578125" style="11" customWidth="1"/>
    <col min="517" max="519" width="10.42578125" style="11" bestFit="1" customWidth="1"/>
    <col min="520" max="520" width="6.140625" style="11" customWidth="1"/>
    <col min="521" max="522" width="10.42578125" style="11" bestFit="1" customWidth="1"/>
    <col min="523" max="523" width="5.28515625" style="11" customWidth="1"/>
    <col min="524" max="525" width="10.42578125" style="11" bestFit="1" customWidth="1"/>
    <col min="526" max="526" width="9.5703125" style="11" bestFit="1" customWidth="1"/>
    <col min="527" max="527" width="5.28515625" style="11" customWidth="1"/>
    <col min="528" max="528" width="6.140625" style="11" customWidth="1"/>
    <col min="529" max="529" width="10.42578125" style="11" bestFit="1" customWidth="1"/>
    <col min="530" max="530" width="4.42578125" style="11" customWidth="1"/>
    <col min="531" max="531" width="5.28515625" style="11" customWidth="1"/>
    <col min="532" max="535" width="10.42578125" style="11" bestFit="1" customWidth="1"/>
    <col min="536" max="537" width="5.28515625" style="11" customWidth="1"/>
    <col min="538" max="545" width="10.42578125" style="11" bestFit="1" customWidth="1"/>
    <col min="546" max="546" width="4.42578125" style="11" customWidth="1"/>
    <col min="547" max="553" width="10.42578125" style="11" bestFit="1" customWidth="1"/>
    <col min="554" max="555" width="5.28515625" style="11" customWidth="1"/>
    <col min="556" max="556" width="10.42578125" style="11" bestFit="1" customWidth="1"/>
    <col min="557" max="557" width="7.85546875" style="11" customWidth="1"/>
    <col min="558" max="558" width="10.42578125" style="11" bestFit="1" customWidth="1"/>
    <col min="559" max="559" width="5.28515625" style="11" customWidth="1"/>
    <col min="560" max="560" width="10.42578125" style="11" bestFit="1" customWidth="1"/>
    <col min="561" max="561" width="6.140625" style="11" customWidth="1"/>
    <col min="562" max="565" width="10.42578125" style="11" bestFit="1" customWidth="1"/>
    <col min="566" max="566" width="6.140625" style="11" customWidth="1"/>
    <col min="567" max="567" width="5.28515625" style="11" customWidth="1"/>
    <col min="568" max="568" width="10.42578125" style="11" bestFit="1" customWidth="1"/>
    <col min="569" max="569" width="4.42578125" style="11" customWidth="1"/>
    <col min="570" max="570" width="10.42578125" style="11" bestFit="1" customWidth="1"/>
    <col min="571" max="571" width="5.28515625" style="11" customWidth="1"/>
    <col min="572" max="572" width="6.140625" style="11" customWidth="1"/>
    <col min="573" max="578" width="10.42578125" style="11" bestFit="1" customWidth="1"/>
    <col min="579" max="579" width="5.28515625" style="11" customWidth="1"/>
    <col min="580" max="590" width="10.42578125" style="11" bestFit="1" customWidth="1"/>
    <col min="591" max="591" width="4.42578125" style="11" customWidth="1"/>
    <col min="592" max="593" width="10.42578125" style="11" bestFit="1" customWidth="1"/>
    <col min="594" max="594" width="5.28515625" style="11" customWidth="1"/>
    <col min="595" max="596" width="10.42578125" style="11" bestFit="1" customWidth="1"/>
    <col min="597" max="597" width="7.85546875" style="11" customWidth="1"/>
    <col min="598" max="598" width="7" style="11" customWidth="1"/>
    <col min="599" max="600" width="10.42578125" style="11" bestFit="1" customWidth="1"/>
    <col min="601" max="601" width="5.28515625" style="11" customWidth="1"/>
    <col min="602" max="607" width="10.42578125" style="11" bestFit="1" customWidth="1"/>
    <col min="608" max="608" width="8.7109375" style="11" customWidth="1"/>
    <col min="609" max="609" width="5.28515625" style="11" customWidth="1"/>
    <col min="610" max="610" width="6.140625" style="11" customWidth="1"/>
    <col min="611" max="611" width="10.42578125" style="11" bestFit="1" customWidth="1"/>
    <col min="612" max="612" width="4.42578125" style="11" customWidth="1"/>
    <col min="613" max="614" width="10.42578125" style="11" bestFit="1" customWidth="1"/>
    <col min="615" max="615" width="5.28515625" style="11" customWidth="1"/>
    <col min="616" max="617" width="10.42578125" style="11" bestFit="1" customWidth="1"/>
    <col min="618" max="618" width="5.28515625" style="11" customWidth="1"/>
    <col min="619" max="630" width="10.42578125" style="11" bestFit="1" customWidth="1"/>
    <col min="631" max="631" width="5.28515625" style="11" customWidth="1"/>
    <col min="632" max="634" width="10.42578125" style="11" bestFit="1" customWidth="1"/>
    <col min="635" max="635" width="3.5703125" style="11" customWidth="1"/>
    <col min="636" max="638" width="10.42578125" style="11" bestFit="1" customWidth="1"/>
    <col min="639" max="639" width="5.28515625" style="11" customWidth="1"/>
    <col min="640" max="640" width="10.42578125" style="11" bestFit="1" customWidth="1"/>
    <col min="641" max="641" width="6.140625" style="11" customWidth="1"/>
    <col min="642" max="642" width="10.42578125" style="11" bestFit="1" customWidth="1"/>
    <col min="643" max="643" width="5.28515625" style="11" customWidth="1"/>
    <col min="644" max="644" width="6.140625" style="11" customWidth="1"/>
    <col min="645" max="646" width="10.42578125" style="11" bestFit="1" customWidth="1"/>
    <col min="647" max="647" width="5.28515625" style="11" customWidth="1"/>
    <col min="648" max="658" width="10.42578125" style="11" bestFit="1" customWidth="1"/>
    <col min="659" max="659" width="5.28515625" style="11" customWidth="1"/>
    <col min="660" max="660" width="10.42578125" style="11" bestFit="1" customWidth="1"/>
    <col min="661" max="661" width="7.85546875" style="11" customWidth="1"/>
    <col min="662" max="662" width="10.42578125" style="11" bestFit="1" customWidth="1"/>
    <col min="663" max="663" width="7" style="11" customWidth="1"/>
    <col min="664" max="665" width="10.42578125" style="11" bestFit="1" customWidth="1"/>
    <col min="666" max="666" width="5.28515625" style="11" customWidth="1"/>
    <col min="667" max="667" width="10.42578125" style="11" bestFit="1" customWidth="1"/>
    <col min="668" max="668" width="4.42578125" style="11" customWidth="1"/>
    <col min="669" max="671" width="10.42578125" style="11" bestFit="1" customWidth="1"/>
    <col min="672" max="672" width="9.5703125" style="11" bestFit="1" customWidth="1"/>
    <col min="673" max="676" width="10.42578125" style="11" bestFit="1" customWidth="1"/>
    <col min="677" max="677" width="9.5703125" style="11" bestFit="1" customWidth="1"/>
    <col min="678" max="681" width="10.42578125" style="11" bestFit="1" customWidth="1"/>
    <col min="682" max="682" width="5.28515625" style="11" customWidth="1"/>
    <col min="683" max="684" width="10.42578125" style="11" bestFit="1" customWidth="1"/>
    <col min="685" max="685" width="5.28515625" style="11" customWidth="1"/>
    <col min="686" max="693" width="10.42578125" style="11" bestFit="1" customWidth="1"/>
    <col min="694" max="694" width="5.28515625" style="11" customWidth="1"/>
    <col min="695" max="698" width="10.42578125" style="11" bestFit="1" customWidth="1"/>
    <col min="699" max="699" width="4.42578125" style="11" customWidth="1"/>
    <col min="700" max="700" width="10.42578125" style="11" bestFit="1" customWidth="1"/>
    <col min="701" max="701" width="6.140625" style="11" customWidth="1"/>
    <col min="702" max="705" width="10.42578125" style="11" bestFit="1" customWidth="1"/>
    <col min="706" max="706" width="5.28515625" style="11" customWidth="1"/>
    <col min="707" max="707" width="10.42578125" style="11" bestFit="1" customWidth="1"/>
    <col min="708" max="708" width="6.140625" style="11" customWidth="1"/>
    <col min="709" max="709" width="10.42578125" style="11" bestFit="1" customWidth="1"/>
    <col min="710" max="710" width="5.28515625" style="11" customWidth="1"/>
    <col min="711" max="713" width="10.42578125" style="11" bestFit="1" customWidth="1"/>
    <col min="714" max="714" width="6.140625" style="11" customWidth="1"/>
    <col min="715" max="715" width="7" style="11" customWidth="1"/>
    <col min="716" max="718" width="10.42578125" style="11" bestFit="1" customWidth="1"/>
    <col min="719" max="720" width="6.140625" style="11" customWidth="1"/>
    <col min="721" max="721" width="5.28515625" style="11" customWidth="1"/>
    <col min="722" max="722" width="10.42578125" style="11" bestFit="1" customWidth="1"/>
    <col min="723" max="723" width="6.140625" style="11" customWidth="1"/>
    <col min="724" max="724" width="5.28515625" style="11" customWidth="1"/>
    <col min="725" max="732" width="10.42578125" style="11" bestFit="1" customWidth="1"/>
    <col min="733" max="733" width="4.42578125" style="11" customWidth="1"/>
    <col min="734" max="740" width="10.42578125" style="11" bestFit="1" customWidth="1"/>
    <col min="741" max="741" width="5.28515625" style="11" customWidth="1"/>
    <col min="742" max="742" width="10.42578125" style="11" bestFit="1" customWidth="1"/>
    <col min="743" max="743" width="6.140625" style="11" customWidth="1"/>
    <col min="744" max="744" width="10.42578125" style="11" bestFit="1" customWidth="1"/>
    <col min="745" max="745" width="5.28515625" style="11" customWidth="1"/>
    <col min="746" max="750" width="10.42578125" style="11" bestFit="1" customWidth="1"/>
    <col min="751" max="751" width="4.42578125" style="11" customWidth="1"/>
    <col min="752" max="759" width="10.42578125" style="11" bestFit="1" customWidth="1"/>
    <col min="760" max="760" width="5.28515625" style="11" customWidth="1"/>
    <col min="761" max="762" width="10.42578125" style="11" bestFit="1" customWidth="1"/>
    <col min="763" max="763" width="4.42578125" style="11" customWidth="1"/>
    <col min="764" max="768" width="10.42578125" style="11" bestFit="1" customWidth="1"/>
    <col min="769" max="769" width="5.28515625" style="11" customWidth="1"/>
    <col min="770" max="773" width="10.42578125" style="11" bestFit="1" customWidth="1"/>
    <col min="774" max="774" width="5.28515625" style="11" customWidth="1"/>
    <col min="775" max="777" width="10.42578125" style="11" bestFit="1" customWidth="1"/>
    <col min="778" max="778" width="6.140625" style="11" customWidth="1"/>
    <col min="779" max="779" width="4.42578125" style="11" customWidth="1"/>
    <col min="780" max="780" width="9.5703125" style="11" bestFit="1" customWidth="1"/>
    <col min="781" max="783" width="10.42578125" style="11" bestFit="1" customWidth="1"/>
    <col min="784" max="784" width="9.5703125" style="11" bestFit="1" customWidth="1"/>
    <col min="785" max="785" width="10.42578125" style="11" bestFit="1" customWidth="1"/>
    <col min="786" max="786" width="6.140625" style="11" customWidth="1"/>
    <col min="787" max="788" width="10.42578125" style="11" bestFit="1" customWidth="1"/>
    <col min="789" max="789" width="5.28515625" style="11" customWidth="1"/>
    <col min="790" max="790" width="10.42578125" style="11" bestFit="1" customWidth="1"/>
    <col min="791" max="791" width="5.28515625" style="11" customWidth="1"/>
    <col min="792" max="796" width="10.42578125" style="11" bestFit="1" customWidth="1"/>
    <col min="797" max="797" width="9.5703125" style="11" bestFit="1" customWidth="1"/>
    <col min="798" max="798" width="10.42578125" style="11" bestFit="1" customWidth="1"/>
    <col min="799" max="799" width="5.28515625" style="11" customWidth="1"/>
    <col min="800" max="805" width="10.42578125" style="11" bestFit="1" customWidth="1"/>
    <col min="806" max="806" width="5.28515625" style="11" customWidth="1"/>
    <col min="807" max="811" width="10.42578125" style="11" bestFit="1" customWidth="1"/>
    <col min="812" max="812" width="5.28515625" style="11" customWidth="1"/>
    <col min="813" max="817" width="10.42578125" style="11" bestFit="1" customWidth="1"/>
    <col min="818" max="818" width="5.28515625" style="11" customWidth="1"/>
    <col min="819" max="820" width="10.42578125" style="11" bestFit="1" customWidth="1"/>
    <col min="821" max="821" width="5.28515625" style="11" customWidth="1"/>
    <col min="822" max="822" width="9.5703125" style="11" bestFit="1" customWidth="1"/>
    <col min="823" max="823" width="5.28515625" style="11" customWidth="1"/>
    <col min="824" max="824" width="7" style="11" customWidth="1"/>
    <col min="825" max="827" width="10.42578125" style="11" bestFit="1" customWidth="1"/>
    <col min="828" max="828" width="3.5703125" style="11" customWidth="1"/>
    <col min="829" max="835" width="10.42578125" style="11" bestFit="1" customWidth="1"/>
    <col min="836" max="836" width="5.28515625" style="11" customWidth="1"/>
    <col min="837" max="837" width="4.42578125" style="11" customWidth="1"/>
    <col min="838" max="842" width="10.42578125" style="11" bestFit="1" customWidth="1"/>
    <col min="843" max="843" width="5.28515625" style="11" customWidth="1"/>
    <col min="844" max="850" width="10.42578125" style="11" bestFit="1" customWidth="1"/>
    <col min="851" max="851" width="5.28515625" style="11" customWidth="1"/>
    <col min="852" max="852" width="7" style="11" customWidth="1"/>
    <col min="853" max="854" width="10.42578125" style="11" bestFit="1" customWidth="1"/>
    <col min="855" max="855" width="4.42578125" style="11" customWidth="1"/>
    <col min="856" max="861" width="10.42578125" style="11" bestFit="1" customWidth="1"/>
    <col min="862" max="863" width="5.28515625" style="11" customWidth="1"/>
    <col min="864" max="865" width="10.42578125" style="11" bestFit="1" customWidth="1"/>
    <col min="866" max="866" width="6.140625" style="11" customWidth="1"/>
    <col min="867" max="868" width="10.42578125" style="11" bestFit="1" customWidth="1"/>
    <col min="869" max="869" width="4.42578125" style="11" customWidth="1"/>
    <col min="870" max="870" width="9.5703125" style="11" bestFit="1" customWidth="1"/>
    <col min="871" max="873" width="10.42578125" style="11" bestFit="1" customWidth="1"/>
    <col min="874" max="874" width="5.28515625" style="11" customWidth="1"/>
    <col min="875" max="875" width="9.5703125" style="11" bestFit="1" customWidth="1"/>
    <col min="876" max="877" width="10.42578125" style="11" bestFit="1" customWidth="1"/>
    <col min="878" max="878" width="9.5703125" style="11" bestFit="1" customWidth="1"/>
    <col min="879" max="879" width="7" style="11" customWidth="1"/>
    <col min="880" max="880" width="9.5703125" style="11" bestFit="1" customWidth="1"/>
    <col min="881" max="881" width="5.28515625" style="11" customWidth="1"/>
    <col min="882" max="882" width="6.140625" style="11" customWidth="1"/>
    <col min="883" max="883" width="5.28515625" style="11" customWidth="1"/>
    <col min="884" max="884" width="9.5703125" style="11" bestFit="1" customWidth="1"/>
    <col min="885" max="885" width="10.42578125" style="11" bestFit="1" customWidth="1"/>
    <col min="886" max="886" width="4.42578125" style="11" customWidth="1"/>
    <col min="887" max="888" width="10.42578125" style="11" bestFit="1" customWidth="1"/>
    <col min="889" max="889" width="6.140625" style="11" customWidth="1"/>
    <col min="890" max="894" width="10.42578125" style="11" bestFit="1" customWidth="1"/>
    <col min="895" max="895" width="7" style="11" customWidth="1"/>
    <col min="896" max="901" width="10.42578125" style="11" bestFit="1" customWidth="1"/>
    <col min="902" max="902" width="4.42578125" style="11" customWidth="1"/>
    <col min="903" max="903" width="9.5703125" style="11" bestFit="1" customWidth="1"/>
    <col min="904" max="907" width="10.42578125" style="11" bestFit="1" customWidth="1"/>
    <col min="908" max="908" width="5.28515625" style="11" customWidth="1"/>
    <col min="909" max="914" width="10.42578125" style="11" bestFit="1" customWidth="1"/>
    <col min="915" max="915" width="4.42578125" style="11" customWidth="1"/>
    <col min="916" max="920" width="10.42578125" style="11" bestFit="1" customWidth="1"/>
    <col min="921" max="921" width="6.140625" style="11" customWidth="1"/>
    <col min="922" max="922" width="10.42578125" style="11" bestFit="1" customWidth="1"/>
    <col min="923" max="924" width="5.28515625" style="11" customWidth="1"/>
    <col min="925" max="932" width="10.42578125" style="11" bestFit="1" customWidth="1"/>
    <col min="933" max="933" width="9.5703125" style="11" bestFit="1" customWidth="1"/>
    <col min="934" max="935" width="10.42578125" style="11" bestFit="1" customWidth="1"/>
    <col min="936" max="936" width="9.5703125" style="11" bestFit="1" customWidth="1"/>
    <col min="937" max="937" width="6.140625" style="11" customWidth="1"/>
    <col min="938" max="938" width="5.28515625" style="11" customWidth="1"/>
    <col min="939" max="942" width="10.42578125" style="11" bestFit="1" customWidth="1"/>
    <col min="943" max="944" width="6.140625" style="11" customWidth="1"/>
    <col min="945" max="945" width="4.42578125" style="11" customWidth="1"/>
    <col min="946" max="946" width="10.42578125" style="11" bestFit="1" customWidth="1"/>
    <col min="947" max="947" width="9.5703125" style="11" bestFit="1" customWidth="1"/>
    <col min="948" max="950" width="10.42578125" style="11" bestFit="1" customWidth="1"/>
    <col min="951" max="951" width="5.28515625" style="11" customWidth="1"/>
    <col min="952" max="953" width="10.42578125" style="11" bestFit="1" customWidth="1"/>
    <col min="954" max="954" width="5.28515625" style="11" customWidth="1"/>
    <col min="955" max="958" width="10.42578125" style="11" bestFit="1" customWidth="1"/>
    <col min="959" max="960" width="6.140625" style="11" customWidth="1"/>
    <col min="961" max="961" width="4.42578125" style="11" customWidth="1"/>
    <col min="962" max="962" width="10.42578125" style="11" bestFit="1" customWidth="1"/>
    <col min="963" max="963" width="9.5703125" style="11" bestFit="1" customWidth="1"/>
    <col min="964" max="964" width="5.28515625" style="11" customWidth="1"/>
    <col min="965" max="966" width="10.42578125" style="11" bestFit="1" customWidth="1"/>
    <col min="967" max="967" width="9.5703125" style="11" bestFit="1" customWidth="1"/>
    <col min="968" max="969" width="10.42578125" style="11" bestFit="1" customWidth="1"/>
    <col min="970" max="971" width="5.28515625" style="11" customWidth="1"/>
    <col min="972" max="975" width="10.42578125" style="11" bestFit="1" customWidth="1"/>
    <col min="976" max="976" width="6.140625" style="11" customWidth="1"/>
    <col min="977" max="977" width="10.42578125" style="11" bestFit="1" customWidth="1"/>
    <col min="978" max="978" width="9.5703125" style="11" bestFit="1" customWidth="1"/>
    <col min="979" max="979" width="10.42578125" style="11" bestFit="1" customWidth="1"/>
    <col min="980" max="980" width="3.5703125" style="11" customWidth="1"/>
    <col min="981" max="981" width="9.5703125" style="11" bestFit="1" customWidth="1"/>
    <col min="982" max="990" width="10.42578125" style="11" bestFit="1" customWidth="1"/>
    <col min="991" max="991" width="5.28515625" style="11" customWidth="1"/>
    <col min="992" max="992" width="9.5703125" style="11" bestFit="1" customWidth="1"/>
    <col min="993" max="994" width="10.42578125" style="11" bestFit="1" customWidth="1"/>
    <col min="995" max="995" width="4.42578125" style="11" customWidth="1"/>
    <col min="996" max="996" width="6.140625" style="11" customWidth="1"/>
    <col min="997" max="1001" width="10.42578125" style="11" bestFit="1" customWidth="1"/>
    <col min="1002" max="1002" width="5.28515625" style="11" customWidth="1"/>
    <col min="1003" max="1006" width="10.42578125" style="11" bestFit="1" customWidth="1"/>
    <col min="1007" max="1007" width="9.5703125" style="11" bestFit="1" customWidth="1"/>
    <col min="1008" max="1008" width="10.42578125" style="11" bestFit="1" customWidth="1"/>
    <col min="1009" max="1009" width="4.42578125" style="11" customWidth="1"/>
    <col min="1010" max="1012" width="10.42578125" style="11" bestFit="1" customWidth="1"/>
    <col min="1013" max="1013" width="5.28515625" style="11" customWidth="1"/>
    <col min="1014" max="1017" width="10.42578125" style="11" bestFit="1" customWidth="1"/>
    <col min="1018" max="1018" width="5.28515625" style="11" customWidth="1"/>
    <col min="1019" max="1019" width="9.5703125" style="11" bestFit="1" customWidth="1"/>
    <col min="1020" max="1020" width="10.42578125" style="11" bestFit="1" customWidth="1"/>
    <col min="1021" max="1021" width="9.5703125" style="11" bestFit="1" customWidth="1"/>
    <col min="1022" max="1022" width="10.42578125" style="11" bestFit="1" customWidth="1"/>
    <col min="1023" max="1023" width="7" style="11" customWidth="1"/>
    <col min="1024" max="1026" width="10.42578125" style="11" bestFit="1" customWidth="1"/>
    <col min="1027" max="1027" width="6.140625" style="11" customWidth="1"/>
    <col min="1028" max="1028" width="5.28515625" style="11" customWidth="1"/>
    <col min="1029" max="1029" width="10.42578125" style="11" bestFit="1" customWidth="1"/>
    <col min="1030" max="1030" width="6.140625" style="11" customWidth="1"/>
    <col min="1031" max="1034" width="10.42578125" style="11" bestFit="1" customWidth="1"/>
    <col min="1035" max="1035" width="4.42578125" style="11" customWidth="1"/>
    <col min="1036" max="1041" width="10.42578125" style="11" bestFit="1" customWidth="1"/>
    <col min="1042" max="1042" width="9.5703125" style="11" bestFit="1" customWidth="1"/>
    <col min="1043" max="1043" width="4.42578125" style="11" customWidth="1"/>
    <col min="1044" max="1047" width="10.42578125" style="11" bestFit="1" customWidth="1"/>
    <col min="1048" max="1048" width="5.28515625" style="11" customWidth="1"/>
    <col min="1049" max="1049" width="10.42578125" style="11" bestFit="1" customWidth="1"/>
    <col min="1050" max="1050" width="9.5703125" style="11" bestFit="1" customWidth="1"/>
    <col min="1051" max="1051" width="10.42578125" style="11" bestFit="1" customWidth="1"/>
    <col min="1052" max="1052" width="4.42578125" style="11" customWidth="1"/>
    <col min="1053" max="1054" width="10.42578125" style="11" bestFit="1" customWidth="1"/>
    <col min="1055" max="1055" width="5.28515625" style="11" customWidth="1"/>
    <col min="1056" max="1056" width="6.140625" style="11" customWidth="1"/>
    <col min="1057" max="1057" width="9.5703125" style="11" bestFit="1" customWidth="1"/>
    <col min="1058" max="1059" width="10.42578125" style="11" bestFit="1" customWidth="1"/>
    <col min="1060" max="1060" width="5.28515625" style="11" customWidth="1"/>
    <col min="1061" max="1061" width="10.42578125" style="11" bestFit="1" customWidth="1"/>
    <col min="1062" max="1062" width="9.5703125" style="11" bestFit="1" customWidth="1"/>
    <col min="1063" max="1063" width="4.42578125" style="11" customWidth="1"/>
    <col min="1064" max="1064" width="10.42578125" style="11" bestFit="1" customWidth="1"/>
    <col min="1065" max="1066" width="5.28515625" style="11" customWidth="1"/>
    <col min="1067" max="1070" width="10.42578125" style="11" bestFit="1" customWidth="1"/>
    <col min="1071" max="1071" width="4.42578125" style="11" customWidth="1"/>
    <col min="1072" max="1072" width="7" style="11" customWidth="1"/>
    <col min="1073" max="1073" width="5.28515625" style="11" customWidth="1"/>
    <col min="1074" max="1079" width="10.42578125" style="11" bestFit="1" customWidth="1"/>
    <col min="1080" max="1080" width="4.42578125" style="11" customWidth="1"/>
    <col min="1081" max="1082" width="5.28515625" style="11" customWidth="1"/>
    <col min="1083" max="1086" width="10.42578125" style="11" bestFit="1" customWidth="1"/>
    <col min="1087" max="1087" width="9.5703125" style="11" bestFit="1" customWidth="1"/>
    <col min="1088" max="1088" width="3.5703125" style="11" customWidth="1"/>
    <col min="1089" max="1089" width="10.42578125" style="11" bestFit="1" customWidth="1"/>
    <col min="1090" max="1090" width="5.28515625" style="11" customWidth="1"/>
    <col min="1091" max="1096" width="10.42578125" style="11" bestFit="1" customWidth="1"/>
    <col min="1097" max="1097" width="4.42578125" style="11" customWidth="1"/>
    <col min="1098" max="1098" width="10.42578125" style="11" bestFit="1" customWidth="1"/>
    <col min="1099" max="1099" width="6.140625" style="11" customWidth="1"/>
    <col min="1100" max="1102" width="10.42578125" style="11" bestFit="1" customWidth="1"/>
    <col min="1103" max="1103" width="5.28515625" style="11" customWidth="1"/>
    <col min="1104" max="1104" width="10.42578125" style="11" bestFit="1" customWidth="1"/>
    <col min="1105" max="1105" width="5.28515625" style="11" customWidth="1"/>
    <col min="1106" max="1106" width="10.42578125" style="11" bestFit="1" customWidth="1"/>
    <col min="1107" max="1107" width="9.5703125" style="11" bestFit="1" customWidth="1"/>
    <col min="1108" max="1108" width="10.42578125" style="11" bestFit="1" customWidth="1"/>
    <col min="1109" max="1109" width="4.42578125" style="11" customWidth="1"/>
    <col min="1110" max="1111" width="10.42578125" style="11" bestFit="1" customWidth="1"/>
    <col min="1112" max="1112" width="6.140625" style="11" customWidth="1"/>
    <col min="1113" max="1117" width="10.42578125" style="11" bestFit="1" customWidth="1"/>
    <col min="1118" max="1118" width="4.42578125" style="11" customWidth="1"/>
    <col min="1119" max="1119" width="10.42578125" style="11" bestFit="1" customWidth="1"/>
    <col min="1120" max="1120" width="5.28515625" style="11" customWidth="1"/>
    <col min="1121" max="1121" width="10.42578125" style="11" bestFit="1" customWidth="1"/>
    <col min="1122" max="1122" width="6.140625" style="11" customWidth="1"/>
    <col min="1123" max="1123" width="4.42578125" style="11" customWidth="1"/>
    <col min="1124" max="1130" width="10.42578125" style="11" bestFit="1" customWidth="1"/>
    <col min="1131" max="1131" width="5.28515625" style="11" customWidth="1"/>
    <col min="1132" max="1132" width="4.42578125" style="11" customWidth="1"/>
    <col min="1133" max="1134" width="10.42578125" style="11" bestFit="1" customWidth="1"/>
    <col min="1135" max="1135" width="6.140625" style="11" customWidth="1"/>
    <col min="1136" max="1136" width="10.42578125" style="11" bestFit="1" customWidth="1"/>
    <col min="1137" max="1137" width="5.28515625" style="11" customWidth="1"/>
    <col min="1138" max="1138" width="8.7109375" style="11" customWidth="1"/>
    <col min="1139" max="1139" width="10.42578125" style="11" bestFit="1" customWidth="1"/>
    <col min="1140" max="1140" width="5.28515625" style="11" customWidth="1"/>
    <col min="1141" max="1146" width="10.42578125" style="11" bestFit="1" customWidth="1"/>
    <col min="1147" max="1147" width="5.28515625" style="11" customWidth="1"/>
    <col min="1148" max="1151" width="10.42578125" style="11" bestFit="1" customWidth="1"/>
    <col min="1152" max="1152" width="5.28515625" style="11" customWidth="1"/>
    <col min="1153" max="1156" width="10.42578125" style="11" bestFit="1" customWidth="1"/>
    <col min="1157" max="1157" width="9.5703125" style="11" bestFit="1" customWidth="1"/>
    <col min="1158" max="1160" width="10.42578125" style="11" bestFit="1" customWidth="1"/>
    <col min="1161" max="1161" width="9.5703125" style="11" bestFit="1" customWidth="1"/>
    <col min="1162" max="1162" width="10.42578125" style="11" bestFit="1" customWidth="1"/>
    <col min="1163" max="1163" width="4.42578125" style="11" customWidth="1"/>
    <col min="1164" max="1172" width="10.42578125" style="11" bestFit="1" customWidth="1"/>
    <col min="1173" max="1173" width="5.28515625" style="11" customWidth="1"/>
    <col min="1174" max="1176" width="10.42578125" style="11" bestFit="1" customWidth="1"/>
    <col min="1177" max="1177" width="4.42578125" style="11" customWidth="1"/>
    <col min="1178" max="1180" width="10.42578125" style="11" bestFit="1" customWidth="1"/>
    <col min="1181" max="1181" width="5.28515625" style="11" customWidth="1"/>
    <col min="1182" max="1183" width="10.42578125" style="11" bestFit="1" customWidth="1"/>
    <col min="1184" max="1184" width="3.5703125" style="11" customWidth="1"/>
    <col min="1185" max="1189" width="10.42578125" style="11" bestFit="1" customWidth="1"/>
    <col min="1190" max="1190" width="5.28515625" style="11" customWidth="1"/>
    <col min="1191" max="1192" width="10.42578125" style="11" bestFit="1" customWidth="1"/>
    <col min="1193" max="1193" width="5.28515625" style="11" customWidth="1"/>
    <col min="1194" max="1195" width="10.42578125" style="11" bestFit="1" customWidth="1"/>
    <col min="1196" max="1196" width="5.28515625" style="11" customWidth="1"/>
    <col min="1197" max="1199" width="10.42578125" style="11" bestFit="1" customWidth="1"/>
    <col min="1200" max="1200" width="5.28515625" style="11" customWidth="1"/>
    <col min="1201" max="1201" width="10.42578125" style="11" bestFit="1" customWidth="1"/>
    <col min="1202" max="1202" width="8.7109375" style="11" customWidth="1"/>
    <col min="1203" max="1204" width="10.42578125" style="11" bestFit="1" customWidth="1"/>
    <col min="1205" max="1205" width="5.28515625" style="11" customWidth="1"/>
    <col min="1206" max="1206" width="10.42578125" style="11" bestFit="1" customWidth="1"/>
    <col min="1207" max="1207" width="4.42578125" style="11" customWidth="1"/>
    <col min="1208" max="1208" width="5.28515625" style="11" customWidth="1"/>
    <col min="1209" max="1212" width="10.42578125" style="11" bestFit="1" customWidth="1"/>
    <col min="1213" max="1213" width="5.28515625" style="11" customWidth="1"/>
    <col min="1214" max="1214" width="6.140625" style="11" customWidth="1"/>
    <col min="1215" max="1215" width="5.28515625" style="11" customWidth="1"/>
    <col min="1216" max="1216" width="10.42578125" style="11" bestFit="1" customWidth="1"/>
    <col min="1217" max="1217" width="5.28515625" style="11" customWidth="1"/>
    <col min="1218" max="1222" width="10.42578125" style="11" bestFit="1" customWidth="1"/>
    <col min="1223" max="1224" width="5.28515625" style="11" customWidth="1"/>
    <col min="1225" max="1225" width="10.42578125" style="11" bestFit="1" customWidth="1"/>
    <col min="1226" max="1226" width="4.42578125" style="11" customWidth="1"/>
    <col min="1227" max="1229" width="10.42578125" style="11" bestFit="1" customWidth="1"/>
    <col min="1230" max="1230" width="5.28515625" style="11" customWidth="1"/>
    <col min="1231" max="1232" width="10.42578125" style="11" bestFit="1" customWidth="1"/>
    <col min="1233" max="1233" width="9.5703125" style="11" bestFit="1" customWidth="1"/>
    <col min="1234" max="1234" width="4.42578125" style="11" customWidth="1"/>
    <col min="1235" max="1235" width="10.42578125" style="11" bestFit="1" customWidth="1"/>
    <col min="1236" max="1236" width="5.28515625" style="11" customWidth="1"/>
    <col min="1237" max="1237" width="10.42578125" style="11" bestFit="1" customWidth="1"/>
    <col min="1238" max="1238" width="5.28515625" style="11" customWidth="1"/>
    <col min="1239" max="1240" width="10.42578125" style="11" bestFit="1" customWidth="1"/>
    <col min="1241" max="1241" width="4.42578125" style="11" customWidth="1"/>
    <col min="1242" max="1246" width="10.42578125" style="11" bestFit="1" customWidth="1"/>
    <col min="1247" max="1247" width="5.28515625" style="11" customWidth="1"/>
    <col min="1248" max="1248" width="6.140625" style="11" customWidth="1"/>
    <col min="1249" max="1249" width="9.5703125" style="11" bestFit="1" customWidth="1"/>
    <col min="1250" max="1250" width="4.42578125" style="11" customWidth="1"/>
    <col min="1251" max="1253" width="10.42578125" style="11" bestFit="1" customWidth="1"/>
    <col min="1254" max="1254" width="5.28515625" style="11" customWidth="1"/>
    <col min="1255" max="1255" width="10.42578125" style="11" bestFit="1" customWidth="1"/>
    <col min="1256" max="1256" width="6.140625" style="11" customWidth="1"/>
    <col min="1257" max="1257" width="4.42578125" style="11" customWidth="1"/>
    <col min="1258" max="1259" width="5.28515625" style="11" customWidth="1"/>
    <col min="1260" max="1264" width="10.42578125" style="11" bestFit="1" customWidth="1"/>
    <col min="1265" max="1265" width="3.5703125" style="11" customWidth="1"/>
    <col min="1266" max="1267" width="10.42578125" style="11" bestFit="1" customWidth="1"/>
    <col min="1268" max="1268" width="5.28515625" style="11" customWidth="1"/>
    <col min="1269" max="1269" width="6.140625" style="11" customWidth="1"/>
    <col min="1270" max="1271" width="10.42578125" style="11" bestFit="1" customWidth="1"/>
    <col min="1272" max="1272" width="5.28515625" style="11" customWidth="1"/>
    <col min="1273" max="1274" width="10.42578125" style="11" bestFit="1" customWidth="1"/>
    <col min="1275" max="1276" width="6.140625" style="11" customWidth="1"/>
    <col min="1277" max="1280" width="10.42578125" style="11" bestFit="1" customWidth="1"/>
    <col min="1281" max="1281" width="5.28515625" style="11" customWidth="1"/>
    <col min="1282" max="1286" width="10.42578125" style="11" bestFit="1" customWidth="1"/>
    <col min="1287" max="1287" width="4.42578125" style="11" customWidth="1"/>
    <col min="1288" max="1288" width="5.28515625" style="11" customWidth="1"/>
    <col min="1289" max="1289" width="10.42578125" style="11" bestFit="1" customWidth="1"/>
    <col min="1290" max="1290" width="5.28515625" style="11" customWidth="1"/>
    <col min="1291" max="1292" width="10.42578125" style="11" bestFit="1" customWidth="1"/>
    <col min="1293" max="1293" width="4.42578125" style="11" customWidth="1"/>
    <col min="1294" max="1296" width="10.42578125" style="11" bestFit="1" customWidth="1"/>
    <col min="1297" max="1297" width="5.28515625" style="11" customWidth="1"/>
    <col min="1298" max="1299" width="10.42578125" style="11" bestFit="1" customWidth="1"/>
    <col min="1300" max="1300" width="4.42578125" style="11" customWidth="1"/>
    <col min="1301" max="1303" width="10.42578125" style="11" bestFit="1" customWidth="1"/>
    <col min="1304" max="1304" width="5.28515625" style="11" customWidth="1"/>
    <col min="1305" max="1305" width="10.42578125" style="11" bestFit="1" customWidth="1"/>
    <col min="1306" max="1306" width="4.42578125" style="11" customWidth="1"/>
    <col min="1307" max="1308" width="10.42578125" style="11" bestFit="1" customWidth="1"/>
    <col min="1309" max="1309" width="5.28515625" style="11" customWidth="1"/>
    <col min="1310" max="1313" width="10.42578125" style="11" bestFit="1" customWidth="1"/>
    <col min="1314" max="1315" width="6.140625" style="11" customWidth="1"/>
    <col min="1316" max="1316" width="10.42578125" style="11" bestFit="1" customWidth="1"/>
    <col min="1317" max="1317" width="5.28515625" style="11" customWidth="1"/>
    <col min="1318" max="1318" width="10.42578125" style="11" bestFit="1" customWidth="1"/>
    <col min="1319" max="1319" width="5.28515625" style="11" customWidth="1"/>
    <col min="1320" max="1320" width="10.42578125" style="11" bestFit="1" customWidth="1"/>
    <col min="1321" max="1321" width="5.28515625" style="11" customWidth="1"/>
    <col min="1322" max="1322" width="10.42578125" style="11" bestFit="1" customWidth="1"/>
    <col min="1323" max="1323" width="4.42578125" style="11" customWidth="1"/>
    <col min="1324" max="1324" width="10.42578125" style="11" bestFit="1" customWidth="1"/>
    <col min="1325" max="1325" width="5.28515625" style="11" customWidth="1"/>
    <col min="1326" max="1327" width="10.42578125" style="11" bestFit="1" customWidth="1"/>
    <col min="1328" max="1328" width="9.5703125" style="11" bestFit="1" customWidth="1"/>
    <col min="1329" max="1330" width="5.28515625" style="11" customWidth="1"/>
    <col min="1331" max="1333" width="10.42578125" style="11" bestFit="1" customWidth="1"/>
    <col min="1334" max="1334" width="4.42578125" style="11" customWidth="1"/>
    <col min="1335" max="1335" width="10.42578125" style="11" bestFit="1" customWidth="1"/>
    <col min="1336" max="1336" width="5.28515625" style="11" customWidth="1"/>
    <col min="1337" max="1338" width="10.42578125" style="11" bestFit="1" customWidth="1"/>
    <col min="1339" max="1339" width="3.5703125" style="11" customWidth="1"/>
    <col min="1340" max="1347" width="10.42578125" style="11" bestFit="1" customWidth="1"/>
    <col min="1348" max="1348" width="9.5703125" style="11" bestFit="1" customWidth="1"/>
    <col min="1349" max="1350" width="10.42578125" style="11" bestFit="1" customWidth="1"/>
    <col min="1351" max="1351" width="4.42578125" style="11" customWidth="1"/>
    <col min="1352" max="1355" width="10.42578125" style="11" bestFit="1" customWidth="1"/>
    <col min="1356" max="1356" width="5.28515625" style="11" customWidth="1"/>
    <col min="1357" max="1361" width="10.42578125" style="11" bestFit="1" customWidth="1"/>
    <col min="1362" max="1362" width="4.42578125" style="11" customWidth="1"/>
    <col min="1363" max="1363" width="5.28515625" style="11" customWidth="1"/>
    <col min="1364" max="1370" width="10.42578125" style="11" bestFit="1" customWidth="1"/>
    <col min="1371" max="1371" width="9.5703125" style="11" bestFit="1" customWidth="1"/>
    <col min="1372" max="1372" width="6.140625" style="11" customWidth="1"/>
    <col min="1373" max="1373" width="9.5703125" style="11" bestFit="1" customWidth="1"/>
    <col min="1374" max="1374" width="4.42578125" style="11" customWidth="1"/>
    <col min="1375" max="1376" width="10.42578125" style="11" bestFit="1" customWidth="1"/>
    <col min="1377" max="1378" width="5.28515625" style="11" customWidth="1"/>
    <col min="1379" max="1380" width="10.42578125" style="11" bestFit="1" customWidth="1"/>
    <col min="1381" max="1381" width="9.5703125" style="11" bestFit="1" customWidth="1"/>
    <col min="1382" max="1391" width="10.42578125" style="11" bestFit="1" customWidth="1"/>
    <col min="1392" max="1393" width="5.28515625" style="11" customWidth="1"/>
    <col min="1394" max="1395" width="10.42578125" style="11" bestFit="1" customWidth="1"/>
    <col min="1396" max="1396" width="4.42578125" style="11" customWidth="1"/>
    <col min="1397" max="1398" width="10.42578125" style="11" bestFit="1" customWidth="1"/>
    <col min="1399" max="1399" width="5.28515625" style="11" customWidth="1"/>
    <col min="1400" max="1400" width="9.5703125" style="11" bestFit="1" customWidth="1"/>
    <col min="1401" max="1402" width="10.42578125" style="11" bestFit="1" customWidth="1"/>
    <col min="1403" max="1404" width="5.28515625" style="11" customWidth="1"/>
    <col min="1405" max="1408" width="10.42578125" style="11" bestFit="1" customWidth="1"/>
    <col min="1409" max="1409" width="7" style="11" customWidth="1"/>
    <col min="1410" max="1410" width="4.42578125" style="11" customWidth="1"/>
    <col min="1411" max="1411" width="10.42578125" style="11" bestFit="1" customWidth="1"/>
    <col min="1412" max="1412" width="6.140625" style="11" customWidth="1"/>
    <col min="1413" max="1413" width="9.5703125" style="11" bestFit="1" customWidth="1"/>
    <col min="1414" max="1423" width="10.42578125" style="11" bestFit="1" customWidth="1"/>
    <col min="1424" max="1424" width="9.5703125" style="11" bestFit="1" customWidth="1"/>
    <col min="1425" max="1425" width="10.42578125" style="11" bestFit="1" customWidth="1"/>
    <col min="1426" max="1426" width="9.5703125" style="11" bestFit="1" customWidth="1"/>
    <col min="1427" max="1427" width="4.42578125" style="11" customWidth="1"/>
    <col min="1428" max="1429" width="9.5703125" style="11" bestFit="1" customWidth="1"/>
    <col min="1430" max="1432" width="10.42578125" style="11" bestFit="1" customWidth="1"/>
    <col min="1433" max="1433" width="9.5703125" style="11" bestFit="1" customWidth="1"/>
    <col min="1434" max="1435" width="10.42578125" style="11" bestFit="1" customWidth="1"/>
    <col min="1436" max="1436" width="9.5703125" style="11" bestFit="1" customWidth="1"/>
    <col min="1437" max="1440" width="10.42578125" style="11" bestFit="1" customWidth="1"/>
    <col min="1441" max="1441" width="5.28515625" style="11" customWidth="1"/>
    <col min="1442" max="1446" width="10.42578125" style="11" bestFit="1" customWidth="1"/>
    <col min="1447" max="1447" width="4.42578125" style="11" customWidth="1"/>
    <col min="1448" max="1448" width="6.140625" style="11" customWidth="1"/>
    <col min="1449" max="1449" width="10.42578125" style="11" bestFit="1" customWidth="1"/>
    <col min="1450" max="1450" width="5.28515625" style="11" customWidth="1"/>
    <col min="1451" max="1451" width="8.7109375" style="11" customWidth="1"/>
    <col min="1452" max="1454" width="10.42578125" style="11" bestFit="1" customWidth="1"/>
    <col min="1455" max="1455" width="5.28515625" style="11" customWidth="1"/>
    <col min="1456" max="1460" width="10.42578125" style="11" bestFit="1" customWidth="1"/>
    <col min="1461" max="1461" width="5.28515625" style="11" customWidth="1"/>
    <col min="1462" max="1472" width="10.42578125" style="11" bestFit="1" customWidth="1"/>
    <col min="1473" max="1473" width="9.5703125" style="11" bestFit="1" customWidth="1"/>
    <col min="1474" max="1486" width="10.42578125" style="11" bestFit="1" customWidth="1"/>
    <col min="1487" max="1487" width="9.5703125" style="11" bestFit="1" customWidth="1"/>
    <col min="1488" max="1489" width="10.42578125" style="11" bestFit="1" customWidth="1"/>
    <col min="1490" max="1490" width="5.28515625" style="11" customWidth="1"/>
    <col min="1491" max="1493" width="10.42578125" style="11" bestFit="1" customWidth="1"/>
    <col min="1494" max="1494" width="9.5703125" style="11" bestFit="1" customWidth="1"/>
    <col min="1495" max="1496" width="10.42578125" style="11" bestFit="1" customWidth="1"/>
    <col min="1497" max="1497" width="6.140625" style="11" customWidth="1"/>
    <col min="1498" max="1500" width="10.42578125" style="11" bestFit="1" customWidth="1"/>
    <col min="1501" max="1501" width="4.42578125" style="11" customWidth="1"/>
    <col min="1502" max="1502" width="8.5703125" style="11" customWidth="1"/>
    <col min="1503" max="16384" width="9.140625" style="11"/>
  </cols>
  <sheetData>
    <row r="1" spans="1:1502">
      <c r="A1" s="165" t="s">
        <v>189</v>
      </c>
    </row>
    <row r="2" spans="1:1502" ht="15">
      <c r="G2" s="168" t="s">
        <v>263</v>
      </c>
      <c r="H2" s="169" t="s">
        <v>62</v>
      </c>
      <c r="M2" s="164" t="s">
        <v>268</v>
      </c>
      <c r="U2" s="164" t="s">
        <v>269</v>
      </c>
      <c r="AC2" s="164" t="s">
        <v>240</v>
      </c>
      <c r="AI2" s="164" t="s">
        <v>244</v>
      </c>
    </row>
    <row r="3" spans="1:1502" ht="12">
      <c r="A3" s="170" t="s">
        <v>1</v>
      </c>
      <c r="G3" s="168" t="s">
        <v>261</v>
      </c>
      <c r="H3" s="169" t="s">
        <v>87</v>
      </c>
    </row>
    <row r="4" spans="1:1502" ht="12.75" thickBot="1">
      <c r="A4" s="171" t="s">
        <v>2</v>
      </c>
      <c r="G4" s="168" t="s">
        <v>264</v>
      </c>
      <c r="H4" s="169" t="s">
        <v>63</v>
      </c>
    </row>
    <row r="5" spans="1:1502" ht="15.75" thickBot="1">
      <c r="A5" s="171" t="s">
        <v>3</v>
      </c>
      <c r="G5" s="168" t="s">
        <v>265</v>
      </c>
      <c r="H5" s="169" t="s">
        <v>88</v>
      </c>
      <c r="M5" s="16" t="s">
        <v>121</v>
      </c>
      <c r="N5" s="15" t="s">
        <v>187</v>
      </c>
      <c r="Q5" s="16" t="s">
        <v>121</v>
      </c>
      <c r="R5" s="15" t="s">
        <v>187</v>
      </c>
      <c r="U5"/>
      <c r="V5"/>
      <c r="AC5" s="74" t="s">
        <v>121</v>
      </c>
      <c r="AD5" s="75" t="s">
        <v>187</v>
      </c>
      <c r="AI5" s="74" t="s">
        <v>121</v>
      </c>
      <c r="AJ5" s="75" t="s">
        <v>187</v>
      </c>
    </row>
    <row r="6" spans="1:1502" ht="12" thickBot="1">
      <c r="A6" s="173"/>
      <c r="B6" s="173"/>
      <c r="G6" s="168" t="s">
        <v>260</v>
      </c>
      <c r="H6" s="169" t="s">
        <v>136</v>
      </c>
      <c r="M6" s="161" t="s">
        <v>183</v>
      </c>
      <c r="N6" s="159" t="s">
        <v>187</v>
      </c>
      <c r="Q6" s="161" t="s">
        <v>183</v>
      </c>
      <c r="R6" s="159" t="s">
        <v>187</v>
      </c>
      <c r="U6" s="16" t="s">
        <v>121</v>
      </c>
      <c r="V6" s="15" t="s">
        <v>187</v>
      </c>
      <c r="Y6" s="16" t="s">
        <v>121</v>
      </c>
      <c r="Z6" s="15" t="s">
        <v>187</v>
      </c>
      <c r="AC6" s="162" t="s">
        <v>183</v>
      </c>
      <c r="AD6" s="160" t="s">
        <v>187</v>
      </c>
      <c r="AI6" s="162" t="s">
        <v>183</v>
      </c>
      <c r="AJ6" s="160" t="s">
        <v>187</v>
      </c>
    </row>
    <row r="7" spans="1:1502" ht="12" thickBot="1">
      <c r="A7" s="172" t="s">
        <v>121</v>
      </c>
      <c r="B7" s="173" t="s">
        <v>187</v>
      </c>
      <c r="G7" s="168" t="s">
        <v>262</v>
      </c>
      <c r="H7" s="169" t="s">
        <v>69</v>
      </c>
      <c r="M7" s="16" t="s">
        <v>184</v>
      </c>
      <c r="N7" s="15" t="s">
        <v>187</v>
      </c>
      <c r="Q7" s="16" t="s">
        <v>184</v>
      </c>
      <c r="R7" s="15" t="s">
        <v>187</v>
      </c>
      <c r="U7" s="161" t="s">
        <v>183</v>
      </c>
      <c r="V7" s="159" t="s">
        <v>187</v>
      </c>
      <c r="Y7" s="161" t="s">
        <v>183</v>
      </c>
      <c r="Z7" s="159" t="s">
        <v>187</v>
      </c>
      <c r="AC7" s="74" t="s">
        <v>184</v>
      </c>
      <c r="AD7" s="75" t="s">
        <v>187</v>
      </c>
      <c r="AI7" s="74" t="s">
        <v>184</v>
      </c>
      <c r="AJ7" s="75" t="s">
        <v>187</v>
      </c>
    </row>
    <row r="8" spans="1:1502" ht="12" thickBot="1">
      <c r="A8" s="172" t="s">
        <v>270</v>
      </c>
      <c r="B8" s="173" t="s">
        <v>271</v>
      </c>
      <c r="M8" s="16" t="s">
        <v>270</v>
      </c>
      <c r="N8" s="15" t="s">
        <v>187</v>
      </c>
      <c r="Q8" s="16" t="s">
        <v>270</v>
      </c>
      <c r="R8" s="15" t="s">
        <v>187</v>
      </c>
      <c r="U8" s="16" t="s">
        <v>184</v>
      </c>
      <c r="V8" s="15" t="s">
        <v>187</v>
      </c>
      <c r="Y8" s="16" t="s">
        <v>184</v>
      </c>
      <c r="Z8" s="15" t="s">
        <v>187</v>
      </c>
      <c r="AC8" s="74" t="s">
        <v>182</v>
      </c>
      <c r="AD8" s="75" t="s">
        <v>187</v>
      </c>
      <c r="AI8" s="74" t="s">
        <v>182</v>
      </c>
      <c r="AJ8" s="75" t="s">
        <v>187</v>
      </c>
    </row>
    <row r="9" spans="1:1502" ht="12" thickBot="1">
      <c r="A9" s="172" t="s">
        <v>182</v>
      </c>
      <c r="B9" s="188" t="s">
        <v>272</v>
      </c>
      <c r="M9" s="16" t="s">
        <v>182</v>
      </c>
      <c r="N9" s="15" t="s">
        <v>187</v>
      </c>
      <c r="Q9" s="16" t="s">
        <v>182</v>
      </c>
      <c r="R9" s="15" t="s">
        <v>187</v>
      </c>
      <c r="U9" s="16" t="s">
        <v>270</v>
      </c>
      <c r="V9" s="15" t="s">
        <v>187</v>
      </c>
      <c r="Y9" s="16" t="s">
        <v>182</v>
      </c>
      <c r="Z9" s="15" t="s">
        <v>187</v>
      </c>
      <c r="AC9" s="74" t="s">
        <v>270</v>
      </c>
      <c r="AD9" s="75" t="s">
        <v>271</v>
      </c>
      <c r="AI9" s="74" t="s">
        <v>270</v>
      </c>
      <c r="AJ9" s="75" t="s">
        <v>187</v>
      </c>
    </row>
    <row r="10" spans="1:1502" ht="12" thickBot="1">
      <c r="A10" s="174" t="s">
        <v>183</v>
      </c>
      <c r="B10" s="169" t="s">
        <v>187</v>
      </c>
      <c r="C10" s="180"/>
      <c r="D10" s="175"/>
      <c r="M10" s="16" t="s">
        <v>193</v>
      </c>
      <c r="N10" s="15" t="s">
        <v>187</v>
      </c>
      <c r="Q10" s="16" t="s">
        <v>193</v>
      </c>
      <c r="R10" s="15" t="s">
        <v>187</v>
      </c>
      <c r="U10" s="16" t="s">
        <v>182</v>
      </c>
      <c r="V10" s="15" t="s">
        <v>187</v>
      </c>
      <c r="Y10" s="16" t="s">
        <v>270</v>
      </c>
      <c r="Z10" s="15" t="s">
        <v>187</v>
      </c>
      <c r="AC10" s="74" t="s">
        <v>193</v>
      </c>
      <c r="AD10" s="75" t="s">
        <v>187</v>
      </c>
      <c r="AI10" s="74" t="s">
        <v>193</v>
      </c>
      <c r="AJ10" s="75" t="s">
        <v>187</v>
      </c>
    </row>
    <row r="11" spans="1:1502" ht="12" thickBot="1">
      <c r="A11" s="172" t="s">
        <v>184</v>
      </c>
      <c r="B11" s="173" t="s">
        <v>187</v>
      </c>
      <c r="C11" s="181"/>
      <c r="D11" s="175"/>
      <c r="M11" s="16" t="s">
        <v>194</v>
      </c>
      <c r="N11" s="15" t="s">
        <v>187</v>
      </c>
      <c r="Q11" s="16" t="s">
        <v>194</v>
      </c>
      <c r="R11" s="15" t="s">
        <v>187</v>
      </c>
      <c r="U11" s="16" t="s">
        <v>193</v>
      </c>
      <c r="V11" s="15" t="s">
        <v>187</v>
      </c>
      <c r="Y11" s="16" t="s">
        <v>193</v>
      </c>
      <c r="Z11" s="15" t="s">
        <v>187</v>
      </c>
      <c r="AC11" s="74" t="s">
        <v>194</v>
      </c>
      <c r="AD11" s="75" t="s">
        <v>187</v>
      </c>
      <c r="AI11" s="74" t="s">
        <v>194</v>
      </c>
      <c r="AJ11" s="75" t="s">
        <v>187</v>
      </c>
    </row>
    <row r="12" spans="1:1502" ht="12" thickBot="1">
      <c r="A12" s="172" t="s">
        <v>193</v>
      </c>
      <c r="B12" s="173" t="s">
        <v>187</v>
      </c>
      <c r="C12" s="180"/>
      <c r="D12" s="175"/>
      <c r="M12" s="16" t="s">
        <v>203</v>
      </c>
      <c r="N12" s="14">
        <v>0</v>
      </c>
      <c r="Q12" s="16" t="s">
        <v>203</v>
      </c>
      <c r="R12" s="14">
        <v>0</v>
      </c>
      <c r="U12" s="16" t="s">
        <v>194</v>
      </c>
      <c r="V12" s="15" t="s">
        <v>187</v>
      </c>
      <c r="Y12" s="16" t="s">
        <v>194</v>
      </c>
      <c r="Z12" s="15" t="s">
        <v>187</v>
      </c>
      <c r="AC12" s="74" t="s">
        <v>203</v>
      </c>
      <c r="AD12" s="76">
        <v>0</v>
      </c>
      <c r="AI12" s="74" t="s">
        <v>203</v>
      </c>
      <c r="AJ12" s="76">
        <v>0</v>
      </c>
    </row>
    <row r="13" spans="1:1502" ht="12" thickBot="1">
      <c r="A13" s="172" t="s">
        <v>194</v>
      </c>
      <c r="B13" s="173" t="s">
        <v>187</v>
      </c>
      <c r="C13" s="181"/>
      <c r="D13" s="175"/>
      <c r="M13" s="16" t="s">
        <v>258</v>
      </c>
      <c r="N13" s="14">
        <v>1</v>
      </c>
      <c r="Q13" s="16" t="s">
        <v>257</v>
      </c>
      <c r="R13" s="14">
        <v>1</v>
      </c>
      <c r="U13" s="16" t="s">
        <v>218</v>
      </c>
      <c r="V13" s="14">
        <v>1</v>
      </c>
      <c r="Y13" s="16" t="s">
        <v>216</v>
      </c>
      <c r="Z13" s="14">
        <v>1</v>
      </c>
      <c r="AC13" s="74" t="s">
        <v>259</v>
      </c>
      <c r="AD13" s="75" t="s">
        <v>187</v>
      </c>
      <c r="AI13" s="74" t="s">
        <v>259</v>
      </c>
      <c r="AJ13" s="75" t="s">
        <v>153</v>
      </c>
    </row>
    <row r="14" spans="1:1502" ht="13.5" thickBot="1">
      <c r="C14" s="175"/>
      <c r="D14" s="175"/>
      <c r="K14" s="12"/>
      <c r="L14" s="12"/>
    </row>
    <row r="15" spans="1:1502" ht="15">
      <c r="A15" s="186"/>
      <c r="B15" s="187" t="s">
        <v>186</v>
      </c>
      <c r="C15" s="186"/>
      <c r="D15" s="186"/>
      <c r="E15" s="186"/>
      <c r="F15" s="186"/>
      <c r="G15" s="186"/>
      <c r="H15" s="186"/>
      <c r="I15" s="186"/>
      <c r="J15" s="186"/>
      <c r="K15" s="17"/>
      <c r="L15" s="17"/>
      <c r="M15" s="16" t="s">
        <v>4</v>
      </c>
      <c r="N15" s="15" t="s">
        <v>256</v>
      </c>
      <c r="O15"/>
      <c r="P15"/>
      <c r="Q15" s="16" t="s">
        <v>4</v>
      </c>
      <c r="R15" s="15" t="s">
        <v>256</v>
      </c>
      <c r="S15"/>
      <c r="T15"/>
      <c r="U15" s="16" t="s">
        <v>239</v>
      </c>
      <c r="V15" s="15" t="s">
        <v>256</v>
      </c>
      <c r="W15"/>
      <c r="X15"/>
      <c r="Y15" s="16" t="s">
        <v>239</v>
      </c>
      <c r="Z15" s="15" t="s">
        <v>256</v>
      </c>
      <c r="AA15"/>
      <c r="AB15"/>
      <c r="AC15" s="61" t="s">
        <v>186</v>
      </c>
      <c r="AD15" s="62"/>
      <c r="AE15" s="62"/>
      <c r="AF15" s="63"/>
      <c r="AG15"/>
      <c r="AH15"/>
      <c r="AI15" s="61" t="s">
        <v>186</v>
      </c>
      <c r="AJ15" s="62"/>
      <c r="AK15" s="62"/>
      <c r="AL15" s="6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  <c r="AML15"/>
      <c r="AMM15"/>
      <c r="AMN15"/>
      <c r="AMO15"/>
      <c r="AMP15"/>
      <c r="AMQ15"/>
      <c r="AMR15"/>
      <c r="AMS15"/>
      <c r="AMT15"/>
      <c r="AMU15"/>
      <c r="AMV15"/>
      <c r="AMW15"/>
      <c r="AMX15"/>
      <c r="AMY15"/>
      <c r="AMZ15"/>
      <c r="ANA15"/>
      <c r="ANB15"/>
      <c r="ANC15"/>
      <c r="AND15"/>
      <c r="ANE15"/>
      <c r="ANF15"/>
      <c r="ANG15"/>
      <c r="ANH15"/>
      <c r="ANI15"/>
      <c r="ANJ15"/>
      <c r="ANK15"/>
      <c r="ANL15"/>
      <c r="ANM15"/>
      <c r="ANN15"/>
      <c r="ANO15"/>
      <c r="ANP15"/>
      <c r="ANQ15"/>
      <c r="ANR15"/>
      <c r="ANS15"/>
      <c r="ANT15"/>
      <c r="ANU15"/>
      <c r="ANV15"/>
      <c r="ANW15"/>
      <c r="ANX15"/>
      <c r="ANY15"/>
      <c r="ANZ15"/>
      <c r="AOA15"/>
      <c r="AOB15"/>
      <c r="AOC15"/>
      <c r="AOD15"/>
      <c r="AOE15"/>
      <c r="AOF15"/>
      <c r="AOG15"/>
      <c r="AOH15"/>
      <c r="AOI15"/>
      <c r="AOJ15"/>
      <c r="AOK15"/>
      <c r="AOL15"/>
      <c r="AOM15"/>
      <c r="AON15"/>
      <c r="AOO15"/>
      <c r="AOP15"/>
      <c r="AOQ15"/>
      <c r="AOR15"/>
      <c r="AOS15"/>
      <c r="AOT15"/>
      <c r="AOU15"/>
      <c r="AOV15"/>
      <c r="AOW15"/>
      <c r="AOX15"/>
      <c r="AOY15"/>
      <c r="AOZ15"/>
      <c r="APA15"/>
      <c r="APB15"/>
      <c r="APC15"/>
      <c r="APD15"/>
      <c r="APE15"/>
      <c r="APF15"/>
      <c r="APG15"/>
      <c r="APH15"/>
      <c r="API15"/>
      <c r="APJ15"/>
      <c r="APK15"/>
      <c r="APL15"/>
      <c r="APM15"/>
      <c r="APN15"/>
      <c r="APO15"/>
      <c r="APP15"/>
      <c r="APQ15"/>
      <c r="APR15"/>
      <c r="APS15"/>
      <c r="APT15"/>
      <c r="APU15"/>
      <c r="APV15"/>
      <c r="APW15"/>
      <c r="APX15"/>
      <c r="APY15"/>
      <c r="APZ15"/>
      <c r="AQA15"/>
      <c r="AQB15"/>
      <c r="AQC15"/>
      <c r="AQD15"/>
      <c r="AQE15"/>
      <c r="AQF15"/>
      <c r="AQG15"/>
      <c r="AQH15"/>
      <c r="AQI15"/>
      <c r="AQJ15"/>
      <c r="AQK15"/>
      <c r="AQL15"/>
      <c r="AQM15"/>
      <c r="AQN15"/>
      <c r="AQO15"/>
      <c r="AQP15"/>
      <c r="AQQ15"/>
      <c r="AQR15"/>
      <c r="AQS15"/>
      <c r="AQT15"/>
      <c r="AQU15"/>
      <c r="AQV15"/>
      <c r="AQW15"/>
      <c r="AQX15"/>
      <c r="AQY15"/>
      <c r="AQZ15"/>
      <c r="ARA15"/>
      <c r="ARB15"/>
      <c r="ARC15"/>
      <c r="ARD15"/>
      <c r="ARE15"/>
      <c r="ARF15"/>
      <c r="ARG15"/>
      <c r="ARH15"/>
      <c r="ARI15"/>
      <c r="ARJ15"/>
      <c r="ARK15"/>
      <c r="ARL15"/>
      <c r="ARM15"/>
      <c r="ARN15"/>
      <c r="ARO15"/>
      <c r="ARP15"/>
      <c r="ARQ15"/>
      <c r="ARR15"/>
      <c r="ARS15"/>
      <c r="ART15"/>
      <c r="ARU15"/>
      <c r="ARV15"/>
      <c r="ARW15"/>
      <c r="ARX15"/>
      <c r="ARY15"/>
      <c r="ARZ15"/>
      <c r="ASA15"/>
      <c r="ASB15"/>
      <c r="ASC15"/>
      <c r="ASD15"/>
      <c r="ASE15"/>
      <c r="ASF15"/>
      <c r="ASG15"/>
      <c r="ASH15"/>
      <c r="ASI15"/>
      <c r="ASJ15"/>
      <c r="ASK15"/>
      <c r="ASL15"/>
      <c r="ASM15"/>
      <c r="ASN15"/>
      <c r="ASO15"/>
      <c r="ASP15"/>
      <c r="ASQ15"/>
      <c r="ASR15"/>
      <c r="ASS15"/>
      <c r="AST15"/>
      <c r="ASU15"/>
      <c r="ASV15"/>
      <c r="ASW15"/>
      <c r="ASX15"/>
      <c r="ASY15"/>
      <c r="ASZ15"/>
      <c r="ATA15"/>
      <c r="ATB15"/>
      <c r="ATC15"/>
      <c r="ATD15"/>
      <c r="ATE15"/>
      <c r="ATF15"/>
      <c r="ATG15"/>
      <c r="ATH15"/>
      <c r="ATI15"/>
      <c r="ATJ15"/>
      <c r="ATK15"/>
      <c r="ATL15"/>
      <c r="ATM15"/>
      <c r="ATN15"/>
      <c r="ATO15"/>
      <c r="ATP15"/>
      <c r="ATQ15"/>
      <c r="ATR15"/>
      <c r="ATS15"/>
      <c r="ATT15"/>
      <c r="ATU15"/>
      <c r="ATV15"/>
      <c r="ATW15"/>
      <c r="ATX15"/>
      <c r="ATY15"/>
      <c r="ATZ15"/>
      <c r="AUA15"/>
      <c r="AUB15"/>
      <c r="AUC15"/>
      <c r="AUD15"/>
      <c r="AUE15"/>
      <c r="AUF15"/>
      <c r="AUG15"/>
      <c r="AUH15"/>
      <c r="AUI15"/>
      <c r="AUJ15"/>
      <c r="AUK15"/>
      <c r="AUL15"/>
      <c r="AUM15"/>
      <c r="AUN15"/>
      <c r="AUO15"/>
      <c r="AUP15"/>
      <c r="AUQ15"/>
      <c r="AUR15"/>
      <c r="AUS15"/>
      <c r="AUT15"/>
      <c r="AUU15"/>
      <c r="AUV15"/>
      <c r="AUW15"/>
      <c r="AUX15"/>
      <c r="AUY15"/>
      <c r="AUZ15"/>
      <c r="AVA15"/>
      <c r="AVB15"/>
      <c r="AVC15"/>
      <c r="AVD15"/>
      <c r="AVE15"/>
      <c r="AVF15"/>
      <c r="AVG15"/>
      <c r="AVH15"/>
      <c r="AVI15"/>
      <c r="AVJ15"/>
      <c r="AVK15"/>
      <c r="AVL15"/>
      <c r="AVM15"/>
      <c r="AVN15"/>
      <c r="AVO15"/>
      <c r="AVP15"/>
      <c r="AVQ15"/>
      <c r="AVR15"/>
      <c r="AVS15"/>
      <c r="AVT15"/>
      <c r="AVU15"/>
      <c r="AVV15"/>
      <c r="AVW15"/>
      <c r="AVX15"/>
      <c r="AVY15"/>
      <c r="AVZ15"/>
      <c r="AWA15"/>
      <c r="AWB15"/>
      <c r="AWC15"/>
      <c r="AWD15"/>
      <c r="AWE15"/>
      <c r="AWF15"/>
      <c r="AWG15"/>
      <c r="AWH15"/>
      <c r="AWI15"/>
      <c r="AWJ15"/>
      <c r="AWK15"/>
      <c r="AWL15"/>
      <c r="AWM15"/>
      <c r="AWN15"/>
      <c r="AWO15"/>
      <c r="AWP15"/>
      <c r="AWQ15"/>
      <c r="AWR15"/>
      <c r="AWS15"/>
      <c r="AWT15"/>
      <c r="AWU15"/>
      <c r="AWV15"/>
      <c r="AWW15"/>
      <c r="AWX15"/>
      <c r="AWY15"/>
      <c r="AWZ15"/>
      <c r="AXA15"/>
      <c r="AXB15"/>
      <c r="AXC15"/>
      <c r="AXD15"/>
      <c r="AXE15"/>
      <c r="AXF15"/>
      <c r="AXG15"/>
      <c r="AXH15"/>
      <c r="AXI15"/>
      <c r="AXJ15"/>
      <c r="AXK15"/>
      <c r="AXL15"/>
      <c r="AXM15"/>
      <c r="AXN15"/>
      <c r="AXO15"/>
      <c r="AXP15"/>
      <c r="AXQ15"/>
      <c r="AXR15"/>
      <c r="AXS15"/>
      <c r="AXT15"/>
      <c r="AXU15"/>
      <c r="AXV15"/>
      <c r="AXW15"/>
      <c r="AXX15"/>
      <c r="AXY15"/>
      <c r="AXZ15"/>
      <c r="AYA15"/>
      <c r="AYB15"/>
      <c r="AYC15"/>
      <c r="AYD15"/>
      <c r="AYE15"/>
      <c r="AYF15"/>
      <c r="AYG15"/>
      <c r="AYH15"/>
      <c r="AYI15"/>
      <c r="AYJ15"/>
      <c r="AYK15"/>
      <c r="AYL15"/>
      <c r="AYM15"/>
      <c r="AYN15"/>
      <c r="AYO15"/>
      <c r="AYP15"/>
      <c r="AYQ15"/>
      <c r="AYR15"/>
      <c r="AYS15"/>
      <c r="AYT15"/>
      <c r="AYU15"/>
      <c r="AYV15"/>
      <c r="AYW15"/>
      <c r="AYX15"/>
      <c r="AYY15"/>
      <c r="AYZ15"/>
      <c r="AZA15"/>
      <c r="AZB15"/>
      <c r="AZC15"/>
      <c r="AZD15"/>
      <c r="AZE15"/>
      <c r="AZF15"/>
      <c r="AZG15"/>
      <c r="AZH15"/>
      <c r="AZI15"/>
      <c r="AZJ15"/>
      <c r="AZK15"/>
      <c r="AZL15"/>
      <c r="AZM15"/>
      <c r="AZN15"/>
      <c r="AZO15"/>
      <c r="AZP15"/>
      <c r="AZQ15"/>
      <c r="AZR15"/>
      <c r="AZS15"/>
      <c r="AZT15"/>
      <c r="AZU15"/>
      <c r="AZV15"/>
      <c r="AZW15"/>
      <c r="AZX15"/>
      <c r="AZY15"/>
      <c r="AZZ15"/>
      <c r="BAA15"/>
      <c r="BAB15"/>
      <c r="BAC15"/>
      <c r="BAD15"/>
      <c r="BAE15"/>
      <c r="BAF15"/>
      <c r="BAG15"/>
      <c r="BAH15"/>
      <c r="BAI15"/>
      <c r="BAJ15"/>
      <c r="BAK15"/>
      <c r="BAL15"/>
      <c r="BAM15"/>
      <c r="BAN15"/>
      <c r="BAO15"/>
      <c r="BAP15"/>
      <c r="BAQ15"/>
      <c r="BAR15"/>
      <c r="BAS15"/>
      <c r="BAT15"/>
      <c r="BAU15"/>
      <c r="BAV15"/>
      <c r="BAW15"/>
      <c r="BAX15"/>
      <c r="BAY15"/>
      <c r="BAZ15"/>
      <c r="BBA15"/>
      <c r="BBB15"/>
      <c r="BBC15"/>
      <c r="BBD15"/>
      <c r="BBE15"/>
      <c r="BBF15"/>
      <c r="BBG15"/>
      <c r="BBH15"/>
      <c r="BBI15"/>
      <c r="BBJ15"/>
      <c r="BBK15"/>
      <c r="BBL15"/>
      <c r="BBM15"/>
      <c r="BBN15"/>
      <c r="BBO15"/>
      <c r="BBP15"/>
      <c r="BBQ15"/>
      <c r="BBR15"/>
      <c r="BBS15"/>
      <c r="BBT15"/>
      <c r="BBU15"/>
      <c r="BBV15"/>
      <c r="BBW15"/>
      <c r="BBX15"/>
      <c r="BBY15"/>
      <c r="BBZ15"/>
      <c r="BCA15"/>
      <c r="BCB15"/>
      <c r="BCC15"/>
      <c r="BCD15"/>
      <c r="BCE15"/>
      <c r="BCF15"/>
      <c r="BCG15"/>
      <c r="BCH15"/>
      <c r="BCI15"/>
      <c r="BCJ15"/>
      <c r="BCK15"/>
      <c r="BCL15"/>
      <c r="BCM15"/>
      <c r="BCN15"/>
      <c r="BCO15"/>
      <c r="BCP15"/>
      <c r="BCQ15"/>
      <c r="BCR15"/>
      <c r="BCS15"/>
      <c r="BCT15"/>
      <c r="BCU15"/>
      <c r="BCV15"/>
      <c r="BCW15"/>
      <c r="BCX15"/>
      <c r="BCY15"/>
      <c r="BCZ15"/>
      <c r="BDA15"/>
      <c r="BDB15"/>
      <c r="BDC15"/>
      <c r="BDD15"/>
      <c r="BDE15"/>
      <c r="BDF15"/>
      <c r="BDG15"/>
      <c r="BDH15"/>
      <c r="BDI15"/>
      <c r="BDJ15"/>
      <c r="BDK15"/>
      <c r="BDL15"/>
      <c r="BDM15"/>
      <c r="BDN15"/>
      <c r="BDO15"/>
      <c r="BDP15"/>
      <c r="BDQ15"/>
      <c r="BDR15"/>
      <c r="BDS15"/>
      <c r="BDT15"/>
      <c r="BDU15"/>
      <c r="BDV15"/>
      <c r="BDW15"/>
      <c r="BDX15"/>
      <c r="BDY15"/>
      <c r="BDZ15"/>
      <c r="BEA15"/>
      <c r="BEB15"/>
      <c r="BEC15"/>
      <c r="BED15"/>
      <c r="BEE15"/>
      <c r="BEF15"/>
      <c r="BEG15"/>
      <c r="BEH15"/>
      <c r="BEI15"/>
      <c r="BEJ15"/>
      <c r="BEK15"/>
      <c r="BEL15"/>
      <c r="BEM15"/>
      <c r="BEN15"/>
      <c r="BEO15"/>
      <c r="BEP15"/>
      <c r="BEQ15"/>
      <c r="BER15"/>
      <c r="BES15"/>
      <c r="BET15"/>
    </row>
    <row r="16" spans="1:1502" s="18" customFormat="1" ht="15">
      <c r="A16" s="172" t="s">
        <v>145</v>
      </c>
      <c r="B16" s="173" t="s">
        <v>192</v>
      </c>
      <c r="C16" s="173" t="s">
        <v>199</v>
      </c>
      <c r="D16" s="173" t="s">
        <v>185</v>
      </c>
      <c r="E16" s="173" t="s">
        <v>188</v>
      </c>
      <c r="F16" s="173" t="s">
        <v>200</v>
      </c>
      <c r="G16" s="173" t="s">
        <v>202</v>
      </c>
      <c r="H16" s="173" t="s">
        <v>201</v>
      </c>
      <c r="I16" s="173" t="s">
        <v>219</v>
      </c>
      <c r="J16" s="173" t="s">
        <v>217</v>
      </c>
      <c r="K16" s="15"/>
      <c r="L16" s="15"/>
      <c r="M16" s="14" t="s">
        <v>207</v>
      </c>
      <c r="N16" s="13">
        <v>5</v>
      </c>
      <c r="O16"/>
      <c r="P16"/>
      <c r="Q16" s="14" t="s">
        <v>207</v>
      </c>
      <c r="R16" s="13">
        <v>9</v>
      </c>
      <c r="S16"/>
      <c r="T16"/>
      <c r="U16" s="14" t="s">
        <v>207</v>
      </c>
      <c r="V16" s="13">
        <v>2</v>
      </c>
      <c r="W16"/>
      <c r="X16"/>
      <c r="Y16" s="14" t="s">
        <v>207</v>
      </c>
      <c r="Z16" s="13">
        <v>3</v>
      </c>
      <c r="AA16"/>
      <c r="AB16"/>
      <c r="AC16" s="64" t="s">
        <v>205</v>
      </c>
      <c r="AD16" s="65" t="s">
        <v>206</v>
      </c>
      <c r="AE16" s="65" t="s">
        <v>219</v>
      </c>
      <c r="AF16" s="66" t="s">
        <v>274</v>
      </c>
      <c r="AG16"/>
      <c r="AH16"/>
      <c r="AI16" s="64" t="s">
        <v>205</v>
      </c>
      <c r="AJ16" s="65" t="s">
        <v>206</v>
      </c>
      <c r="AK16" s="65" t="s">
        <v>219</v>
      </c>
      <c r="AL16" s="66" t="s">
        <v>217</v>
      </c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  <c r="AML16"/>
      <c r="AMM16"/>
      <c r="AMN16"/>
      <c r="AMO16"/>
      <c r="AMP16"/>
      <c r="AMQ16"/>
      <c r="AMR16"/>
      <c r="AMS16"/>
      <c r="AMT16"/>
      <c r="AMU16"/>
      <c r="AMV16"/>
      <c r="AMW16"/>
      <c r="AMX16"/>
      <c r="AMY16"/>
      <c r="AMZ16"/>
      <c r="ANA16"/>
      <c r="ANB16"/>
      <c r="ANC16"/>
      <c r="AND16"/>
      <c r="ANE16"/>
      <c r="ANF16"/>
      <c r="ANG16"/>
      <c r="ANH16"/>
      <c r="ANI16"/>
      <c r="ANJ16"/>
      <c r="ANK16"/>
      <c r="ANL16"/>
      <c r="ANM16"/>
      <c r="ANN16"/>
      <c r="ANO16"/>
      <c r="ANP16"/>
      <c r="ANQ16"/>
      <c r="ANR16"/>
      <c r="ANS16"/>
      <c r="ANT16"/>
      <c r="ANU16"/>
      <c r="ANV16"/>
      <c r="ANW16"/>
      <c r="ANX16"/>
      <c r="ANY16"/>
      <c r="ANZ16"/>
      <c r="AOA16"/>
      <c r="AOB16"/>
      <c r="AOC16"/>
      <c r="AOD16"/>
      <c r="AOE16"/>
      <c r="AOF16"/>
      <c r="AOG16"/>
      <c r="AOH16"/>
      <c r="AOI16"/>
      <c r="AOJ16"/>
      <c r="AOK16"/>
      <c r="AOL16"/>
      <c r="AOM16"/>
      <c r="AON16"/>
      <c r="AOO16"/>
      <c r="AOP16"/>
      <c r="AOQ16"/>
      <c r="AOR16"/>
      <c r="AOS16"/>
      <c r="AOT16"/>
      <c r="AOU16"/>
      <c r="AOV16"/>
      <c r="AOW16"/>
      <c r="AOX16"/>
      <c r="AOY16"/>
      <c r="AOZ16"/>
      <c r="APA16"/>
      <c r="APB16"/>
      <c r="APC16"/>
      <c r="APD16"/>
      <c r="APE16"/>
      <c r="APF16"/>
      <c r="APG16"/>
      <c r="APH16"/>
      <c r="API16"/>
      <c r="APJ16"/>
      <c r="APK16"/>
      <c r="APL16"/>
      <c r="APM16"/>
      <c r="APN16"/>
      <c r="APO16"/>
      <c r="APP16"/>
      <c r="APQ16"/>
      <c r="APR16"/>
      <c r="APS16"/>
      <c r="APT16"/>
      <c r="APU16"/>
      <c r="APV16"/>
      <c r="APW16"/>
      <c r="APX16"/>
      <c r="APY16"/>
      <c r="APZ16"/>
      <c r="AQA16"/>
      <c r="AQB16"/>
      <c r="AQC16"/>
      <c r="AQD16"/>
      <c r="AQE16"/>
      <c r="AQF16"/>
      <c r="AQG16"/>
      <c r="AQH16"/>
      <c r="AQI16"/>
      <c r="AQJ16"/>
      <c r="AQK16"/>
      <c r="AQL16"/>
      <c r="AQM16"/>
      <c r="AQN16"/>
      <c r="AQO16"/>
      <c r="AQP16"/>
      <c r="AQQ16"/>
      <c r="AQR16"/>
      <c r="AQS16"/>
      <c r="AQT16"/>
      <c r="AQU16"/>
      <c r="AQV16"/>
      <c r="AQW16"/>
      <c r="AQX16"/>
      <c r="AQY16"/>
      <c r="AQZ16"/>
      <c r="ARA16"/>
      <c r="ARB16"/>
      <c r="ARC16"/>
      <c r="ARD16"/>
      <c r="ARE16"/>
      <c r="ARF16"/>
      <c r="ARG16"/>
      <c r="ARH16"/>
      <c r="ARI16"/>
      <c r="ARJ16"/>
      <c r="ARK16"/>
      <c r="ARL16"/>
      <c r="ARM16"/>
      <c r="ARN16"/>
      <c r="ARO16"/>
      <c r="ARP16"/>
      <c r="ARQ16"/>
      <c r="ARR16"/>
      <c r="ARS16"/>
      <c r="ART16"/>
      <c r="ARU16"/>
      <c r="ARV16"/>
      <c r="ARW16"/>
      <c r="ARX16"/>
      <c r="ARY16"/>
      <c r="ARZ16"/>
      <c r="ASA16"/>
      <c r="ASB16"/>
      <c r="ASC16"/>
      <c r="ASD16"/>
      <c r="ASE16"/>
      <c r="ASF16"/>
      <c r="ASG16"/>
      <c r="ASH16"/>
      <c r="ASI16"/>
      <c r="ASJ16"/>
      <c r="ASK16"/>
      <c r="ASL16"/>
      <c r="ASM16"/>
      <c r="ASN16"/>
      <c r="ASO16"/>
      <c r="ASP16"/>
      <c r="ASQ16"/>
      <c r="ASR16"/>
      <c r="ASS16"/>
      <c r="AST16"/>
      <c r="ASU16"/>
      <c r="ASV16"/>
      <c r="ASW16"/>
      <c r="ASX16"/>
      <c r="ASY16"/>
      <c r="ASZ16"/>
      <c r="ATA16"/>
      <c r="ATB16"/>
      <c r="ATC16"/>
      <c r="ATD16"/>
      <c r="ATE16"/>
      <c r="ATF16"/>
      <c r="ATG16"/>
      <c r="ATH16"/>
      <c r="ATI16"/>
      <c r="ATJ16"/>
      <c r="ATK16"/>
      <c r="ATL16"/>
      <c r="ATM16"/>
      <c r="ATN16"/>
      <c r="ATO16"/>
      <c r="ATP16"/>
      <c r="ATQ16"/>
      <c r="ATR16"/>
      <c r="ATS16"/>
      <c r="ATT16"/>
      <c r="ATU16"/>
      <c r="ATV16"/>
      <c r="ATW16"/>
      <c r="ATX16"/>
      <c r="ATY16"/>
      <c r="ATZ16"/>
      <c r="AUA16"/>
      <c r="AUB16"/>
      <c r="AUC16"/>
      <c r="AUD16"/>
      <c r="AUE16"/>
      <c r="AUF16"/>
      <c r="AUG16"/>
      <c r="AUH16"/>
      <c r="AUI16"/>
      <c r="AUJ16"/>
      <c r="AUK16"/>
      <c r="AUL16"/>
      <c r="AUM16"/>
      <c r="AUN16"/>
      <c r="AUO16"/>
      <c r="AUP16"/>
      <c r="AUQ16"/>
      <c r="AUR16"/>
      <c r="AUS16"/>
      <c r="AUT16"/>
      <c r="AUU16"/>
      <c r="AUV16"/>
      <c r="AUW16"/>
      <c r="AUX16"/>
      <c r="AUY16"/>
      <c r="AUZ16"/>
      <c r="AVA16"/>
      <c r="AVB16"/>
      <c r="AVC16"/>
      <c r="AVD16"/>
      <c r="AVE16"/>
      <c r="AVF16"/>
      <c r="AVG16"/>
      <c r="AVH16"/>
      <c r="AVI16"/>
      <c r="AVJ16"/>
      <c r="AVK16"/>
      <c r="AVL16"/>
      <c r="AVM16"/>
      <c r="AVN16"/>
      <c r="AVO16"/>
      <c r="AVP16"/>
      <c r="AVQ16"/>
      <c r="AVR16"/>
      <c r="AVS16"/>
      <c r="AVT16"/>
      <c r="AVU16"/>
      <c r="AVV16"/>
      <c r="AVW16"/>
      <c r="AVX16"/>
      <c r="AVY16"/>
      <c r="AVZ16"/>
      <c r="AWA16"/>
      <c r="AWB16"/>
      <c r="AWC16"/>
      <c r="AWD16"/>
      <c r="AWE16"/>
      <c r="AWF16"/>
      <c r="AWG16"/>
      <c r="AWH16"/>
      <c r="AWI16"/>
      <c r="AWJ16"/>
      <c r="AWK16"/>
      <c r="AWL16"/>
      <c r="AWM16"/>
      <c r="AWN16"/>
      <c r="AWO16"/>
      <c r="AWP16"/>
      <c r="AWQ16"/>
      <c r="AWR16"/>
      <c r="AWS16"/>
      <c r="AWT16"/>
      <c r="AWU16"/>
      <c r="AWV16"/>
      <c r="AWW16"/>
      <c r="AWX16"/>
      <c r="AWY16"/>
      <c r="AWZ16"/>
      <c r="AXA16"/>
      <c r="AXB16"/>
      <c r="AXC16"/>
      <c r="AXD16"/>
      <c r="AXE16"/>
      <c r="AXF16"/>
      <c r="AXG16"/>
      <c r="AXH16"/>
      <c r="AXI16"/>
      <c r="AXJ16"/>
      <c r="AXK16"/>
      <c r="AXL16"/>
      <c r="AXM16"/>
      <c r="AXN16"/>
      <c r="AXO16"/>
      <c r="AXP16"/>
      <c r="AXQ16"/>
      <c r="AXR16"/>
      <c r="AXS16"/>
      <c r="AXT16"/>
      <c r="AXU16"/>
      <c r="AXV16"/>
      <c r="AXW16"/>
      <c r="AXX16"/>
      <c r="AXY16"/>
      <c r="AXZ16"/>
      <c r="AYA16"/>
      <c r="AYB16"/>
      <c r="AYC16"/>
      <c r="AYD16"/>
      <c r="AYE16"/>
      <c r="AYF16"/>
      <c r="AYG16"/>
      <c r="AYH16"/>
      <c r="AYI16"/>
      <c r="AYJ16"/>
      <c r="AYK16"/>
      <c r="AYL16"/>
      <c r="AYM16"/>
      <c r="AYN16"/>
      <c r="AYO16"/>
      <c r="AYP16"/>
      <c r="AYQ16"/>
      <c r="AYR16"/>
      <c r="AYS16"/>
      <c r="AYT16"/>
      <c r="AYU16"/>
      <c r="AYV16"/>
      <c r="AYW16"/>
      <c r="AYX16"/>
      <c r="AYY16"/>
      <c r="AYZ16"/>
      <c r="AZA16"/>
      <c r="AZB16"/>
      <c r="AZC16"/>
      <c r="AZD16"/>
      <c r="AZE16"/>
      <c r="AZF16"/>
      <c r="AZG16"/>
      <c r="AZH16"/>
      <c r="AZI16"/>
      <c r="AZJ16"/>
      <c r="AZK16"/>
      <c r="AZL16"/>
      <c r="AZM16"/>
      <c r="AZN16"/>
      <c r="AZO16"/>
      <c r="AZP16"/>
      <c r="AZQ16"/>
      <c r="AZR16"/>
      <c r="AZS16"/>
      <c r="AZT16"/>
      <c r="AZU16"/>
      <c r="AZV16"/>
      <c r="AZW16"/>
      <c r="AZX16"/>
      <c r="AZY16"/>
      <c r="AZZ16"/>
      <c r="BAA16"/>
      <c r="BAB16"/>
      <c r="BAC16"/>
      <c r="BAD16"/>
      <c r="BAE16"/>
      <c r="BAF16"/>
      <c r="BAG16"/>
      <c r="BAH16"/>
      <c r="BAI16"/>
      <c r="BAJ16"/>
      <c r="BAK16"/>
      <c r="BAL16"/>
      <c r="BAM16"/>
      <c r="BAN16"/>
      <c r="BAO16"/>
      <c r="BAP16"/>
      <c r="BAQ16"/>
      <c r="BAR16"/>
      <c r="BAS16"/>
      <c r="BAT16"/>
      <c r="BAU16"/>
      <c r="BAV16"/>
      <c r="BAW16"/>
      <c r="BAX16"/>
      <c r="BAY16"/>
      <c r="BAZ16"/>
      <c r="BBA16"/>
      <c r="BBB16"/>
      <c r="BBC16"/>
      <c r="BBD16"/>
      <c r="BBE16"/>
      <c r="BBF16"/>
      <c r="BBG16"/>
      <c r="BBH16"/>
      <c r="BBI16"/>
      <c r="BBJ16"/>
      <c r="BBK16"/>
      <c r="BBL16"/>
      <c r="BBM16"/>
      <c r="BBN16"/>
      <c r="BBO16"/>
      <c r="BBP16"/>
      <c r="BBQ16"/>
      <c r="BBR16"/>
      <c r="BBS16"/>
      <c r="BBT16"/>
      <c r="BBU16"/>
      <c r="BBV16"/>
      <c r="BBW16"/>
      <c r="BBX16"/>
      <c r="BBY16"/>
      <c r="BBZ16"/>
      <c r="BCA16"/>
      <c r="BCB16"/>
      <c r="BCC16"/>
      <c r="BCD16"/>
      <c r="BCE16"/>
      <c r="BCF16"/>
      <c r="BCG16"/>
      <c r="BCH16"/>
      <c r="BCI16"/>
      <c r="BCJ16"/>
      <c r="BCK16"/>
      <c r="BCL16"/>
      <c r="BCM16"/>
      <c r="BCN16"/>
      <c r="BCO16"/>
      <c r="BCP16"/>
      <c r="BCQ16"/>
      <c r="BCR16"/>
      <c r="BCS16"/>
      <c r="BCT16"/>
      <c r="BCU16"/>
      <c r="BCV16"/>
      <c r="BCW16"/>
      <c r="BCX16"/>
      <c r="BCY16"/>
      <c r="BCZ16"/>
      <c r="BDA16"/>
      <c r="BDB16"/>
      <c r="BDC16"/>
      <c r="BDD16"/>
      <c r="BDE16"/>
      <c r="BDF16"/>
      <c r="BDG16"/>
      <c r="BDH16"/>
      <c r="BDI16"/>
      <c r="BDJ16"/>
      <c r="BDK16"/>
      <c r="BDL16"/>
      <c r="BDM16"/>
      <c r="BDN16"/>
      <c r="BDO16"/>
      <c r="BDP16"/>
      <c r="BDQ16"/>
      <c r="BDR16"/>
      <c r="BDS16"/>
      <c r="BDT16"/>
      <c r="BDU16"/>
      <c r="BDV16"/>
      <c r="BDW16"/>
      <c r="BDX16"/>
      <c r="BDY16"/>
      <c r="BDZ16"/>
      <c r="BEA16"/>
      <c r="BEB16"/>
      <c r="BEC16"/>
      <c r="BED16"/>
      <c r="BEE16"/>
      <c r="BEF16"/>
      <c r="BEG16"/>
      <c r="BEH16"/>
      <c r="BEI16"/>
      <c r="BEJ16"/>
      <c r="BEK16"/>
      <c r="BEL16"/>
      <c r="BEM16"/>
      <c r="BEN16"/>
      <c r="BEO16"/>
      <c r="BEP16"/>
      <c r="BEQ16"/>
      <c r="BER16"/>
      <c r="BES16"/>
      <c r="BET16"/>
    </row>
    <row r="17" spans="1:1502" ht="15.75" thickBot="1">
      <c r="A17" s="176">
        <v>0</v>
      </c>
      <c r="B17" s="177">
        <v>1374</v>
      </c>
      <c r="C17" s="177">
        <v>525</v>
      </c>
      <c r="D17" s="177">
        <v>501</v>
      </c>
      <c r="E17" s="177">
        <v>498</v>
      </c>
      <c r="F17" s="177">
        <v>57</v>
      </c>
      <c r="G17" s="177">
        <v>1061</v>
      </c>
      <c r="H17" s="177">
        <v>5</v>
      </c>
      <c r="I17" s="177">
        <v>214</v>
      </c>
      <c r="J17" s="177">
        <v>99</v>
      </c>
      <c r="K17" s="13"/>
      <c r="L17" s="13"/>
      <c r="M17" s="14" t="s">
        <v>225</v>
      </c>
      <c r="N17" s="13">
        <v>17</v>
      </c>
      <c r="O17"/>
      <c r="P17"/>
      <c r="Q17" s="14" t="s">
        <v>225</v>
      </c>
      <c r="R17" s="13">
        <v>6</v>
      </c>
      <c r="S17"/>
      <c r="T17"/>
      <c r="U17" s="14" t="s">
        <v>225</v>
      </c>
      <c r="V17" s="13">
        <v>3</v>
      </c>
      <c r="W17"/>
      <c r="X17"/>
      <c r="Y17" s="14" t="s">
        <v>225</v>
      </c>
      <c r="Z17" s="13">
        <v>1</v>
      </c>
      <c r="AA17"/>
      <c r="AB17"/>
      <c r="AC17" s="67">
        <v>558</v>
      </c>
      <c r="AD17" s="68">
        <v>503</v>
      </c>
      <c r="AE17" s="68">
        <v>214</v>
      </c>
      <c r="AF17" s="69">
        <v>99</v>
      </c>
      <c r="AG17"/>
      <c r="AH17"/>
      <c r="AI17" s="67">
        <v>84</v>
      </c>
      <c r="AJ17" s="68">
        <v>44</v>
      </c>
      <c r="AK17" s="68">
        <v>22</v>
      </c>
      <c r="AL17" s="69">
        <v>14</v>
      </c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  <c r="AML17"/>
      <c r="AMM17"/>
      <c r="AMN17"/>
      <c r="AMO17"/>
      <c r="AMP17"/>
      <c r="AMQ17"/>
      <c r="AMR17"/>
      <c r="AMS17"/>
      <c r="AMT17"/>
      <c r="AMU17"/>
      <c r="AMV17"/>
      <c r="AMW17"/>
      <c r="AMX17"/>
      <c r="AMY17"/>
      <c r="AMZ17"/>
      <c r="ANA17"/>
      <c r="ANB17"/>
      <c r="ANC17"/>
      <c r="AND17"/>
      <c r="ANE17"/>
      <c r="ANF17"/>
      <c r="ANG17"/>
      <c r="ANH17"/>
      <c r="ANI17"/>
      <c r="ANJ17"/>
      <c r="ANK17"/>
      <c r="ANL17"/>
      <c r="ANM17"/>
      <c r="ANN17"/>
      <c r="ANO17"/>
      <c r="ANP17"/>
      <c r="ANQ17"/>
      <c r="ANR17"/>
      <c r="ANS17"/>
      <c r="ANT17"/>
      <c r="ANU17"/>
      <c r="ANV17"/>
      <c r="ANW17"/>
      <c r="ANX17"/>
      <c r="ANY17"/>
      <c r="ANZ17"/>
      <c r="AOA17"/>
      <c r="AOB17"/>
      <c r="AOC17"/>
      <c r="AOD17"/>
      <c r="AOE17"/>
      <c r="AOF17"/>
      <c r="AOG17"/>
      <c r="AOH17"/>
      <c r="AOI17"/>
      <c r="AOJ17"/>
      <c r="AOK17"/>
      <c r="AOL17"/>
      <c r="AOM17"/>
      <c r="AON17"/>
      <c r="AOO17"/>
      <c r="AOP17"/>
      <c r="AOQ17"/>
      <c r="AOR17"/>
      <c r="AOS17"/>
      <c r="AOT17"/>
      <c r="AOU17"/>
      <c r="AOV17"/>
      <c r="AOW17"/>
      <c r="AOX17"/>
      <c r="AOY17"/>
      <c r="AOZ17"/>
      <c r="APA17"/>
      <c r="APB17"/>
      <c r="APC17"/>
      <c r="APD17"/>
      <c r="APE17"/>
      <c r="APF17"/>
      <c r="APG17"/>
      <c r="APH17"/>
      <c r="API17"/>
      <c r="APJ17"/>
      <c r="APK17"/>
      <c r="APL17"/>
      <c r="APM17"/>
      <c r="APN17"/>
      <c r="APO17"/>
      <c r="APP17"/>
      <c r="APQ17"/>
      <c r="APR17"/>
      <c r="APS17"/>
      <c r="APT17"/>
      <c r="APU17"/>
      <c r="APV17"/>
      <c r="APW17"/>
      <c r="APX17"/>
      <c r="APY17"/>
      <c r="APZ17"/>
      <c r="AQA17"/>
      <c r="AQB17"/>
      <c r="AQC17"/>
      <c r="AQD17"/>
      <c r="AQE17"/>
      <c r="AQF17"/>
      <c r="AQG17"/>
      <c r="AQH17"/>
      <c r="AQI17"/>
      <c r="AQJ17"/>
      <c r="AQK17"/>
      <c r="AQL17"/>
      <c r="AQM17"/>
      <c r="AQN17"/>
      <c r="AQO17"/>
      <c r="AQP17"/>
      <c r="AQQ17"/>
      <c r="AQR17"/>
      <c r="AQS17"/>
      <c r="AQT17"/>
      <c r="AQU17"/>
      <c r="AQV17"/>
      <c r="AQW17"/>
      <c r="AQX17"/>
      <c r="AQY17"/>
      <c r="AQZ17"/>
      <c r="ARA17"/>
      <c r="ARB17"/>
      <c r="ARC17"/>
      <c r="ARD17"/>
      <c r="ARE17"/>
      <c r="ARF17"/>
      <c r="ARG17"/>
      <c r="ARH17"/>
      <c r="ARI17"/>
      <c r="ARJ17"/>
      <c r="ARK17"/>
      <c r="ARL17"/>
      <c r="ARM17"/>
      <c r="ARN17"/>
      <c r="ARO17"/>
      <c r="ARP17"/>
      <c r="ARQ17"/>
      <c r="ARR17"/>
      <c r="ARS17"/>
      <c r="ART17"/>
      <c r="ARU17"/>
      <c r="ARV17"/>
      <c r="ARW17"/>
      <c r="ARX17"/>
      <c r="ARY17"/>
      <c r="ARZ17"/>
      <c r="ASA17"/>
      <c r="ASB17"/>
      <c r="ASC17"/>
      <c r="ASD17"/>
      <c r="ASE17"/>
      <c r="ASF17"/>
      <c r="ASG17"/>
      <c r="ASH17"/>
      <c r="ASI17"/>
      <c r="ASJ17"/>
      <c r="ASK17"/>
      <c r="ASL17"/>
      <c r="ASM17"/>
      <c r="ASN17"/>
      <c r="ASO17"/>
      <c r="ASP17"/>
      <c r="ASQ17"/>
      <c r="ASR17"/>
      <c r="ASS17"/>
      <c r="AST17"/>
      <c r="ASU17"/>
      <c r="ASV17"/>
      <c r="ASW17"/>
      <c r="ASX17"/>
      <c r="ASY17"/>
      <c r="ASZ17"/>
      <c r="ATA17"/>
      <c r="ATB17"/>
      <c r="ATC17"/>
      <c r="ATD17"/>
      <c r="ATE17"/>
      <c r="ATF17"/>
      <c r="ATG17"/>
      <c r="ATH17"/>
      <c r="ATI17"/>
      <c r="ATJ17"/>
      <c r="ATK17"/>
      <c r="ATL17"/>
      <c r="ATM17"/>
      <c r="ATN17"/>
      <c r="ATO17"/>
      <c r="ATP17"/>
      <c r="ATQ17"/>
      <c r="ATR17"/>
      <c r="ATS17"/>
      <c r="ATT17"/>
      <c r="ATU17"/>
      <c r="ATV17"/>
      <c r="ATW17"/>
      <c r="ATX17"/>
      <c r="ATY17"/>
      <c r="ATZ17"/>
      <c r="AUA17"/>
      <c r="AUB17"/>
      <c r="AUC17"/>
      <c r="AUD17"/>
      <c r="AUE17"/>
      <c r="AUF17"/>
      <c r="AUG17"/>
      <c r="AUH17"/>
      <c r="AUI17"/>
      <c r="AUJ17"/>
      <c r="AUK17"/>
      <c r="AUL17"/>
      <c r="AUM17"/>
      <c r="AUN17"/>
      <c r="AUO17"/>
      <c r="AUP17"/>
      <c r="AUQ17"/>
      <c r="AUR17"/>
      <c r="AUS17"/>
      <c r="AUT17"/>
      <c r="AUU17"/>
      <c r="AUV17"/>
      <c r="AUW17"/>
      <c r="AUX17"/>
      <c r="AUY17"/>
      <c r="AUZ17"/>
      <c r="AVA17"/>
      <c r="AVB17"/>
      <c r="AVC17"/>
      <c r="AVD17"/>
      <c r="AVE17"/>
      <c r="AVF17"/>
      <c r="AVG17"/>
      <c r="AVH17"/>
      <c r="AVI17"/>
      <c r="AVJ17"/>
      <c r="AVK17"/>
      <c r="AVL17"/>
      <c r="AVM17"/>
      <c r="AVN17"/>
      <c r="AVO17"/>
      <c r="AVP17"/>
      <c r="AVQ17"/>
      <c r="AVR17"/>
      <c r="AVS17"/>
      <c r="AVT17"/>
      <c r="AVU17"/>
      <c r="AVV17"/>
      <c r="AVW17"/>
      <c r="AVX17"/>
      <c r="AVY17"/>
      <c r="AVZ17"/>
      <c r="AWA17"/>
      <c r="AWB17"/>
      <c r="AWC17"/>
      <c r="AWD17"/>
      <c r="AWE17"/>
      <c r="AWF17"/>
      <c r="AWG17"/>
      <c r="AWH17"/>
      <c r="AWI17"/>
      <c r="AWJ17"/>
      <c r="AWK17"/>
      <c r="AWL17"/>
      <c r="AWM17"/>
      <c r="AWN17"/>
      <c r="AWO17"/>
      <c r="AWP17"/>
      <c r="AWQ17"/>
      <c r="AWR17"/>
      <c r="AWS17"/>
      <c r="AWT17"/>
      <c r="AWU17"/>
      <c r="AWV17"/>
      <c r="AWW17"/>
      <c r="AWX17"/>
      <c r="AWY17"/>
      <c r="AWZ17"/>
      <c r="AXA17"/>
      <c r="AXB17"/>
      <c r="AXC17"/>
      <c r="AXD17"/>
      <c r="AXE17"/>
      <c r="AXF17"/>
      <c r="AXG17"/>
      <c r="AXH17"/>
      <c r="AXI17"/>
      <c r="AXJ17"/>
      <c r="AXK17"/>
      <c r="AXL17"/>
      <c r="AXM17"/>
      <c r="AXN17"/>
      <c r="AXO17"/>
      <c r="AXP17"/>
      <c r="AXQ17"/>
      <c r="AXR17"/>
      <c r="AXS17"/>
      <c r="AXT17"/>
      <c r="AXU17"/>
      <c r="AXV17"/>
      <c r="AXW17"/>
      <c r="AXX17"/>
      <c r="AXY17"/>
      <c r="AXZ17"/>
      <c r="AYA17"/>
      <c r="AYB17"/>
      <c r="AYC17"/>
      <c r="AYD17"/>
      <c r="AYE17"/>
      <c r="AYF17"/>
      <c r="AYG17"/>
      <c r="AYH17"/>
      <c r="AYI17"/>
      <c r="AYJ17"/>
      <c r="AYK17"/>
      <c r="AYL17"/>
      <c r="AYM17"/>
      <c r="AYN17"/>
      <c r="AYO17"/>
      <c r="AYP17"/>
      <c r="AYQ17"/>
      <c r="AYR17"/>
      <c r="AYS17"/>
      <c r="AYT17"/>
      <c r="AYU17"/>
      <c r="AYV17"/>
      <c r="AYW17"/>
      <c r="AYX17"/>
      <c r="AYY17"/>
      <c r="AYZ17"/>
      <c r="AZA17"/>
      <c r="AZB17"/>
      <c r="AZC17"/>
      <c r="AZD17"/>
      <c r="AZE17"/>
      <c r="AZF17"/>
      <c r="AZG17"/>
      <c r="AZH17"/>
      <c r="AZI17"/>
      <c r="AZJ17"/>
      <c r="AZK17"/>
      <c r="AZL17"/>
      <c r="AZM17"/>
      <c r="AZN17"/>
      <c r="AZO17"/>
      <c r="AZP17"/>
      <c r="AZQ17"/>
      <c r="AZR17"/>
      <c r="AZS17"/>
      <c r="AZT17"/>
      <c r="AZU17"/>
      <c r="AZV17"/>
      <c r="AZW17"/>
      <c r="AZX17"/>
      <c r="AZY17"/>
      <c r="AZZ17"/>
      <c r="BAA17"/>
      <c r="BAB17"/>
      <c r="BAC17"/>
      <c r="BAD17"/>
      <c r="BAE17"/>
      <c r="BAF17"/>
      <c r="BAG17"/>
      <c r="BAH17"/>
      <c r="BAI17"/>
      <c r="BAJ17"/>
      <c r="BAK17"/>
      <c r="BAL17"/>
      <c r="BAM17"/>
      <c r="BAN17"/>
      <c r="BAO17"/>
      <c r="BAP17"/>
      <c r="BAQ17"/>
      <c r="BAR17"/>
      <c r="BAS17"/>
      <c r="BAT17"/>
      <c r="BAU17"/>
      <c r="BAV17"/>
      <c r="BAW17"/>
      <c r="BAX17"/>
      <c r="BAY17"/>
      <c r="BAZ17"/>
      <c r="BBA17"/>
      <c r="BBB17"/>
      <c r="BBC17"/>
      <c r="BBD17"/>
      <c r="BBE17"/>
      <c r="BBF17"/>
      <c r="BBG17"/>
      <c r="BBH17"/>
      <c r="BBI17"/>
      <c r="BBJ17"/>
      <c r="BBK17"/>
      <c r="BBL17"/>
      <c r="BBM17"/>
      <c r="BBN17"/>
      <c r="BBO17"/>
      <c r="BBP17"/>
      <c r="BBQ17"/>
      <c r="BBR17"/>
      <c r="BBS17"/>
      <c r="BBT17"/>
      <c r="BBU17"/>
      <c r="BBV17"/>
      <c r="BBW17"/>
      <c r="BBX17"/>
      <c r="BBY17"/>
      <c r="BBZ17"/>
      <c r="BCA17"/>
      <c r="BCB17"/>
      <c r="BCC17"/>
      <c r="BCD17"/>
      <c r="BCE17"/>
      <c r="BCF17"/>
      <c r="BCG17"/>
      <c r="BCH17"/>
      <c r="BCI17"/>
      <c r="BCJ17"/>
      <c r="BCK17"/>
      <c r="BCL17"/>
      <c r="BCM17"/>
      <c r="BCN17"/>
      <c r="BCO17"/>
      <c r="BCP17"/>
      <c r="BCQ17"/>
      <c r="BCR17"/>
      <c r="BCS17"/>
      <c r="BCT17"/>
      <c r="BCU17"/>
      <c r="BCV17"/>
      <c r="BCW17"/>
      <c r="BCX17"/>
      <c r="BCY17"/>
      <c r="BCZ17"/>
      <c r="BDA17"/>
      <c r="BDB17"/>
      <c r="BDC17"/>
      <c r="BDD17"/>
      <c r="BDE17"/>
      <c r="BDF17"/>
      <c r="BDG17"/>
      <c r="BDH17"/>
      <c r="BDI17"/>
      <c r="BDJ17"/>
      <c r="BDK17"/>
      <c r="BDL17"/>
      <c r="BDM17"/>
      <c r="BDN17"/>
      <c r="BDO17"/>
      <c r="BDP17"/>
      <c r="BDQ17"/>
      <c r="BDR17"/>
      <c r="BDS17"/>
      <c r="BDT17"/>
      <c r="BDU17"/>
      <c r="BDV17"/>
      <c r="BDW17"/>
      <c r="BDX17"/>
      <c r="BDY17"/>
      <c r="BDZ17"/>
      <c r="BEA17"/>
      <c r="BEB17"/>
      <c r="BEC17"/>
      <c r="BED17"/>
      <c r="BEE17"/>
      <c r="BEF17"/>
      <c r="BEG17"/>
      <c r="BEH17"/>
      <c r="BEI17"/>
      <c r="BEJ17"/>
      <c r="BEK17"/>
      <c r="BEL17"/>
      <c r="BEM17"/>
      <c r="BEN17"/>
      <c r="BEO17"/>
      <c r="BEP17"/>
      <c r="BEQ17"/>
      <c r="BER17"/>
      <c r="BES17"/>
      <c r="BET17"/>
    </row>
    <row r="18" spans="1:1502" ht="15">
      <c r="A18" s="184">
        <v>0</v>
      </c>
      <c r="B18" s="177">
        <v>764</v>
      </c>
      <c r="C18" s="177">
        <v>228</v>
      </c>
      <c r="D18" s="177">
        <v>332</v>
      </c>
      <c r="E18" s="177">
        <v>206</v>
      </c>
      <c r="F18" s="177">
        <v>8</v>
      </c>
      <c r="G18" s="177">
        <v>550</v>
      </c>
      <c r="H18" s="177">
        <v>4</v>
      </c>
      <c r="I18" s="177">
        <v>154</v>
      </c>
      <c r="J18" s="177">
        <v>60</v>
      </c>
      <c r="K18" s="13"/>
      <c r="L18" s="13"/>
      <c r="M18" s="14" t="s">
        <v>153</v>
      </c>
      <c r="N18" s="13">
        <v>84</v>
      </c>
      <c r="O18"/>
      <c r="P18"/>
      <c r="Q18" s="14" t="s">
        <v>153</v>
      </c>
      <c r="R18" s="13">
        <v>44</v>
      </c>
      <c r="S18" s="12"/>
      <c r="T18" s="12"/>
      <c r="U18" s="14" t="s">
        <v>153</v>
      </c>
      <c r="V18" s="13">
        <v>19</v>
      </c>
      <c r="Y18" s="14" t="s">
        <v>153</v>
      </c>
      <c r="Z18" s="13">
        <v>12</v>
      </c>
    </row>
    <row r="19" spans="1:1502" ht="15">
      <c r="A19" s="185">
        <v>0</v>
      </c>
      <c r="B19" s="177">
        <v>764</v>
      </c>
      <c r="C19" s="177">
        <v>228</v>
      </c>
      <c r="D19" s="177">
        <v>332</v>
      </c>
      <c r="E19" s="177">
        <v>206</v>
      </c>
      <c r="F19" s="177">
        <v>8</v>
      </c>
      <c r="G19" s="177">
        <v>550</v>
      </c>
      <c r="H19" s="177">
        <v>4</v>
      </c>
      <c r="I19" s="177">
        <v>154</v>
      </c>
      <c r="J19" s="177">
        <v>60</v>
      </c>
      <c r="K19" s="13"/>
      <c r="L19" s="13"/>
      <c r="M19" s="14" t="s">
        <v>176</v>
      </c>
      <c r="N19" s="13">
        <v>214</v>
      </c>
      <c r="O19"/>
      <c r="P19"/>
      <c r="Q19" s="14" t="s">
        <v>176</v>
      </c>
      <c r="R19" s="13">
        <v>103</v>
      </c>
      <c r="S19" s="12"/>
      <c r="T19" s="12"/>
      <c r="U19" s="14" t="s">
        <v>176</v>
      </c>
      <c r="V19" s="13">
        <v>6</v>
      </c>
      <c r="Y19" s="14" t="s">
        <v>176</v>
      </c>
      <c r="Z19" s="13">
        <v>2</v>
      </c>
    </row>
    <row r="20" spans="1:1502" ht="15">
      <c r="A20" s="184">
        <v>1</v>
      </c>
      <c r="B20" s="177">
        <v>610</v>
      </c>
      <c r="C20" s="177">
        <v>297</v>
      </c>
      <c r="D20" s="177">
        <v>169</v>
      </c>
      <c r="E20" s="177">
        <v>292</v>
      </c>
      <c r="F20" s="177">
        <v>49</v>
      </c>
      <c r="G20" s="177">
        <v>511</v>
      </c>
      <c r="H20" s="177">
        <v>1</v>
      </c>
      <c r="I20" s="177">
        <v>60</v>
      </c>
      <c r="J20" s="177">
        <v>39</v>
      </c>
      <c r="K20" s="13"/>
      <c r="L20" s="13"/>
      <c r="M20" s="14" t="s">
        <v>152</v>
      </c>
      <c r="N20" s="13">
        <v>2</v>
      </c>
      <c r="O20"/>
      <c r="P20"/>
      <c r="Q20" s="14" t="s">
        <v>209</v>
      </c>
      <c r="R20" s="13">
        <v>1</v>
      </c>
      <c r="S20" s="12"/>
      <c r="T20" s="12"/>
      <c r="U20" s="14" t="s">
        <v>152</v>
      </c>
      <c r="V20" s="13">
        <v>30</v>
      </c>
      <c r="Y20" s="14" t="s">
        <v>152</v>
      </c>
      <c r="Z20" s="13">
        <v>7</v>
      </c>
    </row>
    <row r="21" spans="1:1502" ht="12.75">
      <c r="A21" s="185">
        <v>0</v>
      </c>
      <c r="B21" s="177">
        <v>610</v>
      </c>
      <c r="C21" s="177">
        <v>297</v>
      </c>
      <c r="D21" s="177">
        <v>169</v>
      </c>
      <c r="E21" s="177">
        <v>292</v>
      </c>
      <c r="F21" s="177">
        <v>49</v>
      </c>
      <c r="G21" s="177">
        <v>511</v>
      </c>
      <c r="H21" s="177">
        <v>1</v>
      </c>
      <c r="I21" s="177">
        <v>60</v>
      </c>
      <c r="J21" s="177">
        <v>39</v>
      </c>
      <c r="K21" s="13"/>
      <c r="L21" s="13"/>
      <c r="M21" s="14" t="s">
        <v>168</v>
      </c>
      <c r="N21" s="13">
        <v>3</v>
      </c>
      <c r="O21" s="12"/>
      <c r="P21" s="12"/>
      <c r="Q21" s="14" t="s">
        <v>161</v>
      </c>
      <c r="R21" s="13">
        <v>53</v>
      </c>
      <c r="S21" s="12"/>
      <c r="T21" s="12"/>
      <c r="U21" s="14" t="s">
        <v>168</v>
      </c>
      <c r="V21" s="13">
        <v>1</v>
      </c>
      <c r="Y21" s="14" t="s">
        <v>209</v>
      </c>
      <c r="Z21" s="13">
        <v>3</v>
      </c>
    </row>
    <row r="22" spans="1:1502" ht="12.75">
      <c r="A22" s="176">
        <v>1</v>
      </c>
      <c r="B22" s="177">
        <v>1899</v>
      </c>
      <c r="C22" s="177">
        <v>110</v>
      </c>
      <c r="D22" s="177">
        <v>1732</v>
      </c>
      <c r="E22" s="177">
        <v>155</v>
      </c>
      <c r="F22" s="177">
        <v>0</v>
      </c>
      <c r="G22" s="177">
        <v>1888</v>
      </c>
      <c r="H22" s="177">
        <v>1</v>
      </c>
      <c r="I22" s="177">
        <v>6</v>
      </c>
      <c r="J22" s="177">
        <v>5</v>
      </c>
      <c r="K22" s="13"/>
      <c r="L22" s="13"/>
      <c r="M22" s="14" t="s">
        <v>209</v>
      </c>
      <c r="N22" s="13">
        <v>23</v>
      </c>
      <c r="O22" s="12"/>
      <c r="P22" s="12"/>
      <c r="Q22" s="14" t="s">
        <v>159</v>
      </c>
      <c r="R22" s="13">
        <v>2</v>
      </c>
      <c r="S22" s="12"/>
      <c r="T22" s="12"/>
      <c r="U22" s="14" t="s">
        <v>209</v>
      </c>
      <c r="V22" s="13">
        <v>9</v>
      </c>
      <c r="Y22" s="14" t="s">
        <v>226</v>
      </c>
      <c r="Z22" s="13">
        <v>6</v>
      </c>
    </row>
    <row r="23" spans="1:1502" ht="12.75">
      <c r="A23" s="184">
        <v>0</v>
      </c>
      <c r="B23" s="177">
        <v>1329</v>
      </c>
      <c r="C23" s="177">
        <v>60</v>
      </c>
      <c r="D23" s="177">
        <v>1225</v>
      </c>
      <c r="E23" s="177">
        <v>93</v>
      </c>
      <c r="F23" s="177">
        <v>0</v>
      </c>
      <c r="G23" s="177">
        <v>1319</v>
      </c>
      <c r="H23" s="177">
        <v>1</v>
      </c>
      <c r="I23" s="177">
        <v>6</v>
      </c>
      <c r="J23" s="177">
        <v>4</v>
      </c>
      <c r="K23" s="13"/>
      <c r="L23" s="13"/>
      <c r="M23" s="14" t="s">
        <v>161</v>
      </c>
      <c r="N23" s="13">
        <v>16</v>
      </c>
      <c r="O23" s="12"/>
      <c r="P23" s="12"/>
      <c r="Q23" s="14" t="s">
        <v>222</v>
      </c>
      <c r="R23" s="13">
        <v>24</v>
      </c>
      <c r="S23" s="12"/>
      <c r="T23" s="12"/>
      <c r="U23" s="14" t="s">
        <v>204</v>
      </c>
      <c r="V23" s="13">
        <v>2</v>
      </c>
      <c r="Y23" s="14" t="s">
        <v>161</v>
      </c>
      <c r="Z23" s="13">
        <v>4</v>
      </c>
    </row>
    <row r="24" spans="1:1502" ht="12.75">
      <c r="A24" s="185">
        <v>0</v>
      </c>
      <c r="B24" s="177">
        <v>1329</v>
      </c>
      <c r="C24" s="177">
        <v>60</v>
      </c>
      <c r="D24" s="177">
        <v>1225</v>
      </c>
      <c r="E24" s="177">
        <v>93</v>
      </c>
      <c r="F24" s="177">
        <v>0</v>
      </c>
      <c r="G24" s="177">
        <v>1319</v>
      </c>
      <c r="H24" s="177">
        <v>1</v>
      </c>
      <c r="I24" s="177">
        <v>6</v>
      </c>
      <c r="J24" s="177">
        <v>4</v>
      </c>
      <c r="K24" s="13"/>
      <c r="L24" s="13"/>
      <c r="M24" s="14" t="s">
        <v>228</v>
      </c>
      <c r="N24" s="13">
        <v>1</v>
      </c>
      <c r="O24" s="12"/>
      <c r="P24" s="12"/>
      <c r="Q24" s="14" t="s">
        <v>211</v>
      </c>
      <c r="R24" s="13">
        <v>173</v>
      </c>
      <c r="S24" s="12"/>
      <c r="T24" s="12"/>
      <c r="U24" s="14" t="s">
        <v>161</v>
      </c>
      <c r="V24" s="13">
        <v>4</v>
      </c>
      <c r="Y24" s="14" t="s">
        <v>228</v>
      </c>
      <c r="Z24" s="13">
        <v>5</v>
      </c>
    </row>
    <row r="25" spans="1:1502" ht="12.75">
      <c r="A25" s="184">
        <v>1</v>
      </c>
      <c r="B25" s="177">
        <v>570</v>
      </c>
      <c r="C25" s="177">
        <v>50</v>
      </c>
      <c r="D25" s="177">
        <v>507</v>
      </c>
      <c r="E25" s="177">
        <v>62</v>
      </c>
      <c r="F25" s="177">
        <v>0</v>
      </c>
      <c r="G25" s="177">
        <v>569</v>
      </c>
      <c r="H25" s="177">
        <v>0</v>
      </c>
      <c r="I25" s="177">
        <v>0</v>
      </c>
      <c r="J25" s="177">
        <v>1</v>
      </c>
      <c r="K25" s="13"/>
      <c r="L25" s="13"/>
      <c r="M25" s="14" t="s">
        <v>222</v>
      </c>
      <c r="N25" s="13">
        <v>5</v>
      </c>
      <c r="O25" s="12"/>
      <c r="P25" s="12"/>
      <c r="Q25" s="14" t="s">
        <v>273</v>
      </c>
      <c r="R25" s="13">
        <v>88</v>
      </c>
      <c r="S25" s="12"/>
      <c r="T25" s="12"/>
      <c r="U25" s="14" t="s">
        <v>228</v>
      </c>
      <c r="V25" s="13">
        <v>12</v>
      </c>
      <c r="Y25" s="14" t="s">
        <v>159</v>
      </c>
      <c r="Z25" s="13">
        <v>9</v>
      </c>
    </row>
    <row r="26" spans="1:1502" ht="15">
      <c r="A26" s="185">
        <v>0</v>
      </c>
      <c r="B26" s="177">
        <v>570</v>
      </c>
      <c r="C26" s="177">
        <v>50</v>
      </c>
      <c r="D26" s="177">
        <v>507</v>
      </c>
      <c r="E26" s="177">
        <v>62</v>
      </c>
      <c r="F26" s="177">
        <v>0</v>
      </c>
      <c r="G26" s="177">
        <v>569</v>
      </c>
      <c r="H26" s="177">
        <v>0</v>
      </c>
      <c r="I26" s="177">
        <v>0</v>
      </c>
      <c r="J26" s="177">
        <v>1</v>
      </c>
      <c r="K26" s="13"/>
      <c r="L26" s="13"/>
      <c r="M26" s="14" t="s">
        <v>211</v>
      </c>
      <c r="N26" s="13">
        <v>18</v>
      </c>
      <c r="O26" s="12"/>
      <c r="P26" s="12"/>
      <c r="Q26"/>
      <c r="R26"/>
      <c r="S26" s="12"/>
      <c r="T26" s="12"/>
      <c r="U26" s="14" t="s">
        <v>227</v>
      </c>
      <c r="V26" s="13">
        <v>5</v>
      </c>
      <c r="Y26" s="14" t="s">
        <v>222</v>
      </c>
      <c r="Z26" s="13">
        <v>6</v>
      </c>
    </row>
    <row r="27" spans="1:1502" ht="15">
      <c r="A27" s="176" t="s">
        <v>0</v>
      </c>
      <c r="B27" s="177">
        <v>3273</v>
      </c>
      <c r="C27" s="177">
        <v>635</v>
      </c>
      <c r="D27" s="177">
        <v>2233</v>
      </c>
      <c r="E27" s="177">
        <v>653</v>
      </c>
      <c r="F27" s="177">
        <v>57</v>
      </c>
      <c r="G27" s="177">
        <v>2949</v>
      </c>
      <c r="H27" s="177">
        <v>6</v>
      </c>
      <c r="I27" s="177">
        <v>220</v>
      </c>
      <c r="J27" s="177">
        <v>104</v>
      </c>
      <c r="K27" s="13"/>
      <c r="L27" s="13"/>
      <c r="M27" s="14" t="s">
        <v>169</v>
      </c>
      <c r="N27" s="13">
        <v>1</v>
      </c>
      <c r="O27" s="12"/>
      <c r="P27" s="12"/>
      <c r="Q27"/>
      <c r="R27"/>
      <c r="S27" s="12"/>
      <c r="T27" s="12"/>
      <c r="U27" s="14" t="s">
        <v>159</v>
      </c>
      <c r="V27" s="13">
        <v>20</v>
      </c>
      <c r="Y27" s="14" t="s">
        <v>211</v>
      </c>
      <c r="Z27" s="13">
        <v>22</v>
      </c>
    </row>
    <row r="28" spans="1:1502" ht="15">
      <c r="A28" s="173"/>
      <c r="B28" s="173"/>
      <c r="C28" s="173"/>
      <c r="D28" s="173"/>
      <c r="E28" s="173"/>
      <c r="F28" s="173"/>
      <c r="G28" s="173"/>
      <c r="H28" s="173"/>
      <c r="I28" s="173"/>
      <c r="J28" s="173"/>
      <c r="K28" s="13"/>
      <c r="L28" s="13"/>
      <c r="M28" s="14" t="s">
        <v>273</v>
      </c>
      <c r="N28" s="13">
        <v>169</v>
      </c>
      <c r="O28" s="12"/>
      <c r="P28" s="12"/>
      <c r="Q28"/>
      <c r="R28"/>
      <c r="S28" s="12"/>
      <c r="T28" s="12"/>
      <c r="U28" s="14" t="s">
        <v>222</v>
      </c>
      <c r="V28" s="13">
        <v>3</v>
      </c>
      <c r="Y28" s="14" t="s">
        <v>165</v>
      </c>
      <c r="Z28" s="13">
        <v>9</v>
      </c>
    </row>
    <row r="29" spans="1:1502" ht="15">
      <c r="A29" s="173"/>
      <c r="B29" s="173"/>
      <c r="C29" s="173"/>
      <c r="D29" s="173"/>
      <c r="E29" s="173"/>
      <c r="F29" s="173"/>
      <c r="G29" s="173"/>
      <c r="H29" s="173"/>
      <c r="I29" s="173"/>
      <c r="J29" s="173"/>
      <c r="K29" s="13"/>
      <c r="L29" s="13"/>
      <c r="M29"/>
      <c r="N29"/>
      <c r="O29" s="12"/>
      <c r="P29" s="12"/>
      <c r="Q29"/>
      <c r="R29"/>
      <c r="S29" s="12"/>
      <c r="T29" s="12"/>
      <c r="U29" s="14" t="s">
        <v>211</v>
      </c>
      <c r="V29" s="13">
        <v>3</v>
      </c>
      <c r="Y29" s="14" t="s">
        <v>167</v>
      </c>
      <c r="Z29" s="13">
        <v>2</v>
      </c>
    </row>
    <row r="30" spans="1:1502" ht="15">
      <c r="A30" s="173"/>
      <c r="B30" s="173"/>
      <c r="C30" s="173"/>
      <c r="D30" s="173"/>
      <c r="E30" s="173"/>
      <c r="F30" s="173"/>
      <c r="G30" s="173"/>
      <c r="H30" s="173"/>
      <c r="I30" s="173"/>
      <c r="J30" s="173"/>
      <c r="K30" s="13"/>
      <c r="L30" s="13"/>
      <c r="M30"/>
      <c r="N30"/>
      <c r="O30" s="12"/>
      <c r="P30" s="12"/>
      <c r="Q30"/>
      <c r="R30"/>
      <c r="S30" s="12"/>
      <c r="T30" s="12"/>
      <c r="U30" s="14" t="s">
        <v>165</v>
      </c>
      <c r="V30" s="13">
        <v>7</v>
      </c>
      <c r="Y30" s="14" t="s">
        <v>210</v>
      </c>
      <c r="Z30" s="13">
        <v>4</v>
      </c>
    </row>
    <row r="31" spans="1:1502" ht="15">
      <c r="A31" s="173"/>
      <c r="B31" s="173"/>
      <c r="C31" s="173"/>
      <c r="D31" s="173"/>
      <c r="E31" s="173"/>
      <c r="F31" s="173"/>
      <c r="G31" s="173"/>
      <c r="H31" s="173"/>
      <c r="I31" s="173"/>
      <c r="J31" s="173"/>
      <c r="K31" s="13"/>
      <c r="L31" s="13"/>
      <c r="M31"/>
      <c r="N31"/>
      <c r="O31" s="12"/>
      <c r="P31" s="12"/>
      <c r="Q31"/>
      <c r="R31"/>
      <c r="S31" s="12"/>
      <c r="T31" s="12"/>
      <c r="U31" s="14" t="s">
        <v>167</v>
      </c>
      <c r="V31" s="13">
        <v>6</v>
      </c>
      <c r="Y31" s="14" t="s">
        <v>273</v>
      </c>
      <c r="Z31" s="13">
        <v>9</v>
      </c>
    </row>
    <row r="32" spans="1:1502" ht="15">
      <c r="A32" s="176"/>
      <c r="B32" s="177"/>
      <c r="C32" s="177"/>
      <c r="D32" s="177"/>
      <c r="E32" s="177"/>
      <c r="F32" s="177"/>
      <c r="G32" s="177"/>
      <c r="H32" s="177"/>
      <c r="I32" s="177"/>
      <c r="J32" s="177"/>
      <c r="K32" s="13"/>
      <c r="L32" s="13"/>
      <c r="M32"/>
      <c r="N32"/>
      <c r="O32" s="12"/>
      <c r="P32" s="12"/>
      <c r="Q32"/>
      <c r="R32"/>
      <c r="S32" s="12"/>
      <c r="T32" s="12"/>
      <c r="U32" s="14" t="s">
        <v>169</v>
      </c>
      <c r="V32" s="13">
        <v>4</v>
      </c>
      <c r="Y32"/>
      <c r="Z32"/>
    </row>
    <row r="33" spans="1:26" ht="15">
      <c r="A33" s="176"/>
      <c r="B33" s="177"/>
      <c r="C33" s="177"/>
      <c r="D33" s="177"/>
      <c r="E33" s="177"/>
      <c r="F33" s="177"/>
      <c r="G33" s="177"/>
      <c r="H33" s="177"/>
      <c r="I33" s="177"/>
      <c r="J33" s="177"/>
      <c r="K33" s="13"/>
      <c r="L33" s="13"/>
      <c r="M33"/>
      <c r="N33"/>
      <c r="O33" s="12"/>
      <c r="P33" s="12"/>
      <c r="Q33"/>
      <c r="R33"/>
      <c r="S33" s="12"/>
      <c r="T33" s="12"/>
      <c r="U33" s="14" t="s">
        <v>210</v>
      </c>
      <c r="V33" s="13">
        <v>2</v>
      </c>
      <c r="Y33"/>
      <c r="Z33"/>
    </row>
    <row r="34" spans="1:26" ht="15">
      <c r="A34" s="176"/>
      <c r="B34" s="177"/>
      <c r="C34" s="177"/>
      <c r="D34" s="177"/>
      <c r="E34" s="177"/>
      <c r="F34" s="177"/>
      <c r="G34" s="177"/>
      <c r="H34" s="177"/>
      <c r="I34" s="177"/>
      <c r="J34" s="177"/>
      <c r="K34" s="13"/>
      <c r="L34" s="13"/>
      <c r="M34"/>
      <c r="N34"/>
      <c r="O34" s="12"/>
      <c r="P34" s="12"/>
      <c r="Q34"/>
      <c r="R34"/>
      <c r="S34" s="12"/>
      <c r="T34" s="12"/>
      <c r="U34" s="14" t="s">
        <v>273</v>
      </c>
      <c r="V34" s="13">
        <v>82</v>
      </c>
      <c r="Y34"/>
      <c r="Z34"/>
    </row>
    <row r="35" spans="1:26" ht="15">
      <c r="A35" s="173"/>
      <c r="B35" s="173"/>
      <c r="C35" s="177"/>
      <c r="D35" s="177"/>
      <c r="E35" s="177"/>
      <c r="F35" s="173"/>
      <c r="G35" s="173"/>
      <c r="H35" s="177"/>
      <c r="I35" s="177"/>
      <c r="J35" s="177"/>
      <c r="K35" s="13"/>
      <c r="L35" s="13"/>
      <c r="M35" s="12"/>
      <c r="N35" s="12"/>
      <c r="O35" s="12"/>
      <c r="P35" s="12"/>
      <c r="Q35"/>
      <c r="R35"/>
      <c r="S35" s="12"/>
      <c r="T35" s="12"/>
      <c r="U35"/>
      <c r="V35"/>
      <c r="Y35"/>
      <c r="Z35"/>
    </row>
    <row r="36" spans="1:26" ht="15">
      <c r="A36" s="173"/>
      <c r="B36" s="173"/>
      <c r="C36" s="177"/>
      <c r="D36" s="177"/>
      <c r="E36" s="177"/>
      <c r="F36" s="173"/>
      <c r="G36" s="173"/>
      <c r="H36" s="177"/>
      <c r="I36" s="177"/>
      <c r="J36" s="177"/>
      <c r="K36" s="13"/>
      <c r="L36" s="13"/>
      <c r="M36" s="12"/>
      <c r="N36" s="12"/>
      <c r="O36" s="12"/>
      <c r="P36" s="12"/>
      <c r="Q36"/>
      <c r="R36"/>
      <c r="S36" s="12"/>
      <c r="T36" s="12"/>
      <c r="U36"/>
      <c r="V36"/>
      <c r="Y36"/>
      <c r="Z36"/>
    </row>
    <row r="37" spans="1:26" ht="15">
      <c r="A37" s="173"/>
      <c r="B37" s="173"/>
      <c r="C37" s="177"/>
      <c r="D37" s="177"/>
      <c r="E37" s="177"/>
      <c r="F37" s="173"/>
      <c r="G37" s="173"/>
      <c r="H37" s="177"/>
      <c r="I37" s="177"/>
      <c r="J37" s="177"/>
      <c r="K37" s="13"/>
      <c r="L37" s="13"/>
      <c r="M37" s="12"/>
      <c r="N37" s="12"/>
      <c r="O37" s="12"/>
      <c r="P37" s="12"/>
      <c r="Q37" s="12"/>
      <c r="R37" s="12"/>
      <c r="S37" s="12"/>
      <c r="T37" s="12"/>
      <c r="U37"/>
      <c r="V37"/>
      <c r="Y37"/>
      <c r="Z37"/>
    </row>
    <row r="38" spans="1:26" ht="15">
      <c r="A38" s="173"/>
      <c r="B38" s="173"/>
      <c r="C38" s="177"/>
      <c r="D38" s="177"/>
      <c r="E38" s="177"/>
      <c r="F38" s="173"/>
      <c r="G38" s="173"/>
      <c r="H38" s="177"/>
      <c r="I38" s="177"/>
      <c r="J38" s="177"/>
      <c r="K38" s="13"/>
      <c r="L38" s="13"/>
      <c r="M38" s="12"/>
      <c r="N38" s="12"/>
      <c r="O38" s="12"/>
      <c r="P38" s="12"/>
      <c r="Q38" s="12"/>
      <c r="R38" s="12"/>
      <c r="S38" s="12"/>
      <c r="T38" s="12"/>
      <c r="U38"/>
      <c r="V38"/>
    </row>
    <row r="39" spans="1:26" ht="15">
      <c r="A39" s="173"/>
      <c r="B39" s="173"/>
      <c r="C39" s="173"/>
      <c r="D39" s="173"/>
      <c r="E39" s="173"/>
      <c r="F39" s="173"/>
      <c r="G39" s="173"/>
      <c r="H39" s="173"/>
      <c r="I39" s="173"/>
      <c r="J39" s="173"/>
      <c r="K39"/>
      <c r="L39"/>
      <c r="M39" s="12"/>
      <c r="N39" s="12"/>
      <c r="O39" s="12"/>
      <c r="P39" s="12"/>
      <c r="Q39" s="12"/>
      <c r="R39" s="12"/>
      <c r="S39" s="12"/>
      <c r="T39" s="12"/>
      <c r="U39"/>
      <c r="V39"/>
    </row>
    <row r="40" spans="1:26" ht="15">
      <c r="C40" s="173"/>
      <c r="D40" s="173"/>
      <c r="E40" s="173"/>
      <c r="H40" s="173"/>
      <c r="I40" s="173"/>
      <c r="J40" s="173"/>
      <c r="K40"/>
      <c r="L40"/>
      <c r="M40" s="12"/>
      <c r="N40" s="12"/>
      <c r="O40" s="12"/>
      <c r="P40" s="12"/>
      <c r="Q40" s="12"/>
      <c r="R40" s="12"/>
      <c r="S40" s="12"/>
      <c r="T40" s="12"/>
      <c r="U40"/>
      <c r="V40"/>
    </row>
    <row r="41" spans="1:26" ht="15">
      <c r="C41" s="173"/>
      <c r="D41" s="173"/>
      <c r="E41" s="173"/>
      <c r="H41" s="173"/>
      <c r="I41" s="173"/>
      <c r="J41" s="173"/>
      <c r="K41"/>
      <c r="L41"/>
      <c r="M41" s="12"/>
      <c r="N41" s="12"/>
      <c r="O41" s="12"/>
      <c r="P41" s="12"/>
      <c r="Q41" s="12"/>
      <c r="R41" s="12"/>
      <c r="S41" s="12"/>
      <c r="T41" s="12"/>
      <c r="U41"/>
      <c r="V41"/>
    </row>
    <row r="42" spans="1:26" ht="15">
      <c r="D42" s="177"/>
      <c r="E42" s="177"/>
      <c r="H42" s="177"/>
      <c r="I42" s="177"/>
      <c r="J42" s="173"/>
      <c r="K42"/>
      <c r="L42"/>
      <c r="M42" s="12"/>
      <c r="N42" s="12"/>
      <c r="O42" s="12"/>
      <c r="P42" s="12"/>
      <c r="Q42" s="12"/>
      <c r="R42" s="12"/>
      <c r="S42" s="12"/>
      <c r="T42" s="12"/>
      <c r="U42"/>
      <c r="V42"/>
    </row>
    <row r="43" spans="1:26" ht="15">
      <c r="D43" s="177"/>
      <c r="E43" s="177"/>
      <c r="J43" s="173"/>
      <c r="K43" s="15"/>
      <c r="L43" s="15"/>
      <c r="M43" s="12"/>
      <c r="N43" s="12"/>
      <c r="O43" s="12"/>
      <c r="P43" s="12"/>
      <c r="Q43" s="12"/>
      <c r="R43" s="12"/>
      <c r="S43" s="12"/>
      <c r="T43" s="12"/>
      <c r="U43"/>
      <c r="V43"/>
    </row>
    <row r="44" spans="1:26" ht="12.75">
      <c r="D44" s="182"/>
      <c r="E44" s="165"/>
      <c r="J44" s="173"/>
      <c r="K44" s="15"/>
      <c r="L44" s="15"/>
      <c r="M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1:26" ht="12.75">
      <c r="D45" s="165"/>
      <c r="E45" s="165"/>
      <c r="J45" s="173"/>
      <c r="K45" s="15"/>
      <c r="L45" s="15"/>
      <c r="M45" s="12"/>
      <c r="N45" s="12"/>
      <c r="O45" s="12"/>
      <c r="P45" s="12"/>
      <c r="Q45" s="12"/>
      <c r="R45" s="12"/>
      <c r="S45" s="12"/>
      <c r="T45" s="12"/>
      <c r="U45" s="12"/>
      <c r="V45" s="12"/>
    </row>
    <row r="46" spans="1:26" ht="12.75">
      <c r="D46" s="165"/>
      <c r="E46" s="165"/>
      <c r="J46" s="173"/>
      <c r="K46" s="15"/>
      <c r="L46" s="15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:26">
      <c r="J47" s="173"/>
      <c r="K47" s="15"/>
      <c r="L47" s="15"/>
    </row>
    <row r="48" spans="1:26">
      <c r="J48" s="173"/>
      <c r="K48" s="15"/>
      <c r="L48" s="15"/>
    </row>
    <row r="49" spans="1:22">
      <c r="B49" s="165"/>
      <c r="G49" s="166"/>
      <c r="J49" s="173"/>
      <c r="K49" s="15"/>
      <c r="L49" s="15"/>
    </row>
    <row r="50" spans="1:22" ht="12.75">
      <c r="C50" s="173"/>
      <c r="D50" s="173"/>
      <c r="E50" s="173"/>
      <c r="H50" s="173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</row>
    <row r="51" spans="1:22" s="18" customFormat="1" ht="15">
      <c r="A51" s="178"/>
      <c r="B51" s="178"/>
      <c r="C51" s="173"/>
      <c r="D51" s="173"/>
      <c r="E51" s="173"/>
      <c r="F51" s="178"/>
      <c r="G51" s="178"/>
      <c r="H51" s="173"/>
      <c r="I51" s="165"/>
      <c r="J51" s="173"/>
      <c r="K51"/>
      <c r="L51"/>
      <c r="M51" s="12"/>
      <c r="N51" s="12"/>
      <c r="O51" s="12"/>
      <c r="P51" s="12"/>
      <c r="Q51" s="12"/>
      <c r="R51" s="12"/>
      <c r="S51" s="12"/>
      <c r="T51" s="12"/>
      <c r="U51" s="12"/>
      <c r="V51" s="19"/>
    </row>
    <row r="52" spans="1:22" ht="15">
      <c r="C52" s="173"/>
      <c r="D52" s="173"/>
      <c r="E52" s="173"/>
      <c r="H52" s="173"/>
      <c r="J52" s="173"/>
      <c r="K52"/>
      <c r="L52"/>
      <c r="M52" s="12"/>
      <c r="N52" s="12"/>
      <c r="O52" s="12"/>
      <c r="P52" s="12"/>
      <c r="Q52" s="12"/>
      <c r="R52" s="12"/>
      <c r="S52" s="12"/>
      <c r="T52" s="12"/>
      <c r="U52" s="12"/>
      <c r="V52" s="12"/>
    </row>
    <row r="53" spans="1:22" ht="15">
      <c r="C53" s="173"/>
      <c r="D53" s="173"/>
      <c r="E53" s="173"/>
      <c r="H53" s="173"/>
      <c r="J53" s="173"/>
      <c r="K53"/>
      <c r="L53"/>
      <c r="M53" s="12"/>
      <c r="N53" s="12"/>
      <c r="O53" s="12"/>
      <c r="P53" s="12"/>
      <c r="Q53" s="12"/>
      <c r="R53" s="12"/>
      <c r="S53" s="12"/>
      <c r="T53" s="12"/>
      <c r="U53" s="12"/>
      <c r="V53" s="12"/>
    </row>
    <row r="54" spans="1:22" ht="15">
      <c r="C54" s="173"/>
      <c r="D54" s="173"/>
      <c r="E54" s="173"/>
      <c r="H54" s="173"/>
      <c r="J54" s="173"/>
      <c r="K54"/>
      <c r="L54"/>
      <c r="M54" s="12"/>
      <c r="N54" s="12"/>
      <c r="O54" s="12"/>
      <c r="P54" s="12"/>
      <c r="Q54" s="12"/>
      <c r="R54" s="12"/>
      <c r="S54" s="12"/>
      <c r="T54" s="12"/>
      <c r="U54" s="12"/>
      <c r="V54" s="12"/>
    </row>
    <row r="55" spans="1:22" ht="15">
      <c r="C55" s="173"/>
      <c r="D55" s="173"/>
      <c r="E55" s="173"/>
      <c r="H55" s="173"/>
      <c r="J55" s="173"/>
      <c r="K55"/>
      <c r="L55"/>
      <c r="M55" s="12"/>
      <c r="N55" s="12"/>
      <c r="O55" s="12"/>
      <c r="P55" s="12"/>
      <c r="Q55" s="12"/>
      <c r="R55" s="12"/>
      <c r="S55" s="12"/>
      <c r="T55" s="12"/>
      <c r="U55" s="12"/>
      <c r="V55" s="12"/>
    </row>
    <row r="56" spans="1:22" ht="15">
      <c r="C56" s="173"/>
      <c r="D56" s="173"/>
      <c r="E56" s="173"/>
      <c r="H56" s="173"/>
      <c r="J56" s="173"/>
      <c r="K56"/>
      <c r="L56"/>
      <c r="M56" s="12"/>
      <c r="N56" s="12"/>
      <c r="O56" s="12"/>
      <c r="P56" s="12"/>
      <c r="Q56" s="12"/>
      <c r="R56" s="12"/>
      <c r="S56" s="12"/>
      <c r="T56" s="12"/>
      <c r="U56" s="12"/>
      <c r="V56" s="12"/>
    </row>
    <row r="57" spans="1:22" ht="15">
      <c r="C57" s="173"/>
      <c r="D57" s="173"/>
      <c r="E57" s="173"/>
      <c r="H57" s="173"/>
      <c r="J57" s="173"/>
      <c r="K57"/>
      <c r="L57"/>
      <c r="M57" s="12"/>
      <c r="N57" s="12"/>
      <c r="O57" s="12"/>
      <c r="P57" s="12"/>
      <c r="Q57" s="12"/>
      <c r="R57" s="12"/>
      <c r="S57" s="12"/>
      <c r="T57" s="12"/>
      <c r="U57" s="12"/>
      <c r="V57" s="12"/>
    </row>
    <row r="58" spans="1:22" ht="15">
      <c r="C58" s="173"/>
      <c r="D58" s="173"/>
      <c r="E58" s="173"/>
      <c r="H58" s="173"/>
      <c r="J58" s="173"/>
      <c r="K58"/>
      <c r="L58"/>
      <c r="M58" s="12"/>
      <c r="N58" s="12"/>
      <c r="O58" s="12"/>
      <c r="P58" s="12"/>
      <c r="Q58" s="12"/>
      <c r="R58" s="12"/>
      <c r="S58" s="12"/>
      <c r="T58" s="12"/>
      <c r="U58" s="12"/>
      <c r="V58" s="12"/>
    </row>
    <row r="59" spans="1:22" ht="15">
      <c r="C59" s="173"/>
      <c r="D59" s="173"/>
      <c r="E59" s="173"/>
      <c r="H59" s="173"/>
      <c r="J59" s="173"/>
      <c r="K59"/>
      <c r="L59"/>
      <c r="M59" s="12"/>
      <c r="N59" s="12"/>
      <c r="O59" s="12"/>
      <c r="P59" s="12"/>
      <c r="Q59" s="12"/>
      <c r="R59" s="12"/>
      <c r="S59" s="12"/>
      <c r="T59" s="12"/>
      <c r="U59" s="12"/>
      <c r="V59" s="12"/>
    </row>
    <row r="60" spans="1:22" ht="15">
      <c r="C60" s="173"/>
      <c r="D60" s="173"/>
      <c r="E60" s="173"/>
      <c r="H60" s="173"/>
      <c r="J60" s="173"/>
      <c r="K60"/>
      <c r="L60"/>
      <c r="M60" s="12"/>
      <c r="N60" s="12"/>
      <c r="O60" s="12"/>
      <c r="P60" s="12"/>
      <c r="Q60" s="12"/>
      <c r="R60" s="12"/>
      <c r="S60" s="12"/>
      <c r="T60" s="12"/>
      <c r="U60" s="12"/>
      <c r="V60" s="12"/>
    </row>
    <row r="61" spans="1:22" ht="15">
      <c r="C61" s="173"/>
      <c r="D61" s="173"/>
      <c r="E61" s="173"/>
      <c r="H61" s="173"/>
      <c r="J61" s="173"/>
      <c r="K61"/>
      <c r="L61"/>
      <c r="M61" s="12"/>
      <c r="N61" s="12"/>
      <c r="O61" s="12"/>
      <c r="P61" s="12"/>
      <c r="Q61" s="12"/>
      <c r="R61" s="12"/>
      <c r="S61" s="12"/>
      <c r="T61" s="12"/>
      <c r="U61" s="12"/>
      <c r="V61" s="12"/>
    </row>
    <row r="62" spans="1:22" ht="15">
      <c r="C62" s="173"/>
      <c r="D62" s="173"/>
      <c r="E62" s="173"/>
      <c r="H62" s="173"/>
      <c r="J62" s="173"/>
      <c r="K62"/>
      <c r="L62"/>
      <c r="M62" s="12"/>
      <c r="N62" s="12"/>
      <c r="O62" s="12"/>
      <c r="P62" s="12"/>
      <c r="Q62" s="12"/>
      <c r="R62" s="12"/>
      <c r="S62" s="12"/>
      <c r="T62" s="12"/>
      <c r="U62" s="12"/>
      <c r="V62" s="12"/>
    </row>
    <row r="63" spans="1:22" ht="15">
      <c r="C63" s="173"/>
      <c r="D63" s="173"/>
      <c r="E63" s="173"/>
      <c r="H63" s="173"/>
      <c r="J63" s="173"/>
      <c r="K63"/>
      <c r="L63"/>
      <c r="M63" s="12"/>
      <c r="N63" s="12"/>
      <c r="O63" s="12"/>
      <c r="P63" s="12"/>
      <c r="Q63" s="12"/>
      <c r="R63" s="12"/>
      <c r="S63" s="12"/>
      <c r="T63" s="12"/>
      <c r="U63" s="12"/>
      <c r="V63" s="12"/>
    </row>
    <row r="64" spans="1:22" ht="15">
      <c r="C64" s="173"/>
      <c r="D64" s="173"/>
      <c r="E64" s="173"/>
      <c r="H64" s="173"/>
      <c r="J64" s="173"/>
      <c r="K64"/>
      <c r="L64"/>
      <c r="M64" s="12"/>
      <c r="N64" s="12"/>
      <c r="O64" s="12"/>
      <c r="P64" s="12"/>
      <c r="Q64" s="12"/>
      <c r="R64" s="12"/>
      <c r="S64" s="12"/>
      <c r="T64" s="12"/>
      <c r="U64" s="12"/>
      <c r="V64" s="12"/>
    </row>
    <row r="65" spans="1:22" ht="15">
      <c r="C65" s="173"/>
      <c r="D65" s="173"/>
      <c r="E65" s="173"/>
      <c r="H65" s="173"/>
      <c r="J65" s="173"/>
      <c r="K65"/>
      <c r="L65"/>
      <c r="M65" s="12"/>
      <c r="N65" s="12"/>
      <c r="O65" s="12"/>
      <c r="P65" s="12"/>
      <c r="Q65" s="12"/>
      <c r="R65" s="12"/>
      <c r="S65" s="12"/>
      <c r="T65" s="12"/>
      <c r="U65" s="12"/>
      <c r="V65" s="12"/>
    </row>
    <row r="66" spans="1:22" ht="15">
      <c r="C66" s="173"/>
      <c r="D66" s="173"/>
      <c r="E66" s="173"/>
      <c r="F66" s="173"/>
      <c r="G66" s="173"/>
      <c r="H66" s="173"/>
      <c r="J66" s="173"/>
      <c r="K66"/>
      <c r="L66"/>
      <c r="M66" s="12"/>
      <c r="N66" s="12"/>
      <c r="O66" s="12"/>
      <c r="P66" s="12"/>
      <c r="Q66" s="12"/>
      <c r="R66" s="12"/>
      <c r="S66" s="12"/>
      <c r="T66" s="12"/>
      <c r="U66" s="12"/>
      <c r="V66" s="12"/>
    </row>
    <row r="67" spans="1:22" ht="15">
      <c r="C67" s="173"/>
      <c r="D67" s="173"/>
      <c r="E67" s="173"/>
      <c r="F67" s="173"/>
      <c r="G67" s="173"/>
      <c r="H67" s="173"/>
      <c r="J67" s="173"/>
      <c r="K67"/>
      <c r="L67"/>
      <c r="M67" s="12"/>
      <c r="N67" s="12"/>
      <c r="O67" s="12"/>
      <c r="P67" s="12"/>
      <c r="Q67" s="12"/>
      <c r="R67" s="12"/>
      <c r="S67" s="12"/>
      <c r="T67" s="12"/>
      <c r="U67" s="12"/>
      <c r="V67" s="12"/>
    </row>
    <row r="68" spans="1:22" ht="15">
      <c r="C68" s="173"/>
      <c r="D68" s="173"/>
      <c r="E68" s="173"/>
      <c r="F68" s="173"/>
      <c r="G68" s="173"/>
      <c r="H68" s="173"/>
      <c r="J68" s="173"/>
      <c r="K68"/>
      <c r="L68"/>
      <c r="M68" s="12"/>
      <c r="N68" s="12"/>
      <c r="O68" s="12"/>
      <c r="P68" s="12"/>
      <c r="Q68" s="12"/>
      <c r="R68" s="12"/>
      <c r="S68" s="12"/>
      <c r="T68" s="12"/>
      <c r="U68" s="12"/>
      <c r="V68" s="12"/>
    </row>
    <row r="69" spans="1:22" ht="15">
      <c r="C69" s="173"/>
      <c r="D69" s="173"/>
      <c r="E69" s="173"/>
      <c r="F69" s="173"/>
      <c r="G69" s="173"/>
      <c r="H69" s="173"/>
      <c r="J69" s="173"/>
      <c r="K69"/>
      <c r="L69"/>
      <c r="M69" s="12"/>
      <c r="N69" s="12"/>
      <c r="O69" s="12"/>
      <c r="P69" s="12"/>
      <c r="Q69" s="12"/>
      <c r="R69" s="12"/>
      <c r="S69" s="12"/>
      <c r="T69" s="12"/>
      <c r="U69" s="12"/>
      <c r="V69" s="12"/>
    </row>
    <row r="70" spans="1:22" ht="15">
      <c r="A70" s="173"/>
      <c r="B70" s="173"/>
      <c r="C70" s="173"/>
      <c r="D70" s="173"/>
      <c r="E70" s="173"/>
      <c r="F70" s="173"/>
      <c r="G70" s="173"/>
      <c r="H70" s="173"/>
      <c r="J70" s="173"/>
      <c r="K70"/>
      <c r="L70"/>
      <c r="M70" s="12"/>
      <c r="N70" s="12"/>
      <c r="O70" s="12"/>
      <c r="P70" s="12"/>
      <c r="Q70" s="12"/>
      <c r="R70" s="12"/>
      <c r="S70" s="12"/>
      <c r="T70" s="12"/>
      <c r="U70" s="12"/>
      <c r="V70" s="12"/>
    </row>
    <row r="71" spans="1:22" ht="15">
      <c r="A71" s="173"/>
      <c r="B71" s="173"/>
      <c r="C71" s="173"/>
      <c r="D71" s="173"/>
      <c r="E71" s="173"/>
      <c r="F71" s="173"/>
      <c r="G71" s="173"/>
      <c r="H71" s="173"/>
      <c r="J71" s="173"/>
      <c r="K71"/>
      <c r="L71"/>
      <c r="M71" s="12"/>
      <c r="N71" s="12"/>
      <c r="O71" s="12"/>
      <c r="P71" s="12"/>
      <c r="Q71" s="12"/>
      <c r="R71" s="12"/>
      <c r="S71" s="12"/>
      <c r="T71" s="12"/>
      <c r="U71" s="12"/>
      <c r="V71" s="12"/>
    </row>
    <row r="72" spans="1:22" ht="15">
      <c r="A72" s="173"/>
      <c r="B72" s="173"/>
      <c r="C72" s="173"/>
      <c r="D72" s="173"/>
      <c r="E72" s="173"/>
      <c r="F72" s="173"/>
      <c r="G72" s="173"/>
      <c r="H72" s="173"/>
      <c r="J72" s="173"/>
      <c r="K72"/>
      <c r="L72"/>
      <c r="M72" s="12"/>
      <c r="N72" s="12"/>
      <c r="O72" s="12"/>
      <c r="P72" s="12"/>
      <c r="Q72" s="12"/>
      <c r="R72" s="12"/>
      <c r="S72" s="12"/>
      <c r="T72" s="12"/>
      <c r="U72" s="12"/>
      <c r="V72" s="12"/>
    </row>
    <row r="73" spans="1:22" ht="15">
      <c r="A73" s="173"/>
      <c r="B73" s="173"/>
      <c r="F73" s="173"/>
      <c r="G73" s="173"/>
      <c r="J73" s="173"/>
      <c r="K73"/>
      <c r="L73"/>
      <c r="M73" s="12"/>
      <c r="N73" s="12"/>
      <c r="O73" s="12"/>
      <c r="P73" s="12"/>
      <c r="Q73" s="12"/>
      <c r="R73" s="12"/>
      <c r="S73" s="12"/>
      <c r="T73" s="12"/>
      <c r="U73" s="12"/>
      <c r="V73" s="12"/>
    </row>
    <row r="74" spans="1:22" ht="15">
      <c r="A74" s="173"/>
      <c r="B74" s="173"/>
      <c r="F74" s="173"/>
      <c r="G74" s="173"/>
      <c r="J74" s="173"/>
      <c r="K74"/>
      <c r="L74"/>
      <c r="M74" s="12"/>
      <c r="N74" s="12"/>
      <c r="O74" s="12"/>
      <c r="P74" s="12"/>
      <c r="Q74" s="12"/>
      <c r="R74" s="12"/>
      <c r="S74" s="12"/>
      <c r="T74" s="12"/>
      <c r="U74" s="12"/>
      <c r="V74" s="12"/>
    </row>
    <row r="75" spans="1:22" ht="15">
      <c r="A75" s="173"/>
      <c r="B75" s="173"/>
      <c r="F75" s="173"/>
      <c r="G75" s="173"/>
      <c r="J75" s="173"/>
      <c r="K75"/>
      <c r="L75"/>
      <c r="M75" s="12"/>
      <c r="N75" s="12"/>
      <c r="O75" s="12"/>
      <c r="P75" s="12"/>
      <c r="Q75" s="12"/>
      <c r="R75" s="12"/>
      <c r="S75" s="12"/>
      <c r="T75" s="12"/>
      <c r="U75" s="12"/>
      <c r="V75" s="12"/>
    </row>
    <row r="76" spans="1:22" ht="15">
      <c r="A76" s="173"/>
      <c r="B76" s="173"/>
      <c r="F76" s="173"/>
      <c r="G76" s="173"/>
      <c r="J76" s="173"/>
      <c r="K76"/>
      <c r="L76"/>
      <c r="M76" s="12"/>
      <c r="N76" s="12"/>
      <c r="O76" s="12"/>
      <c r="P76" s="12"/>
      <c r="Q76" s="12"/>
      <c r="R76" s="12"/>
      <c r="S76" s="12"/>
      <c r="T76" s="12"/>
      <c r="U76" s="12"/>
      <c r="V76" s="12"/>
    </row>
    <row r="77" spans="1:22" ht="15">
      <c r="A77" s="173"/>
      <c r="B77" s="173"/>
      <c r="F77" s="173"/>
      <c r="G77" s="173"/>
      <c r="J77" s="173"/>
      <c r="K77"/>
      <c r="L77"/>
    </row>
    <row r="78" spans="1:22" ht="15">
      <c r="A78" s="173"/>
      <c r="B78" s="173"/>
      <c r="F78" s="173"/>
      <c r="G78" s="173"/>
      <c r="J78" s="173"/>
      <c r="K78"/>
      <c r="L78"/>
    </row>
    <row r="79" spans="1:22" ht="15">
      <c r="A79" s="173"/>
      <c r="B79" s="173"/>
      <c r="F79" s="173"/>
      <c r="G79" s="173"/>
      <c r="J79" s="173"/>
      <c r="K79"/>
      <c r="L79"/>
    </row>
    <row r="80" spans="1:22" ht="15">
      <c r="A80" s="173"/>
      <c r="B80" s="173"/>
      <c r="J80" s="173"/>
      <c r="K80"/>
      <c r="L80"/>
    </row>
    <row r="81" spans="1:22" s="18" customFormat="1" ht="15">
      <c r="A81" s="173"/>
      <c r="B81" s="173"/>
      <c r="C81" s="178"/>
      <c r="D81" s="178"/>
      <c r="E81" s="178"/>
      <c r="F81" s="178"/>
      <c r="G81" s="178"/>
      <c r="H81" s="178"/>
      <c r="I81" s="165"/>
      <c r="J81" s="173"/>
      <c r="K81"/>
      <c r="L81"/>
      <c r="M81" s="12"/>
      <c r="N81" s="12"/>
      <c r="O81" s="12"/>
      <c r="P81" s="12"/>
      <c r="Q81" s="12"/>
      <c r="R81" s="12"/>
      <c r="S81" s="12"/>
      <c r="T81" s="12"/>
      <c r="U81" s="12"/>
      <c r="V81" s="19"/>
    </row>
    <row r="82" spans="1:22" ht="15">
      <c r="A82" s="173"/>
      <c r="B82" s="173"/>
      <c r="J82" s="173"/>
      <c r="K82"/>
      <c r="L82"/>
      <c r="M82" s="12"/>
      <c r="N82" s="12"/>
      <c r="O82" s="12"/>
      <c r="P82" s="12"/>
      <c r="Q82" s="12"/>
      <c r="R82" s="12"/>
      <c r="S82" s="12"/>
      <c r="T82" s="12"/>
      <c r="U82" s="12"/>
      <c r="V82" s="12"/>
    </row>
    <row r="83" spans="1:22" ht="15">
      <c r="A83" s="173"/>
      <c r="B83" s="173"/>
      <c r="J83" s="173"/>
      <c r="K83"/>
      <c r="L83"/>
      <c r="M83" s="12"/>
      <c r="N83" s="12"/>
      <c r="O83" s="12"/>
      <c r="P83" s="12"/>
      <c r="Q83" s="12"/>
      <c r="R83" s="12"/>
      <c r="S83" s="12"/>
      <c r="T83" s="12"/>
      <c r="U83" s="12"/>
      <c r="V83" s="12"/>
    </row>
    <row r="84" spans="1:22" ht="15">
      <c r="A84" s="173"/>
      <c r="B84" s="173"/>
      <c r="J84" s="173"/>
      <c r="K84"/>
      <c r="L84"/>
      <c r="M84" s="12"/>
      <c r="N84" s="12"/>
      <c r="O84" s="12"/>
      <c r="P84" s="12"/>
      <c r="Q84" s="12"/>
      <c r="R84" s="12"/>
      <c r="S84" s="12"/>
      <c r="T84" s="12"/>
      <c r="U84" s="12"/>
      <c r="V84" s="12"/>
    </row>
    <row r="85" spans="1:22" ht="15">
      <c r="A85" s="173"/>
      <c r="B85" s="173"/>
      <c r="J85" s="173"/>
      <c r="K85"/>
      <c r="L85"/>
      <c r="M85" s="12"/>
      <c r="N85" s="12"/>
      <c r="O85" s="12"/>
      <c r="P85" s="12"/>
      <c r="Q85" s="12"/>
      <c r="R85" s="12"/>
      <c r="S85" s="12"/>
      <c r="T85" s="12"/>
      <c r="U85" s="12"/>
      <c r="V85" s="12"/>
    </row>
    <row r="86" spans="1:22" ht="15">
      <c r="A86" s="173"/>
      <c r="B86" s="173"/>
      <c r="J86" s="173"/>
      <c r="K86"/>
      <c r="L86"/>
      <c r="M86" s="12"/>
      <c r="N86" s="12"/>
      <c r="O86" s="12"/>
      <c r="P86" s="12"/>
      <c r="Q86" s="12"/>
      <c r="R86" s="12"/>
      <c r="S86" s="12"/>
      <c r="T86" s="12"/>
      <c r="U86" s="12"/>
      <c r="V86" s="12"/>
    </row>
    <row r="87" spans="1:22" ht="15">
      <c r="A87" s="173"/>
      <c r="B87" s="173"/>
      <c r="J87" s="173"/>
      <c r="K87"/>
      <c r="L87"/>
      <c r="M87" s="12"/>
      <c r="N87" s="12"/>
      <c r="O87" s="12"/>
      <c r="P87" s="12"/>
      <c r="Q87" s="12"/>
      <c r="R87" s="12"/>
      <c r="S87" s="12"/>
      <c r="T87" s="12"/>
      <c r="U87" s="12"/>
      <c r="V87" s="12"/>
    </row>
    <row r="88" spans="1:22" ht="15">
      <c r="A88" s="173"/>
      <c r="B88" s="173"/>
      <c r="J88" s="173"/>
      <c r="K88"/>
      <c r="L88"/>
      <c r="M88" s="12"/>
      <c r="N88" s="12"/>
      <c r="O88" s="12"/>
      <c r="P88" s="12"/>
      <c r="Q88" s="12"/>
      <c r="R88" s="12"/>
      <c r="S88" s="12"/>
      <c r="T88" s="12"/>
      <c r="U88" s="12"/>
      <c r="V88" s="12"/>
    </row>
    <row r="89" spans="1:22" ht="15">
      <c r="A89" s="173"/>
      <c r="B89" s="173"/>
      <c r="J89" s="173"/>
      <c r="K89"/>
      <c r="L89"/>
      <c r="M89" s="12"/>
      <c r="N89" s="12"/>
      <c r="O89" s="12"/>
      <c r="P89" s="12"/>
      <c r="Q89" s="12"/>
      <c r="R89" s="12"/>
      <c r="S89" s="12"/>
      <c r="T89" s="12"/>
      <c r="U89" s="12"/>
      <c r="V89" s="12"/>
    </row>
    <row r="90" spans="1:22" ht="15">
      <c r="A90" s="173"/>
      <c r="B90" s="173"/>
      <c r="C90" s="173"/>
      <c r="D90" s="173"/>
      <c r="E90" s="173"/>
      <c r="F90" s="173"/>
      <c r="G90" s="173"/>
      <c r="H90" s="173"/>
      <c r="J90" s="173"/>
      <c r="K90"/>
      <c r="L90"/>
      <c r="M90" s="12"/>
      <c r="N90" s="12"/>
      <c r="O90" s="12"/>
      <c r="P90" s="12"/>
      <c r="Q90" s="12"/>
      <c r="R90" s="12"/>
      <c r="S90" s="12"/>
      <c r="T90" s="12"/>
      <c r="U90" s="12"/>
      <c r="V90" s="12"/>
    </row>
    <row r="91" spans="1:22" ht="15">
      <c r="A91" s="173"/>
      <c r="B91" s="173"/>
      <c r="C91" s="173"/>
      <c r="D91" s="173"/>
      <c r="E91" s="173"/>
      <c r="F91" s="173"/>
      <c r="G91" s="173"/>
      <c r="H91" s="173"/>
      <c r="J91" s="173"/>
      <c r="K91"/>
      <c r="L91"/>
      <c r="M91" s="12"/>
      <c r="N91" s="12"/>
      <c r="O91" s="12"/>
      <c r="P91" s="12"/>
      <c r="Q91" s="12"/>
      <c r="R91" s="12"/>
      <c r="S91" s="12"/>
      <c r="T91" s="12"/>
      <c r="U91" s="12"/>
      <c r="V91" s="12"/>
    </row>
    <row r="92" spans="1:22" ht="15">
      <c r="A92" s="173"/>
      <c r="B92" s="173"/>
      <c r="J92" s="173"/>
      <c r="K92"/>
      <c r="L92"/>
      <c r="M92" s="12"/>
      <c r="N92" s="12"/>
      <c r="O92" s="12"/>
      <c r="P92" s="12"/>
      <c r="Q92" s="12"/>
      <c r="R92" s="12"/>
      <c r="S92" s="12"/>
      <c r="T92" s="12"/>
      <c r="U92" s="12"/>
      <c r="V92" s="12"/>
    </row>
    <row r="93" spans="1:22" ht="15">
      <c r="A93" s="173"/>
      <c r="B93" s="173"/>
      <c r="J93" s="173"/>
      <c r="K93"/>
      <c r="L93"/>
      <c r="M93" s="12"/>
      <c r="N93" s="12"/>
      <c r="O93" s="12"/>
      <c r="P93" s="12"/>
      <c r="Q93" s="12"/>
      <c r="R93" s="12"/>
      <c r="S93" s="12"/>
      <c r="T93" s="12"/>
      <c r="U93" s="12"/>
      <c r="V93" s="12"/>
    </row>
    <row r="94" spans="1:22" ht="15">
      <c r="A94" s="173"/>
      <c r="B94" s="173"/>
      <c r="J94" s="173"/>
      <c r="K94"/>
      <c r="L94"/>
      <c r="M94" s="12"/>
      <c r="N94" s="12"/>
      <c r="O94" s="12"/>
      <c r="P94" s="12"/>
      <c r="Q94" s="12"/>
      <c r="R94" s="12"/>
      <c r="S94" s="12"/>
      <c r="T94" s="12"/>
      <c r="U94" s="12"/>
      <c r="V94" s="12"/>
    </row>
    <row r="95" spans="1:22" ht="15">
      <c r="A95" s="173"/>
      <c r="B95" s="173"/>
      <c r="J95" s="173"/>
      <c r="K95"/>
      <c r="L95"/>
      <c r="M95" s="12"/>
      <c r="N95" s="12"/>
      <c r="O95" s="12"/>
      <c r="P95" s="12"/>
      <c r="Q95" s="12"/>
      <c r="R95" s="12"/>
      <c r="S95" s="12"/>
      <c r="T95" s="12"/>
      <c r="U95" s="12"/>
      <c r="V95" s="12"/>
    </row>
    <row r="96" spans="1:22" ht="15">
      <c r="A96" s="173"/>
      <c r="B96" s="173"/>
      <c r="J96" s="173"/>
      <c r="K96"/>
      <c r="L96"/>
      <c r="M96" s="12"/>
      <c r="N96" s="12"/>
      <c r="O96" s="12"/>
      <c r="P96" s="12"/>
      <c r="Q96" s="12"/>
      <c r="R96" s="12"/>
      <c r="S96" s="12"/>
      <c r="T96" s="12"/>
      <c r="U96" s="12"/>
      <c r="V96" s="12"/>
    </row>
    <row r="97" spans="1:22" ht="15">
      <c r="A97" s="173"/>
      <c r="B97" s="173"/>
      <c r="J97" s="173"/>
      <c r="K97"/>
      <c r="L97"/>
      <c r="M97" s="12"/>
      <c r="N97" s="12"/>
      <c r="O97" s="12"/>
      <c r="P97" s="12"/>
      <c r="Q97" s="12"/>
      <c r="R97" s="12"/>
      <c r="S97" s="12"/>
      <c r="T97" s="12"/>
      <c r="U97" s="12"/>
      <c r="V97" s="12"/>
    </row>
    <row r="98" spans="1:22" ht="15">
      <c r="A98" s="173"/>
      <c r="B98" s="173"/>
      <c r="J98" s="173"/>
      <c r="K98"/>
      <c r="L98"/>
      <c r="M98" s="12"/>
      <c r="N98" s="12"/>
      <c r="O98" s="12"/>
      <c r="P98" s="12"/>
      <c r="Q98" s="12"/>
      <c r="R98" s="12"/>
      <c r="S98" s="12"/>
      <c r="T98" s="12"/>
      <c r="U98" s="12"/>
      <c r="V98" s="12"/>
    </row>
    <row r="99" spans="1:22" ht="15">
      <c r="J99" s="173"/>
      <c r="K99"/>
      <c r="L99"/>
      <c r="M99" s="12"/>
      <c r="N99" s="12"/>
      <c r="O99" s="12"/>
      <c r="P99" s="12"/>
      <c r="Q99" s="12"/>
      <c r="R99" s="12"/>
      <c r="S99" s="12"/>
      <c r="T99" s="12"/>
      <c r="U99" s="12"/>
      <c r="V99" s="12"/>
    </row>
    <row r="100" spans="1:22" ht="15">
      <c r="J100" s="173"/>
      <c r="K100"/>
      <c r="L100"/>
      <c r="M100" s="12"/>
      <c r="N100" s="12"/>
      <c r="O100" s="12"/>
      <c r="P100" s="12"/>
      <c r="Q100" s="12"/>
      <c r="R100" s="12"/>
      <c r="S100" s="12"/>
      <c r="T100" s="12"/>
      <c r="U100" s="12"/>
      <c r="V100" s="12"/>
    </row>
    <row r="101" spans="1:22" ht="15">
      <c r="J101" s="173"/>
      <c r="K101"/>
      <c r="L101"/>
      <c r="M101" s="12"/>
      <c r="N101" s="12"/>
      <c r="O101" s="12"/>
      <c r="P101" s="12"/>
      <c r="Q101" s="12"/>
      <c r="R101" s="12"/>
      <c r="S101" s="12"/>
      <c r="T101" s="12"/>
      <c r="U101" s="12"/>
      <c r="V101" s="12"/>
    </row>
    <row r="102" spans="1:22" ht="15">
      <c r="J102" s="173"/>
      <c r="K102"/>
      <c r="L102"/>
      <c r="M102" s="12"/>
      <c r="N102" s="12"/>
      <c r="O102" s="12"/>
      <c r="P102" s="12"/>
      <c r="Q102" s="12"/>
      <c r="R102" s="12"/>
      <c r="S102" s="12"/>
      <c r="T102" s="12"/>
      <c r="U102" s="12"/>
      <c r="V102" s="12"/>
    </row>
    <row r="103" spans="1:22" ht="15">
      <c r="J103" s="173"/>
      <c r="K103"/>
      <c r="L103"/>
      <c r="M103" s="12"/>
      <c r="N103" s="12"/>
      <c r="O103" s="12"/>
      <c r="P103" s="12"/>
      <c r="Q103" s="12"/>
      <c r="R103" s="12"/>
      <c r="S103" s="12"/>
      <c r="T103" s="12"/>
      <c r="U103" s="12"/>
      <c r="V103" s="12"/>
    </row>
    <row r="104" spans="1:22" ht="15">
      <c r="J104" s="173"/>
      <c r="K104"/>
      <c r="L104"/>
      <c r="M104" s="12"/>
      <c r="N104" s="12"/>
      <c r="O104" s="12"/>
      <c r="P104" s="12"/>
      <c r="Q104" s="12"/>
      <c r="R104" s="12"/>
      <c r="S104" s="12"/>
      <c r="T104" s="12"/>
      <c r="U104" s="12"/>
      <c r="V104" s="12"/>
    </row>
    <row r="105" spans="1:22" ht="15">
      <c r="J105" s="173"/>
      <c r="K105"/>
      <c r="L105"/>
      <c r="M105" s="12"/>
      <c r="N105" s="12"/>
      <c r="O105" s="12"/>
      <c r="P105" s="12"/>
      <c r="Q105" s="12"/>
      <c r="R105" s="12"/>
      <c r="S105" s="12"/>
      <c r="T105" s="12"/>
      <c r="U105" s="12"/>
      <c r="V105" s="12"/>
    </row>
    <row r="106" spans="1:22" ht="15">
      <c r="J106" s="173"/>
      <c r="K106"/>
      <c r="L106"/>
      <c r="M106" s="12"/>
      <c r="N106" s="12"/>
      <c r="O106" s="12"/>
      <c r="P106" s="12"/>
      <c r="Q106" s="12"/>
      <c r="R106" s="12"/>
      <c r="S106" s="12"/>
      <c r="T106" s="12"/>
      <c r="U106" s="12"/>
      <c r="V106" s="12"/>
    </row>
    <row r="107" spans="1:22" ht="15">
      <c r="J107" s="173"/>
      <c r="K107"/>
      <c r="L107"/>
      <c r="M107" s="12"/>
      <c r="N107" s="12"/>
      <c r="O107" s="12"/>
      <c r="P107" s="12"/>
      <c r="Q107" s="12"/>
      <c r="R107" s="12"/>
      <c r="S107" s="12"/>
      <c r="T107" s="12"/>
      <c r="U107" s="12"/>
      <c r="V107" s="12"/>
    </row>
    <row r="108" spans="1:22" ht="15">
      <c r="J108" s="173"/>
      <c r="K108"/>
      <c r="L108"/>
      <c r="M108" s="12"/>
      <c r="N108" s="12"/>
      <c r="O108" s="12"/>
      <c r="P108" s="12"/>
      <c r="Q108" s="12"/>
      <c r="R108" s="12"/>
      <c r="S108" s="12"/>
      <c r="T108" s="12"/>
      <c r="U108" s="12"/>
      <c r="V108" s="12"/>
    </row>
    <row r="109" spans="1:22" ht="15">
      <c r="J109" s="173"/>
      <c r="K109"/>
      <c r="L109"/>
      <c r="M109" s="12"/>
      <c r="N109" s="12"/>
      <c r="O109" s="12"/>
      <c r="P109" s="12"/>
      <c r="Q109" s="12"/>
      <c r="R109" s="12"/>
      <c r="S109" s="12"/>
      <c r="T109" s="12"/>
      <c r="U109" s="12"/>
      <c r="V109" s="12"/>
    </row>
    <row r="110" spans="1:22" ht="15">
      <c r="J110" s="173"/>
      <c r="K110"/>
      <c r="L110"/>
      <c r="M110" s="12"/>
      <c r="N110" s="12"/>
      <c r="O110" s="12"/>
      <c r="P110" s="12"/>
      <c r="Q110" s="12"/>
      <c r="R110" s="12"/>
      <c r="S110" s="12"/>
      <c r="T110" s="12"/>
      <c r="U110" s="12"/>
      <c r="V110" s="12"/>
    </row>
    <row r="111" spans="1:22" ht="15">
      <c r="J111" s="173"/>
      <c r="K111"/>
      <c r="L111"/>
      <c r="M111" s="12"/>
      <c r="N111" s="12"/>
      <c r="O111" s="12"/>
      <c r="P111" s="12"/>
      <c r="Q111" s="12"/>
      <c r="R111" s="12"/>
      <c r="S111" s="12"/>
      <c r="T111" s="12"/>
      <c r="U111" s="12"/>
      <c r="V111" s="12"/>
    </row>
    <row r="112" spans="1:22" ht="15">
      <c r="J112" s="173"/>
      <c r="K112"/>
      <c r="L1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</row>
    <row r="113" spans="1:22" ht="15">
      <c r="J113" s="173"/>
      <c r="K113"/>
      <c r="L113"/>
      <c r="M113" s="12"/>
      <c r="N113" s="12"/>
      <c r="O113" s="12"/>
      <c r="P113" s="12"/>
      <c r="Q113" s="12"/>
      <c r="R113" s="12"/>
      <c r="S113" s="12"/>
      <c r="T113" s="12"/>
      <c r="U113" s="12"/>
      <c r="V113" s="12"/>
    </row>
    <row r="114" spans="1:22" ht="15">
      <c r="J114" s="173"/>
      <c r="K114"/>
      <c r="L114"/>
      <c r="M114" s="12"/>
      <c r="N114" s="12"/>
      <c r="O114" s="12"/>
      <c r="P114" s="12"/>
      <c r="Q114" s="12"/>
      <c r="R114" s="12"/>
      <c r="S114" s="12"/>
      <c r="T114" s="12"/>
      <c r="U114" s="12"/>
      <c r="V114" s="12"/>
    </row>
    <row r="115" spans="1:22" ht="15">
      <c r="J115" s="173"/>
      <c r="K115"/>
      <c r="L115"/>
      <c r="N115" s="12"/>
      <c r="O115" s="12"/>
      <c r="P115" s="12"/>
      <c r="Q115" s="12"/>
      <c r="R115" s="12"/>
      <c r="S115" s="12"/>
      <c r="T115" s="12"/>
      <c r="U115" s="12"/>
      <c r="V115" s="12"/>
    </row>
    <row r="116" spans="1:22" ht="15">
      <c r="J116" s="173"/>
      <c r="K116"/>
      <c r="L116"/>
      <c r="N116" s="12"/>
      <c r="O116" s="12"/>
      <c r="P116" s="12"/>
      <c r="Q116" s="12"/>
      <c r="R116" s="12"/>
      <c r="S116" s="12"/>
      <c r="T116" s="12"/>
      <c r="U116" s="12"/>
      <c r="V116" s="12"/>
    </row>
    <row r="117" spans="1:22" ht="15">
      <c r="A117" s="173"/>
      <c r="B117" s="173"/>
      <c r="C117" s="173"/>
      <c r="D117" s="173"/>
      <c r="E117" s="173"/>
      <c r="F117" s="173"/>
      <c r="G117" s="173"/>
      <c r="H117" s="173"/>
      <c r="J117" s="173"/>
      <c r="K117"/>
      <c r="L117"/>
      <c r="N117" s="12"/>
      <c r="O117" s="12"/>
      <c r="P117" s="12"/>
      <c r="Q117" s="12"/>
      <c r="R117" s="12"/>
      <c r="S117" s="12"/>
      <c r="T117" s="12"/>
      <c r="U117" s="12"/>
      <c r="V117" s="12"/>
    </row>
    <row r="118" spans="1:22" ht="15">
      <c r="A118" s="173"/>
      <c r="B118" s="173"/>
      <c r="C118" s="173"/>
      <c r="D118" s="173"/>
      <c r="E118" s="173"/>
      <c r="F118" s="173"/>
      <c r="G118" s="173"/>
      <c r="H118" s="173"/>
      <c r="J118" s="173"/>
      <c r="K118"/>
      <c r="L118"/>
      <c r="N118" s="12"/>
      <c r="O118" s="12"/>
      <c r="P118" s="12"/>
      <c r="Q118" s="12"/>
      <c r="R118" s="12"/>
      <c r="S118" s="12"/>
      <c r="T118" s="12"/>
      <c r="U118" s="12"/>
      <c r="V118" s="12"/>
    </row>
    <row r="119" spans="1:22" ht="15">
      <c r="A119" s="173"/>
      <c r="B119" s="173"/>
      <c r="C119" s="173"/>
      <c r="D119" s="173"/>
      <c r="E119" s="173"/>
      <c r="F119" s="173"/>
      <c r="G119" s="173"/>
      <c r="H119" s="173"/>
      <c r="J119" s="173"/>
      <c r="K119"/>
      <c r="L119"/>
      <c r="N119" s="12"/>
      <c r="O119" s="12"/>
      <c r="P119" s="12"/>
      <c r="Q119" s="12"/>
      <c r="R119" s="12"/>
      <c r="S119" s="12"/>
      <c r="T119" s="12"/>
      <c r="U119" s="12"/>
      <c r="V119" s="12"/>
    </row>
    <row r="120" spans="1:22" ht="15">
      <c r="D120" s="173"/>
      <c r="E120" s="173"/>
      <c r="H120" s="173"/>
      <c r="J120" s="173"/>
      <c r="K120"/>
      <c r="L120"/>
      <c r="N120" s="12"/>
      <c r="O120" s="12"/>
      <c r="P120" s="12"/>
      <c r="Q120" s="12"/>
      <c r="R120" s="12"/>
      <c r="S120" s="12"/>
      <c r="T120" s="12"/>
      <c r="U120" s="12"/>
      <c r="V120" s="12"/>
    </row>
    <row r="121" spans="1:22" ht="15">
      <c r="D121" s="173"/>
      <c r="E121" s="173"/>
      <c r="H121" s="173"/>
      <c r="J121" s="173"/>
      <c r="K121"/>
      <c r="L121"/>
      <c r="N121" s="12"/>
      <c r="O121" s="12"/>
      <c r="P121" s="12"/>
      <c r="Q121" s="12"/>
      <c r="R121" s="12"/>
      <c r="S121" s="12"/>
      <c r="T121" s="12"/>
      <c r="U121" s="12"/>
      <c r="V121" s="12"/>
    </row>
    <row r="122" spans="1:22" ht="15">
      <c r="D122" s="173"/>
      <c r="E122" s="173"/>
      <c r="H122" s="173"/>
      <c r="J122" s="173"/>
      <c r="K122"/>
      <c r="L122"/>
      <c r="N122" s="12"/>
      <c r="O122" s="12"/>
      <c r="P122" s="12"/>
      <c r="Q122" s="12"/>
      <c r="R122" s="12"/>
      <c r="S122" s="12"/>
      <c r="T122" s="12"/>
      <c r="U122" s="12"/>
      <c r="V122" s="12"/>
    </row>
    <row r="123" spans="1:22" ht="15">
      <c r="C123" s="173"/>
      <c r="D123" s="178"/>
      <c r="E123" s="178"/>
      <c r="H123" s="173"/>
      <c r="J123" s="173"/>
      <c r="K123"/>
      <c r="L123"/>
      <c r="N123" s="12"/>
      <c r="O123" s="12"/>
      <c r="P123" s="12"/>
      <c r="Q123" s="12"/>
      <c r="R123" s="12"/>
      <c r="S123" s="12"/>
      <c r="T123" s="12"/>
      <c r="U123" s="12"/>
      <c r="V123" s="12"/>
    </row>
    <row r="124" spans="1:22" ht="15">
      <c r="C124" s="173"/>
      <c r="H124" s="173"/>
      <c r="J124" s="173"/>
      <c r="K124"/>
      <c r="L124"/>
      <c r="N124" s="12"/>
      <c r="O124" s="12"/>
      <c r="P124" s="12"/>
      <c r="Q124" s="12"/>
      <c r="R124" s="12"/>
      <c r="S124" s="12"/>
      <c r="T124" s="12"/>
      <c r="U124" s="12"/>
      <c r="V124" s="12"/>
    </row>
    <row r="125" spans="1:22" ht="15">
      <c r="C125" s="173"/>
      <c r="H125" s="173"/>
      <c r="J125" s="173"/>
      <c r="K125"/>
      <c r="L125"/>
      <c r="N125" s="12"/>
      <c r="O125" s="12"/>
      <c r="P125" s="12"/>
      <c r="Q125" s="12"/>
      <c r="R125" s="12"/>
      <c r="S125" s="12"/>
      <c r="T125" s="12"/>
      <c r="U125" s="12"/>
      <c r="V125" s="12"/>
    </row>
    <row r="126" spans="1:22" ht="15">
      <c r="C126" s="173"/>
      <c r="H126" s="173"/>
      <c r="J126" s="173"/>
      <c r="K126"/>
      <c r="L126"/>
      <c r="N126" s="12"/>
      <c r="O126" s="12"/>
      <c r="P126" s="12"/>
      <c r="Q126" s="12"/>
      <c r="R126" s="12"/>
      <c r="S126" s="12"/>
      <c r="T126" s="12"/>
      <c r="U126" s="12"/>
      <c r="V126" s="12"/>
    </row>
    <row r="127" spans="1:22" ht="15">
      <c r="C127" s="173"/>
      <c r="H127" s="173"/>
      <c r="J127" s="173"/>
      <c r="K127"/>
      <c r="L127"/>
      <c r="N127" s="12"/>
      <c r="O127" s="12"/>
      <c r="P127" s="12"/>
      <c r="Q127" s="12"/>
      <c r="R127" s="12"/>
      <c r="S127" s="12"/>
      <c r="T127" s="12"/>
      <c r="U127" s="12"/>
      <c r="V127" s="12"/>
    </row>
    <row r="128" spans="1:22" ht="15">
      <c r="C128" s="173"/>
      <c r="G128" s="166"/>
      <c r="H128" s="173"/>
      <c r="J128" s="173"/>
      <c r="K128"/>
      <c r="L128"/>
      <c r="N128" s="12"/>
      <c r="O128" s="12"/>
      <c r="P128" s="12"/>
      <c r="Q128" s="12"/>
      <c r="R128" s="12"/>
      <c r="S128" s="12"/>
      <c r="T128" s="12"/>
      <c r="U128" s="12"/>
      <c r="V128" s="12"/>
    </row>
    <row r="129" spans="3:36" ht="15">
      <c r="C129" s="173"/>
      <c r="H129" s="173"/>
      <c r="J129" s="173"/>
      <c r="K129"/>
      <c r="L129"/>
      <c r="N129" s="12"/>
      <c r="O129" s="12"/>
      <c r="P129" s="12"/>
      <c r="Q129" s="12"/>
      <c r="R129" s="12"/>
      <c r="S129" s="12"/>
      <c r="T129" s="12"/>
      <c r="U129" s="12"/>
      <c r="V129" s="12"/>
    </row>
    <row r="130" spans="3:36" ht="15">
      <c r="C130" s="173"/>
      <c r="H130" s="173"/>
      <c r="J130" s="173"/>
      <c r="K130"/>
      <c r="L130"/>
      <c r="N130" s="12"/>
      <c r="O130" s="12"/>
      <c r="P130" s="12"/>
      <c r="Q130" s="12"/>
      <c r="R130" s="12"/>
      <c r="S130" s="12"/>
      <c r="T130" s="12"/>
      <c r="U130" s="12"/>
    </row>
    <row r="131" spans="3:36" ht="15">
      <c r="C131" s="173"/>
      <c r="H131" s="173"/>
      <c r="J131" s="173"/>
      <c r="K131"/>
      <c r="L131"/>
      <c r="N131" s="12"/>
      <c r="O131" s="12"/>
      <c r="P131" s="12"/>
      <c r="Q131" s="12"/>
      <c r="R131" s="12"/>
      <c r="S131" s="12"/>
      <c r="T131" s="12"/>
      <c r="U131" s="12"/>
    </row>
    <row r="132" spans="3:36" ht="15">
      <c r="C132" s="173"/>
      <c r="H132" s="173"/>
      <c r="J132" s="173"/>
      <c r="K132"/>
      <c r="L132"/>
      <c r="N132" s="12"/>
      <c r="O132" s="12"/>
      <c r="P132" s="12"/>
      <c r="Q132" s="12"/>
      <c r="R132" s="12"/>
      <c r="S132" s="12"/>
      <c r="T132" s="12"/>
      <c r="U132" s="12"/>
    </row>
    <row r="133" spans="3:36" ht="15">
      <c r="C133" s="173"/>
      <c r="H133" s="173"/>
      <c r="J133" s="173"/>
      <c r="K133"/>
      <c r="L133"/>
      <c r="N133" s="12"/>
      <c r="O133" s="12"/>
      <c r="P133" s="12"/>
      <c r="Q133" s="12"/>
      <c r="R133" s="12"/>
      <c r="S133" s="12"/>
      <c r="T133" s="12"/>
      <c r="U133" s="12"/>
    </row>
    <row r="134" spans="3:36" ht="15">
      <c r="C134" s="173"/>
      <c r="H134" s="173"/>
      <c r="J134" s="173"/>
      <c r="K134"/>
      <c r="L134"/>
      <c r="M134" s="29"/>
      <c r="P134" s="12"/>
      <c r="Q134" s="12"/>
      <c r="R134" s="12"/>
      <c r="S134" s="12"/>
      <c r="T134" s="12"/>
      <c r="U134" s="12"/>
      <c r="V134" s="12"/>
    </row>
    <row r="135" spans="3:36" ht="15">
      <c r="C135" s="173"/>
      <c r="H135" s="173"/>
      <c r="J135" s="173"/>
      <c r="K135"/>
      <c r="L135"/>
      <c r="M135" s="30"/>
      <c r="N135" s="12"/>
      <c r="O135" s="12"/>
      <c r="P135" s="12"/>
      <c r="Q135" s="12"/>
      <c r="R135" s="12"/>
      <c r="S135" s="12"/>
      <c r="T135" s="12"/>
      <c r="U135" s="12"/>
    </row>
    <row r="136" spans="3:36" ht="15">
      <c r="C136" s="173"/>
      <c r="H136" s="173"/>
      <c r="J136" s="173"/>
      <c r="K136"/>
      <c r="L136"/>
      <c r="M136" s="17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</row>
    <row r="137" spans="3:36" ht="15">
      <c r="C137" s="173"/>
      <c r="H137" s="173"/>
      <c r="J137" s="173"/>
      <c r="K137"/>
      <c r="L137"/>
      <c r="M137" s="15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</row>
    <row r="138" spans="3:36" ht="15">
      <c r="C138" s="173"/>
      <c r="H138" s="173"/>
      <c r="J138" s="173"/>
      <c r="K138"/>
      <c r="L138"/>
      <c r="M138" s="15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</row>
    <row r="139" spans="3:36" ht="15">
      <c r="C139" s="173"/>
      <c r="H139" s="173"/>
      <c r="J139" s="173"/>
      <c r="K139"/>
      <c r="L139"/>
      <c r="M139" s="158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</row>
    <row r="140" spans="3:36" ht="15">
      <c r="C140" s="173"/>
      <c r="H140" s="173"/>
      <c r="J140" s="173"/>
      <c r="K140"/>
      <c r="L140"/>
      <c r="M140" s="158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</row>
    <row r="141" spans="3:36" ht="15">
      <c r="C141" s="173"/>
      <c r="H141" s="173"/>
      <c r="J141" s="173"/>
      <c r="K141"/>
      <c r="L141"/>
      <c r="M141" s="158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</row>
    <row r="142" spans="3:36" ht="15">
      <c r="C142" s="173"/>
      <c r="H142" s="173"/>
      <c r="J142" s="173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</row>
    <row r="143" spans="3:36" ht="15">
      <c r="C143" s="173"/>
      <c r="H143" s="173"/>
      <c r="J143" s="17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</row>
    <row r="144" spans="3:36" ht="15">
      <c r="C144" s="173"/>
      <c r="H144" s="173"/>
      <c r="J144" s="173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</row>
    <row r="145" spans="1:36" ht="15">
      <c r="C145" s="173"/>
      <c r="H145" s="173"/>
      <c r="J145" s="173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</row>
    <row r="146" spans="1:36" ht="15">
      <c r="C146" s="173"/>
      <c r="H146" s="173"/>
      <c r="J146" s="173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</row>
    <row r="147" spans="1:36" ht="15">
      <c r="C147" s="173"/>
      <c r="H147" s="173"/>
      <c r="J147" s="173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</row>
    <row r="148" spans="1:36" ht="15">
      <c r="C148" s="173"/>
      <c r="H148" s="173"/>
      <c r="J148" s="173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</row>
    <row r="149" spans="1:36" ht="15">
      <c r="C149" s="173"/>
      <c r="H149" s="173"/>
      <c r="J149" s="173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</row>
    <row r="150" spans="1:36" ht="15">
      <c r="C150" s="173"/>
      <c r="H150" s="173"/>
      <c r="J150" s="173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</row>
    <row r="151" spans="1:36" ht="15">
      <c r="C151" s="173"/>
      <c r="D151" s="173"/>
      <c r="E151" s="165"/>
      <c r="H151" s="173"/>
      <c r="J151" s="173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</row>
    <row r="152" spans="1:36" ht="15">
      <c r="C152" s="173"/>
      <c r="D152" s="173"/>
      <c r="E152" s="165"/>
      <c r="F152" s="173"/>
      <c r="G152" s="173"/>
      <c r="H152" s="173"/>
      <c r="J152" s="173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</row>
    <row r="153" spans="1:36" ht="15">
      <c r="C153" s="173"/>
      <c r="D153" s="173"/>
      <c r="E153" s="165"/>
      <c r="F153" s="173"/>
      <c r="G153" s="173"/>
      <c r="H153" s="173"/>
      <c r="J153" s="17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</row>
    <row r="154" spans="1:36" ht="15">
      <c r="C154" s="173"/>
      <c r="D154" s="173"/>
      <c r="E154" s="165"/>
      <c r="F154" s="173"/>
      <c r="G154" s="173"/>
      <c r="H154" s="173"/>
      <c r="J154" s="173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</row>
    <row r="155" spans="1:36" ht="15">
      <c r="C155" s="173"/>
      <c r="D155" s="173"/>
      <c r="E155" s="165"/>
      <c r="F155" s="173"/>
      <c r="G155" s="173"/>
      <c r="H155" s="173"/>
      <c r="I155" s="173"/>
      <c r="J155" s="173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</row>
    <row r="156" spans="1:36" ht="15">
      <c r="C156" s="173"/>
      <c r="D156" s="173"/>
      <c r="E156" s="165"/>
      <c r="F156" s="173"/>
      <c r="G156" s="173"/>
      <c r="H156" s="173"/>
      <c r="I156" s="173"/>
      <c r="J156" s="173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</row>
    <row r="157" spans="1:36" ht="15">
      <c r="I157" s="173"/>
      <c r="J157" s="173"/>
      <c r="K157"/>
      <c r="L157"/>
      <c r="M157" s="12"/>
      <c r="N157" s="12"/>
      <c r="O157" s="12"/>
      <c r="P157" s="12"/>
      <c r="Q157" s="12"/>
      <c r="R157" s="12"/>
      <c r="S157" s="12"/>
      <c r="T157" s="12"/>
      <c r="U157" s="12"/>
    </row>
    <row r="158" spans="1:36" ht="15">
      <c r="A158" s="173"/>
      <c r="B158" s="173"/>
      <c r="J158" s="173"/>
      <c r="K158"/>
      <c r="L158"/>
      <c r="M158" s="12"/>
      <c r="N158" s="12"/>
      <c r="O158" s="12"/>
      <c r="P158" s="12"/>
      <c r="Q158" s="12"/>
      <c r="R158" s="12"/>
      <c r="S158" s="12"/>
      <c r="T158" s="12"/>
      <c r="U158" s="12"/>
    </row>
    <row r="159" spans="1:36" ht="15">
      <c r="A159" s="173"/>
      <c r="B159" s="173"/>
      <c r="J159" s="173"/>
      <c r="K159"/>
      <c r="L159"/>
      <c r="M159" s="12"/>
      <c r="N159" s="12"/>
      <c r="O159" s="12"/>
      <c r="P159" s="12"/>
      <c r="Q159" s="12"/>
      <c r="R159" s="12"/>
      <c r="S159" s="12"/>
      <c r="T159" s="12"/>
      <c r="U159" s="12"/>
    </row>
    <row r="160" spans="1:36" ht="15">
      <c r="A160" s="173"/>
      <c r="B160" s="173"/>
      <c r="J160" s="173"/>
      <c r="K160"/>
      <c r="L160"/>
      <c r="M160" s="12"/>
      <c r="N160" s="12"/>
      <c r="O160" s="12"/>
      <c r="P160" s="12"/>
      <c r="Q160" s="12"/>
      <c r="R160" s="12"/>
      <c r="S160" s="12"/>
      <c r="T160" s="12"/>
      <c r="U160" s="12"/>
    </row>
    <row r="161" spans="1:21" ht="15">
      <c r="A161" s="173"/>
      <c r="B161" s="173"/>
      <c r="J161" s="173"/>
      <c r="K161"/>
      <c r="L161"/>
      <c r="M161" s="12"/>
      <c r="N161" s="12"/>
      <c r="O161" s="12"/>
      <c r="P161" s="12"/>
      <c r="Q161" s="12"/>
      <c r="R161" s="12"/>
      <c r="S161" s="12"/>
      <c r="T161" s="12"/>
      <c r="U161" s="12"/>
    </row>
    <row r="162" spans="1:21" ht="15">
      <c r="A162" s="173"/>
      <c r="B162" s="173"/>
      <c r="J162" s="173"/>
      <c r="K162"/>
      <c r="L162"/>
      <c r="M162" s="12"/>
      <c r="N162" s="12"/>
      <c r="O162" s="12"/>
      <c r="P162" s="12"/>
      <c r="Q162" s="12"/>
      <c r="R162" s="12"/>
      <c r="S162" s="12"/>
      <c r="T162" s="12"/>
      <c r="U162" s="12"/>
    </row>
    <row r="163" spans="1:21" ht="15">
      <c r="A163" s="173"/>
      <c r="B163" s="173"/>
      <c r="C163" s="173"/>
      <c r="D163" s="173"/>
      <c r="E163" s="173"/>
      <c r="F163" s="173"/>
      <c r="G163" s="173"/>
      <c r="H163" s="173"/>
      <c r="J163" s="173"/>
      <c r="K163"/>
      <c r="L163"/>
      <c r="M163" s="12"/>
      <c r="N163" s="12"/>
      <c r="O163" s="12"/>
      <c r="P163" s="12"/>
      <c r="Q163" s="12"/>
      <c r="R163" s="12"/>
      <c r="S163" s="12"/>
      <c r="T163" s="12"/>
      <c r="U163" s="12"/>
    </row>
    <row r="164" spans="1:21" ht="15">
      <c r="A164" s="173"/>
      <c r="B164" s="173"/>
      <c r="C164" s="173"/>
      <c r="D164" s="173"/>
      <c r="E164" s="173"/>
      <c r="F164" s="173"/>
      <c r="G164" s="173"/>
      <c r="J164" s="173"/>
      <c r="K164"/>
      <c r="L164"/>
      <c r="M164" s="12"/>
      <c r="N164" s="12"/>
      <c r="O164" s="12"/>
      <c r="P164" s="12"/>
      <c r="Q164" s="12"/>
      <c r="R164" s="12"/>
      <c r="S164" s="12"/>
      <c r="T164" s="12"/>
      <c r="U164" s="12"/>
    </row>
    <row r="165" spans="1:21" ht="15">
      <c r="A165" s="173"/>
      <c r="B165" s="173"/>
      <c r="C165" s="173"/>
      <c r="D165" s="173"/>
      <c r="E165" s="173"/>
      <c r="F165" s="173"/>
      <c r="G165" s="173"/>
      <c r="J165" s="173"/>
      <c r="K165"/>
      <c r="L165"/>
      <c r="M165" s="12"/>
      <c r="N165" s="12"/>
      <c r="O165" s="12"/>
      <c r="P165" s="12"/>
      <c r="Q165" s="12"/>
      <c r="R165" s="12"/>
      <c r="S165" s="12"/>
      <c r="T165" s="12"/>
      <c r="U165" s="12"/>
    </row>
    <row r="166" spans="1:21" ht="15">
      <c r="A166" s="173"/>
      <c r="B166" s="173"/>
      <c r="C166" s="173"/>
      <c r="D166" s="173"/>
      <c r="E166" s="173"/>
      <c r="F166" s="173"/>
      <c r="G166" s="173"/>
      <c r="J166" s="173"/>
      <c r="K166"/>
      <c r="L166"/>
      <c r="M166" s="12"/>
      <c r="N166" s="12"/>
      <c r="O166" s="12"/>
      <c r="P166" s="12"/>
      <c r="Q166" s="12"/>
      <c r="R166" s="12"/>
      <c r="S166" s="12"/>
      <c r="T166" s="12"/>
      <c r="U166" s="12"/>
    </row>
    <row r="167" spans="1:21" ht="15">
      <c r="A167" s="173"/>
      <c r="B167" s="173"/>
      <c r="C167" s="173"/>
      <c r="D167" s="173"/>
      <c r="E167" s="173"/>
      <c r="F167" s="173"/>
      <c r="G167" s="173"/>
      <c r="J167" s="173"/>
      <c r="K167"/>
      <c r="L167"/>
      <c r="M167" s="12"/>
      <c r="N167" s="12"/>
      <c r="O167" s="12"/>
      <c r="P167" s="12"/>
      <c r="Q167" s="12"/>
      <c r="R167" s="12"/>
      <c r="S167" s="12"/>
      <c r="T167" s="12"/>
      <c r="U167" s="12"/>
    </row>
    <row r="168" spans="1:21" ht="15">
      <c r="A168" s="173"/>
      <c r="B168" s="173"/>
      <c r="C168" s="173"/>
      <c r="D168" s="173"/>
      <c r="E168" s="173"/>
      <c r="F168" s="173"/>
      <c r="G168" s="173"/>
      <c r="J168" s="173"/>
      <c r="K168"/>
      <c r="L168"/>
      <c r="M168" s="12"/>
      <c r="N168" s="12"/>
      <c r="O168" s="12"/>
      <c r="P168" s="12"/>
      <c r="Q168" s="12"/>
      <c r="R168" s="12"/>
      <c r="S168" s="12"/>
      <c r="T168" s="12"/>
      <c r="U168" s="12"/>
    </row>
    <row r="169" spans="1:21" ht="15">
      <c r="A169" s="173"/>
      <c r="B169" s="173"/>
      <c r="C169" s="173"/>
      <c r="D169" s="173"/>
      <c r="E169" s="173"/>
      <c r="F169" s="173"/>
      <c r="G169" s="173"/>
      <c r="J169" s="173"/>
      <c r="K169"/>
      <c r="L169"/>
      <c r="M169" s="12"/>
      <c r="N169" s="12"/>
      <c r="O169" s="12"/>
      <c r="P169" s="12"/>
      <c r="Q169" s="12"/>
      <c r="R169" s="12"/>
      <c r="S169" s="12"/>
      <c r="T169" s="12"/>
      <c r="U169" s="12"/>
    </row>
    <row r="170" spans="1:21" ht="15">
      <c r="A170" s="173"/>
      <c r="B170" s="173"/>
      <c r="C170" s="173"/>
      <c r="D170" s="173"/>
      <c r="E170" s="173"/>
      <c r="F170" s="173"/>
      <c r="G170" s="173"/>
      <c r="J170" s="173"/>
      <c r="K170"/>
      <c r="L170"/>
      <c r="M170" s="12"/>
      <c r="N170" s="12"/>
      <c r="O170" s="12"/>
      <c r="P170" s="12"/>
      <c r="Q170" s="12"/>
      <c r="R170" s="12"/>
      <c r="S170" s="12"/>
      <c r="T170" s="12"/>
      <c r="U170" s="12"/>
    </row>
    <row r="171" spans="1:21" ht="15">
      <c r="A171" s="173"/>
      <c r="B171" s="173"/>
      <c r="C171" s="173"/>
      <c r="D171" s="173"/>
      <c r="E171" s="173"/>
      <c r="F171" s="173"/>
      <c r="G171" s="173"/>
      <c r="J171" s="173"/>
      <c r="K171"/>
      <c r="L171"/>
      <c r="M171" s="12"/>
      <c r="N171" s="12"/>
      <c r="O171" s="12"/>
      <c r="P171" s="12"/>
      <c r="Q171" s="12"/>
      <c r="R171" s="12"/>
      <c r="S171" s="12"/>
      <c r="T171" s="12"/>
      <c r="U171" s="12"/>
    </row>
    <row r="172" spans="1:21" ht="15">
      <c r="A172" s="173"/>
      <c r="B172" s="173"/>
      <c r="C172" s="173"/>
      <c r="D172" s="173"/>
      <c r="E172" s="173"/>
      <c r="F172" s="173"/>
      <c r="G172" s="173"/>
      <c r="J172" s="173"/>
      <c r="K172"/>
      <c r="L172"/>
      <c r="M172" s="12"/>
      <c r="N172" s="12"/>
      <c r="O172" s="12"/>
      <c r="P172" s="12"/>
      <c r="Q172" s="12"/>
      <c r="R172" s="12"/>
      <c r="S172" s="12"/>
      <c r="T172" s="12"/>
      <c r="U172" s="12"/>
    </row>
    <row r="173" spans="1:21" ht="15">
      <c r="A173" s="173"/>
      <c r="B173" s="173"/>
      <c r="C173" s="173"/>
      <c r="D173" s="173"/>
      <c r="E173" s="173"/>
      <c r="F173" s="173"/>
      <c r="G173" s="173"/>
      <c r="J173" s="173"/>
      <c r="K173"/>
      <c r="L173"/>
      <c r="M173" s="12"/>
      <c r="N173" s="12"/>
      <c r="O173" s="12"/>
      <c r="P173" s="12"/>
      <c r="Q173" s="12"/>
      <c r="R173" s="12"/>
      <c r="S173" s="12"/>
      <c r="T173" s="12"/>
      <c r="U173" s="12"/>
    </row>
    <row r="174" spans="1:21" ht="15">
      <c r="A174" s="173"/>
      <c r="B174" s="173"/>
      <c r="C174" s="173"/>
      <c r="D174" s="173"/>
      <c r="E174" s="173"/>
      <c r="F174" s="173"/>
      <c r="G174" s="173"/>
      <c r="J174" s="173"/>
      <c r="K174"/>
      <c r="L174"/>
      <c r="M174" s="12"/>
      <c r="N174" s="12"/>
      <c r="O174" s="12"/>
      <c r="P174" s="12"/>
      <c r="Q174" s="12"/>
      <c r="R174" s="12"/>
      <c r="S174" s="12"/>
      <c r="T174" s="12"/>
      <c r="U174" s="12"/>
    </row>
    <row r="175" spans="1:21" ht="15">
      <c r="A175" s="173"/>
      <c r="B175" s="173"/>
      <c r="C175" s="173"/>
      <c r="D175" s="173"/>
      <c r="E175" s="173"/>
      <c r="F175" s="173"/>
      <c r="G175" s="173"/>
      <c r="J175" s="173"/>
      <c r="K175"/>
      <c r="L175"/>
      <c r="M175" s="12"/>
      <c r="N175" s="12"/>
      <c r="O175" s="12"/>
      <c r="P175" s="12"/>
      <c r="Q175" s="12"/>
      <c r="R175" s="12"/>
      <c r="S175" s="12"/>
      <c r="T175" s="12"/>
      <c r="U175" s="12"/>
    </row>
    <row r="176" spans="1:21" ht="15">
      <c r="A176" s="173"/>
      <c r="B176" s="173"/>
      <c r="C176" s="173"/>
      <c r="D176" s="173"/>
      <c r="E176" s="173"/>
      <c r="F176" s="173"/>
      <c r="G176" s="173"/>
      <c r="J176" s="173"/>
      <c r="K176"/>
      <c r="L176"/>
      <c r="M176" s="12"/>
      <c r="N176" s="12"/>
      <c r="O176" s="12"/>
      <c r="P176" s="12"/>
      <c r="Q176" s="12"/>
      <c r="R176" s="12"/>
      <c r="S176" s="12"/>
      <c r="T176" s="12"/>
      <c r="U176" s="12"/>
    </row>
    <row r="177" spans="1:21" ht="15">
      <c r="A177" s="173"/>
      <c r="B177" s="173"/>
      <c r="C177" s="173"/>
      <c r="D177" s="173"/>
      <c r="E177" s="173"/>
      <c r="F177" s="173"/>
      <c r="G177" s="173"/>
      <c r="J177" s="173"/>
      <c r="K177"/>
      <c r="L177"/>
      <c r="M177" s="12"/>
      <c r="N177" s="12"/>
      <c r="O177" s="12"/>
      <c r="P177" s="12"/>
      <c r="Q177" s="12"/>
      <c r="R177" s="12"/>
      <c r="S177" s="12"/>
      <c r="T177" s="12"/>
      <c r="U177" s="12"/>
    </row>
    <row r="178" spans="1:21" ht="15">
      <c r="A178" s="173"/>
      <c r="B178" s="173"/>
      <c r="C178" s="173"/>
      <c r="D178" s="173"/>
      <c r="E178" s="173"/>
      <c r="F178" s="173"/>
      <c r="G178" s="173"/>
      <c r="J178" s="173"/>
      <c r="K178"/>
      <c r="L178"/>
      <c r="M178" s="12"/>
      <c r="N178" s="12"/>
      <c r="O178" s="12"/>
      <c r="P178" s="12"/>
      <c r="Q178" s="12"/>
      <c r="R178" s="12"/>
      <c r="S178" s="12"/>
      <c r="T178" s="12"/>
      <c r="U178" s="12"/>
    </row>
    <row r="179" spans="1:21" ht="15">
      <c r="A179" s="173"/>
      <c r="B179" s="173"/>
      <c r="C179" s="173"/>
      <c r="D179" s="173"/>
      <c r="E179" s="173"/>
      <c r="F179" s="173"/>
      <c r="G179" s="173"/>
      <c r="J179" s="173"/>
      <c r="K179"/>
      <c r="L179"/>
      <c r="M179" s="12"/>
      <c r="N179" s="12"/>
      <c r="O179" s="12"/>
      <c r="P179" s="12"/>
      <c r="Q179" s="12"/>
      <c r="R179" s="12"/>
      <c r="S179" s="12"/>
      <c r="T179" s="12"/>
      <c r="U179" s="12"/>
    </row>
    <row r="180" spans="1:21" ht="15">
      <c r="A180" s="173"/>
      <c r="B180" s="173"/>
      <c r="C180" s="173"/>
      <c r="D180" s="173"/>
      <c r="E180" s="173"/>
      <c r="F180" s="173"/>
      <c r="G180" s="173"/>
      <c r="J180" s="173"/>
      <c r="K180"/>
      <c r="L180"/>
      <c r="M180" s="12"/>
      <c r="N180" s="12"/>
      <c r="O180" s="12"/>
      <c r="P180" s="12"/>
      <c r="Q180" s="12"/>
      <c r="R180" s="12"/>
      <c r="S180" s="12"/>
      <c r="T180" s="12"/>
      <c r="U180" s="12"/>
    </row>
    <row r="181" spans="1:21" ht="15">
      <c r="A181" s="173"/>
      <c r="B181" s="173"/>
      <c r="C181" s="173"/>
      <c r="D181" s="173"/>
      <c r="E181" s="173"/>
      <c r="F181" s="173"/>
      <c r="G181" s="173"/>
      <c r="J181" s="173"/>
      <c r="K181"/>
      <c r="L181"/>
      <c r="M181" s="12"/>
      <c r="N181" s="12"/>
      <c r="O181" s="12"/>
      <c r="P181" s="12"/>
      <c r="Q181" s="12"/>
      <c r="R181" s="12"/>
      <c r="S181" s="12"/>
      <c r="T181" s="12"/>
      <c r="U181" s="12"/>
    </row>
    <row r="182" spans="1:21" ht="15">
      <c r="A182" s="173"/>
      <c r="B182" s="173"/>
      <c r="C182" s="173"/>
      <c r="D182" s="173"/>
      <c r="E182" s="173"/>
      <c r="F182" s="173"/>
      <c r="G182" s="173"/>
      <c r="J182" s="173"/>
      <c r="K182"/>
      <c r="L182"/>
      <c r="M182" s="12"/>
      <c r="N182" s="12"/>
      <c r="O182" s="12"/>
      <c r="P182" s="12"/>
      <c r="Q182" s="12"/>
      <c r="R182" s="12"/>
      <c r="S182" s="12"/>
      <c r="T182" s="12"/>
      <c r="U182" s="12"/>
    </row>
    <row r="183" spans="1:21" ht="15">
      <c r="A183" s="173"/>
      <c r="B183" s="173"/>
      <c r="C183" s="173"/>
      <c r="D183" s="173"/>
      <c r="E183" s="173"/>
      <c r="F183" s="173"/>
      <c r="G183" s="173"/>
      <c r="J183" s="173"/>
      <c r="K183"/>
      <c r="L183"/>
      <c r="M183" s="12"/>
      <c r="N183" s="12"/>
      <c r="O183" s="12"/>
      <c r="P183" s="12"/>
      <c r="Q183" s="12"/>
      <c r="R183" s="12"/>
      <c r="S183" s="12"/>
      <c r="T183" s="12"/>
      <c r="U183" s="12"/>
    </row>
    <row r="184" spans="1:21" ht="15">
      <c r="A184" s="173"/>
      <c r="B184" s="173"/>
      <c r="C184" s="173"/>
      <c r="D184" s="173"/>
      <c r="E184" s="173"/>
      <c r="F184" s="173"/>
      <c r="G184" s="173"/>
      <c r="J184" s="173"/>
      <c r="K184"/>
      <c r="L184"/>
      <c r="M184" s="12"/>
      <c r="N184" s="12"/>
      <c r="O184" s="12"/>
      <c r="P184" s="12"/>
      <c r="Q184" s="12"/>
      <c r="R184" s="12"/>
      <c r="S184" s="12"/>
      <c r="T184" s="12"/>
      <c r="U184" s="12"/>
    </row>
    <row r="185" spans="1:21" ht="15">
      <c r="A185" s="173"/>
      <c r="B185" s="173"/>
      <c r="C185" s="173"/>
      <c r="D185" s="165"/>
      <c r="E185" s="165"/>
      <c r="F185" s="173"/>
      <c r="G185" s="173"/>
      <c r="J185" s="173"/>
      <c r="K185"/>
      <c r="L185"/>
      <c r="M185" s="12"/>
      <c r="N185" s="12"/>
      <c r="O185" s="12"/>
      <c r="P185" s="12"/>
      <c r="Q185" s="12"/>
      <c r="R185" s="12"/>
      <c r="S185" s="12"/>
      <c r="T185" s="12"/>
      <c r="U185" s="12"/>
    </row>
    <row r="186" spans="1:21" ht="15">
      <c r="A186" s="173"/>
      <c r="B186" s="173"/>
      <c r="C186" s="173"/>
      <c r="D186" s="165"/>
      <c r="E186" s="165"/>
      <c r="F186" s="173"/>
      <c r="G186" s="173"/>
      <c r="J186" s="173"/>
      <c r="K186"/>
      <c r="L186"/>
      <c r="M186" s="12"/>
      <c r="N186" s="12"/>
      <c r="O186" s="12"/>
      <c r="P186" s="12"/>
      <c r="Q186" s="12"/>
      <c r="R186" s="12"/>
      <c r="S186" s="12"/>
      <c r="T186" s="12"/>
      <c r="U186" s="12"/>
    </row>
    <row r="187" spans="1:21" ht="15">
      <c r="A187" s="173"/>
      <c r="B187" s="173"/>
      <c r="C187" s="173"/>
      <c r="D187" s="165"/>
      <c r="E187" s="165"/>
      <c r="F187" s="173"/>
      <c r="G187" s="173"/>
      <c r="J187" s="173"/>
      <c r="K187"/>
      <c r="L187"/>
      <c r="M187" s="12"/>
      <c r="N187" s="12"/>
      <c r="O187" s="12"/>
      <c r="P187" s="12"/>
      <c r="Q187" s="12"/>
      <c r="R187" s="12"/>
      <c r="S187" s="12"/>
      <c r="T187" s="12"/>
      <c r="U187" s="12"/>
    </row>
    <row r="188" spans="1:21" ht="15">
      <c r="A188" s="173"/>
      <c r="B188" s="173"/>
      <c r="C188" s="173"/>
      <c r="D188" s="165"/>
      <c r="E188" s="165"/>
      <c r="F188" s="173"/>
      <c r="G188" s="173"/>
      <c r="J188" s="173"/>
      <c r="K188"/>
      <c r="L188"/>
      <c r="M188" s="12"/>
      <c r="N188" s="12"/>
      <c r="O188" s="12"/>
      <c r="P188" s="12"/>
      <c r="Q188" s="12"/>
      <c r="R188" s="12"/>
      <c r="S188" s="12"/>
      <c r="T188" s="12"/>
      <c r="U188" s="12"/>
    </row>
    <row r="189" spans="1:21" ht="15">
      <c r="A189" s="173"/>
      <c r="B189" s="173"/>
      <c r="C189" s="173"/>
      <c r="D189" s="165"/>
      <c r="E189" s="165"/>
      <c r="F189" s="173"/>
      <c r="G189" s="173"/>
      <c r="J189" s="173"/>
      <c r="K189"/>
      <c r="L189"/>
      <c r="M189" s="12"/>
      <c r="N189" s="12"/>
      <c r="O189" s="12"/>
      <c r="P189" s="12"/>
      <c r="Q189" s="12"/>
      <c r="R189" s="12"/>
      <c r="S189" s="12"/>
      <c r="T189" s="12"/>
      <c r="U189" s="12"/>
    </row>
    <row r="190" spans="1:21" ht="15">
      <c r="A190" s="173"/>
      <c r="B190" s="173"/>
      <c r="C190" s="173"/>
      <c r="D190" s="165"/>
      <c r="E190" s="165"/>
      <c r="F190" s="173"/>
      <c r="G190" s="173"/>
      <c r="J190" s="173"/>
      <c r="K190"/>
      <c r="L190"/>
      <c r="M190" s="12"/>
      <c r="N190" s="12"/>
      <c r="O190" s="12"/>
      <c r="P190" s="12"/>
      <c r="Q190" s="12"/>
      <c r="R190" s="12"/>
      <c r="S190" s="12"/>
      <c r="T190" s="12"/>
      <c r="U190" s="12"/>
    </row>
    <row r="191" spans="1:21" ht="15">
      <c r="A191" s="173"/>
      <c r="B191" s="173"/>
      <c r="C191" s="173"/>
      <c r="D191" s="165"/>
      <c r="E191" s="165"/>
      <c r="F191" s="173"/>
      <c r="G191" s="173"/>
      <c r="J191" s="173"/>
      <c r="K191"/>
      <c r="L191"/>
      <c r="M191" s="12"/>
      <c r="N191" s="12"/>
      <c r="O191" s="12"/>
      <c r="P191" s="12"/>
      <c r="Q191" s="12"/>
      <c r="R191" s="12"/>
      <c r="S191" s="12"/>
      <c r="T191" s="12"/>
      <c r="U191" s="12"/>
    </row>
    <row r="192" spans="1:21" ht="15">
      <c r="A192" s="173"/>
      <c r="B192" s="173"/>
      <c r="C192" s="173"/>
      <c r="D192" s="165"/>
      <c r="E192" s="165"/>
      <c r="F192" s="173"/>
      <c r="G192" s="173"/>
      <c r="J192" s="173"/>
      <c r="K192"/>
      <c r="L192"/>
      <c r="M192" s="12"/>
      <c r="N192" s="12"/>
      <c r="O192" s="12"/>
      <c r="P192" s="12"/>
      <c r="Q192" s="12"/>
      <c r="R192" s="12"/>
      <c r="S192" s="12"/>
      <c r="T192" s="12"/>
      <c r="U192" s="12"/>
    </row>
    <row r="193" spans="1:21" ht="15">
      <c r="A193" s="173"/>
      <c r="B193" s="173"/>
      <c r="C193" s="173"/>
      <c r="D193" s="165"/>
      <c r="E193" s="165"/>
      <c r="F193" s="173"/>
      <c r="G193" s="173"/>
      <c r="J193" s="173"/>
      <c r="K193"/>
      <c r="L193"/>
      <c r="M193" s="12"/>
      <c r="N193" s="12"/>
      <c r="O193" s="12"/>
      <c r="P193" s="12"/>
      <c r="Q193" s="12"/>
      <c r="R193" s="12"/>
      <c r="S193" s="12"/>
      <c r="T193" s="12"/>
      <c r="U193" s="12"/>
    </row>
    <row r="194" spans="1:21" ht="15">
      <c r="A194" s="173"/>
      <c r="B194" s="173"/>
      <c r="C194" s="173"/>
      <c r="D194" s="165"/>
      <c r="E194" s="165"/>
      <c r="F194" s="173"/>
      <c r="G194" s="173"/>
      <c r="J194" s="173"/>
      <c r="K194"/>
      <c r="L194"/>
      <c r="M194" s="12"/>
      <c r="N194" s="12"/>
      <c r="O194" s="12"/>
      <c r="P194" s="12"/>
      <c r="Q194" s="12"/>
      <c r="R194" s="12"/>
      <c r="S194" s="12"/>
      <c r="T194" s="12"/>
      <c r="U194" s="12"/>
    </row>
    <row r="195" spans="1:21" ht="15">
      <c r="A195" s="173"/>
      <c r="B195" s="173"/>
      <c r="C195" s="173"/>
      <c r="D195" s="165"/>
      <c r="E195" s="165"/>
      <c r="F195" s="173"/>
      <c r="G195" s="173"/>
      <c r="J195" s="173"/>
      <c r="K195"/>
      <c r="L195"/>
      <c r="M195" s="12"/>
      <c r="N195" s="12"/>
      <c r="O195" s="12"/>
      <c r="P195" s="12"/>
      <c r="Q195" s="12"/>
      <c r="R195" s="12"/>
      <c r="S195" s="12"/>
      <c r="T195" s="12"/>
      <c r="U195" s="12"/>
    </row>
    <row r="196" spans="1:21" ht="15">
      <c r="A196" s="173"/>
      <c r="B196" s="173"/>
      <c r="C196" s="173"/>
      <c r="D196" s="165"/>
      <c r="E196" s="165"/>
      <c r="F196" s="173"/>
      <c r="G196" s="173"/>
      <c r="J196" s="173"/>
      <c r="K196"/>
      <c r="L196"/>
      <c r="M196" s="12"/>
      <c r="N196" s="12"/>
      <c r="O196" s="12"/>
      <c r="P196" s="12"/>
      <c r="Q196" s="12"/>
      <c r="R196" s="12"/>
      <c r="S196" s="12"/>
      <c r="T196" s="12"/>
      <c r="U196" s="12"/>
    </row>
    <row r="197" spans="1:21" ht="15">
      <c r="A197" s="173"/>
      <c r="B197" s="173"/>
      <c r="C197" s="173"/>
      <c r="D197" s="165"/>
      <c r="E197" s="165"/>
      <c r="F197" s="173"/>
      <c r="G197" s="173"/>
      <c r="J197" s="173"/>
      <c r="K197"/>
      <c r="L197"/>
      <c r="M197" s="12"/>
      <c r="N197" s="12"/>
      <c r="O197" s="12"/>
      <c r="P197" s="12"/>
      <c r="Q197" s="12"/>
      <c r="R197" s="12"/>
      <c r="S197" s="12"/>
      <c r="T197" s="12"/>
      <c r="U197" s="12"/>
    </row>
    <row r="198" spans="1:21" ht="15">
      <c r="A198" s="173"/>
      <c r="B198" s="173"/>
      <c r="C198" s="173"/>
      <c r="D198" s="165"/>
      <c r="E198" s="165"/>
      <c r="F198" s="173"/>
      <c r="G198" s="173"/>
      <c r="J198" s="173"/>
      <c r="K198"/>
      <c r="L198"/>
      <c r="M198" s="12"/>
      <c r="N198" s="12"/>
      <c r="O198" s="12"/>
      <c r="P198" s="12"/>
      <c r="Q198" s="12"/>
      <c r="R198" s="12"/>
      <c r="S198" s="12"/>
      <c r="T198" s="12"/>
      <c r="U198" s="12"/>
    </row>
    <row r="199" spans="1:21" ht="15">
      <c r="A199" s="173"/>
      <c r="B199" s="173"/>
      <c r="C199" s="173"/>
      <c r="D199" s="165"/>
      <c r="E199" s="165"/>
      <c r="F199" s="173"/>
      <c r="G199" s="173"/>
      <c r="J199" s="173"/>
      <c r="K199"/>
      <c r="L199"/>
      <c r="M199" s="12"/>
      <c r="N199" s="12"/>
      <c r="O199" s="12"/>
      <c r="P199" s="12"/>
      <c r="Q199" s="12"/>
      <c r="R199" s="12"/>
      <c r="S199" s="12"/>
      <c r="T199" s="12"/>
      <c r="U199" s="12"/>
    </row>
    <row r="200" spans="1:21" ht="15">
      <c r="A200" s="173"/>
      <c r="B200" s="173"/>
      <c r="C200" s="173"/>
      <c r="D200" s="165"/>
      <c r="E200" s="165"/>
      <c r="F200" s="173"/>
      <c r="G200" s="173"/>
      <c r="J200" s="173"/>
      <c r="K200"/>
      <c r="L200"/>
      <c r="M200" s="12"/>
      <c r="N200" s="12"/>
      <c r="O200" s="12"/>
      <c r="P200" s="12"/>
      <c r="Q200" s="12"/>
      <c r="R200" s="12"/>
      <c r="S200" s="12"/>
      <c r="T200" s="12"/>
      <c r="U200" s="12"/>
    </row>
    <row r="201" spans="1:21" ht="15">
      <c r="A201" s="173"/>
      <c r="B201" s="173"/>
      <c r="C201" s="173"/>
      <c r="D201" s="165"/>
      <c r="E201" s="165"/>
      <c r="F201" s="173"/>
      <c r="G201" s="173"/>
      <c r="J201" s="173"/>
      <c r="K201"/>
      <c r="L201"/>
      <c r="M201" s="12"/>
      <c r="N201" s="12"/>
      <c r="O201" s="12"/>
      <c r="P201" s="12"/>
      <c r="Q201" s="12"/>
      <c r="R201" s="12"/>
      <c r="S201" s="12"/>
      <c r="T201" s="12"/>
      <c r="U201" s="12"/>
    </row>
    <row r="202" spans="1:21" ht="15">
      <c r="A202" s="173"/>
      <c r="B202" s="173"/>
      <c r="C202" s="173"/>
      <c r="D202" s="165"/>
      <c r="E202" s="165"/>
      <c r="F202" s="173"/>
      <c r="G202" s="173"/>
      <c r="J202" s="173"/>
      <c r="K202"/>
      <c r="L202"/>
      <c r="M202" s="12"/>
      <c r="N202" s="12"/>
      <c r="O202" s="12"/>
      <c r="P202" s="12"/>
      <c r="Q202" s="12"/>
      <c r="R202" s="12"/>
      <c r="S202" s="12"/>
      <c r="T202" s="12"/>
      <c r="U202" s="12"/>
    </row>
    <row r="203" spans="1:21" ht="15">
      <c r="A203" s="173"/>
      <c r="B203" s="173"/>
      <c r="C203" s="173"/>
      <c r="D203" s="165"/>
      <c r="E203" s="165"/>
      <c r="F203" s="173"/>
      <c r="G203" s="173"/>
      <c r="J203" s="173"/>
      <c r="K203"/>
      <c r="L203"/>
      <c r="M203" s="12"/>
      <c r="N203" s="12"/>
      <c r="O203" s="12"/>
      <c r="P203" s="12"/>
      <c r="Q203" s="12"/>
      <c r="R203" s="12"/>
      <c r="S203" s="12"/>
      <c r="T203" s="12"/>
      <c r="U203" s="12"/>
    </row>
    <row r="204" spans="1:21" ht="15">
      <c r="A204" s="173"/>
      <c r="B204" s="173"/>
      <c r="C204" s="173"/>
      <c r="D204" s="165"/>
      <c r="E204" s="165"/>
      <c r="F204" s="173"/>
      <c r="G204" s="173"/>
      <c r="J204" s="173"/>
      <c r="K204"/>
      <c r="L204"/>
      <c r="M204" s="12"/>
      <c r="N204" s="12"/>
      <c r="O204" s="12"/>
      <c r="P204" s="12"/>
      <c r="Q204" s="12"/>
      <c r="R204" s="12"/>
      <c r="S204" s="12"/>
      <c r="T204" s="12"/>
      <c r="U204" s="12"/>
    </row>
    <row r="205" spans="1:21" ht="15">
      <c r="A205" s="173"/>
      <c r="B205" s="173"/>
      <c r="C205" s="173"/>
      <c r="D205" s="165"/>
      <c r="E205" s="165"/>
      <c r="F205" s="173"/>
      <c r="G205" s="173"/>
      <c r="J205" s="173"/>
      <c r="K205"/>
      <c r="L205"/>
      <c r="M205" s="12"/>
      <c r="N205" s="12"/>
      <c r="O205" s="12"/>
      <c r="P205" s="12"/>
      <c r="Q205" s="12"/>
      <c r="R205" s="12"/>
      <c r="S205" s="12"/>
      <c r="T205" s="12"/>
      <c r="U205" s="12"/>
    </row>
    <row r="206" spans="1:21" ht="15">
      <c r="A206" s="173"/>
      <c r="B206" s="173"/>
      <c r="C206" s="173"/>
      <c r="D206" s="165"/>
      <c r="E206" s="165"/>
      <c r="F206" s="173"/>
      <c r="G206" s="173"/>
      <c r="J206" s="173"/>
      <c r="K206"/>
      <c r="L206"/>
      <c r="M206" s="12"/>
      <c r="N206" s="12"/>
      <c r="O206" s="12"/>
      <c r="P206" s="12"/>
      <c r="Q206" s="12"/>
      <c r="R206" s="12"/>
      <c r="S206" s="12"/>
      <c r="T206" s="12"/>
      <c r="U206" s="12"/>
    </row>
    <row r="207" spans="1:21" ht="15">
      <c r="A207" s="173"/>
      <c r="B207" s="173"/>
      <c r="C207" s="173"/>
      <c r="D207" s="165"/>
      <c r="E207" s="165"/>
      <c r="F207" s="173"/>
      <c r="G207" s="173"/>
      <c r="J207" s="173"/>
      <c r="K207"/>
      <c r="L207"/>
      <c r="M207" s="12"/>
      <c r="N207" s="12"/>
      <c r="O207" s="12"/>
      <c r="P207" s="12"/>
      <c r="Q207" s="12"/>
      <c r="R207" s="12"/>
      <c r="S207" s="12"/>
      <c r="T207" s="12"/>
      <c r="U207" s="12"/>
    </row>
    <row r="208" spans="1:21" ht="15">
      <c r="A208" s="173"/>
      <c r="B208" s="173"/>
      <c r="C208" s="173"/>
      <c r="D208" s="165"/>
      <c r="E208" s="165"/>
      <c r="F208" s="173"/>
      <c r="G208" s="173"/>
      <c r="J208" s="173"/>
      <c r="K208"/>
      <c r="L208"/>
      <c r="M208" s="12"/>
      <c r="N208" s="12"/>
      <c r="O208" s="12"/>
      <c r="P208" s="12"/>
      <c r="Q208" s="12"/>
      <c r="R208" s="12"/>
      <c r="S208" s="12"/>
      <c r="T208" s="12"/>
      <c r="U208" s="12"/>
    </row>
    <row r="209" spans="1:21" ht="15">
      <c r="A209" s="173"/>
      <c r="B209" s="173"/>
      <c r="C209" s="173"/>
      <c r="D209" s="165"/>
      <c r="E209" s="165"/>
      <c r="F209" s="173"/>
      <c r="G209" s="173"/>
      <c r="J209" s="173"/>
      <c r="K209"/>
      <c r="L209"/>
      <c r="M209" s="12"/>
      <c r="N209" s="12"/>
      <c r="O209" s="12"/>
      <c r="P209" s="12"/>
      <c r="Q209" s="12"/>
      <c r="R209" s="12"/>
      <c r="S209" s="12"/>
      <c r="T209" s="12"/>
      <c r="U209" s="12"/>
    </row>
    <row r="210" spans="1:21" ht="15">
      <c r="A210" s="173"/>
      <c r="B210" s="173"/>
      <c r="C210" s="173"/>
      <c r="D210" s="165"/>
      <c r="E210" s="165"/>
      <c r="F210" s="173"/>
      <c r="G210" s="173"/>
      <c r="J210" s="173"/>
      <c r="K210"/>
      <c r="L210"/>
      <c r="M210" s="12"/>
      <c r="N210" s="12"/>
      <c r="O210" s="12"/>
      <c r="P210" s="12"/>
      <c r="Q210" s="12"/>
      <c r="R210" s="12"/>
      <c r="S210" s="12"/>
      <c r="T210" s="12"/>
      <c r="U210" s="12"/>
    </row>
    <row r="211" spans="1:21" ht="15">
      <c r="A211" s="173"/>
      <c r="B211" s="173"/>
      <c r="C211" s="173"/>
      <c r="D211" s="165"/>
      <c r="E211" s="165"/>
      <c r="F211" s="173"/>
      <c r="G211" s="173"/>
      <c r="J211" s="173"/>
      <c r="K211"/>
      <c r="L211"/>
      <c r="M211" s="12"/>
      <c r="N211" s="12"/>
      <c r="O211" s="12"/>
      <c r="P211" s="12"/>
      <c r="Q211" s="12"/>
      <c r="R211" s="12"/>
      <c r="S211" s="12"/>
      <c r="T211" s="12"/>
      <c r="U211" s="12"/>
    </row>
    <row r="212" spans="1:21" ht="15">
      <c r="A212" s="173"/>
      <c r="B212" s="173"/>
      <c r="C212" s="173"/>
      <c r="D212" s="165"/>
      <c r="E212" s="165"/>
      <c r="F212" s="173"/>
      <c r="G212" s="173"/>
      <c r="J212" s="173"/>
      <c r="K212"/>
      <c r="L212"/>
      <c r="M212" s="12"/>
      <c r="N212" s="12"/>
      <c r="O212" s="12"/>
      <c r="P212" s="12"/>
      <c r="Q212" s="12"/>
      <c r="R212" s="12"/>
      <c r="S212" s="12"/>
      <c r="T212" s="12"/>
      <c r="U212" s="12"/>
    </row>
    <row r="213" spans="1:21" ht="15">
      <c r="A213" s="173"/>
      <c r="B213" s="173"/>
      <c r="C213" s="173"/>
      <c r="D213" s="165"/>
      <c r="E213" s="165"/>
      <c r="F213" s="173"/>
      <c r="G213" s="173"/>
      <c r="J213" s="173"/>
      <c r="K213"/>
      <c r="L213"/>
      <c r="M213" s="12"/>
      <c r="N213" s="12"/>
      <c r="O213" s="12"/>
      <c r="P213" s="12"/>
      <c r="Q213" s="12"/>
      <c r="R213" s="12"/>
      <c r="S213" s="12"/>
      <c r="T213" s="12"/>
      <c r="U213" s="12"/>
    </row>
    <row r="214" spans="1:21" ht="15">
      <c r="J214" s="173"/>
      <c r="K214"/>
      <c r="L214"/>
      <c r="M214" s="12"/>
      <c r="N214" s="12"/>
      <c r="O214" s="12"/>
      <c r="P214" s="12"/>
      <c r="Q214" s="12"/>
      <c r="R214" s="12"/>
      <c r="S214" s="12"/>
      <c r="T214" s="12"/>
      <c r="U214" s="12"/>
    </row>
    <row r="215" spans="1:21" ht="15">
      <c r="H215" s="167"/>
      <c r="I215" s="167"/>
      <c r="J215" s="173"/>
      <c r="K215"/>
      <c r="L215"/>
      <c r="M215" s="12"/>
      <c r="N215" s="12"/>
      <c r="O215" s="12"/>
      <c r="P215" s="12"/>
      <c r="Q215" s="12"/>
      <c r="R215" s="12"/>
      <c r="S215" s="12"/>
      <c r="T215" s="12"/>
      <c r="U215" s="12"/>
    </row>
    <row r="216" spans="1:21" ht="15">
      <c r="C216" s="165"/>
      <c r="I216" s="167"/>
      <c r="J216" s="173"/>
      <c r="K216"/>
      <c r="L216"/>
      <c r="M216" s="12"/>
      <c r="N216" s="12"/>
      <c r="O216" s="12"/>
      <c r="P216" s="12"/>
      <c r="Q216" s="12"/>
      <c r="R216" s="12"/>
      <c r="S216" s="12"/>
      <c r="T216" s="12"/>
      <c r="U216" s="12"/>
    </row>
    <row r="217" spans="1:21" ht="15">
      <c r="C217" s="165"/>
      <c r="I217" s="167"/>
      <c r="J217" s="173"/>
      <c r="K217"/>
      <c r="L217"/>
      <c r="M217" s="12"/>
      <c r="N217" s="12"/>
      <c r="O217" s="12"/>
      <c r="P217" s="12"/>
      <c r="Q217" s="12"/>
      <c r="R217" s="12"/>
      <c r="S217" s="12"/>
      <c r="T217" s="12"/>
      <c r="U217" s="12"/>
    </row>
    <row r="218" spans="1:21" ht="15">
      <c r="C218" s="165"/>
      <c r="I218" s="167"/>
      <c r="J218" s="173"/>
      <c r="K218"/>
      <c r="L218"/>
      <c r="M218" s="12"/>
      <c r="N218" s="12"/>
      <c r="O218" s="12"/>
      <c r="P218" s="12"/>
      <c r="Q218" s="12"/>
      <c r="R218" s="12"/>
      <c r="S218" s="12"/>
      <c r="T218" s="12"/>
      <c r="U218" s="12"/>
    </row>
    <row r="219" spans="1:21" ht="15">
      <c r="C219" s="165"/>
      <c r="I219" s="167"/>
      <c r="J219" s="173"/>
      <c r="K219"/>
      <c r="L219"/>
      <c r="M219" s="12"/>
      <c r="N219" s="12"/>
      <c r="O219" s="12"/>
      <c r="P219" s="12"/>
      <c r="Q219" s="12"/>
      <c r="R219" s="12"/>
      <c r="S219" s="12"/>
      <c r="T219" s="12"/>
      <c r="U219" s="12"/>
    </row>
    <row r="220" spans="1:21" ht="15">
      <c r="C220" s="165"/>
      <c r="I220" s="167"/>
      <c r="J220" s="173"/>
      <c r="K220"/>
      <c r="L220"/>
      <c r="M220" s="12"/>
      <c r="N220" s="12"/>
      <c r="O220" s="12"/>
      <c r="P220" s="12"/>
      <c r="Q220" s="12"/>
      <c r="R220" s="12"/>
      <c r="S220" s="12"/>
      <c r="T220" s="12"/>
      <c r="U220" s="12"/>
    </row>
    <row r="221" spans="1:21" ht="15">
      <c r="C221" s="165"/>
      <c r="I221" s="167"/>
      <c r="J221" s="173"/>
      <c r="K221"/>
      <c r="L221"/>
      <c r="M221" s="12"/>
      <c r="N221" s="12"/>
      <c r="O221" s="12"/>
      <c r="P221" s="12"/>
      <c r="Q221" s="12"/>
      <c r="R221" s="12"/>
      <c r="S221" s="12"/>
      <c r="T221" s="12"/>
      <c r="U221" s="12"/>
    </row>
    <row r="222" spans="1:21" ht="15">
      <c r="C222" s="165"/>
      <c r="I222" s="167"/>
      <c r="J222" s="173"/>
      <c r="K222"/>
      <c r="L222"/>
      <c r="M222" s="12"/>
      <c r="N222" s="12"/>
      <c r="O222" s="12"/>
      <c r="P222" s="12"/>
      <c r="Q222" s="12"/>
      <c r="R222" s="12"/>
      <c r="S222" s="12"/>
      <c r="T222" s="12"/>
      <c r="U222" s="12"/>
    </row>
    <row r="223" spans="1:21" ht="15">
      <c r="B223" s="165"/>
      <c r="C223" s="165"/>
      <c r="I223" s="167"/>
      <c r="J223" s="173"/>
      <c r="K223"/>
      <c r="L223"/>
      <c r="M223" s="12"/>
      <c r="N223" s="12"/>
      <c r="O223" s="12"/>
      <c r="P223" s="12"/>
      <c r="Q223" s="12"/>
      <c r="R223" s="12"/>
      <c r="S223" s="12"/>
      <c r="T223" s="12"/>
      <c r="U223" s="12"/>
    </row>
    <row r="224" spans="1:21" ht="15">
      <c r="E224" s="173"/>
      <c r="J224" s="173"/>
      <c r="K224"/>
      <c r="L224"/>
      <c r="M224" s="12"/>
      <c r="N224" s="12"/>
      <c r="O224" s="12"/>
      <c r="P224" s="12"/>
      <c r="Q224" s="12"/>
      <c r="R224" s="12"/>
      <c r="S224" s="12"/>
      <c r="T224" s="12"/>
      <c r="U224" s="12"/>
    </row>
    <row r="225" spans="1:21" ht="15">
      <c r="E225" s="173"/>
      <c r="J225" s="173"/>
      <c r="K225"/>
      <c r="L225"/>
      <c r="M225" s="12"/>
      <c r="N225" s="12"/>
      <c r="O225" s="12"/>
      <c r="P225" s="12"/>
      <c r="Q225" s="12"/>
      <c r="R225" s="12"/>
      <c r="S225" s="12"/>
      <c r="T225" s="12"/>
      <c r="U225" s="12"/>
    </row>
    <row r="226" spans="1:21" ht="15">
      <c r="E226" s="173"/>
      <c r="J226" s="173"/>
      <c r="K226"/>
      <c r="L226"/>
      <c r="M226" s="12"/>
      <c r="N226" s="12"/>
      <c r="O226" s="12"/>
      <c r="P226" s="12"/>
      <c r="Q226" s="12"/>
      <c r="R226" s="12"/>
      <c r="S226" s="12"/>
      <c r="T226" s="12"/>
      <c r="U226" s="12"/>
    </row>
    <row r="227" spans="1:21" ht="15">
      <c r="A227" s="173"/>
      <c r="B227" s="173"/>
      <c r="C227" s="173"/>
      <c r="D227" s="173"/>
      <c r="E227" s="173"/>
      <c r="F227" s="183"/>
      <c r="G227" s="183"/>
      <c r="H227" s="179"/>
      <c r="I227" s="179"/>
      <c r="J227" s="173"/>
      <c r="K227"/>
      <c r="L227"/>
      <c r="M227" s="12"/>
      <c r="N227" s="12"/>
      <c r="O227" s="12"/>
      <c r="P227" s="12"/>
      <c r="Q227" s="12"/>
      <c r="R227" s="12"/>
      <c r="S227" s="12"/>
      <c r="T227" s="12"/>
      <c r="U227" s="12"/>
    </row>
    <row r="228" spans="1:21" ht="15">
      <c r="A228" s="176"/>
      <c r="B228" s="177"/>
      <c r="C228" s="177"/>
      <c r="F228" s="173"/>
      <c r="G228" s="173"/>
      <c r="J228" s="173"/>
      <c r="K228"/>
      <c r="L228"/>
      <c r="M228" s="12"/>
      <c r="N228" s="12"/>
      <c r="O228" s="12"/>
      <c r="P228" s="12"/>
      <c r="Q228" s="12"/>
      <c r="R228" s="12"/>
      <c r="S228" s="12"/>
      <c r="T228" s="12"/>
      <c r="U228" s="12"/>
    </row>
    <row r="229" spans="1:21" ht="15">
      <c r="A229" s="173"/>
      <c r="B229" s="173"/>
      <c r="C229" s="173"/>
      <c r="D229" s="165"/>
      <c r="E229" s="165"/>
      <c r="F229" s="173"/>
      <c r="G229" s="173"/>
      <c r="J229" s="173"/>
      <c r="K229"/>
      <c r="L229"/>
      <c r="M229" s="12"/>
      <c r="N229" s="12"/>
      <c r="O229" s="12"/>
      <c r="P229" s="12"/>
      <c r="Q229" s="12"/>
      <c r="R229" s="12"/>
      <c r="S229" s="12"/>
      <c r="T229" s="12"/>
      <c r="U229" s="12"/>
    </row>
    <row r="230" spans="1:21" ht="15">
      <c r="A230" s="173"/>
      <c r="B230" s="173"/>
      <c r="C230" s="173"/>
      <c r="D230" s="165"/>
      <c r="E230" s="165"/>
      <c r="F230" s="173"/>
      <c r="G230" s="173"/>
      <c r="J230" s="173"/>
      <c r="K230"/>
      <c r="L230"/>
      <c r="M230" s="12"/>
      <c r="N230" s="12"/>
      <c r="O230" s="12"/>
      <c r="P230" s="12"/>
      <c r="Q230" s="12"/>
      <c r="R230" s="12"/>
      <c r="S230" s="12"/>
      <c r="T230" s="12"/>
      <c r="U230" s="12"/>
    </row>
    <row r="231" spans="1:21" ht="15">
      <c r="A231" s="173"/>
      <c r="B231" s="173"/>
      <c r="C231" s="173"/>
      <c r="D231" s="165"/>
      <c r="E231" s="165"/>
      <c r="F231" s="173"/>
      <c r="G231" s="173"/>
      <c r="J231" s="173"/>
      <c r="K231"/>
      <c r="L231"/>
      <c r="M231" s="12"/>
      <c r="N231" s="12"/>
      <c r="O231" s="12"/>
      <c r="P231" s="12"/>
      <c r="Q231" s="12"/>
      <c r="R231" s="12"/>
      <c r="S231" s="12"/>
      <c r="T231" s="12"/>
      <c r="U231" s="12"/>
    </row>
    <row r="232" spans="1:21" ht="15">
      <c r="A232" s="173"/>
      <c r="B232" s="173"/>
      <c r="C232" s="173"/>
      <c r="D232" s="165"/>
      <c r="E232" s="165"/>
      <c r="F232" s="173"/>
      <c r="G232" s="173"/>
      <c r="J232" s="173"/>
      <c r="K232"/>
      <c r="L232"/>
      <c r="M232" s="12"/>
      <c r="N232" s="12"/>
      <c r="O232" s="12"/>
      <c r="P232" s="12"/>
      <c r="Q232" s="12"/>
      <c r="R232" s="12"/>
      <c r="S232" s="12"/>
      <c r="T232" s="12"/>
      <c r="U232" s="12"/>
    </row>
    <row r="233" spans="1:21" ht="15">
      <c r="A233" s="173"/>
      <c r="B233" s="173"/>
      <c r="C233" s="173"/>
      <c r="D233" s="165"/>
      <c r="E233" s="165"/>
      <c r="F233" s="173"/>
      <c r="G233" s="173"/>
      <c r="J233" s="173"/>
      <c r="K233"/>
      <c r="L233"/>
      <c r="M233" s="12"/>
      <c r="N233" s="12"/>
      <c r="O233" s="12"/>
      <c r="P233" s="12"/>
      <c r="Q233" s="12"/>
      <c r="R233" s="12"/>
      <c r="S233" s="12"/>
      <c r="T233" s="12"/>
      <c r="U233" s="12"/>
    </row>
    <row r="234" spans="1:21" ht="15">
      <c r="A234" s="173"/>
      <c r="B234" s="173"/>
      <c r="C234" s="173"/>
      <c r="D234" s="165"/>
      <c r="E234" s="165"/>
      <c r="F234" s="173"/>
      <c r="G234" s="173"/>
      <c r="J234" s="173"/>
      <c r="K234"/>
      <c r="L234"/>
      <c r="M234" s="12"/>
      <c r="N234" s="12"/>
      <c r="O234" s="12"/>
      <c r="P234" s="12"/>
      <c r="Q234" s="12"/>
      <c r="R234" s="12"/>
      <c r="S234" s="12"/>
      <c r="T234" s="12"/>
      <c r="U234" s="12"/>
    </row>
    <row r="235" spans="1:21" ht="15">
      <c r="A235" s="173"/>
      <c r="B235" s="173"/>
      <c r="C235" s="173"/>
      <c r="D235" s="165"/>
      <c r="E235" s="165"/>
      <c r="F235" s="173"/>
      <c r="G235" s="173"/>
      <c r="J235" s="173"/>
      <c r="K235"/>
      <c r="L235"/>
      <c r="M235" s="12"/>
      <c r="N235" s="12"/>
      <c r="O235" s="12"/>
      <c r="P235" s="12"/>
      <c r="Q235" s="12"/>
      <c r="R235" s="12"/>
      <c r="S235" s="12"/>
      <c r="T235" s="12"/>
      <c r="U235" s="12"/>
    </row>
    <row r="236" spans="1:21" ht="15">
      <c r="A236" s="173"/>
      <c r="B236" s="173"/>
      <c r="C236" s="173"/>
      <c r="D236" s="165"/>
      <c r="E236" s="165"/>
      <c r="F236" s="173"/>
      <c r="G236" s="173"/>
      <c r="J236" s="173"/>
      <c r="K236"/>
      <c r="L236"/>
      <c r="M236" s="12"/>
      <c r="N236" s="12"/>
      <c r="O236" s="12"/>
      <c r="P236" s="12"/>
      <c r="Q236" s="12"/>
      <c r="R236" s="12"/>
      <c r="S236" s="12"/>
      <c r="T236" s="12"/>
      <c r="U236" s="12"/>
    </row>
    <row r="237" spans="1:21" ht="15">
      <c r="A237" s="173"/>
      <c r="B237" s="173"/>
      <c r="C237" s="173"/>
      <c r="D237" s="165"/>
      <c r="E237" s="165"/>
      <c r="F237" s="173"/>
      <c r="G237" s="173"/>
      <c r="J237" s="173"/>
      <c r="K237"/>
      <c r="L237"/>
      <c r="M237" s="12"/>
      <c r="N237" s="12"/>
      <c r="O237" s="12"/>
      <c r="P237" s="12"/>
      <c r="Q237" s="12"/>
      <c r="R237" s="12"/>
      <c r="S237" s="12"/>
      <c r="T237" s="12"/>
      <c r="U237" s="12"/>
    </row>
    <row r="238" spans="1:21" ht="15">
      <c r="A238" s="173"/>
      <c r="B238" s="173"/>
      <c r="C238" s="173"/>
      <c r="D238" s="165"/>
      <c r="E238" s="165"/>
      <c r="F238" s="173"/>
      <c r="G238" s="173"/>
      <c r="J238" s="173"/>
      <c r="K238"/>
      <c r="L238"/>
      <c r="M238" s="12"/>
      <c r="N238" s="12"/>
      <c r="O238" s="12"/>
      <c r="P238" s="12"/>
      <c r="Q238" s="12"/>
      <c r="R238" s="12"/>
      <c r="S238" s="12"/>
      <c r="T238" s="12"/>
      <c r="U238" s="12"/>
    </row>
    <row r="239" spans="1:21" ht="15">
      <c r="A239" s="173"/>
      <c r="B239" s="173"/>
      <c r="C239" s="173"/>
      <c r="D239" s="165"/>
      <c r="E239" s="165"/>
      <c r="F239" s="173"/>
      <c r="G239" s="173"/>
      <c r="J239" s="173"/>
      <c r="K239"/>
      <c r="L239"/>
      <c r="M239" s="12"/>
      <c r="N239" s="12"/>
      <c r="O239" s="12"/>
      <c r="P239" s="12"/>
      <c r="Q239" s="12"/>
      <c r="R239" s="12"/>
      <c r="S239" s="12"/>
      <c r="T239" s="12"/>
      <c r="U239" s="12"/>
    </row>
    <row r="240" spans="1:21" ht="15">
      <c r="A240" s="173"/>
      <c r="B240" s="173"/>
      <c r="C240" s="173"/>
      <c r="D240" s="165"/>
      <c r="E240" s="165"/>
      <c r="F240" s="173"/>
      <c r="G240" s="173"/>
      <c r="J240" s="173"/>
      <c r="K240"/>
      <c r="L240"/>
      <c r="M240" s="12"/>
      <c r="N240" s="12"/>
      <c r="O240" s="12"/>
      <c r="P240" s="12"/>
      <c r="Q240" s="12"/>
      <c r="R240" s="12"/>
      <c r="S240" s="12"/>
      <c r="T240" s="12"/>
      <c r="U240" s="12"/>
    </row>
    <row r="241" spans="1:21" ht="15">
      <c r="A241" s="173"/>
      <c r="B241" s="173"/>
      <c r="C241" s="173"/>
      <c r="D241" s="165"/>
      <c r="E241" s="165"/>
      <c r="F241" s="173"/>
      <c r="G241" s="173"/>
      <c r="J241" s="173"/>
      <c r="K241"/>
      <c r="L241"/>
      <c r="M241" s="12"/>
      <c r="N241" s="12"/>
      <c r="O241" s="12"/>
      <c r="P241" s="12"/>
      <c r="Q241" s="12"/>
      <c r="R241" s="12"/>
      <c r="S241" s="12"/>
      <c r="T241" s="12"/>
      <c r="U241" s="12"/>
    </row>
    <row r="242" spans="1:21" ht="15">
      <c r="A242" s="173"/>
      <c r="B242" s="173"/>
      <c r="C242" s="173"/>
      <c r="D242" s="165"/>
      <c r="E242" s="165"/>
      <c r="F242" s="173"/>
      <c r="G242" s="173"/>
      <c r="J242" s="173"/>
      <c r="K242"/>
      <c r="L242"/>
      <c r="M242" s="12"/>
      <c r="N242" s="12"/>
      <c r="O242" s="12"/>
      <c r="P242" s="12"/>
      <c r="Q242" s="12"/>
      <c r="R242" s="12"/>
      <c r="S242" s="12"/>
      <c r="T242" s="12"/>
      <c r="U242" s="12"/>
    </row>
    <row r="243" spans="1:21" ht="15">
      <c r="A243" s="173"/>
      <c r="B243" s="173"/>
      <c r="C243" s="173"/>
      <c r="D243" s="165"/>
      <c r="E243" s="165"/>
      <c r="F243" s="173"/>
      <c r="G243" s="173"/>
      <c r="J243" s="173"/>
      <c r="K243"/>
      <c r="L243"/>
      <c r="M243" s="12"/>
      <c r="N243" s="12"/>
      <c r="O243" s="12"/>
      <c r="P243" s="12"/>
      <c r="Q243" s="12"/>
      <c r="R243" s="12"/>
      <c r="S243" s="12"/>
      <c r="T243" s="12"/>
      <c r="U243" s="12"/>
    </row>
    <row r="244" spans="1:21" ht="15">
      <c r="A244" s="173"/>
      <c r="B244" s="173"/>
      <c r="C244" s="173"/>
      <c r="D244" s="165"/>
      <c r="E244" s="165"/>
      <c r="F244" s="173"/>
      <c r="G244" s="173"/>
      <c r="J244" s="173"/>
      <c r="K244"/>
      <c r="L244"/>
      <c r="M244" s="12"/>
      <c r="N244" s="12"/>
      <c r="O244" s="12"/>
      <c r="P244" s="12"/>
      <c r="Q244" s="12"/>
      <c r="R244" s="12"/>
      <c r="S244" s="12"/>
      <c r="T244" s="12"/>
      <c r="U244" s="12"/>
    </row>
    <row r="245" spans="1:21" ht="15">
      <c r="A245" s="173"/>
      <c r="B245" s="173"/>
      <c r="C245" s="173"/>
      <c r="D245" s="165"/>
      <c r="E245" s="165"/>
      <c r="F245" s="173"/>
      <c r="G245" s="173"/>
      <c r="J245" s="173"/>
      <c r="K245"/>
      <c r="L245"/>
      <c r="M245" s="12"/>
      <c r="N245" s="12"/>
      <c r="O245" s="12"/>
      <c r="P245" s="12"/>
      <c r="Q245" s="12"/>
      <c r="R245" s="12"/>
      <c r="S245" s="12"/>
      <c r="T245" s="12"/>
      <c r="U245" s="12"/>
    </row>
    <row r="246" spans="1:21" ht="15">
      <c r="A246" s="173"/>
      <c r="B246" s="173"/>
      <c r="C246" s="173"/>
      <c r="D246" s="165"/>
      <c r="E246" s="165"/>
      <c r="F246" s="173"/>
      <c r="G246" s="173"/>
      <c r="J246" s="173"/>
      <c r="K246"/>
      <c r="L246"/>
      <c r="M246" s="12"/>
      <c r="N246" s="12"/>
      <c r="O246" s="12"/>
      <c r="P246" s="12"/>
      <c r="Q246" s="12"/>
      <c r="R246" s="12"/>
      <c r="S246" s="12"/>
      <c r="T246" s="12"/>
      <c r="U246" s="12"/>
    </row>
    <row r="247" spans="1:21" ht="15">
      <c r="A247" s="173"/>
      <c r="B247" s="173"/>
      <c r="C247" s="173"/>
      <c r="D247" s="165"/>
      <c r="E247" s="165"/>
      <c r="F247" s="173"/>
      <c r="G247" s="173"/>
      <c r="J247" s="173"/>
      <c r="K247"/>
      <c r="L247"/>
      <c r="M247" s="12"/>
      <c r="N247" s="12"/>
      <c r="O247" s="12"/>
      <c r="P247" s="12"/>
      <c r="Q247" s="12"/>
      <c r="R247" s="12"/>
      <c r="S247" s="12"/>
      <c r="T247" s="12"/>
      <c r="U247" s="12"/>
    </row>
    <row r="248" spans="1:21" ht="15">
      <c r="A248" s="173"/>
      <c r="B248" s="173"/>
      <c r="C248" s="173"/>
      <c r="D248" s="165"/>
      <c r="E248" s="165"/>
      <c r="F248" s="173"/>
      <c r="G248" s="173"/>
      <c r="J248" s="173"/>
      <c r="K248"/>
      <c r="L248"/>
      <c r="M248" s="12"/>
      <c r="N248" s="12"/>
      <c r="O248" s="12"/>
      <c r="P248" s="12"/>
      <c r="Q248" s="12"/>
      <c r="R248" s="12"/>
      <c r="S248" s="12"/>
      <c r="T248" s="12"/>
      <c r="U248" s="12"/>
    </row>
    <row r="249" spans="1:21" ht="15">
      <c r="A249" s="173"/>
      <c r="B249" s="173"/>
      <c r="C249" s="173"/>
      <c r="D249" s="165"/>
      <c r="E249" s="165"/>
      <c r="F249" s="173"/>
      <c r="G249" s="173"/>
      <c r="J249" s="173"/>
      <c r="K249"/>
      <c r="L249"/>
      <c r="M249" s="12"/>
      <c r="N249" s="12"/>
      <c r="O249" s="12"/>
      <c r="P249" s="12"/>
      <c r="Q249" s="12"/>
      <c r="R249" s="12"/>
      <c r="S249" s="12"/>
      <c r="T249" s="12"/>
      <c r="U249" s="12"/>
    </row>
    <row r="250" spans="1:21" ht="15">
      <c r="A250" s="173"/>
      <c r="B250" s="173"/>
      <c r="C250" s="173"/>
      <c r="D250" s="165"/>
      <c r="E250" s="165"/>
      <c r="F250" s="173"/>
      <c r="G250" s="173"/>
      <c r="J250" s="173"/>
      <c r="K250"/>
      <c r="L250"/>
      <c r="M250" s="12"/>
      <c r="N250" s="12"/>
      <c r="O250" s="12"/>
      <c r="P250" s="12"/>
      <c r="Q250" s="12"/>
      <c r="R250" s="12"/>
      <c r="S250" s="12"/>
      <c r="T250" s="12"/>
      <c r="U250" s="12"/>
    </row>
    <row r="251" spans="1:21" ht="15">
      <c r="A251" s="173"/>
      <c r="B251" s="173"/>
      <c r="C251" s="173"/>
      <c r="D251" s="165"/>
      <c r="E251" s="165"/>
      <c r="F251" s="173"/>
      <c r="G251" s="173"/>
      <c r="J251" s="173"/>
      <c r="K251"/>
      <c r="L251"/>
      <c r="M251" s="12"/>
      <c r="N251" s="12"/>
      <c r="O251" s="12"/>
      <c r="P251" s="12"/>
      <c r="Q251" s="12"/>
      <c r="R251" s="12"/>
      <c r="S251" s="12"/>
      <c r="T251" s="12"/>
      <c r="U251" s="12"/>
    </row>
    <row r="252" spans="1:21" ht="15">
      <c r="A252" s="173"/>
      <c r="B252" s="173"/>
      <c r="C252" s="173"/>
      <c r="D252" s="165"/>
      <c r="E252" s="165"/>
      <c r="F252" s="173"/>
      <c r="G252" s="173"/>
      <c r="J252" s="173"/>
      <c r="K252"/>
      <c r="L252"/>
      <c r="M252" s="12"/>
      <c r="N252" s="12"/>
      <c r="O252" s="12"/>
      <c r="P252" s="12"/>
      <c r="Q252" s="12"/>
      <c r="R252" s="12"/>
      <c r="S252" s="12"/>
      <c r="T252" s="12"/>
      <c r="U252" s="12"/>
    </row>
    <row r="253" spans="1:21" ht="15">
      <c r="A253" s="173"/>
      <c r="B253" s="173"/>
      <c r="C253" s="173"/>
      <c r="D253" s="165"/>
      <c r="E253" s="165"/>
      <c r="F253" s="173"/>
      <c r="G253" s="173"/>
      <c r="J253" s="173"/>
      <c r="K253"/>
      <c r="L253"/>
      <c r="M253" s="12"/>
      <c r="N253" s="12"/>
      <c r="O253" s="12"/>
      <c r="P253" s="12"/>
      <c r="Q253" s="12"/>
      <c r="R253" s="12"/>
      <c r="S253" s="12"/>
      <c r="T253" s="12"/>
      <c r="U253" s="12"/>
    </row>
    <row r="254" spans="1:21" ht="15">
      <c r="A254" s="173"/>
      <c r="B254" s="173"/>
      <c r="C254" s="173"/>
      <c r="D254" s="165"/>
      <c r="E254" s="165"/>
      <c r="F254" s="173"/>
      <c r="G254" s="173"/>
      <c r="J254" s="173"/>
      <c r="K254"/>
      <c r="L254"/>
      <c r="M254" s="12"/>
      <c r="N254" s="12"/>
      <c r="O254" s="12"/>
      <c r="P254" s="12"/>
      <c r="Q254" s="12"/>
      <c r="R254" s="12"/>
      <c r="S254" s="12"/>
      <c r="T254" s="12"/>
      <c r="U254" s="12"/>
    </row>
    <row r="255" spans="1:21" ht="15">
      <c r="A255" s="173"/>
      <c r="B255" s="173"/>
      <c r="C255" s="173"/>
      <c r="D255" s="165"/>
      <c r="E255" s="165"/>
      <c r="F255" s="173"/>
      <c r="G255" s="173"/>
      <c r="J255" s="173"/>
      <c r="K255"/>
      <c r="L255"/>
      <c r="M255" s="12"/>
      <c r="N255" s="12"/>
      <c r="O255" s="12"/>
      <c r="P255" s="12"/>
      <c r="Q255" s="12"/>
      <c r="R255" s="12"/>
      <c r="S255" s="12"/>
      <c r="T255" s="12"/>
      <c r="U255" s="12"/>
    </row>
    <row r="256" spans="1:21" ht="15">
      <c r="A256" s="173"/>
      <c r="B256" s="173"/>
      <c r="C256" s="173"/>
      <c r="D256" s="165"/>
      <c r="E256" s="165"/>
      <c r="F256" s="173"/>
      <c r="G256" s="173"/>
      <c r="J256" s="173"/>
      <c r="K256"/>
      <c r="L256"/>
      <c r="M256" s="12"/>
      <c r="N256" s="12"/>
      <c r="O256" s="12"/>
      <c r="P256" s="12"/>
      <c r="Q256" s="12"/>
      <c r="R256" s="12"/>
      <c r="S256" s="12"/>
      <c r="T256" s="12"/>
      <c r="U256" s="12"/>
    </row>
    <row r="257" spans="1:21" ht="15">
      <c r="A257" s="173"/>
      <c r="B257" s="173"/>
      <c r="C257" s="173"/>
      <c r="D257" s="165"/>
      <c r="E257" s="165"/>
      <c r="F257" s="173"/>
      <c r="G257" s="173"/>
      <c r="J257" s="173"/>
      <c r="K257"/>
      <c r="L257"/>
      <c r="M257" s="12"/>
      <c r="N257" s="12"/>
      <c r="O257" s="12"/>
      <c r="P257" s="12"/>
      <c r="Q257" s="12"/>
      <c r="R257" s="12"/>
      <c r="S257" s="12"/>
      <c r="T257" s="12"/>
      <c r="U257" s="12"/>
    </row>
    <row r="258" spans="1:21" ht="15">
      <c r="A258" s="173"/>
      <c r="B258" s="173"/>
      <c r="C258" s="173"/>
      <c r="D258" s="165"/>
      <c r="E258" s="165"/>
      <c r="F258" s="173"/>
      <c r="G258" s="173"/>
      <c r="J258" s="173"/>
      <c r="K258"/>
      <c r="L258"/>
      <c r="M258" s="12"/>
      <c r="N258" s="12"/>
      <c r="O258" s="12"/>
      <c r="P258" s="12"/>
      <c r="Q258" s="12"/>
      <c r="R258" s="12"/>
      <c r="S258" s="12"/>
      <c r="T258" s="12"/>
      <c r="U258" s="12"/>
    </row>
    <row r="259" spans="1:21" ht="15">
      <c r="A259" s="173"/>
      <c r="B259" s="173"/>
      <c r="C259" s="173"/>
      <c r="D259" s="165"/>
      <c r="E259" s="165"/>
      <c r="F259" s="173"/>
      <c r="G259" s="173"/>
      <c r="J259" s="173"/>
      <c r="K259"/>
      <c r="L259"/>
      <c r="M259" s="12"/>
      <c r="N259" s="12"/>
      <c r="O259" s="12"/>
      <c r="P259" s="12"/>
      <c r="Q259" s="12"/>
      <c r="R259" s="12"/>
      <c r="S259" s="12"/>
      <c r="T259" s="12"/>
      <c r="U259" s="12"/>
    </row>
    <row r="260" spans="1:21" ht="15">
      <c r="A260" s="173"/>
      <c r="B260" s="173"/>
      <c r="C260" s="173"/>
      <c r="D260" s="165"/>
      <c r="E260" s="165"/>
      <c r="F260" s="173"/>
      <c r="G260" s="173"/>
      <c r="J260" s="173"/>
      <c r="K260"/>
      <c r="L260"/>
      <c r="M260" s="12"/>
      <c r="N260" s="12"/>
      <c r="O260" s="12"/>
      <c r="P260" s="12"/>
      <c r="Q260" s="12"/>
      <c r="R260" s="12"/>
      <c r="S260" s="12"/>
      <c r="T260" s="12"/>
      <c r="U260" s="12"/>
    </row>
    <row r="261" spans="1:21" ht="15">
      <c r="A261" s="173"/>
      <c r="B261" s="173"/>
      <c r="C261" s="173"/>
      <c r="D261" s="165"/>
      <c r="E261" s="165"/>
      <c r="F261" s="173"/>
      <c r="G261" s="173"/>
      <c r="J261" s="173"/>
      <c r="K261"/>
      <c r="L261"/>
      <c r="M261" s="12"/>
      <c r="N261" s="12"/>
      <c r="O261" s="12"/>
      <c r="P261" s="12"/>
      <c r="Q261" s="12"/>
      <c r="R261" s="12"/>
      <c r="S261" s="12"/>
      <c r="T261" s="12"/>
      <c r="U261" s="12"/>
    </row>
    <row r="262" spans="1:21" ht="15">
      <c r="A262" s="173"/>
      <c r="B262" s="173"/>
      <c r="C262" s="173"/>
      <c r="D262" s="165"/>
      <c r="E262" s="165"/>
      <c r="F262" s="173"/>
      <c r="G262" s="173"/>
      <c r="J262" s="173"/>
      <c r="K262"/>
      <c r="L262"/>
      <c r="M262" s="12"/>
      <c r="N262" s="12"/>
      <c r="O262" s="12"/>
      <c r="P262" s="12"/>
      <c r="Q262" s="12"/>
      <c r="R262" s="12"/>
      <c r="S262" s="12"/>
      <c r="T262" s="12"/>
      <c r="U262" s="12"/>
    </row>
    <row r="263" spans="1:21" ht="15">
      <c r="A263" s="173"/>
      <c r="B263" s="173"/>
      <c r="C263" s="173"/>
      <c r="D263" s="165"/>
      <c r="E263" s="165"/>
      <c r="F263" s="173"/>
      <c r="G263" s="173"/>
      <c r="J263" s="173"/>
      <c r="K263"/>
      <c r="L263"/>
      <c r="M263" s="12"/>
      <c r="N263" s="12"/>
      <c r="O263" s="12"/>
      <c r="P263" s="12"/>
      <c r="Q263" s="12"/>
      <c r="R263" s="12"/>
      <c r="S263" s="12"/>
      <c r="T263" s="12"/>
      <c r="U263" s="12"/>
    </row>
    <row r="264" spans="1:21" ht="15">
      <c r="A264" s="173"/>
      <c r="B264" s="173"/>
      <c r="C264" s="173"/>
      <c r="D264" s="165"/>
      <c r="E264" s="165"/>
      <c r="F264" s="173"/>
      <c r="G264" s="173"/>
      <c r="J264" s="173"/>
      <c r="K264"/>
      <c r="L264"/>
      <c r="M264" s="12"/>
      <c r="N264" s="12"/>
      <c r="O264" s="12"/>
      <c r="P264" s="12"/>
      <c r="Q264" s="12"/>
      <c r="R264" s="12"/>
      <c r="S264" s="12"/>
      <c r="T264" s="12"/>
      <c r="U264" s="12"/>
    </row>
    <row r="265" spans="1:21" ht="15">
      <c r="A265" s="173"/>
      <c r="B265" s="173"/>
      <c r="C265" s="173"/>
      <c r="D265" s="165"/>
      <c r="E265" s="165"/>
      <c r="F265" s="173"/>
      <c r="G265" s="173"/>
      <c r="J265" s="173"/>
      <c r="K265"/>
      <c r="L265"/>
      <c r="M265" s="12"/>
      <c r="N265" s="12"/>
      <c r="O265" s="12"/>
      <c r="P265" s="12"/>
      <c r="Q265" s="12"/>
      <c r="R265" s="12"/>
      <c r="S265" s="12"/>
      <c r="T265" s="12"/>
      <c r="U265" s="12"/>
    </row>
    <row r="266" spans="1:21" ht="15">
      <c r="A266" s="173"/>
      <c r="B266" s="173"/>
      <c r="C266" s="173"/>
      <c r="D266" s="165"/>
      <c r="E266" s="165"/>
      <c r="F266" s="173"/>
      <c r="G266" s="173"/>
      <c r="J266" s="173"/>
      <c r="K266"/>
      <c r="L266"/>
      <c r="M266" s="12"/>
      <c r="N266" s="12"/>
      <c r="O266" s="12"/>
      <c r="P266" s="12"/>
      <c r="Q266" s="12"/>
      <c r="R266" s="12"/>
      <c r="S266" s="12"/>
      <c r="T266" s="12"/>
      <c r="U266" s="12"/>
    </row>
    <row r="267" spans="1:21" ht="15">
      <c r="A267" s="173"/>
      <c r="B267" s="173"/>
      <c r="C267" s="173"/>
      <c r="D267" s="165"/>
      <c r="E267" s="165"/>
      <c r="F267" s="173"/>
      <c r="G267" s="173"/>
      <c r="J267" s="173"/>
      <c r="K267"/>
      <c r="L267"/>
      <c r="M267" s="12"/>
      <c r="N267" s="12"/>
      <c r="O267" s="12"/>
      <c r="P267" s="12"/>
      <c r="Q267" s="12"/>
      <c r="R267" s="12"/>
      <c r="S267" s="12"/>
      <c r="T267" s="12"/>
      <c r="U267" s="12"/>
    </row>
    <row r="268" spans="1:21" ht="15">
      <c r="A268" s="173"/>
      <c r="B268" s="173"/>
      <c r="C268" s="173"/>
      <c r="D268" s="165"/>
      <c r="E268" s="165"/>
      <c r="F268" s="173"/>
      <c r="G268" s="173"/>
      <c r="J268" s="173"/>
      <c r="K268"/>
      <c r="L268"/>
      <c r="M268" s="12"/>
      <c r="N268" s="12"/>
      <c r="O268" s="12"/>
      <c r="P268" s="12"/>
      <c r="Q268" s="12"/>
      <c r="R268" s="12"/>
      <c r="S268" s="12"/>
      <c r="T268" s="12"/>
      <c r="U268" s="12"/>
    </row>
    <row r="269" spans="1:21" ht="15">
      <c r="A269" s="173"/>
      <c r="B269" s="173"/>
      <c r="C269" s="173"/>
      <c r="D269" s="165"/>
      <c r="E269" s="165"/>
      <c r="F269" s="173"/>
      <c r="G269" s="173"/>
      <c r="J269" s="173"/>
      <c r="K269"/>
      <c r="L269"/>
      <c r="M269" s="12"/>
      <c r="N269" s="12"/>
      <c r="O269" s="12"/>
      <c r="P269" s="12"/>
      <c r="Q269" s="12"/>
      <c r="R269" s="12"/>
      <c r="S269" s="12"/>
      <c r="T269" s="12"/>
      <c r="U269" s="12"/>
    </row>
    <row r="270" spans="1:21" ht="12.75">
      <c r="A270" s="173"/>
      <c r="B270" s="173"/>
      <c r="C270" s="173"/>
      <c r="D270" s="165"/>
      <c r="E270" s="165"/>
      <c r="F270" s="173"/>
      <c r="G270" s="173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</row>
    <row r="271" spans="1:21" ht="12.75">
      <c r="A271" s="173"/>
      <c r="B271" s="173"/>
      <c r="C271" s="173"/>
      <c r="D271" s="165"/>
      <c r="E271" s="165"/>
      <c r="F271" s="173"/>
      <c r="G271" s="173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</row>
    <row r="272" spans="1:21" ht="12.75">
      <c r="A272" s="173"/>
      <c r="B272" s="173"/>
      <c r="C272" s="173"/>
      <c r="D272" s="165"/>
      <c r="E272" s="165"/>
      <c r="F272" s="173"/>
      <c r="G272" s="173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</row>
    <row r="273" spans="1:21" ht="12.75">
      <c r="A273" s="173"/>
      <c r="B273" s="173"/>
      <c r="C273" s="173"/>
      <c r="D273" s="165"/>
      <c r="E273" s="165"/>
      <c r="F273" s="173"/>
      <c r="G273" s="173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</row>
    <row r="274" spans="1:21" ht="12.75">
      <c r="A274" s="173"/>
      <c r="B274" s="173"/>
      <c r="C274" s="173"/>
      <c r="D274" s="165"/>
      <c r="E274" s="165"/>
      <c r="F274" s="173"/>
      <c r="G274" s="173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</row>
    <row r="275" spans="1:21" ht="12.75">
      <c r="A275" s="173"/>
      <c r="B275" s="173"/>
      <c r="C275" s="173"/>
      <c r="D275" s="165"/>
      <c r="E275" s="165"/>
      <c r="F275" s="173"/>
      <c r="G275" s="173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</row>
    <row r="276" spans="1:21" ht="12.75">
      <c r="A276" s="173"/>
      <c r="B276" s="173"/>
      <c r="C276" s="165"/>
      <c r="D276" s="165"/>
      <c r="E276" s="165"/>
      <c r="F276" s="173"/>
      <c r="G276" s="173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</row>
    <row r="277" spans="1:21" ht="12.75">
      <c r="A277" s="173"/>
      <c r="B277" s="173"/>
      <c r="C277" s="165"/>
      <c r="D277" s="165"/>
      <c r="E277" s="165"/>
      <c r="F277" s="173"/>
      <c r="G277" s="173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</row>
    <row r="278" spans="1:21" ht="12.75">
      <c r="A278" s="173"/>
      <c r="B278" s="173"/>
      <c r="C278" s="165"/>
      <c r="D278" s="165"/>
      <c r="E278" s="165"/>
      <c r="F278" s="173"/>
      <c r="G278" s="173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</row>
    <row r="279" spans="1:21" ht="12.75">
      <c r="A279" s="173"/>
      <c r="B279" s="173"/>
      <c r="C279" s="165"/>
      <c r="D279" s="165"/>
      <c r="E279" s="165"/>
      <c r="F279" s="173"/>
      <c r="G279" s="173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</row>
    <row r="280" spans="1:21" ht="12.75">
      <c r="A280" s="173"/>
      <c r="B280" s="173"/>
      <c r="C280" s="165"/>
      <c r="D280" s="165"/>
      <c r="E280" s="165"/>
      <c r="F280" s="173"/>
      <c r="G280" s="173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</row>
    <row r="281" spans="1:21" ht="12.75">
      <c r="A281" s="173"/>
      <c r="B281" s="173"/>
      <c r="C281" s="165"/>
      <c r="D281" s="165"/>
      <c r="E281" s="165"/>
      <c r="F281" s="173"/>
      <c r="G281" s="173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</row>
    <row r="282" spans="1:21" ht="12.75">
      <c r="A282" s="173"/>
      <c r="B282" s="173"/>
      <c r="C282" s="165"/>
      <c r="D282" s="165"/>
      <c r="E282" s="165"/>
      <c r="F282" s="173"/>
      <c r="G282" s="173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</row>
    <row r="283" spans="1:21" ht="12.75">
      <c r="A283" s="173"/>
      <c r="B283" s="173"/>
      <c r="C283" s="165"/>
      <c r="D283" s="165"/>
      <c r="E283" s="165"/>
      <c r="F283" s="173"/>
      <c r="G283" s="173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</row>
    <row r="284" spans="1:21" ht="12.75">
      <c r="A284" s="173"/>
      <c r="B284" s="173"/>
      <c r="C284" s="165"/>
      <c r="D284" s="165"/>
      <c r="E284" s="165"/>
      <c r="F284" s="173"/>
      <c r="G284" s="173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</row>
    <row r="285" spans="1:21" ht="12.75">
      <c r="A285" s="173"/>
      <c r="B285" s="173"/>
      <c r="C285" s="165"/>
      <c r="D285" s="165"/>
      <c r="E285" s="165"/>
      <c r="F285" s="173"/>
      <c r="G285" s="173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</row>
    <row r="286" spans="1:21" ht="12.75">
      <c r="A286" s="173"/>
      <c r="B286" s="173"/>
      <c r="C286" s="165"/>
      <c r="D286" s="165"/>
      <c r="E286" s="165"/>
      <c r="F286" s="173"/>
      <c r="G286" s="173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</row>
    <row r="287" spans="1:21" ht="12.75">
      <c r="A287" s="173"/>
      <c r="B287" s="173"/>
      <c r="C287" s="165"/>
      <c r="D287" s="165"/>
      <c r="E287" s="165"/>
      <c r="F287" s="173"/>
      <c r="G287" s="173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</row>
    <row r="288" spans="1:21" ht="12.75">
      <c r="A288" s="173"/>
      <c r="B288" s="173"/>
      <c r="C288" s="165"/>
      <c r="D288" s="165"/>
      <c r="E288" s="165"/>
      <c r="F288" s="173"/>
      <c r="G288" s="173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</row>
    <row r="289" spans="1:21" ht="12.75">
      <c r="A289" s="173"/>
      <c r="B289" s="173"/>
      <c r="C289" s="165"/>
      <c r="D289" s="165"/>
      <c r="E289" s="165"/>
      <c r="F289" s="173"/>
      <c r="G289" s="173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</row>
    <row r="290" spans="1:21" ht="12.75">
      <c r="A290" s="173"/>
      <c r="B290" s="173"/>
      <c r="C290" s="165"/>
      <c r="D290" s="165"/>
      <c r="E290" s="165"/>
      <c r="F290" s="173"/>
      <c r="G290" s="173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</row>
    <row r="291" spans="1:21" ht="12.75">
      <c r="A291" s="173"/>
      <c r="B291" s="173"/>
      <c r="C291" s="165"/>
      <c r="D291" s="165"/>
      <c r="E291" s="165"/>
      <c r="F291" s="173"/>
      <c r="G291" s="173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</row>
    <row r="292" spans="1:21" ht="12.75">
      <c r="A292" s="173"/>
      <c r="B292" s="173"/>
      <c r="C292" s="165"/>
      <c r="D292" s="165"/>
      <c r="E292" s="165"/>
      <c r="F292" s="173"/>
      <c r="G292" s="173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</row>
    <row r="293" spans="1:21" ht="12.75">
      <c r="A293" s="173"/>
      <c r="B293" s="173"/>
      <c r="C293" s="165"/>
      <c r="D293" s="165"/>
      <c r="E293" s="165"/>
      <c r="F293" s="173"/>
      <c r="G293" s="173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</row>
    <row r="294" spans="1:21" ht="12.75">
      <c r="A294" s="173"/>
      <c r="B294" s="173"/>
      <c r="C294" s="165"/>
      <c r="D294" s="165"/>
      <c r="E294" s="165"/>
      <c r="F294" s="173"/>
      <c r="G294" s="173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</row>
    <row r="295" spans="1:21" ht="12.75">
      <c r="A295" s="173"/>
      <c r="B295" s="173"/>
      <c r="C295" s="165"/>
      <c r="D295" s="165"/>
      <c r="E295" s="165"/>
      <c r="F295" s="173"/>
      <c r="G295" s="173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</row>
    <row r="296" spans="1:21" ht="12.75">
      <c r="A296" s="173"/>
      <c r="B296" s="173"/>
      <c r="C296" s="165"/>
      <c r="D296" s="165"/>
      <c r="E296" s="165"/>
      <c r="F296" s="173"/>
      <c r="G296" s="173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</row>
    <row r="297" spans="1:21" ht="12.75">
      <c r="A297" s="173"/>
      <c r="B297" s="173"/>
      <c r="C297" s="165"/>
      <c r="D297" s="165"/>
      <c r="E297" s="165"/>
      <c r="F297" s="173"/>
      <c r="G297" s="173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</row>
    <row r="298" spans="1:21" ht="12.75">
      <c r="A298" s="173"/>
      <c r="B298" s="173"/>
      <c r="C298" s="165"/>
      <c r="D298" s="165"/>
      <c r="E298" s="165"/>
      <c r="F298" s="173"/>
      <c r="G298" s="173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</row>
    <row r="299" spans="1:21" ht="12.75">
      <c r="A299" s="173"/>
      <c r="B299" s="173"/>
      <c r="C299" s="165"/>
      <c r="D299" s="165"/>
      <c r="E299" s="165"/>
      <c r="F299" s="173"/>
      <c r="G299" s="173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</row>
    <row r="300" spans="1:21" ht="12.75">
      <c r="A300" s="173"/>
      <c r="B300" s="173"/>
      <c r="C300" s="165"/>
      <c r="D300" s="165"/>
      <c r="E300" s="165"/>
      <c r="F300" s="173"/>
      <c r="G300" s="173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</row>
    <row r="301" spans="1:21" ht="12.75">
      <c r="A301" s="173"/>
      <c r="B301" s="173"/>
      <c r="C301" s="165"/>
      <c r="D301" s="165"/>
      <c r="E301" s="165"/>
      <c r="F301" s="173"/>
      <c r="G301" s="173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</row>
    <row r="302" spans="1:21" ht="12.75">
      <c r="A302" s="173"/>
      <c r="B302" s="173"/>
      <c r="C302" s="165"/>
      <c r="D302" s="165"/>
      <c r="E302" s="165"/>
      <c r="F302" s="173"/>
      <c r="G302" s="173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</row>
    <row r="303" spans="1:21" ht="12.75">
      <c r="A303" s="173"/>
      <c r="B303" s="173"/>
      <c r="C303" s="165"/>
      <c r="D303" s="165"/>
      <c r="E303" s="165"/>
      <c r="F303" s="173"/>
      <c r="G303" s="173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</row>
    <row r="304" spans="1:21" ht="12.75">
      <c r="A304" s="173"/>
      <c r="B304" s="173"/>
      <c r="C304" s="165"/>
      <c r="D304" s="165"/>
      <c r="E304" s="165"/>
      <c r="F304" s="173"/>
      <c r="G304" s="173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</row>
    <row r="305" spans="1:21" ht="12.75">
      <c r="A305" s="173"/>
      <c r="B305" s="173"/>
      <c r="C305" s="165"/>
      <c r="D305" s="165"/>
      <c r="E305" s="165"/>
      <c r="F305" s="173"/>
      <c r="G305" s="173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</row>
    <row r="306" spans="1:21" ht="12.75">
      <c r="A306" s="173"/>
      <c r="B306" s="173"/>
      <c r="C306" s="165"/>
      <c r="D306" s="165"/>
      <c r="E306" s="165"/>
      <c r="F306" s="173"/>
      <c r="G306" s="173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</row>
    <row r="307" spans="1:21" ht="12.75">
      <c r="A307" s="173"/>
      <c r="B307" s="173"/>
      <c r="C307" s="165"/>
      <c r="D307" s="165"/>
      <c r="E307" s="165"/>
      <c r="F307" s="173"/>
      <c r="G307" s="173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</row>
    <row r="308" spans="1:21" ht="12.75">
      <c r="A308" s="173"/>
      <c r="B308" s="173"/>
      <c r="C308" s="165"/>
      <c r="D308" s="165"/>
      <c r="E308" s="165"/>
      <c r="F308" s="173"/>
      <c r="G308" s="173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</row>
    <row r="309" spans="1:21" ht="12.75">
      <c r="A309" s="173"/>
      <c r="B309" s="173"/>
      <c r="C309" s="165"/>
      <c r="D309" s="165"/>
      <c r="E309" s="165"/>
      <c r="F309" s="173"/>
      <c r="G309" s="173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</row>
    <row r="310" spans="1:21" ht="12.75">
      <c r="A310" s="173"/>
      <c r="B310" s="173"/>
      <c r="C310" s="165"/>
      <c r="D310" s="165"/>
      <c r="E310" s="165"/>
      <c r="F310" s="173"/>
      <c r="G310" s="173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</row>
    <row r="311" spans="1:21" ht="12.75">
      <c r="A311" s="173"/>
      <c r="B311" s="173"/>
      <c r="C311" s="165"/>
      <c r="D311" s="165"/>
      <c r="E311" s="165"/>
      <c r="F311" s="173"/>
      <c r="G311" s="173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</row>
    <row r="312" spans="1:21" ht="12.75">
      <c r="A312" s="173"/>
      <c r="B312" s="173"/>
      <c r="C312" s="165"/>
      <c r="D312" s="165"/>
      <c r="E312" s="165"/>
      <c r="F312" s="173"/>
      <c r="G312" s="173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</row>
    <row r="313" spans="1:21" ht="12.75">
      <c r="A313" s="173"/>
      <c r="B313" s="173"/>
      <c r="C313" s="165"/>
      <c r="D313" s="165"/>
      <c r="E313" s="165"/>
      <c r="F313" s="173"/>
      <c r="G313" s="173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</row>
    <row r="314" spans="1:21" ht="12.75">
      <c r="A314" s="173"/>
      <c r="B314" s="173"/>
      <c r="C314" s="165"/>
      <c r="D314" s="165"/>
      <c r="E314" s="165"/>
      <c r="F314" s="173"/>
      <c r="G314" s="173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</row>
    <row r="315" spans="1:21" ht="12.75">
      <c r="A315" s="173"/>
      <c r="B315" s="173"/>
      <c r="C315" s="165"/>
      <c r="D315" s="165"/>
      <c r="E315" s="165"/>
      <c r="F315" s="173"/>
      <c r="G315" s="173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</row>
    <row r="316" spans="1:21" ht="12.75">
      <c r="A316" s="173"/>
      <c r="B316" s="173"/>
      <c r="C316" s="165"/>
      <c r="D316" s="165"/>
      <c r="E316" s="165"/>
      <c r="F316" s="173"/>
      <c r="G316" s="173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</row>
    <row r="317" spans="1:21" ht="12.75">
      <c r="C317" s="165"/>
      <c r="D317" s="165"/>
      <c r="E317" s="165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</row>
    <row r="318" spans="1:21" ht="12.75">
      <c r="C318" s="165"/>
      <c r="D318" s="165"/>
      <c r="E318" s="165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</row>
    <row r="319" spans="1:21" ht="12.75">
      <c r="C319" s="165"/>
      <c r="D319" s="165"/>
      <c r="E319" s="165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</row>
    <row r="320" spans="1:21" ht="12.75">
      <c r="C320" s="165"/>
      <c r="D320" s="165"/>
      <c r="E320" s="165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</row>
    <row r="321" spans="3:21" ht="12.75">
      <c r="C321" s="165"/>
      <c r="D321" s="165"/>
      <c r="E321" s="165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</row>
    <row r="322" spans="3:21" ht="12.75">
      <c r="C322" s="165"/>
      <c r="D322" s="165"/>
      <c r="E322" s="165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</row>
    <row r="323" spans="3:21" ht="12.75">
      <c r="C323" s="165"/>
      <c r="D323" s="165"/>
      <c r="E323" s="165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</row>
    <row r="324" spans="3:21" ht="12.75">
      <c r="C324" s="165"/>
      <c r="D324" s="165"/>
      <c r="E324" s="165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</row>
    <row r="325" spans="3:21" ht="12.75">
      <c r="C325" s="165"/>
      <c r="D325" s="165"/>
      <c r="E325" s="165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</row>
    <row r="326" spans="3:21" ht="12.75">
      <c r="C326" s="165"/>
      <c r="D326" s="165"/>
      <c r="E326" s="165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</row>
    <row r="327" spans="3:21" ht="12.75">
      <c r="C327" s="165"/>
      <c r="D327" s="165"/>
      <c r="E327" s="165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</row>
    <row r="328" spans="3:21" ht="12.75">
      <c r="C328" s="165"/>
      <c r="D328" s="165"/>
      <c r="E328" s="165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</row>
    <row r="329" spans="3:21" ht="12.75">
      <c r="C329" s="165"/>
      <c r="D329" s="165"/>
      <c r="E329" s="165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</row>
    <row r="330" spans="3:21" ht="12.75">
      <c r="C330" s="165"/>
      <c r="D330" s="165"/>
      <c r="E330" s="165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</row>
    <row r="331" spans="3:21" ht="12.75">
      <c r="C331" s="165"/>
      <c r="D331" s="165"/>
      <c r="E331" s="165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</row>
    <row r="332" spans="3:21" ht="12.75">
      <c r="C332" s="165"/>
      <c r="D332" s="165"/>
      <c r="E332" s="165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</row>
    <row r="333" spans="3:21" ht="12.75">
      <c r="C333" s="165"/>
      <c r="D333" s="165"/>
      <c r="E333" s="165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</row>
    <row r="334" spans="3:21" ht="12.75">
      <c r="C334" s="165"/>
      <c r="D334" s="165"/>
      <c r="E334" s="165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</row>
    <row r="335" spans="3:21" ht="12.75">
      <c r="C335" s="165"/>
      <c r="D335" s="165"/>
      <c r="E335" s="165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</row>
    <row r="336" spans="3:21" ht="12.75">
      <c r="C336" s="165"/>
      <c r="D336" s="165"/>
      <c r="E336" s="165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</row>
    <row r="337" spans="3:21" ht="12.75">
      <c r="C337" s="165"/>
      <c r="D337" s="165"/>
      <c r="E337" s="165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</row>
    <row r="338" spans="3:21" ht="12.75">
      <c r="C338" s="165"/>
      <c r="D338" s="165"/>
      <c r="E338" s="165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</row>
    <row r="339" spans="3:21" ht="12.75">
      <c r="C339" s="165"/>
      <c r="D339" s="165"/>
      <c r="E339" s="165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</row>
    <row r="340" spans="3:21" ht="12.75">
      <c r="C340" s="165"/>
      <c r="D340" s="165"/>
      <c r="E340" s="165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</row>
    <row r="341" spans="3:21" ht="12.75">
      <c r="C341" s="165"/>
      <c r="D341" s="165"/>
      <c r="E341" s="165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</row>
    <row r="342" spans="3:21" ht="12.75">
      <c r="C342" s="165"/>
      <c r="D342" s="165"/>
      <c r="E342" s="165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</row>
    <row r="343" spans="3:21" ht="12.75">
      <c r="C343" s="165"/>
      <c r="D343" s="165"/>
      <c r="E343" s="165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</row>
    <row r="344" spans="3:21" ht="12.75">
      <c r="C344" s="165"/>
      <c r="D344" s="165"/>
      <c r="E344" s="165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</row>
    <row r="345" spans="3:21" ht="12.75">
      <c r="C345" s="165"/>
      <c r="D345" s="165"/>
      <c r="E345" s="165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</row>
    <row r="346" spans="3:21" ht="12.75">
      <c r="C346" s="165"/>
      <c r="D346" s="165"/>
      <c r="E346" s="165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</row>
    <row r="347" spans="3:21" ht="12.75">
      <c r="C347" s="165"/>
      <c r="D347" s="165"/>
      <c r="E347" s="165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</row>
    <row r="348" spans="3:21" ht="12.75">
      <c r="C348" s="165"/>
      <c r="D348" s="165"/>
      <c r="E348" s="165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</row>
    <row r="349" spans="3:21" ht="12.75">
      <c r="C349" s="165"/>
      <c r="D349" s="165"/>
      <c r="E349" s="165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</row>
    <row r="350" spans="3:21" ht="12.75">
      <c r="C350" s="165"/>
      <c r="D350" s="165"/>
      <c r="E350" s="165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</row>
    <row r="351" spans="3:21" ht="12.75">
      <c r="C351" s="165"/>
      <c r="D351" s="165"/>
      <c r="E351" s="165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</row>
    <row r="352" spans="3:21" ht="12.75">
      <c r="C352" s="165"/>
      <c r="D352" s="165"/>
      <c r="E352" s="165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</row>
    <row r="353" spans="3:21" ht="12.75">
      <c r="C353" s="165"/>
      <c r="D353" s="165"/>
      <c r="E353" s="165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</row>
    <row r="354" spans="3:21" ht="12.75">
      <c r="C354" s="165"/>
      <c r="D354" s="165"/>
      <c r="E354" s="165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</row>
    <row r="355" spans="3:21" ht="12.75">
      <c r="C355" s="165"/>
      <c r="D355" s="165"/>
      <c r="E355" s="165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</row>
    <row r="356" spans="3:21" ht="12.75">
      <c r="C356" s="165"/>
      <c r="D356" s="165"/>
      <c r="E356" s="165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</row>
    <row r="357" spans="3:21" ht="12.75">
      <c r="C357" s="165"/>
      <c r="D357" s="165"/>
      <c r="E357" s="165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</row>
    <row r="358" spans="3:21" ht="12.75">
      <c r="C358" s="165"/>
      <c r="D358" s="165"/>
      <c r="E358" s="165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</row>
    <row r="359" spans="3:21" ht="12.75">
      <c r="C359" s="165"/>
      <c r="D359" s="165"/>
      <c r="E359" s="165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</row>
    <row r="360" spans="3:21" ht="12.75">
      <c r="C360" s="165"/>
      <c r="D360" s="165"/>
      <c r="E360" s="165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</row>
    <row r="361" spans="3:21" ht="12.75">
      <c r="C361" s="165"/>
      <c r="D361" s="165"/>
      <c r="E361" s="165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</row>
    <row r="362" spans="3:21" ht="12.75">
      <c r="C362" s="165"/>
      <c r="D362" s="165"/>
      <c r="E362" s="165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</row>
    <row r="363" spans="3:21" ht="12.75">
      <c r="C363" s="165"/>
      <c r="D363" s="165"/>
      <c r="E363" s="165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</row>
    <row r="364" spans="3:21" ht="12.75">
      <c r="C364" s="165"/>
      <c r="D364" s="165"/>
      <c r="E364" s="165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</row>
    <row r="365" spans="3:21" ht="12.75">
      <c r="C365" s="165"/>
      <c r="D365" s="165"/>
      <c r="E365" s="165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</row>
    <row r="366" spans="3:21" ht="12.75">
      <c r="C366" s="165"/>
      <c r="D366" s="165"/>
      <c r="E366" s="165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</row>
    <row r="367" spans="3:21" ht="12.75">
      <c r="C367" s="165"/>
      <c r="D367" s="165"/>
      <c r="E367" s="165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</row>
    <row r="368" spans="3:21" ht="12.75">
      <c r="C368" s="165"/>
      <c r="D368" s="165"/>
      <c r="E368" s="165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</row>
    <row r="369" spans="3:21" ht="12.75">
      <c r="C369" s="165"/>
      <c r="D369" s="165"/>
      <c r="E369" s="165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</row>
    <row r="370" spans="3:21" ht="12.75">
      <c r="C370" s="165"/>
      <c r="D370" s="165"/>
      <c r="E370" s="165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</row>
    <row r="371" spans="3:21" ht="12.75">
      <c r="C371" s="165"/>
      <c r="D371" s="165"/>
      <c r="E371" s="165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</row>
    <row r="372" spans="3:21" ht="12.75">
      <c r="C372" s="165"/>
      <c r="D372" s="165"/>
      <c r="E372" s="165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</row>
    <row r="373" spans="3:21" ht="12.75">
      <c r="C373" s="165"/>
      <c r="D373" s="165"/>
      <c r="E373" s="165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</row>
    <row r="374" spans="3:21" ht="12.75">
      <c r="C374" s="165"/>
      <c r="D374" s="165"/>
      <c r="E374" s="165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</row>
    <row r="375" spans="3:21" ht="12.75">
      <c r="C375" s="165"/>
      <c r="D375" s="165"/>
      <c r="E375" s="165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</row>
    <row r="376" spans="3:21" ht="12.75">
      <c r="C376" s="165"/>
      <c r="D376" s="165"/>
      <c r="E376" s="165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</row>
    <row r="377" spans="3:21" ht="12.75">
      <c r="C377" s="165"/>
      <c r="D377" s="165"/>
      <c r="E377" s="165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</row>
    <row r="378" spans="3:21" ht="12.75">
      <c r="C378" s="165"/>
      <c r="D378" s="165"/>
      <c r="E378" s="165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</row>
    <row r="379" spans="3:21" ht="12.75">
      <c r="C379" s="165"/>
      <c r="D379" s="165"/>
      <c r="E379" s="165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</row>
    <row r="380" spans="3:21" ht="12.75">
      <c r="C380" s="165"/>
      <c r="D380" s="165"/>
      <c r="E380" s="165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</row>
    <row r="381" spans="3:21" ht="12.75">
      <c r="C381" s="165"/>
      <c r="D381" s="165"/>
      <c r="E381" s="165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</row>
    <row r="382" spans="3:21" ht="12.75">
      <c r="C382" s="165"/>
      <c r="D382" s="165"/>
      <c r="E382" s="165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</row>
    <row r="383" spans="3:21" ht="12.75">
      <c r="C383" s="165"/>
      <c r="D383" s="165"/>
      <c r="E383" s="165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</row>
    <row r="384" spans="3:21" ht="12.75">
      <c r="C384" s="165"/>
      <c r="D384" s="165"/>
      <c r="E384" s="165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</row>
    <row r="385" spans="3:21" ht="12.75">
      <c r="C385" s="165"/>
      <c r="D385" s="165"/>
      <c r="E385" s="165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</row>
    <row r="386" spans="3:21" ht="12.75">
      <c r="C386" s="165"/>
      <c r="D386" s="165"/>
      <c r="E386" s="16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</row>
    <row r="387" spans="3:21" ht="12.75">
      <c r="C387" s="165"/>
      <c r="D387" s="165"/>
      <c r="E387" s="165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</row>
    <row r="388" spans="3:21" ht="12.75">
      <c r="C388" s="165"/>
      <c r="D388" s="165"/>
      <c r="E388" s="165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</row>
    <row r="389" spans="3:21" ht="12.75">
      <c r="C389" s="165"/>
      <c r="D389" s="165"/>
      <c r="E389" s="165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</row>
    <row r="390" spans="3:21" ht="12.75">
      <c r="C390" s="165"/>
      <c r="D390" s="165"/>
      <c r="E390" s="165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</row>
    <row r="391" spans="3:21" ht="12.75">
      <c r="C391" s="165"/>
      <c r="D391" s="165"/>
      <c r="E391" s="165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</row>
    <row r="392" spans="3:21" ht="12.75">
      <c r="C392" s="165"/>
      <c r="D392" s="165"/>
      <c r="E392" s="165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</row>
    <row r="393" spans="3:21" ht="12.75">
      <c r="C393" s="165"/>
      <c r="D393" s="165"/>
      <c r="E393" s="165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</row>
    <row r="394" spans="3:21" ht="12.75">
      <c r="C394" s="165"/>
      <c r="D394" s="165"/>
      <c r="E394" s="165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</row>
    <row r="395" spans="3:21" ht="12.75">
      <c r="C395" s="165"/>
      <c r="D395" s="165"/>
      <c r="E395" s="165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</row>
    <row r="396" spans="3:21" ht="12.75">
      <c r="C396" s="165"/>
      <c r="D396" s="165"/>
      <c r="E396" s="165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</row>
    <row r="397" spans="3:21" ht="12.75">
      <c r="C397" s="165"/>
      <c r="D397" s="165"/>
      <c r="E397" s="165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</row>
    <row r="398" spans="3:21" ht="12.75">
      <c r="C398" s="165"/>
      <c r="D398" s="165"/>
      <c r="E398" s="165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</row>
    <row r="399" spans="3:21" ht="12.75">
      <c r="C399" s="165"/>
      <c r="D399" s="165"/>
      <c r="E399" s="165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</row>
    <row r="400" spans="3:21" ht="12.75">
      <c r="C400" s="165"/>
      <c r="D400" s="165"/>
      <c r="E400" s="165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</row>
    <row r="401" spans="3:21" ht="12.75">
      <c r="C401" s="165"/>
      <c r="D401" s="165"/>
      <c r="E401" s="165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</row>
    <row r="402" spans="3:21" ht="12.75">
      <c r="C402" s="165"/>
      <c r="D402" s="165"/>
      <c r="E402" s="165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</row>
    <row r="403" spans="3:21" ht="12.75">
      <c r="C403" s="165"/>
      <c r="D403" s="165"/>
      <c r="E403" s="165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</row>
    <row r="404" spans="3:21" ht="12.75">
      <c r="C404" s="165"/>
      <c r="D404" s="165"/>
      <c r="E404" s="165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</row>
    <row r="405" spans="3:21" ht="12.75">
      <c r="C405" s="165"/>
      <c r="D405" s="165"/>
      <c r="E405" s="165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</row>
    <row r="406" spans="3:21" ht="12.75">
      <c r="C406" s="165"/>
      <c r="D406" s="165"/>
      <c r="E406" s="165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</row>
    <row r="407" spans="3:21" ht="12.75">
      <c r="C407" s="165"/>
      <c r="D407" s="165"/>
      <c r="E407" s="165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</row>
    <row r="408" spans="3:21" ht="12.75">
      <c r="C408" s="165"/>
      <c r="D408" s="165"/>
      <c r="E408" s="165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</row>
    <row r="409" spans="3:21" ht="12.75">
      <c r="C409" s="165"/>
      <c r="D409" s="165"/>
      <c r="E409" s="165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</row>
    <row r="410" spans="3:21" ht="12.75">
      <c r="C410" s="165"/>
      <c r="D410" s="165"/>
      <c r="E410" s="165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</row>
    <row r="411" spans="3:21" ht="12.75">
      <c r="C411" s="165"/>
      <c r="D411" s="165"/>
      <c r="E411" s="165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</row>
    <row r="412" spans="3:21" ht="12.75">
      <c r="C412" s="165"/>
      <c r="D412" s="165"/>
      <c r="E412" s="165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</row>
    <row r="413" spans="3:21" ht="12.75">
      <c r="C413" s="165"/>
      <c r="D413" s="165"/>
      <c r="E413" s="165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</row>
    <row r="414" spans="3:21" ht="12.75">
      <c r="C414" s="165"/>
      <c r="D414" s="165"/>
      <c r="E414" s="165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</row>
    <row r="415" spans="3:21" ht="12.75">
      <c r="C415" s="165"/>
      <c r="D415" s="165"/>
      <c r="E415" s="165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</row>
    <row r="416" spans="3:21" ht="12.75">
      <c r="C416" s="165"/>
      <c r="D416" s="165"/>
      <c r="E416" s="165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</row>
    <row r="417" spans="3:21" ht="12.75">
      <c r="C417" s="165"/>
      <c r="D417" s="165"/>
      <c r="E417" s="165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</row>
    <row r="418" spans="3:21" ht="12.75">
      <c r="C418" s="165"/>
      <c r="D418" s="165"/>
      <c r="E418" s="165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</row>
    <row r="419" spans="3:21" ht="12.75">
      <c r="C419" s="165"/>
      <c r="D419" s="165"/>
      <c r="E419" s="165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</row>
    <row r="420" spans="3:21" ht="12.75">
      <c r="C420" s="165"/>
      <c r="D420" s="165"/>
      <c r="E420" s="165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</row>
    <row r="421" spans="3:21" ht="12.75">
      <c r="C421" s="165"/>
      <c r="D421" s="165"/>
      <c r="E421" s="165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</row>
    <row r="422" spans="3:21" ht="12.75">
      <c r="C422" s="165"/>
      <c r="D422" s="165"/>
      <c r="E422" s="165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</row>
    <row r="423" spans="3:21" ht="12.75">
      <c r="C423" s="165"/>
      <c r="D423" s="165"/>
      <c r="E423" s="165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</row>
    <row r="424" spans="3:21" ht="12.75">
      <c r="C424" s="165"/>
      <c r="D424" s="165"/>
      <c r="E424" s="165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</row>
    <row r="425" spans="3:21" ht="12.75">
      <c r="C425" s="165"/>
      <c r="D425" s="165"/>
      <c r="E425" s="165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</row>
    <row r="426" spans="3:21" ht="12.75">
      <c r="C426" s="165"/>
      <c r="D426" s="165"/>
      <c r="E426" s="165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</row>
    <row r="427" spans="3:21" ht="12.75">
      <c r="C427" s="165"/>
      <c r="D427" s="165"/>
      <c r="E427" s="165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</row>
    <row r="428" spans="3:21" ht="12.75">
      <c r="C428" s="165"/>
      <c r="D428" s="165"/>
      <c r="E428" s="165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</row>
    <row r="429" spans="3:21" ht="12.75">
      <c r="C429" s="165"/>
      <c r="D429" s="165"/>
      <c r="E429" s="165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</row>
    <row r="430" spans="3:21" ht="12.75">
      <c r="C430" s="165"/>
      <c r="D430" s="165"/>
      <c r="E430" s="165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</row>
    <row r="431" spans="3:21" ht="12.75">
      <c r="C431" s="165"/>
      <c r="D431" s="165"/>
      <c r="E431" s="165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</row>
    <row r="432" spans="3:21" ht="12.75">
      <c r="C432" s="165"/>
      <c r="D432" s="165"/>
      <c r="E432" s="165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</row>
    <row r="433" spans="3:21" ht="12.75">
      <c r="C433" s="165"/>
      <c r="D433" s="165"/>
      <c r="E433" s="165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</row>
    <row r="434" spans="3:21" ht="12.75">
      <c r="C434" s="165"/>
      <c r="D434" s="165"/>
      <c r="E434" s="165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</row>
    <row r="435" spans="3:21" ht="12.75">
      <c r="C435" s="165"/>
      <c r="D435" s="165"/>
      <c r="E435" s="165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</row>
    <row r="436" spans="3:21" ht="12.75">
      <c r="C436" s="165"/>
      <c r="D436" s="165"/>
      <c r="E436" s="165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</row>
    <row r="437" spans="3:21" ht="12.75">
      <c r="C437" s="165"/>
      <c r="D437" s="165"/>
      <c r="E437" s="165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</row>
    <row r="438" spans="3:21" ht="12.75">
      <c r="C438" s="165"/>
      <c r="D438" s="165"/>
      <c r="E438" s="165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</row>
    <row r="439" spans="3:21" ht="12.75">
      <c r="C439" s="165"/>
      <c r="D439" s="165"/>
      <c r="E439" s="165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</row>
    <row r="440" spans="3:21" ht="12.75">
      <c r="C440" s="165"/>
      <c r="D440" s="165"/>
      <c r="E440" s="165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</row>
    <row r="441" spans="3:21" ht="12.75">
      <c r="C441" s="165"/>
      <c r="D441" s="165"/>
      <c r="E441" s="165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</row>
    <row r="442" spans="3:21" ht="12.75">
      <c r="C442" s="165"/>
      <c r="D442" s="165"/>
      <c r="E442" s="165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</row>
    <row r="443" spans="3:21" ht="12.75">
      <c r="C443" s="165"/>
      <c r="D443" s="165"/>
      <c r="E443" s="165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</row>
    <row r="444" spans="3:21" ht="12.75">
      <c r="C444" s="165"/>
      <c r="D444" s="165"/>
      <c r="E444" s="165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</row>
    <row r="445" spans="3:21" ht="12.75">
      <c r="C445" s="165"/>
      <c r="D445" s="165"/>
      <c r="E445" s="165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</row>
    <row r="446" spans="3:21" ht="12.75">
      <c r="C446" s="165"/>
      <c r="D446" s="165"/>
      <c r="E446" s="165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</row>
    <row r="447" spans="3:21" ht="12.75">
      <c r="C447" s="165"/>
      <c r="D447" s="165"/>
      <c r="E447" s="165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</row>
    <row r="448" spans="3:21" ht="12.75">
      <c r="C448" s="165"/>
      <c r="D448" s="165"/>
      <c r="E448" s="165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</row>
    <row r="449" spans="3:21" ht="12.75">
      <c r="C449" s="165"/>
      <c r="D449" s="165"/>
      <c r="E449" s="165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</row>
    <row r="450" spans="3:21" ht="12.75">
      <c r="C450" s="165"/>
      <c r="D450" s="165"/>
      <c r="E450" s="165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</row>
    <row r="451" spans="3:21" ht="12.75">
      <c r="C451" s="165"/>
      <c r="D451" s="165"/>
      <c r="E451" s="165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</row>
    <row r="452" spans="3:21" ht="12.75">
      <c r="C452" s="165"/>
      <c r="D452" s="165"/>
      <c r="E452" s="165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</row>
    <row r="453" spans="3:21" ht="12.75">
      <c r="C453" s="165"/>
      <c r="D453" s="165"/>
      <c r="E453" s="165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</row>
    <row r="454" spans="3:21" ht="12.75">
      <c r="C454" s="165"/>
      <c r="D454" s="165"/>
      <c r="E454" s="165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</row>
    <row r="455" spans="3:21" ht="12.75">
      <c r="C455" s="165"/>
      <c r="D455" s="165"/>
      <c r="E455" s="165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</row>
    <row r="456" spans="3:21" ht="12.75">
      <c r="C456" s="165"/>
      <c r="D456" s="165"/>
      <c r="E456" s="165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</row>
    <row r="457" spans="3:21" ht="12.75">
      <c r="C457" s="165"/>
      <c r="D457" s="165"/>
      <c r="E457" s="165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</row>
    <row r="458" spans="3:21" ht="12.75">
      <c r="C458" s="165"/>
      <c r="D458" s="165"/>
      <c r="E458" s="165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</row>
    <row r="459" spans="3:21" ht="12.75">
      <c r="C459" s="165"/>
      <c r="D459" s="165"/>
      <c r="E459" s="165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</row>
    <row r="460" spans="3:21" ht="12.75">
      <c r="C460" s="165"/>
      <c r="D460" s="165"/>
      <c r="E460" s="165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</row>
    <row r="461" spans="3:21" ht="12.75">
      <c r="C461" s="165"/>
      <c r="D461" s="165"/>
      <c r="E461" s="165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</row>
    <row r="462" spans="3:21" ht="12.75">
      <c r="C462" s="165"/>
      <c r="D462" s="165"/>
      <c r="E462" s="165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</row>
    <row r="463" spans="3:21" ht="12.75">
      <c r="C463" s="165"/>
      <c r="D463" s="165"/>
      <c r="E463" s="165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</row>
    <row r="464" spans="3:21" ht="12.75">
      <c r="C464" s="165"/>
      <c r="D464" s="165"/>
      <c r="E464" s="165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</row>
    <row r="465" spans="3:21" ht="12.75">
      <c r="C465" s="165"/>
      <c r="D465" s="165"/>
      <c r="E465" s="165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</row>
    <row r="466" spans="3:21" ht="12.75">
      <c r="C466" s="165"/>
      <c r="D466" s="165"/>
      <c r="E466" s="165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</row>
    <row r="467" spans="3:21" ht="12.75">
      <c r="C467" s="165"/>
      <c r="D467" s="165"/>
      <c r="E467" s="165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</row>
    <row r="468" spans="3:21" ht="12.75">
      <c r="C468" s="165"/>
      <c r="D468" s="165"/>
      <c r="E468" s="165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</row>
    <row r="469" spans="3:21" ht="12.75">
      <c r="C469" s="165"/>
      <c r="D469" s="165"/>
      <c r="E469" s="165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</row>
    <row r="470" spans="3:21" ht="12.75">
      <c r="C470" s="165"/>
      <c r="D470" s="165"/>
      <c r="E470" s="165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</row>
    <row r="471" spans="3:21" ht="12.75">
      <c r="C471" s="165"/>
      <c r="D471" s="165"/>
      <c r="E471" s="165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</row>
    <row r="472" spans="3:21" ht="12.75">
      <c r="C472" s="165"/>
      <c r="D472" s="165"/>
      <c r="E472" s="165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</row>
    <row r="473" spans="3:21" ht="12.75">
      <c r="C473" s="165"/>
      <c r="D473" s="165"/>
      <c r="E473" s="165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</row>
    <row r="474" spans="3:21" ht="12.75">
      <c r="C474" s="165"/>
      <c r="D474" s="165"/>
      <c r="E474" s="165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</row>
    <row r="475" spans="3:21" ht="12.75">
      <c r="C475" s="165"/>
      <c r="D475" s="165"/>
      <c r="E475" s="165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</row>
    <row r="476" spans="3:21" ht="12.75">
      <c r="C476" s="165"/>
      <c r="D476" s="165"/>
      <c r="E476" s="165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</row>
    <row r="477" spans="3:21" ht="12.75">
      <c r="C477" s="165"/>
      <c r="D477" s="165"/>
      <c r="E477" s="165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</row>
    <row r="478" spans="3:21" ht="12.75">
      <c r="C478" s="165"/>
      <c r="D478" s="165"/>
      <c r="E478" s="165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</row>
    <row r="479" spans="3:21" ht="12.75">
      <c r="C479" s="165"/>
      <c r="D479" s="165"/>
      <c r="E479" s="165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</row>
    <row r="480" spans="3:21" ht="12.75">
      <c r="C480" s="165"/>
      <c r="D480" s="165"/>
      <c r="E480" s="165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</row>
    <row r="481" spans="3:21" ht="12.75">
      <c r="C481" s="165"/>
      <c r="D481" s="165"/>
      <c r="E481" s="165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</row>
    <row r="482" spans="3:21" ht="12.75">
      <c r="C482" s="165"/>
      <c r="D482" s="165"/>
      <c r="E482" s="165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</row>
    <row r="483" spans="3:21" ht="12.75">
      <c r="C483" s="165"/>
      <c r="D483" s="165"/>
      <c r="E483" s="165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</row>
    <row r="484" spans="3:21" ht="12.75">
      <c r="C484" s="165"/>
      <c r="D484" s="165"/>
      <c r="E484" s="165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</row>
    <row r="485" spans="3:21" ht="12.75">
      <c r="C485" s="165"/>
      <c r="D485" s="165"/>
      <c r="E485" s="165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</row>
    <row r="486" spans="3:21" ht="12.75">
      <c r="C486" s="165"/>
      <c r="D486" s="165"/>
      <c r="E486" s="165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</row>
    <row r="487" spans="3:21" ht="12.75">
      <c r="C487" s="165"/>
      <c r="D487" s="165"/>
      <c r="E487" s="165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</row>
    <row r="488" spans="3:21" ht="12.75">
      <c r="C488" s="165"/>
      <c r="D488" s="165"/>
      <c r="E488" s="165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</row>
    <row r="489" spans="3:21" ht="12.75">
      <c r="C489" s="165"/>
      <c r="D489" s="165"/>
      <c r="E489" s="165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</row>
    <row r="490" spans="3:21" ht="12.75">
      <c r="C490" s="165"/>
      <c r="D490" s="165"/>
      <c r="E490" s="165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</row>
    <row r="491" spans="3:21" ht="12.75">
      <c r="C491" s="165"/>
      <c r="D491" s="165"/>
      <c r="E491" s="165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</row>
    <row r="492" spans="3:21" ht="12.75">
      <c r="C492" s="165"/>
      <c r="D492" s="165"/>
      <c r="E492" s="165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</row>
    <row r="493" spans="3:21" ht="12.75">
      <c r="C493" s="165"/>
      <c r="D493" s="165"/>
      <c r="E493" s="165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</row>
    <row r="494" spans="3:21" ht="12.75">
      <c r="C494" s="165"/>
      <c r="D494" s="165"/>
      <c r="E494" s="165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</row>
    <row r="495" spans="3:21" ht="12.75">
      <c r="C495" s="165"/>
      <c r="D495" s="165"/>
      <c r="E495" s="165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</row>
    <row r="496" spans="3:21" ht="12.75">
      <c r="C496" s="165"/>
      <c r="D496" s="165"/>
      <c r="E496" s="165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</row>
    <row r="497" spans="3:21" ht="12.75">
      <c r="C497" s="165"/>
      <c r="D497" s="165"/>
      <c r="E497" s="165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</row>
    <row r="498" spans="3:21" ht="12.75">
      <c r="C498" s="165"/>
      <c r="D498" s="165"/>
      <c r="E498" s="165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</row>
    <row r="499" spans="3:21" ht="12.75">
      <c r="C499" s="165"/>
      <c r="D499" s="165"/>
      <c r="E499" s="165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</row>
    <row r="500" spans="3:21" ht="12.75">
      <c r="C500" s="165"/>
      <c r="D500" s="165"/>
      <c r="E500" s="165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</row>
    <row r="501" spans="3:21" ht="12.75">
      <c r="C501" s="165"/>
      <c r="D501" s="165"/>
      <c r="E501" s="165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</row>
    <row r="502" spans="3:21" ht="12.75">
      <c r="C502" s="165"/>
      <c r="D502" s="165"/>
      <c r="E502" s="165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</row>
    <row r="503" spans="3:21" ht="12.75">
      <c r="C503" s="165"/>
      <c r="D503" s="165"/>
      <c r="E503" s="165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</row>
    <row r="504" spans="3:21" ht="12.75">
      <c r="C504" s="165"/>
      <c r="D504" s="165"/>
      <c r="E504" s="165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</row>
    <row r="505" spans="3:21" ht="12.75">
      <c r="C505" s="165"/>
      <c r="D505" s="165"/>
      <c r="E505" s="165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</row>
    <row r="506" spans="3:21" ht="12.75">
      <c r="C506" s="165"/>
      <c r="D506" s="165"/>
      <c r="E506" s="165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</row>
    <row r="507" spans="3:21" ht="12.75">
      <c r="C507" s="165"/>
      <c r="D507" s="165"/>
      <c r="E507" s="165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</row>
    <row r="508" spans="3:21" ht="12.75">
      <c r="C508" s="165"/>
      <c r="D508" s="165"/>
      <c r="E508" s="165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</row>
    <row r="509" spans="3:21" ht="12.75">
      <c r="C509" s="165"/>
      <c r="D509" s="165"/>
      <c r="E509" s="165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</row>
    <row r="510" spans="3:21" ht="12.75">
      <c r="C510" s="165"/>
      <c r="D510" s="165"/>
      <c r="E510" s="165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</row>
    <row r="511" spans="3:21" ht="12.75">
      <c r="C511" s="165"/>
      <c r="D511" s="165"/>
      <c r="E511" s="165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</row>
    <row r="512" spans="3:21" ht="12.75">
      <c r="C512" s="165"/>
      <c r="D512" s="165"/>
      <c r="E512" s="165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</row>
    <row r="513" spans="3:21" ht="12.75">
      <c r="C513" s="165"/>
      <c r="D513" s="165"/>
      <c r="E513" s="165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</row>
    <row r="514" spans="3:21" ht="12.75">
      <c r="C514" s="165"/>
      <c r="D514" s="165"/>
      <c r="E514" s="165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</row>
    <row r="515" spans="3:21" ht="12.75">
      <c r="C515" s="165"/>
      <c r="D515" s="165"/>
      <c r="E515" s="165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</row>
    <row r="516" spans="3:21" ht="12.75">
      <c r="C516" s="165"/>
      <c r="D516" s="165"/>
      <c r="E516" s="165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</row>
    <row r="517" spans="3:21" ht="12.75">
      <c r="C517" s="165"/>
      <c r="D517" s="165"/>
      <c r="E517" s="165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</row>
    <row r="518" spans="3:21" ht="12.75">
      <c r="C518" s="165"/>
      <c r="D518" s="165"/>
      <c r="E518" s="165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</row>
    <row r="519" spans="3:21" ht="12.75">
      <c r="C519" s="165"/>
      <c r="D519" s="165"/>
      <c r="E519" s="165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</row>
    <row r="520" spans="3:21" ht="12.75">
      <c r="C520" s="165"/>
      <c r="D520" s="165"/>
      <c r="E520" s="165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</row>
    <row r="521" spans="3:21" ht="12.75">
      <c r="C521" s="165"/>
      <c r="D521" s="165"/>
      <c r="E521" s="165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</row>
    <row r="522" spans="3:21" ht="12.75">
      <c r="C522" s="165"/>
      <c r="D522" s="165"/>
      <c r="E522" s="165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</row>
    <row r="523" spans="3:21" ht="12.75">
      <c r="C523" s="165"/>
      <c r="D523" s="165"/>
      <c r="E523" s="165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</row>
    <row r="524" spans="3:21" ht="12.75">
      <c r="C524" s="165"/>
      <c r="D524" s="165"/>
      <c r="E524" s="165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</row>
    <row r="525" spans="3:21" ht="12.75">
      <c r="C525" s="165"/>
      <c r="D525" s="165"/>
      <c r="E525" s="165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</row>
    <row r="526" spans="3:21" ht="12.75">
      <c r="C526" s="165"/>
      <c r="D526" s="165"/>
      <c r="E526" s="165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</row>
    <row r="527" spans="3:21" ht="12.75">
      <c r="C527" s="165"/>
      <c r="D527" s="165"/>
      <c r="E527" s="165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</row>
    <row r="528" spans="3:21" ht="12.75">
      <c r="C528" s="165"/>
      <c r="D528" s="165"/>
      <c r="E528" s="165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</row>
    <row r="529" spans="3:21" ht="12.75">
      <c r="C529" s="165"/>
      <c r="D529" s="165"/>
      <c r="E529" s="165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</row>
    <row r="530" spans="3:21" ht="12.75">
      <c r="C530" s="165"/>
      <c r="D530" s="165"/>
      <c r="E530" s="165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</row>
    <row r="531" spans="3:21" ht="12.75">
      <c r="C531" s="165"/>
      <c r="D531" s="165"/>
      <c r="E531" s="165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</row>
    <row r="532" spans="3:21" ht="12.75">
      <c r="C532" s="165"/>
      <c r="D532" s="165"/>
      <c r="E532" s="165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</row>
    <row r="533" spans="3:21" ht="12.75">
      <c r="C533" s="165"/>
      <c r="D533" s="165"/>
      <c r="E533" s="165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</row>
    <row r="534" spans="3:21" ht="12.75">
      <c r="C534" s="165"/>
      <c r="D534" s="165"/>
      <c r="E534" s="165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</row>
    <row r="535" spans="3:21" ht="12.75">
      <c r="C535" s="165"/>
      <c r="D535" s="165"/>
      <c r="E535" s="165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</row>
    <row r="536" spans="3:21" ht="12.75">
      <c r="C536" s="165"/>
      <c r="D536" s="165"/>
      <c r="E536" s="165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</row>
    <row r="537" spans="3:21" ht="12.75">
      <c r="C537" s="165"/>
      <c r="D537" s="165"/>
      <c r="E537" s="165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</row>
    <row r="538" spans="3:21" ht="12.75">
      <c r="C538" s="165"/>
      <c r="D538" s="165"/>
      <c r="E538" s="165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</row>
    <row r="539" spans="3:21" ht="12.75">
      <c r="C539" s="165"/>
      <c r="D539" s="165"/>
      <c r="E539" s="165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</row>
    <row r="540" spans="3:21" ht="12.75">
      <c r="C540" s="165"/>
      <c r="D540" s="165"/>
      <c r="E540" s="165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</row>
    <row r="541" spans="3:21" ht="12.75">
      <c r="C541" s="165"/>
      <c r="D541" s="165"/>
      <c r="E541" s="165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</row>
    <row r="542" spans="3:21" ht="12.75">
      <c r="C542" s="165"/>
      <c r="D542" s="165"/>
      <c r="E542" s="165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</row>
    <row r="543" spans="3:21" ht="12.75">
      <c r="C543" s="165"/>
      <c r="D543" s="165"/>
      <c r="E543" s="165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</row>
    <row r="544" spans="3:21" ht="12.75">
      <c r="C544" s="165"/>
      <c r="D544" s="165"/>
      <c r="E544" s="165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</row>
    <row r="545" spans="3:21" ht="12.75">
      <c r="C545" s="165"/>
      <c r="D545" s="165"/>
      <c r="E545" s="165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</row>
    <row r="546" spans="3:21" ht="12.75">
      <c r="C546" s="165"/>
      <c r="D546" s="165"/>
      <c r="E546" s="165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</row>
    <row r="547" spans="3:21" ht="12.75">
      <c r="C547" s="165"/>
      <c r="D547" s="165"/>
      <c r="E547" s="165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</row>
    <row r="548" spans="3:21" ht="12.75">
      <c r="C548" s="165"/>
      <c r="D548" s="165"/>
      <c r="E548" s="165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</row>
    <row r="549" spans="3:21" ht="12.75">
      <c r="C549" s="165"/>
      <c r="D549" s="165"/>
      <c r="E549" s="165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</row>
    <row r="550" spans="3:21" ht="12.75">
      <c r="C550" s="165"/>
      <c r="D550" s="165"/>
      <c r="E550" s="165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</row>
    <row r="551" spans="3:21" ht="12.75">
      <c r="C551" s="165"/>
      <c r="D551" s="165"/>
      <c r="E551" s="165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</row>
    <row r="552" spans="3:21" ht="12.75">
      <c r="C552" s="165"/>
      <c r="D552" s="165"/>
      <c r="E552" s="165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</row>
    <row r="553" spans="3:21" ht="12.75">
      <c r="C553" s="165"/>
      <c r="D553" s="165"/>
      <c r="E553" s="165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</row>
    <row r="554" spans="3:21" ht="12.75">
      <c r="C554" s="165"/>
      <c r="D554" s="165"/>
      <c r="E554" s="165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</row>
    <row r="555" spans="3:21" ht="12.75">
      <c r="C555" s="165"/>
      <c r="D555" s="165"/>
      <c r="E555" s="165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</row>
    <row r="556" spans="3:21" ht="12.75">
      <c r="C556" s="165"/>
      <c r="D556" s="165"/>
      <c r="E556" s="165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</row>
    <row r="557" spans="3:21" ht="12.75">
      <c r="C557" s="165"/>
      <c r="D557" s="165"/>
      <c r="E557" s="165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</row>
    <row r="558" spans="3:21" ht="12.75">
      <c r="C558" s="165"/>
      <c r="D558" s="165"/>
      <c r="E558" s="165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</row>
    <row r="559" spans="3:21" ht="12.75">
      <c r="C559" s="165"/>
      <c r="D559" s="165"/>
      <c r="E559" s="165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</row>
    <row r="560" spans="3:21" ht="12.75">
      <c r="C560" s="165"/>
      <c r="D560" s="165"/>
      <c r="E560" s="165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</row>
    <row r="561" spans="3:21" ht="12.75">
      <c r="C561" s="165"/>
      <c r="D561" s="165"/>
      <c r="E561" s="165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</row>
    <row r="562" spans="3:21" ht="12.75">
      <c r="C562" s="165"/>
      <c r="D562" s="165"/>
      <c r="E562" s="165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</row>
    <row r="563" spans="3:21" ht="12.75">
      <c r="C563" s="165"/>
      <c r="D563" s="165"/>
      <c r="E563" s="165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</row>
    <row r="564" spans="3:21" ht="12.75">
      <c r="C564" s="165"/>
      <c r="D564" s="165"/>
      <c r="E564" s="165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</row>
    <row r="565" spans="3:21" ht="12.75">
      <c r="C565" s="165"/>
      <c r="D565" s="165"/>
      <c r="E565" s="165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</row>
    <row r="566" spans="3:21" ht="12.75">
      <c r="C566" s="165"/>
      <c r="D566" s="165"/>
      <c r="E566" s="165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</row>
    <row r="567" spans="3:21" ht="12.75">
      <c r="C567" s="165"/>
      <c r="D567" s="165"/>
      <c r="E567" s="165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</row>
    <row r="568" spans="3:21" ht="12.75">
      <c r="C568" s="165"/>
      <c r="D568" s="165"/>
      <c r="E568" s="165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</row>
    <row r="569" spans="3:21" ht="12.75">
      <c r="C569" s="165"/>
      <c r="D569" s="165"/>
      <c r="E569" s="165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</row>
    <row r="570" spans="3:21" ht="12.75">
      <c r="C570" s="165"/>
      <c r="D570" s="165"/>
      <c r="E570" s="165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</row>
    <row r="571" spans="3:21" ht="12.75">
      <c r="C571" s="165"/>
      <c r="D571" s="165"/>
      <c r="E571" s="165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</row>
    <row r="572" spans="3:21" ht="12.75">
      <c r="C572" s="165"/>
      <c r="D572" s="165"/>
      <c r="E572" s="165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</row>
    <row r="573" spans="3:21" ht="12.75">
      <c r="C573" s="165"/>
      <c r="D573" s="165"/>
      <c r="E573" s="165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</row>
    <row r="574" spans="3:21" ht="12.75">
      <c r="C574" s="165"/>
      <c r="D574" s="165"/>
      <c r="E574" s="165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</row>
    <row r="575" spans="3:21" ht="12.75">
      <c r="C575" s="165"/>
      <c r="D575" s="165"/>
      <c r="E575" s="165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</row>
    <row r="576" spans="3:21" ht="12.75">
      <c r="C576" s="165"/>
      <c r="D576" s="165"/>
      <c r="E576" s="165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</row>
    <row r="577" spans="3:21" ht="12.75">
      <c r="C577" s="165"/>
      <c r="D577" s="165"/>
      <c r="E577" s="165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</row>
    <row r="578" spans="3:21" ht="12.75">
      <c r="C578" s="165"/>
      <c r="D578" s="165"/>
      <c r="E578" s="165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</row>
    <row r="579" spans="3:21" ht="12.75">
      <c r="C579" s="165"/>
      <c r="D579" s="165"/>
      <c r="E579" s="165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</row>
    <row r="580" spans="3:21" ht="12.75">
      <c r="C580" s="165"/>
      <c r="D580" s="165"/>
      <c r="E580" s="165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</row>
    <row r="581" spans="3:21" ht="12.75">
      <c r="C581" s="165"/>
      <c r="D581" s="165"/>
      <c r="E581" s="165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</row>
    <row r="582" spans="3:21" ht="12.75">
      <c r="C582" s="165"/>
      <c r="D582" s="165"/>
      <c r="E582" s="165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</row>
    <row r="583" spans="3:21" ht="12.75">
      <c r="C583" s="165"/>
      <c r="D583" s="165"/>
      <c r="E583" s="165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</row>
    <row r="584" spans="3:21" ht="12.75">
      <c r="C584" s="165"/>
      <c r="D584" s="165"/>
      <c r="E584" s="165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</row>
    <row r="585" spans="3:21" ht="12.75">
      <c r="C585" s="165"/>
      <c r="D585" s="165"/>
      <c r="E585" s="165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</row>
    <row r="586" spans="3:21" ht="12.75">
      <c r="C586" s="165"/>
      <c r="D586" s="165"/>
      <c r="E586" s="165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</row>
    <row r="587" spans="3:21" ht="12.75">
      <c r="C587" s="165"/>
      <c r="D587" s="165"/>
      <c r="E587" s="165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</row>
    <row r="588" spans="3:21" ht="12.75">
      <c r="C588" s="165"/>
      <c r="D588" s="165"/>
      <c r="E588" s="165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</row>
    <row r="589" spans="3:21" ht="12.75">
      <c r="C589" s="165"/>
      <c r="D589" s="165"/>
      <c r="E589" s="165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</row>
    <row r="590" spans="3:21" ht="12.75">
      <c r="C590" s="165"/>
      <c r="D590" s="165"/>
      <c r="E590" s="165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</row>
    <row r="591" spans="3:21" ht="12.75">
      <c r="C591" s="165"/>
      <c r="D591" s="165"/>
      <c r="E591" s="165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</row>
    <row r="592" spans="3:21" ht="12.75">
      <c r="C592" s="165"/>
      <c r="D592" s="165"/>
      <c r="E592" s="165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</row>
    <row r="593" spans="3:21" ht="12.75">
      <c r="C593" s="165"/>
      <c r="D593" s="165"/>
      <c r="E593" s="165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</row>
    <row r="594" spans="3:21" ht="12.75">
      <c r="C594" s="165"/>
      <c r="D594" s="165"/>
      <c r="E594" s="165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</row>
    <row r="595" spans="3:21" ht="12.75">
      <c r="C595" s="165"/>
      <c r="D595" s="165"/>
      <c r="E595" s="165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</row>
    <row r="596" spans="3:21" ht="12.75">
      <c r="C596" s="165"/>
      <c r="D596" s="165"/>
      <c r="E596" s="165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</row>
    <row r="597" spans="3:21" ht="12.75">
      <c r="C597" s="165"/>
      <c r="D597" s="165"/>
      <c r="E597" s="165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</row>
    <row r="598" spans="3:21" ht="12.75">
      <c r="C598" s="165"/>
      <c r="D598" s="165"/>
      <c r="E598" s="165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</row>
    <row r="599" spans="3:21" ht="12.75">
      <c r="C599" s="165"/>
      <c r="D599" s="165"/>
      <c r="E599" s="165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</row>
    <row r="600" spans="3:21" ht="12.75">
      <c r="C600" s="165"/>
      <c r="D600" s="165"/>
      <c r="E600" s="165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</row>
    <row r="601" spans="3:21" ht="12.75">
      <c r="C601" s="165"/>
      <c r="D601" s="165"/>
      <c r="E601" s="165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</row>
    <row r="602" spans="3:21" ht="12.75">
      <c r="C602" s="165"/>
      <c r="D602" s="165"/>
      <c r="E602" s="165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</row>
    <row r="603" spans="3:21" ht="12.75">
      <c r="C603" s="165"/>
      <c r="D603" s="165"/>
      <c r="E603" s="165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</row>
    <row r="604" spans="3:21" ht="12.75">
      <c r="C604" s="165"/>
      <c r="D604" s="165"/>
      <c r="E604" s="165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</row>
    <row r="605" spans="3:21" ht="12.75">
      <c r="C605" s="165"/>
      <c r="D605" s="165"/>
      <c r="E605" s="165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</row>
    <row r="606" spans="3:21" ht="12.75">
      <c r="C606" s="165"/>
      <c r="D606" s="165"/>
      <c r="E606" s="165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</row>
    <row r="607" spans="3:21" ht="12.75">
      <c r="C607" s="165"/>
      <c r="D607" s="165"/>
      <c r="E607" s="165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</row>
    <row r="608" spans="3:21" ht="12.75">
      <c r="C608" s="165"/>
      <c r="D608" s="165"/>
      <c r="E608" s="165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</row>
    <row r="609" spans="3:21" ht="12.75">
      <c r="C609" s="165"/>
      <c r="D609" s="165"/>
      <c r="E609" s="165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</row>
    <row r="610" spans="3:21" ht="12.75">
      <c r="C610" s="165"/>
      <c r="D610" s="165"/>
      <c r="E610" s="165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</row>
    <row r="611" spans="3:21" ht="12.75">
      <c r="C611" s="165"/>
      <c r="D611" s="165"/>
      <c r="E611" s="165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</row>
    <row r="612" spans="3:21" ht="12.75">
      <c r="C612" s="165"/>
      <c r="D612" s="165"/>
      <c r="E612" s="165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</row>
    <row r="613" spans="3:21" ht="12.75">
      <c r="C613" s="165"/>
      <c r="D613" s="165"/>
      <c r="E613" s="165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</row>
    <row r="614" spans="3:21" ht="12.75">
      <c r="C614" s="165"/>
      <c r="D614" s="165"/>
      <c r="E614" s="165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</row>
    <row r="615" spans="3:21" ht="12.75">
      <c r="C615" s="165"/>
      <c r="D615" s="165"/>
      <c r="E615" s="165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</row>
    <row r="616" spans="3:21" ht="12.75">
      <c r="C616" s="165"/>
      <c r="D616" s="165"/>
      <c r="E616" s="165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</row>
    <row r="617" spans="3:21" ht="12.75">
      <c r="C617" s="165"/>
      <c r="D617" s="165"/>
      <c r="E617" s="165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</row>
    <row r="618" spans="3:21" ht="12.75">
      <c r="C618" s="165"/>
      <c r="D618" s="165"/>
      <c r="E618" s="165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</row>
    <row r="619" spans="3:21" ht="12.75">
      <c r="C619" s="165"/>
      <c r="D619" s="165"/>
      <c r="E619" s="165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</row>
    <row r="620" spans="3:21" ht="12.75">
      <c r="C620" s="165"/>
      <c r="D620" s="165"/>
      <c r="E620" s="165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</row>
    <row r="621" spans="3:21" ht="12.75">
      <c r="C621" s="165"/>
      <c r="D621" s="165"/>
      <c r="E621" s="165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</row>
    <row r="622" spans="3:21" ht="12.75">
      <c r="C622" s="165"/>
      <c r="D622" s="165"/>
      <c r="E622" s="165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</row>
    <row r="623" spans="3:21" ht="12.75">
      <c r="C623" s="165"/>
      <c r="D623" s="165"/>
      <c r="E623" s="165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</row>
    <row r="624" spans="3:21" ht="12.75">
      <c r="C624" s="165"/>
      <c r="D624" s="165"/>
      <c r="E624" s="165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</row>
    <row r="625" spans="3:21" ht="12.75">
      <c r="C625" s="165"/>
      <c r="D625" s="165"/>
      <c r="E625" s="165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</row>
    <row r="626" spans="3:21" ht="12.75">
      <c r="C626" s="165"/>
      <c r="D626" s="165"/>
      <c r="E626" s="165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</row>
    <row r="627" spans="3:21" ht="12.75">
      <c r="C627" s="165"/>
      <c r="D627" s="165"/>
      <c r="E627" s="165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</row>
    <row r="628" spans="3:21" ht="12.75">
      <c r="C628" s="165"/>
      <c r="D628" s="165"/>
      <c r="E628" s="165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</row>
    <row r="629" spans="3:21" ht="12.75">
      <c r="C629" s="165"/>
      <c r="D629" s="165"/>
      <c r="E629" s="165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</row>
    <row r="630" spans="3:21" ht="12.75">
      <c r="C630" s="165"/>
      <c r="D630" s="165"/>
      <c r="E630" s="165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</row>
    <row r="631" spans="3:21" ht="12.75">
      <c r="C631" s="165"/>
      <c r="D631" s="165"/>
      <c r="E631" s="165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</row>
    <row r="632" spans="3:21" ht="12.75">
      <c r="C632" s="165"/>
      <c r="D632" s="165"/>
      <c r="E632" s="165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</row>
    <row r="633" spans="3:21" ht="12.75">
      <c r="C633" s="165"/>
      <c r="D633" s="165"/>
      <c r="E633" s="165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</row>
    <row r="634" spans="3:21" ht="12.75">
      <c r="C634" s="165"/>
      <c r="D634" s="165"/>
      <c r="E634" s="165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</row>
    <row r="635" spans="3:21" ht="12.75">
      <c r="C635" s="165"/>
      <c r="D635" s="165"/>
      <c r="E635" s="165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</row>
    <row r="636" spans="3:21" ht="12.75">
      <c r="C636" s="165"/>
      <c r="D636" s="165"/>
      <c r="E636" s="165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</row>
    <row r="637" spans="3:21" ht="12.75">
      <c r="C637" s="165"/>
      <c r="D637" s="165"/>
      <c r="E637" s="165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</row>
    <row r="638" spans="3:21" ht="12.75">
      <c r="C638" s="165"/>
      <c r="D638" s="165"/>
      <c r="E638" s="165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</row>
    <row r="639" spans="3:21" ht="12.75">
      <c r="C639" s="165"/>
      <c r="D639" s="165"/>
      <c r="E639" s="165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</row>
    <row r="640" spans="3:21" ht="12.75">
      <c r="C640" s="165"/>
      <c r="D640" s="165"/>
      <c r="E640" s="165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</row>
    <row r="641" spans="3:21" ht="12.75">
      <c r="C641" s="165"/>
      <c r="D641" s="165"/>
      <c r="E641" s="165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</row>
    <row r="642" spans="3:21" ht="12.75">
      <c r="C642" s="165"/>
      <c r="D642" s="165"/>
      <c r="E642" s="165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</row>
    <row r="643" spans="3:21" ht="12.75">
      <c r="C643" s="165"/>
      <c r="D643" s="165"/>
      <c r="E643" s="165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</row>
    <row r="644" spans="3:21" ht="12.75">
      <c r="C644" s="165"/>
      <c r="D644" s="165"/>
      <c r="E644" s="165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</row>
    <row r="645" spans="3:21" ht="12.75">
      <c r="C645" s="165"/>
      <c r="D645" s="165"/>
      <c r="E645" s="165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</row>
    <row r="646" spans="3:21" ht="12.75">
      <c r="C646" s="165"/>
      <c r="D646" s="165"/>
      <c r="E646" s="165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</row>
    <row r="647" spans="3:21" ht="12.75">
      <c r="C647" s="165"/>
      <c r="D647" s="165"/>
      <c r="E647" s="165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</row>
    <row r="648" spans="3:21" ht="12.75">
      <c r="C648" s="165"/>
      <c r="D648" s="165"/>
      <c r="E648" s="165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</row>
    <row r="649" spans="3:21" ht="12.75">
      <c r="C649" s="165"/>
      <c r="D649" s="165"/>
      <c r="E649" s="165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</row>
    <row r="650" spans="3:21" ht="12.75">
      <c r="C650" s="165"/>
      <c r="D650" s="165"/>
      <c r="E650" s="165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</row>
    <row r="651" spans="3:21" ht="12.75">
      <c r="C651" s="165"/>
      <c r="D651" s="165"/>
      <c r="E651" s="165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</row>
    <row r="652" spans="3:21" ht="12.75">
      <c r="C652" s="165"/>
      <c r="D652" s="165"/>
      <c r="E652" s="165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</row>
    <row r="653" spans="3:21" ht="12.75">
      <c r="C653" s="165"/>
      <c r="D653" s="165"/>
      <c r="E653" s="165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</row>
    <row r="654" spans="3:21" ht="12.75">
      <c r="C654" s="165"/>
      <c r="D654" s="165"/>
      <c r="E654" s="165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</row>
    <row r="655" spans="3:21" ht="12.75">
      <c r="C655" s="165"/>
      <c r="D655" s="165"/>
      <c r="E655" s="165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</row>
    <row r="656" spans="3:21" ht="12.75">
      <c r="C656" s="165"/>
      <c r="D656" s="165"/>
      <c r="E656" s="165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</row>
    <row r="657" spans="3:21" ht="12.75">
      <c r="C657" s="165"/>
      <c r="D657" s="165"/>
      <c r="E657" s="165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</row>
    <row r="658" spans="3:21" ht="12.75">
      <c r="C658" s="165"/>
      <c r="D658" s="165"/>
      <c r="E658" s="165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</row>
    <row r="659" spans="3:21" ht="12.75">
      <c r="C659" s="165"/>
      <c r="D659" s="165"/>
      <c r="E659" s="165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</row>
    <row r="660" spans="3:21" ht="12.75">
      <c r="C660" s="165"/>
      <c r="D660" s="165"/>
      <c r="E660" s="165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</row>
    <row r="661" spans="3:21" ht="12.75">
      <c r="C661" s="165"/>
      <c r="D661" s="165"/>
      <c r="E661" s="165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</row>
    <row r="662" spans="3:21" ht="12.75">
      <c r="C662" s="165"/>
      <c r="D662" s="165"/>
      <c r="E662" s="165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</row>
    <row r="663" spans="3:21" ht="12.75">
      <c r="C663" s="165"/>
      <c r="D663" s="165"/>
      <c r="E663" s="165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</row>
    <row r="664" spans="3:21" ht="12.75">
      <c r="C664" s="165"/>
      <c r="D664" s="165"/>
      <c r="E664" s="165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</row>
    <row r="665" spans="3:21" ht="12.75">
      <c r="C665" s="165"/>
      <c r="D665" s="165"/>
      <c r="E665" s="165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</row>
    <row r="666" spans="3:21" ht="12.75">
      <c r="C666" s="165"/>
      <c r="D666" s="165"/>
      <c r="E666" s="165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</row>
    <row r="667" spans="3:21" ht="12.75">
      <c r="C667" s="165"/>
      <c r="D667" s="165"/>
      <c r="E667" s="165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</row>
    <row r="668" spans="3:21" ht="12.75">
      <c r="C668" s="165"/>
      <c r="D668" s="165"/>
      <c r="E668" s="165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</row>
    <row r="669" spans="3:21" ht="12.75">
      <c r="C669" s="165"/>
      <c r="D669" s="165"/>
      <c r="E669" s="165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</row>
    <row r="670" spans="3:21" ht="12.75">
      <c r="C670" s="165"/>
      <c r="D670" s="165"/>
      <c r="E670" s="165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</row>
    <row r="671" spans="3:21" ht="12.75">
      <c r="C671" s="165"/>
      <c r="D671" s="165"/>
      <c r="E671" s="165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</row>
    <row r="672" spans="3:21" ht="12.75">
      <c r="C672" s="165"/>
      <c r="D672" s="165"/>
      <c r="E672" s="165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</row>
    <row r="673" spans="3:21" ht="12.75">
      <c r="C673" s="165"/>
      <c r="D673" s="165"/>
      <c r="E673" s="165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</row>
    <row r="674" spans="3:21" ht="12.75">
      <c r="C674" s="165"/>
      <c r="D674" s="165"/>
      <c r="E674" s="165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</row>
    <row r="675" spans="3:21" ht="12.75">
      <c r="C675" s="165"/>
      <c r="D675" s="165"/>
      <c r="E675" s="165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</row>
    <row r="676" spans="3:21" ht="12.75">
      <c r="C676" s="165"/>
      <c r="D676" s="165"/>
      <c r="E676" s="165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</row>
    <row r="677" spans="3:21" ht="12.75">
      <c r="C677" s="165"/>
      <c r="D677" s="165"/>
      <c r="E677" s="165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</row>
    <row r="678" spans="3:21" ht="12.75">
      <c r="C678" s="165"/>
      <c r="D678" s="165"/>
      <c r="E678" s="165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</row>
    <row r="679" spans="3:21" ht="12.75">
      <c r="C679" s="165"/>
      <c r="D679" s="165"/>
      <c r="E679" s="165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</row>
    <row r="680" spans="3:21" ht="12.75">
      <c r="C680" s="165"/>
      <c r="D680" s="165"/>
      <c r="E680" s="165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</row>
    <row r="681" spans="3:21" ht="12.75">
      <c r="C681" s="165"/>
      <c r="D681" s="165"/>
      <c r="E681" s="165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</row>
    <row r="682" spans="3:21" ht="12.75">
      <c r="C682" s="165"/>
      <c r="D682" s="165"/>
      <c r="E682" s="165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</row>
    <row r="683" spans="3:21" ht="12.75">
      <c r="C683" s="165"/>
      <c r="D683" s="165"/>
      <c r="E683" s="165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</row>
    <row r="684" spans="3:21" ht="12.75">
      <c r="C684" s="165"/>
      <c r="D684" s="165"/>
      <c r="E684" s="165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</row>
    <row r="685" spans="3:21" ht="12.75">
      <c r="C685" s="165"/>
      <c r="D685" s="165"/>
      <c r="E685" s="165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</row>
    <row r="686" spans="3:21" ht="12.75">
      <c r="C686" s="165"/>
      <c r="D686" s="165"/>
      <c r="E686" s="165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</row>
    <row r="687" spans="3:21" ht="12.75">
      <c r="C687" s="165"/>
      <c r="D687" s="165"/>
      <c r="E687" s="165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</row>
    <row r="688" spans="3:21" ht="12.75">
      <c r="C688" s="165"/>
      <c r="D688" s="165"/>
      <c r="E688" s="165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</row>
    <row r="689" spans="3:21" ht="12.75">
      <c r="C689" s="165"/>
      <c r="D689" s="165"/>
      <c r="E689" s="165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</row>
    <row r="690" spans="3:21" ht="12.75">
      <c r="C690" s="165"/>
      <c r="D690" s="165"/>
      <c r="E690" s="165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</row>
    <row r="691" spans="3:21" ht="12.75">
      <c r="C691" s="165"/>
      <c r="D691" s="165"/>
      <c r="E691" s="165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</row>
    <row r="692" spans="3:21" ht="12.75">
      <c r="C692" s="165"/>
      <c r="D692" s="165"/>
      <c r="E692" s="165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</row>
    <row r="693" spans="3:21" ht="12.75">
      <c r="C693" s="165"/>
      <c r="D693" s="165"/>
      <c r="E693" s="165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</row>
    <row r="694" spans="3:21" ht="12.75">
      <c r="C694" s="165"/>
      <c r="D694" s="165"/>
      <c r="E694" s="165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</row>
    <row r="695" spans="3:21" ht="12.75">
      <c r="C695" s="165"/>
      <c r="D695" s="165"/>
      <c r="E695" s="165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</row>
    <row r="696" spans="3:21" ht="12.75">
      <c r="C696" s="165"/>
      <c r="D696" s="165"/>
      <c r="E696" s="165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</row>
    <row r="697" spans="3:21" ht="12.75">
      <c r="C697" s="165"/>
      <c r="D697" s="165"/>
      <c r="E697" s="165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</row>
    <row r="698" spans="3:21" ht="12.75">
      <c r="C698" s="165"/>
      <c r="D698" s="165"/>
      <c r="E698" s="165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</row>
    <row r="699" spans="3:21" ht="12.75">
      <c r="C699" s="165"/>
      <c r="D699" s="165"/>
      <c r="E699" s="165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</row>
    <row r="700" spans="3:21" ht="12.75">
      <c r="C700" s="165"/>
      <c r="D700" s="165"/>
      <c r="E700" s="165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</row>
    <row r="701" spans="3:21" ht="12.75">
      <c r="C701" s="165"/>
      <c r="D701" s="165"/>
      <c r="E701" s="165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</row>
    <row r="702" spans="3:21" ht="12.75">
      <c r="C702" s="165"/>
      <c r="D702" s="165"/>
      <c r="E702" s="165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</row>
    <row r="703" spans="3:21" ht="12.75">
      <c r="C703" s="165"/>
      <c r="D703" s="165"/>
      <c r="E703" s="165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</row>
    <row r="704" spans="3:21" ht="12.75">
      <c r="C704" s="165"/>
      <c r="D704" s="165"/>
      <c r="E704" s="165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</row>
    <row r="705" spans="3:21" ht="12.75">
      <c r="C705" s="165"/>
      <c r="D705" s="165"/>
      <c r="E705" s="165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</row>
    <row r="706" spans="3:21" ht="12.75">
      <c r="C706" s="165"/>
      <c r="D706" s="165"/>
      <c r="E706" s="165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</row>
    <row r="707" spans="3:21" ht="12.75">
      <c r="C707" s="165"/>
      <c r="D707" s="165"/>
      <c r="E707" s="165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</row>
    <row r="708" spans="3:21" ht="12.75">
      <c r="C708" s="165"/>
      <c r="D708" s="165"/>
      <c r="E708" s="165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</row>
    <row r="709" spans="3:21" ht="12.75">
      <c r="C709" s="165"/>
      <c r="D709" s="165"/>
      <c r="E709" s="165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</row>
    <row r="710" spans="3:21" ht="12.75">
      <c r="C710" s="165"/>
      <c r="D710" s="165"/>
      <c r="E710" s="165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</row>
    <row r="711" spans="3:21" ht="12.75">
      <c r="C711" s="165"/>
      <c r="D711" s="165"/>
      <c r="E711" s="165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</row>
    <row r="712" spans="3:21" ht="12.75">
      <c r="C712" s="165"/>
      <c r="D712" s="165"/>
      <c r="E712" s="165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</row>
    <row r="713" spans="3:21" ht="12.75">
      <c r="C713" s="165"/>
      <c r="D713" s="165"/>
      <c r="E713" s="165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</row>
    <row r="714" spans="3:21" ht="12.75">
      <c r="C714" s="165"/>
      <c r="D714" s="165"/>
      <c r="E714" s="165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</row>
    <row r="715" spans="3:21" ht="12.75">
      <c r="C715" s="165"/>
      <c r="D715" s="165"/>
      <c r="E715" s="165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</row>
    <row r="716" spans="3:21" ht="12.75">
      <c r="C716" s="165"/>
      <c r="D716" s="165"/>
      <c r="E716" s="165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</row>
    <row r="717" spans="3:21" ht="12.75">
      <c r="C717" s="165"/>
      <c r="D717" s="165"/>
      <c r="E717" s="165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</row>
    <row r="718" spans="3:21" ht="12.75">
      <c r="C718" s="165"/>
      <c r="D718" s="165"/>
      <c r="E718" s="165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</row>
    <row r="719" spans="3:21" ht="12.75">
      <c r="C719" s="165"/>
      <c r="D719" s="165"/>
      <c r="E719" s="165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</row>
    <row r="720" spans="3:21" ht="12.75">
      <c r="C720" s="165"/>
      <c r="D720" s="165"/>
      <c r="E720" s="165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</row>
    <row r="721" spans="3:21" ht="12.75">
      <c r="C721" s="165"/>
      <c r="D721" s="165"/>
      <c r="E721" s="165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</row>
    <row r="722" spans="3:21" ht="12.75">
      <c r="C722" s="165"/>
      <c r="D722" s="165"/>
      <c r="E722" s="165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</row>
    <row r="723" spans="3:21" ht="12.75">
      <c r="C723" s="165"/>
      <c r="D723" s="165"/>
      <c r="E723" s="165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</row>
    <row r="724" spans="3:21" ht="12.75">
      <c r="C724" s="165"/>
      <c r="D724" s="165"/>
      <c r="E724" s="165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</row>
    <row r="725" spans="3:21" ht="12.75">
      <c r="C725" s="165"/>
      <c r="D725" s="165"/>
      <c r="E725" s="165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</row>
    <row r="726" spans="3:21" ht="12.75">
      <c r="C726" s="165"/>
      <c r="D726" s="165"/>
      <c r="E726" s="165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</row>
    <row r="727" spans="3:21" ht="12.75">
      <c r="C727" s="165"/>
      <c r="D727" s="165"/>
      <c r="E727" s="165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</row>
    <row r="728" spans="3:21" ht="12.75">
      <c r="C728" s="165"/>
      <c r="D728" s="165"/>
      <c r="E728" s="165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</row>
    <row r="729" spans="3:21" ht="12.75">
      <c r="C729" s="165"/>
      <c r="D729" s="165"/>
      <c r="E729" s="165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</row>
    <row r="730" spans="3:21" ht="12.75">
      <c r="C730" s="165"/>
      <c r="D730" s="165"/>
      <c r="E730" s="165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</row>
    <row r="731" spans="3:21" ht="12.75">
      <c r="C731" s="165"/>
      <c r="D731" s="165"/>
      <c r="E731" s="165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</row>
    <row r="732" spans="3:21" ht="12.75">
      <c r="C732" s="165"/>
      <c r="D732" s="165"/>
      <c r="E732" s="165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</row>
    <row r="733" spans="3:21" ht="12.75">
      <c r="C733" s="165"/>
      <c r="D733" s="165"/>
      <c r="E733" s="165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</row>
    <row r="734" spans="3:21" ht="12.75">
      <c r="C734" s="165"/>
      <c r="D734" s="165"/>
      <c r="E734" s="165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</row>
    <row r="735" spans="3:21" ht="12.75">
      <c r="C735" s="165"/>
      <c r="D735" s="165"/>
      <c r="E735" s="165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</row>
    <row r="736" spans="3:21" ht="12.75">
      <c r="C736" s="165"/>
      <c r="D736" s="165"/>
      <c r="E736" s="165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</row>
    <row r="737" spans="3:21" ht="12.75">
      <c r="C737" s="165"/>
      <c r="D737" s="165"/>
      <c r="E737" s="165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</row>
    <row r="738" spans="3:21" ht="12.75">
      <c r="C738" s="165"/>
      <c r="D738" s="165"/>
      <c r="E738" s="165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</row>
    <row r="739" spans="3:21" ht="12.75">
      <c r="C739" s="165"/>
      <c r="D739" s="165"/>
      <c r="E739" s="165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</row>
    <row r="740" spans="3:21" ht="12.75">
      <c r="C740" s="165"/>
      <c r="D740" s="165"/>
      <c r="E740" s="165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</row>
    <row r="741" spans="3:21" ht="12.75">
      <c r="C741" s="165"/>
      <c r="D741" s="165"/>
      <c r="E741" s="165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</row>
    <row r="742" spans="3:21" ht="12.75">
      <c r="C742" s="165"/>
      <c r="D742" s="165"/>
      <c r="E742" s="165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</row>
    <row r="743" spans="3:21" ht="12.75">
      <c r="C743" s="165"/>
      <c r="D743" s="165"/>
      <c r="E743" s="165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</row>
    <row r="744" spans="3:21" ht="12.75">
      <c r="C744" s="165"/>
      <c r="D744" s="165"/>
      <c r="E744" s="165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</row>
    <row r="745" spans="3:21" ht="12.75">
      <c r="C745" s="165"/>
      <c r="D745" s="165"/>
      <c r="E745" s="165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</row>
    <row r="746" spans="3:21" ht="12.75">
      <c r="C746" s="165"/>
      <c r="D746" s="165"/>
      <c r="E746" s="165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</row>
    <row r="747" spans="3:21" ht="12.75">
      <c r="C747" s="165"/>
      <c r="D747" s="165"/>
      <c r="E747" s="165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</row>
    <row r="748" spans="3:21" ht="12.75">
      <c r="C748" s="165"/>
      <c r="D748" s="165"/>
      <c r="E748" s="165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</row>
    <row r="749" spans="3:21" ht="12.75">
      <c r="C749" s="165"/>
      <c r="D749" s="165"/>
      <c r="E749" s="165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</row>
    <row r="750" spans="3:21" ht="12.75">
      <c r="C750" s="165"/>
      <c r="D750" s="165"/>
      <c r="E750" s="165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</row>
    <row r="751" spans="3:21" ht="12.75">
      <c r="C751" s="165"/>
      <c r="D751" s="165"/>
      <c r="E751" s="165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</row>
    <row r="752" spans="3:21" ht="12.75">
      <c r="C752" s="165"/>
      <c r="D752" s="165"/>
      <c r="E752" s="165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</row>
    <row r="753" spans="3:21" ht="12.75">
      <c r="C753" s="165"/>
      <c r="D753" s="165"/>
      <c r="E753" s="165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</row>
    <row r="754" spans="3:21" ht="12.75">
      <c r="C754" s="165"/>
      <c r="D754" s="165"/>
      <c r="E754" s="165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</row>
    <row r="755" spans="3:21" ht="12.75">
      <c r="C755" s="165"/>
      <c r="D755" s="165"/>
      <c r="E755" s="165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</row>
    <row r="756" spans="3:21" ht="12.75">
      <c r="C756" s="165"/>
      <c r="D756" s="165"/>
      <c r="E756" s="165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</row>
    <row r="757" spans="3:21" ht="12.75">
      <c r="C757" s="165"/>
      <c r="D757" s="165"/>
      <c r="E757" s="165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</row>
    <row r="758" spans="3:21" ht="12.75">
      <c r="C758" s="165"/>
      <c r="D758" s="165"/>
      <c r="E758" s="165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</row>
    <row r="759" spans="3:21" ht="12.75">
      <c r="C759" s="165"/>
      <c r="D759" s="165"/>
      <c r="E759" s="165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</row>
    <row r="760" spans="3:21" ht="12.75">
      <c r="C760" s="165"/>
      <c r="D760" s="165"/>
      <c r="E760" s="165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</row>
    <row r="761" spans="3:21" ht="12.75">
      <c r="C761" s="165"/>
      <c r="D761" s="165"/>
      <c r="E761" s="165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</row>
    <row r="762" spans="3:21" ht="12.75">
      <c r="C762" s="165"/>
      <c r="D762" s="165"/>
      <c r="E762" s="165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</row>
    <row r="763" spans="3:21" ht="12.75">
      <c r="C763" s="165"/>
      <c r="D763" s="165"/>
      <c r="E763" s="165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</row>
    <row r="764" spans="3:21" ht="12.75">
      <c r="C764" s="165"/>
      <c r="D764" s="165"/>
      <c r="E764" s="165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</row>
    <row r="765" spans="3:21" ht="12.75">
      <c r="C765" s="165"/>
      <c r="D765" s="165"/>
      <c r="E765" s="165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</row>
    <row r="766" spans="3:21" ht="12.75">
      <c r="C766" s="165"/>
      <c r="D766" s="165"/>
      <c r="E766" s="165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</row>
    <row r="767" spans="3:21" ht="12.75">
      <c r="C767" s="165"/>
      <c r="D767" s="165"/>
      <c r="E767" s="165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</row>
    <row r="768" spans="3:21" ht="12.75">
      <c r="C768" s="165"/>
      <c r="D768" s="165"/>
      <c r="E768" s="165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</row>
    <row r="769" spans="3:21" ht="12.75">
      <c r="C769" s="165"/>
      <c r="D769" s="165"/>
      <c r="E769" s="165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</row>
    <row r="770" spans="3:21" ht="12.75">
      <c r="C770" s="165"/>
      <c r="D770" s="165"/>
      <c r="E770" s="165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</row>
    <row r="771" spans="3:21" ht="12.75">
      <c r="C771" s="165"/>
      <c r="D771" s="165"/>
      <c r="E771" s="165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</row>
    <row r="772" spans="3:21" ht="12.75">
      <c r="C772" s="165"/>
      <c r="D772" s="165"/>
      <c r="E772" s="165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</row>
    <row r="773" spans="3:21" ht="12.75">
      <c r="C773" s="165"/>
      <c r="D773" s="165"/>
      <c r="E773" s="165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</row>
    <row r="774" spans="3:21" ht="12.75">
      <c r="C774" s="165"/>
      <c r="D774" s="165"/>
      <c r="E774" s="165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</row>
    <row r="775" spans="3:21" ht="12.75">
      <c r="C775" s="165"/>
      <c r="D775" s="165"/>
      <c r="E775" s="165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</row>
    <row r="776" spans="3:21" ht="12.75">
      <c r="C776" s="165"/>
      <c r="D776" s="165"/>
      <c r="E776" s="165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</row>
    <row r="777" spans="3:21" ht="12.75">
      <c r="C777" s="165"/>
      <c r="D777" s="165"/>
      <c r="E777" s="165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</row>
    <row r="778" spans="3:21" ht="12.75">
      <c r="C778" s="165"/>
      <c r="D778" s="165"/>
      <c r="E778" s="165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</row>
    <row r="779" spans="3:21" ht="12.75">
      <c r="C779" s="165"/>
      <c r="D779" s="165"/>
      <c r="E779" s="165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</row>
    <row r="780" spans="3:21" ht="12.75">
      <c r="C780" s="165"/>
      <c r="D780" s="165"/>
      <c r="E780" s="165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</row>
    <row r="781" spans="3:21" ht="12.75">
      <c r="C781" s="165"/>
      <c r="D781" s="165"/>
      <c r="E781" s="165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</row>
    <row r="782" spans="3:21" ht="12.75">
      <c r="C782" s="165"/>
      <c r="D782" s="165"/>
      <c r="E782" s="165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</row>
    <row r="783" spans="3:21" ht="12.75">
      <c r="C783" s="165"/>
      <c r="D783" s="165"/>
      <c r="E783" s="165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</row>
    <row r="784" spans="3:21" ht="12.75">
      <c r="C784" s="165"/>
      <c r="D784" s="165"/>
      <c r="E784" s="165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</row>
    <row r="785" spans="3:21" ht="12.75">
      <c r="C785" s="165"/>
      <c r="D785" s="165"/>
      <c r="E785" s="165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</row>
    <row r="786" spans="3:21" ht="12.75">
      <c r="C786" s="165"/>
      <c r="D786" s="165"/>
      <c r="E786" s="165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</row>
    <row r="787" spans="3:21" ht="12.75">
      <c r="C787" s="165"/>
      <c r="D787" s="165"/>
      <c r="E787" s="165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</row>
    <row r="788" spans="3:21" ht="12.75">
      <c r="C788" s="165"/>
      <c r="D788" s="165"/>
      <c r="E788" s="165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</row>
    <row r="789" spans="3:21" ht="12.75">
      <c r="C789" s="165"/>
      <c r="D789" s="165"/>
      <c r="E789" s="165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</row>
    <row r="790" spans="3:21" ht="12.75">
      <c r="C790" s="165"/>
      <c r="D790" s="165"/>
      <c r="E790" s="165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</row>
    <row r="791" spans="3:21" ht="12.75">
      <c r="C791" s="165"/>
      <c r="D791" s="165"/>
      <c r="E791" s="165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</row>
    <row r="792" spans="3:21" ht="12.75">
      <c r="C792" s="165"/>
      <c r="D792" s="165"/>
      <c r="E792" s="165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</row>
    <row r="793" spans="3:21" ht="12.75">
      <c r="C793" s="165"/>
      <c r="D793" s="165"/>
      <c r="E793" s="165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</row>
    <row r="794" spans="3:21" ht="12.75">
      <c r="C794" s="165"/>
      <c r="D794" s="165"/>
      <c r="E794" s="165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</row>
    <row r="795" spans="3:21" ht="12.75">
      <c r="C795" s="165"/>
      <c r="D795" s="165"/>
      <c r="E795" s="165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</row>
    <row r="796" spans="3:21" ht="12.75">
      <c r="C796" s="165"/>
      <c r="D796" s="165"/>
      <c r="E796" s="165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</row>
    <row r="797" spans="3:21" ht="12.75">
      <c r="C797" s="165"/>
      <c r="D797" s="165"/>
      <c r="E797" s="165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</row>
    <row r="798" spans="3:21" ht="12.75">
      <c r="C798" s="165"/>
      <c r="D798" s="165"/>
      <c r="E798" s="165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</row>
    <row r="799" spans="3:21" ht="12.75">
      <c r="C799" s="165"/>
      <c r="D799" s="165"/>
      <c r="E799" s="165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</row>
    <row r="800" spans="3:21" ht="12.75">
      <c r="C800" s="165"/>
      <c r="D800" s="165"/>
      <c r="E800" s="165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</row>
    <row r="801" spans="3:21" ht="12.75">
      <c r="C801" s="165"/>
      <c r="D801" s="165"/>
      <c r="E801" s="165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</row>
    <row r="802" spans="3:21" ht="12.75">
      <c r="C802" s="165"/>
      <c r="D802" s="165"/>
      <c r="E802" s="165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</row>
    <row r="803" spans="3:21" ht="12.75">
      <c r="C803" s="165"/>
      <c r="D803" s="165"/>
      <c r="E803" s="165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</row>
    <row r="804" spans="3:21" ht="12.75">
      <c r="C804" s="165"/>
      <c r="D804" s="165"/>
      <c r="E804" s="165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</row>
    <row r="805" spans="3:21" ht="12.75">
      <c r="C805" s="165"/>
      <c r="D805" s="165"/>
      <c r="E805" s="165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</row>
    <row r="806" spans="3:21" ht="12.75">
      <c r="C806" s="165"/>
      <c r="D806" s="165"/>
      <c r="E806" s="165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</row>
    <row r="807" spans="3:21" ht="12.75">
      <c r="C807" s="165"/>
      <c r="D807" s="165"/>
      <c r="E807" s="165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</row>
    <row r="808" spans="3:21" ht="12.75">
      <c r="C808" s="165"/>
      <c r="D808" s="165"/>
      <c r="E808" s="165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</row>
    <row r="809" spans="3:21" ht="12.75">
      <c r="C809" s="165"/>
      <c r="D809" s="165"/>
      <c r="E809" s="165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</row>
    <row r="810" spans="3:21" ht="12.75">
      <c r="C810" s="165"/>
      <c r="D810" s="165"/>
      <c r="E810" s="165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</row>
    <row r="811" spans="3:21" ht="12.75">
      <c r="C811" s="165"/>
      <c r="D811" s="165"/>
      <c r="E811" s="165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</row>
    <row r="812" spans="3:21" ht="12.75">
      <c r="C812" s="165"/>
      <c r="D812" s="165"/>
      <c r="E812" s="165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</row>
    <row r="813" spans="3:21" ht="12.75">
      <c r="C813" s="165"/>
      <c r="D813" s="165"/>
      <c r="E813" s="165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</row>
    <row r="814" spans="3:21" ht="12.75">
      <c r="C814" s="165"/>
      <c r="D814" s="165"/>
      <c r="E814" s="165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</row>
    <row r="815" spans="3:21" ht="12.75">
      <c r="C815" s="165"/>
      <c r="D815" s="165"/>
      <c r="E815" s="165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</row>
    <row r="816" spans="3:21" ht="12.75">
      <c r="C816" s="165"/>
      <c r="D816" s="165"/>
      <c r="E816" s="165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</row>
    <row r="817" spans="3:21" ht="12.75">
      <c r="C817" s="165"/>
      <c r="D817" s="165"/>
      <c r="E817" s="165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</row>
    <row r="818" spans="3:21" ht="12.75">
      <c r="C818" s="165"/>
      <c r="D818" s="165"/>
      <c r="E818" s="165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</row>
    <row r="819" spans="3:21" ht="12.75">
      <c r="C819" s="165"/>
      <c r="D819" s="165"/>
      <c r="E819" s="165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</row>
    <row r="820" spans="3:21" ht="12.75">
      <c r="C820" s="165"/>
      <c r="D820" s="165"/>
      <c r="E820" s="165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</row>
    <row r="821" spans="3:21" ht="12.75">
      <c r="C821" s="165"/>
      <c r="D821" s="165"/>
      <c r="E821" s="165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</row>
    <row r="822" spans="3:21" ht="12.75">
      <c r="C822" s="165"/>
      <c r="D822" s="165"/>
      <c r="E822" s="165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</row>
    <row r="823" spans="3:21" ht="12.75">
      <c r="C823" s="165"/>
      <c r="D823" s="165"/>
      <c r="E823" s="165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</row>
    <row r="824" spans="3:21" ht="12.75">
      <c r="C824" s="165"/>
      <c r="D824" s="165"/>
      <c r="E824" s="165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</row>
    <row r="825" spans="3:21" ht="12.75">
      <c r="C825" s="165"/>
      <c r="D825" s="165"/>
      <c r="E825" s="165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</row>
    <row r="826" spans="3:21" ht="12.75">
      <c r="C826" s="165"/>
      <c r="D826" s="165"/>
      <c r="E826" s="165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</row>
    <row r="827" spans="3:21" ht="12.75">
      <c r="C827" s="165"/>
      <c r="D827" s="165"/>
      <c r="E827" s="165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</row>
    <row r="828" spans="3:21" ht="12.75">
      <c r="C828" s="165"/>
      <c r="D828" s="165"/>
      <c r="E828" s="165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</row>
    <row r="829" spans="3:21" ht="12.75">
      <c r="C829" s="165"/>
      <c r="D829" s="165"/>
      <c r="E829" s="165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</row>
    <row r="830" spans="3:21" ht="12.75">
      <c r="C830" s="165"/>
      <c r="D830" s="165"/>
      <c r="E830" s="165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</row>
    <row r="831" spans="3:21" ht="12.75">
      <c r="C831" s="165"/>
      <c r="D831" s="165"/>
      <c r="E831" s="165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</row>
    <row r="832" spans="3:21" ht="12.75">
      <c r="C832" s="165"/>
      <c r="D832" s="165"/>
      <c r="E832" s="165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</row>
    <row r="833" spans="3:21" ht="12.75">
      <c r="C833" s="165"/>
      <c r="D833" s="165"/>
      <c r="E833" s="165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</row>
    <row r="834" spans="3:21" ht="12.75">
      <c r="C834" s="165"/>
      <c r="D834" s="165"/>
      <c r="E834" s="165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</row>
    <row r="835" spans="3:21" ht="12.75">
      <c r="C835" s="165"/>
      <c r="D835" s="165"/>
      <c r="E835" s="165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</row>
    <row r="836" spans="3:21" ht="12.75">
      <c r="C836" s="165"/>
      <c r="D836" s="165"/>
      <c r="E836" s="165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</row>
    <row r="837" spans="3:21" ht="12.75">
      <c r="C837" s="165"/>
      <c r="D837" s="165"/>
      <c r="E837" s="165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</row>
    <row r="838" spans="3:21" ht="12.75">
      <c r="C838" s="165"/>
      <c r="D838" s="165"/>
      <c r="E838" s="165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</row>
    <row r="839" spans="3:21" ht="12.75">
      <c r="C839" s="165"/>
      <c r="D839" s="165"/>
      <c r="E839" s="165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</row>
    <row r="840" spans="3:21" ht="12.75">
      <c r="C840" s="165"/>
      <c r="D840" s="165"/>
      <c r="E840" s="165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</row>
    <row r="841" spans="3:21" ht="12.75">
      <c r="C841" s="165"/>
      <c r="D841" s="165"/>
      <c r="E841" s="165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</row>
    <row r="842" spans="3:21" ht="12.75">
      <c r="C842" s="165"/>
      <c r="D842" s="165"/>
      <c r="E842" s="165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</row>
    <row r="843" spans="3:21" ht="12.75">
      <c r="C843" s="165"/>
      <c r="D843" s="165"/>
      <c r="E843" s="165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</row>
    <row r="844" spans="3:21" ht="12.75">
      <c r="C844" s="165"/>
      <c r="D844" s="165"/>
      <c r="E844" s="165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</row>
    <row r="845" spans="3:21" ht="12.75">
      <c r="C845" s="165"/>
      <c r="D845" s="165"/>
      <c r="E845" s="165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</row>
    <row r="846" spans="3:21" ht="12.75">
      <c r="C846" s="165"/>
      <c r="D846" s="165"/>
      <c r="E846" s="165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</row>
    <row r="847" spans="3:21" ht="12.75">
      <c r="C847" s="165"/>
      <c r="D847" s="165"/>
      <c r="E847" s="165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</row>
    <row r="848" spans="3:21" ht="12.75">
      <c r="C848" s="165"/>
      <c r="D848" s="165"/>
      <c r="E848" s="165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</row>
    <row r="849" spans="3:21" ht="12.75">
      <c r="C849" s="165"/>
      <c r="D849" s="165"/>
      <c r="E849" s="165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</row>
    <row r="850" spans="3:21" ht="12.75">
      <c r="C850" s="165"/>
      <c r="D850" s="165"/>
      <c r="E850" s="165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</row>
    <row r="851" spans="3:21" ht="12.75">
      <c r="C851" s="165"/>
      <c r="D851" s="165"/>
      <c r="E851" s="165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</row>
    <row r="852" spans="3:21" ht="12.75">
      <c r="C852" s="165"/>
      <c r="D852" s="165"/>
      <c r="E852" s="165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</row>
    <row r="853" spans="3:21" ht="12.75">
      <c r="C853" s="165"/>
      <c r="D853" s="165"/>
      <c r="E853" s="165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</row>
    <row r="854" spans="3:21" ht="12.75">
      <c r="C854" s="165"/>
      <c r="D854" s="165"/>
      <c r="E854" s="165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</row>
    <row r="855" spans="3:21" ht="12.75">
      <c r="C855" s="165"/>
      <c r="D855" s="165"/>
      <c r="E855" s="165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</row>
    <row r="856" spans="3:21" ht="12.75">
      <c r="C856" s="165"/>
      <c r="D856" s="165"/>
      <c r="E856" s="165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</row>
    <row r="857" spans="3:21" ht="12.75">
      <c r="C857" s="165"/>
      <c r="D857" s="165"/>
      <c r="E857" s="165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</row>
    <row r="858" spans="3:21" ht="12.75">
      <c r="C858" s="165"/>
      <c r="D858" s="165"/>
      <c r="E858" s="165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</row>
    <row r="859" spans="3:21" ht="12.75">
      <c r="C859" s="165"/>
      <c r="D859" s="165"/>
      <c r="E859" s="165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</row>
    <row r="860" spans="3:21" ht="12.75">
      <c r="C860" s="165"/>
      <c r="D860" s="165"/>
      <c r="E860" s="165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</row>
    <row r="861" spans="3:21" ht="12.75">
      <c r="C861" s="165"/>
      <c r="D861" s="165"/>
      <c r="E861" s="165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</row>
    <row r="862" spans="3:21" ht="12.75">
      <c r="C862" s="165"/>
      <c r="D862" s="165"/>
      <c r="E862" s="165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</row>
    <row r="863" spans="3:21" ht="12.75">
      <c r="C863" s="165"/>
      <c r="D863" s="165"/>
      <c r="E863" s="165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</row>
    <row r="864" spans="3:21" ht="12.75">
      <c r="C864" s="165"/>
      <c r="D864" s="165"/>
      <c r="E864" s="165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</row>
    <row r="865" spans="3:21" ht="12.75">
      <c r="C865" s="165"/>
      <c r="D865" s="165"/>
      <c r="E865" s="165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</row>
    <row r="866" spans="3:21" ht="12.75">
      <c r="C866" s="165"/>
      <c r="D866" s="165"/>
      <c r="E866" s="165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</row>
    <row r="867" spans="3:21" ht="12.75">
      <c r="C867" s="165"/>
      <c r="D867" s="165"/>
      <c r="E867" s="165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</row>
    <row r="868" spans="3:21" ht="12.75">
      <c r="C868" s="165"/>
      <c r="D868" s="165"/>
      <c r="E868" s="165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</row>
    <row r="869" spans="3:21" ht="12.75">
      <c r="C869" s="165"/>
      <c r="D869" s="165"/>
      <c r="E869" s="165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</row>
    <row r="870" spans="3:21" ht="12.75">
      <c r="C870" s="165"/>
      <c r="D870" s="165"/>
      <c r="E870" s="165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</row>
    <row r="871" spans="3:21" ht="12.75">
      <c r="C871" s="165"/>
      <c r="D871" s="165"/>
      <c r="E871" s="165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</row>
    <row r="872" spans="3:21" ht="12.75">
      <c r="C872" s="165"/>
      <c r="D872" s="165"/>
      <c r="E872" s="165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</row>
    <row r="873" spans="3:21" ht="12.75">
      <c r="C873" s="165"/>
      <c r="D873" s="165"/>
      <c r="E873" s="165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</row>
    <row r="874" spans="3:21" ht="12.75">
      <c r="C874" s="165"/>
      <c r="D874" s="165"/>
      <c r="E874" s="165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</row>
    <row r="875" spans="3:21" ht="12.75">
      <c r="C875" s="165"/>
      <c r="D875" s="165"/>
      <c r="E875" s="165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</row>
    <row r="876" spans="3:21" ht="12.75">
      <c r="C876" s="165"/>
      <c r="D876" s="165"/>
      <c r="E876" s="165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</row>
    <row r="877" spans="3:21" ht="12.75">
      <c r="C877" s="165"/>
      <c r="D877" s="165"/>
      <c r="E877" s="165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</row>
    <row r="878" spans="3:21" ht="12.75">
      <c r="C878" s="165"/>
      <c r="D878" s="165"/>
      <c r="E878" s="165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</row>
    <row r="879" spans="3:21" ht="12.75">
      <c r="C879" s="165"/>
      <c r="D879" s="165"/>
      <c r="E879" s="165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</row>
    <row r="880" spans="3:21" ht="12.75">
      <c r="C880" s="165"/>
      <c r="D880" s="165"/>
      <c r="E880" s="165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</row>
    <row r="881" spans="3:21" ht="12.75">
      <c r="C881" s="165"/>
      <c r="D881" s="165"/>
      <c r="E881" s="165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</row>
    <row r="882" spans="3:21" ht="12.75">
      <c r="C882" s="165"/>
      <c r="D882" s="165"/>
      <c r="E882" s="165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</row>
    <row r="883" spans="3:21" ht="12.75">
      <c r="C883" s="165"/>
      <c r="D883" s="165"/>
      <c r="E883" s="165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</row>
    <row r="884" spans="3:21" ht="12.75">
      <c r="C884" s="165"/>
      <c r="D884" s="165"/>
      <c r="E884" s="165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</row>
    <row r="885" spans="3:21" ht="12.75">
      <c r="C885" s="165"/>
      <c r="D885" s="165"/>
      <c r="E885" s="165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</row>
    <row r="886" spans="3:21" ht="12.75">
      <c r="C886" s="165"/>
      <c r="D886" s="165"/>
      <c r="E886" s="165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</row>
    <row r="887" spans="3:21" ht="12.75">
      <c r="C887" s="165"/>
      <c r="D887" s="165"/>
      <c r="E887" s="165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</row>
    <row r="888" spans="3:21" ht="12.75">
      <c r="C888" s="165"/>
      <c r="D888" s="165"/>
      <c r="E888" s="165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</row>
    <row r="889" spans="3:21" ht="12.75">
      <c r="C889" s="165"/>
      <c r="D889" s="165"/>
      <c r="E889" s="165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</row>
    <row r="890" spans="3:21" ht="12.75">
      <c r="C890" s="165"/>
      <c r="D890" s="165"/>
      <c r="E890" s="165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</row>
    <row r="891" spans="3:21" ht="12.75">
      <c r="C891" s="165"/>
      <c r="D891" s="165"/>
      <c r="E891" s="165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</row>
    <row r="892" spans="3:21" ht="12.75">
      <c r="C892" s="165"/>
      <c r="D892" s="165"/>
      <c r="E892" s="165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</row>
    <row r="893" spans="3:21" ht="12.75">
      <c r="C893" s="165"/>
      <c r="D893" s="165"/>
      <c r="E893" s="165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</row>
    <row r="894" spans="3:21" ht="12.75">
      <c r="C894" s="165"/>
      <c r="D894" s="165"/>
      <c r="E894" s="165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</row>
    <row r="895" spans="3:21" ht="12.75">
      <c r="C895" s="165"/>
      <c r="D895" s="165"/>
      <c r="E895" s="165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</row>
    <row r="896" spans="3:21" ht="12.75">
      <c r="C896" s="165"/>
      <c r="D896" s="165"/>
      <c r="E896" s="165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</row>
    <row r="897" spans="3:21" ht="12.75">
      <c r="C897" s="165"/>
      <c r="D897" s="165"/>
      <c r="E897" s="165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</row>
    <row r="898" spans="3:21" ht="12.75">
      <c r="C898" s="165"/>
      <c r="D898" s="165"/>
      <c r="E898" s="165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</row>
    <row r="899" spans="3:21" ht="12.75">
      <c r="C899" s="165"/>
      <c r="D899" s="165"/>
      <c r="E899" s="165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</row>
    <row r="900" spans="3:21" ht="12.75">
      <c r="C900" s="165"/>
      <c r="D900" s="165"/>
      <c r="E900" s="165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</row>
    <row r="901" spans="3:21" ht="12.75">
      <c r="C901" s="165"/>
      <c r="D901" s="165"/>
      <c r="E901" s="165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</row>
    <row r="902" spans="3:21" ht="12.75">
      <c r="C902" s="165"/>
      <c r="D902" s="165"/>
      <c r="E902" s="165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</row>
    <row r="903" spans="3:21" ht="12.75">
      <c r="C903" s="165"/>
      <c r="D903" s="165"/>
      <c r="E903" s="165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</row>
    <row r="904" spans="3:21" ht="12.75">
      <c r="C904" s="165"/>
      <c r="D904" s="165"/>
      <c r="E904" s="165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</row>
    <row r="905" spans="3:21" ht="12.75">
      <c r="C905" s="165"/>
      <c r="D905" s="165"/>
      <c r="E905" s="165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</row>
    <row r="906" spans="3:21" ht="12.75">
      <c r="C906" s="165"/>
      <c r="D906" s="165"/>
      <c r="E906" s="165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</row>
    <row r="907" spans="3:21" ht="12.75">
      <c r="C907" s="165"/>
      <c r="D907" s="165"/>
      <c r="E907" s="165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</row>
    <row r="908" spans="3:21" ht="12.75">
      <c r="C908" s="165"/>
      <c r="D908" s="165"/>
      <c r="E908" s="165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</row>
    <row r="909" spans="3:21" ht="12.75">
      <c r="C909" s="165"/>
      <c r="D909" s="165"/>
      <c r="E909" s="165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</row>
    <row r="910" spans="3:21" ht="12.75">
      <c r="C910" s="165"/>
      <c r="D910" s="165"/>
      <c r="E910" s="165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</row>
    <row r="911" spans="3:21" ht="12.75">
      <c r="C911" s="165"/>
      <c r="D911" s="165"/>
      <c r="E911" s="165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</row>
    <row r="912" spans="3:21" ht="12.75">
      <c r="C912" s="165"/>
      <c r="D912" s="165"/>
      <c r="E912" s="165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</row>
    <row r="913" spans="3:21" ht="12.75">
      <c r="C913" s="165"/>
      <c r="D913" s="165"/>
      <c r="E913" s="165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</row>
    <row r="914" spans="3:21" ht="12.75">
      <c r="C914" s="165"/>
      <c r="D914" s="165"/>
      <c r="E914" s="165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</row>
    <row r="915" spans="3:21" ht="12.75">
      <c r="C915" s="165"/>
      <c r="D915" s="165"/>
      <c r="E915" s="165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</row>
    <row r="916" spans="3:21" ht="12.75">
      <c r="C916" s="165"/>
      <c r="D916" s="165"/>
      <c r="E916" s="165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</row>
    <row r="917" spans="3:21" ht="12.75">
      <c r="C917" s="165"/>
      <c r="D917" s="165"/>
      <c r="E917" s="165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</row>
    <row r="918" spans="3:21" ht="12.75">
      <c r="C918" s="165"/>
      <c r="D918" s="165"/>
      <c r="E918" s="165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</row>
    <row r="919" spans="3:21" ht="12.75">
      <c r="C919" s="165"/>
      <c r="D919" s="165"/>
      <c r="E919" s="165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</row>
    <row r="920" spans="3:21" ht="12.75">
      <c r="C920" s="165"/>
      <c r="D920" s="165"/>
      <c r="E920" s="165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</row>
    <row r="921" spans="3:21" ht="12.75">
      <c r="C921" s="165"/>
      <c r="D921" s="165"/>
      <c r="E921" s="165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</row>
    <row r="922" spans="3:21" ht="12.75">
      <c r="C922" s="165"/>
      <c r="D922" s="165"/>
      <c r="E922" s="165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</row>
    <row r="923" spans="3:21" ht="12.75">
      <c r="C923" s="165"/>
      <c r="D923" s="165"/>
      <c r="E923" s="165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</row>
    <row r="924" spans="3:21" ht="12.75">
      <c r="C924" s="165"/>
      <c r="D924" s="165"/>
      <c r="E924" s="165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</row>
    <row r="925" spans="3:21" ht="12.75">
      <c r="C925" s="165"/>
      <c r="D925" s="165"/>
      <c r="E925" s="165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</row>
    <row r="926" spans="3:21" ht="12.75">
      <c r="C926" s="165"/>
      <c r="D926" s="165"/>
      <c r="E926" s="165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</row>
    <row r="927" spans="3:21" ht="12.75">
      <c r="C927" s="165"/>
      <c r="D927" s="165"/>
      <c r="E927" s="165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</row>
    <row r="928" spans="3:21" ht="12.75">
      <c r="C928" s="165"/>
      <c r="D928" s="165"/>
      <c r="E928" s="165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</row>
    <row r="929" spans="3:21" ht="12.75">
      <c r="C929" s="165"/>
      <c r="D929" s="165"/>
      <c r="E929" s="165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</row>
    <row r="930" spans="3:21" ht="12.75">
      <c r="C930" s="165"/>
      <c r="D930" s="165"/>
      <c r="E930" s="165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</row>
    <row r="931" spans="3:21" ht="12.75">
      <c r="C931" s="165"/>
      <c r="D931" s="165"/>
      <c r="E931" s="165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</row>
    <row r="932" spans="3:21" ht="12.75">
      <c r="C932" s="165"/>
      <c r="D932" s="165"/>
      <c r="E932" s="165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</row>
    <row r="933" spans="3:21" ht="12.75">
      <c r="C933" s="165"/>
      <c r="D933" s="165"/>
      <c r="E933" s="165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</row>
    <row r="934" spans="3:21" ht="12.75">
      <c r="C934" s="165"/>
      <c r="D934" s="165"/>
      <c r="E934" s="165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</row>
    <row r="935" spans="3:21" ht="12.75">
      <c r="C935" s="165"/>
      <c r="D935" s="165"/>
      <c r="E935" s="165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</row>
    <row r="936" spans="3:21" ht="12.75">
      <c r="C936" s="165"/>
      <c r="D936" s="165"/>
      <c r="E936" s="165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</row>
    <row r="937" spans="3:21" ht="12.75">
      <c r="C937" s="165"/>
      <c r="D937" s="165"/>
      <c r="E937" s="165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</row>
    <row r="938" spans="3:21" ht="12.75">
      <c r="C938" s="165"/>
      <c r="D938" s="165"/>
      <c r="E938" s="165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</row>
    <row r="939" spans="3:21" ht="12.75">
      <c r="C939" s="165"/>
      <c r="D939" s="165"/>
      <c r="E939" s="165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</row>
    <row r="940" spans="3:21" ht="12.75">
      <c r="C940" s="165"/>
      <c r="D940" s="165"/>
      <c r="E940" s="165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</row>
    <row r="941" spans="3:21" ht="12.75">
      <c r="C941" s="165"/>
      <c r="D941" s="165"/>
      <c r="E941" s="165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</row>
    <row r="942" spans="3:21" ht="12.75">
      <c r="C942" s="165"/>
      <c r="D942" s="165"/>
      <c r="E942" s="165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</row>
    <row r="943" spans="3:21" ht="12.75">
      <c r="C943" s="165"/>
      <c r="D943" s="165"/>
      <c r="E943" s="165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</row>
    <row r="944" spans="3:21" ht="12.75">
      <c r="C944" s="165"/>
      <c r="D944" s="165"/>
      <c r="E944" s="165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</row>
    <row r="945" spans="3:21" ht="12.75">
      <c r="C945" s="165"/>
      <c r="D945" s="165"/>
      <c r="E945" s="165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</row>
    <row r="946" spans="3:21" ht="12.75">
      <c r="C946" s="165"/>
      <c r="D946" s="165"/>
      <c r="E946" s="165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</row>
    <row r="947" spans="3:21" ht="12.75">
      <c r="C947" s="165"/>
      <c r="D947" s="165"/>
      <c r="E947" s="165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</row>
    <row r="948" spans="3:21" ht="12.75">
      <c r="C948" s="165"/>
      <c r="D948" s="165"/>
      <c r="E948" s="165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</row>
    <row r="949" spans="3:21" ht="12.75">
      <c r="C949" s="165"/>
      <c r="D949" s="165"/>
      <c r="E949" s="165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</row>
    <row r="950" spans="3:21" ht="12.75">
      <c r="C950" s="165"/>
      <c r="D950" s="165"/>
      <c r="E950" s="165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</row>
    <row r="951" spans="3:21" ht="12.75">
      <c r="C951" s="165"/>
      <c r="D951" s="165"/>
      <c r="E951" s="165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</row>
    <row r="952" spans="3:21" ht="12.75">
      <c r="C952" s="165"/>
      <c r="D952" s="165"/>
      <c r="E952" s="165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</row>
    <row r="953" spans="3:21" ht="12.75">
      <c r="C953" s="165"/>
      <c r="D953" s="165"/>
      <c r="E953" s="165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</row>
    <row r="954" spans="3:21" ht="12.75">
      <c r="C954" s="165"/>
      <c r="D954" s="165"/>
      <c r="E954" s="165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</row>
    <row r="955" spans="3:21" ht="12.75">
      <c r="C955" s="165"/>
      <c r="D955" s="165"/>
      <c r="E955" s="165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</row>
    <row r="956" spans="3:21" ht="12.75">
      <c r="C956" s="165"/>
      <c r="D956" s="165"/>
      <c r="E956" s="165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</row>
    <row r="957" spans="3:21" ht="12.75">
      <c r="C957" s="165"/>
      <c r="D957" s="165"/>
      <c r="E957" s="165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</row>
    <row r="958" spans="3:21" ht="12.75">
      <c r="C958" s="165"/>
      <c r="D958" s="165"/>
      <c r="E958" s="165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</row>
    <row r="959" spans="3:21" ht="12.75">
      <c r="C959" s="165"/>
      <c r="D959" s="165"/>
      <c r="E959" s="165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</row>
    <row r="960" spans="3:21" ht="12.75">
      <c r="C960" s="165"/>
      <c r="D960" s="165"/>
      <c r="E960" s="165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</row>
    <row r="961" spans="3:21" ht="12.75">
      <c r="C961" s="165"/>
      <c r="D961" s="165"/>
      <c r="E961" s="165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</row>
    <row r="962" spans="3:21" ht="12.75">
      <c r="C962" s="165"/>
      <c r="D962" s="165"/>
      <c r="E962" s="165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</row>
    <row r="963" spans="3:21" ht="12.75">
      <c r="C963" s="165"/>
      <c r="D963" s="165"/>
      <c r="E963" s="165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</row>
    <row r="964" spans="3:21" ht="12.75">
      <c r="C964" s="165"/>
      <c r="D964" s="165"/>
      <c r="E964" s="165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</row>
    <row r="965" spans="3:21" ht="12.75">
      <c r="C965" s="165"/>
      <c r="D965" s="165"/>
      <c r="E965" s="165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</row>
    <row r="966" spans="3:21" ht="12.75">
      <c r="C966" s="165"/>
      <c r="D966" s="165"/>
      <c r="E966" s="165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</row>
    <row r="967" spans="3:21" ht="12.75">
      <c r="C967" s="165"/>
      <c r="D967" s="165"/>
      <c r="E967" s="165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</row>
    <row r="968" spans="3:21" ht="12.75">
      <c r="C968" s="165"/>
      <c r="D968" s="165"/>
      <c r="E968" s="165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</row>
    <row r="969" spans="3:21" ht="12.75">
      <c r="C969" s="165"/>
      <c r="D969" s="165"/>
      <c r="E969" s="165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</row>
    <row r="970" spans="3:21" ht="12.75">
      <c r="C970" s="165"/>
      <c r="D970" s="165"/>
      <c r="E970" s="165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</row>
    <row r="971" spans="3:21" ht="12.75">
      <c r="C971" s="165"/>
      <c r="D971" s="165"/>
      <c r="E971" s="165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</row>
    <row r="972" spans="3:21" ht="12.75">
      <c r="C972" s="165"/>
      <c r="D972" s="165"/>
      <c r="E972" s="165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</row>
    <row r="973" spans="3:21" ht="12.75">
      <c r="C973" s="165"/>
      <c r="D973" s="165"/>
      <c r="E973" s="165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</row>
    <row r="974" spans="3:21" ht="12.75">
      <c r="C974" s="165"/>
      <c r="D974" s="165"/>
      <c r="E974" s="165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</row>
    <row r="975" spans="3:21" ht="12.75">
      <c r="C975" s="165"/>
      <c r="D975" s="165"/>
      <c r="E975" s="165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</row>
    <row r="976" spans="3:21" ht="12.75">
      <c r="C976" s="165"/>
      <c r="D976" s="165"/>
      <c r="E976" s="165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</row>
    <row r="977" spans="3:21" ht="12.75">
      <c r="C977" s="165"/>
      <c r="D977" s="165"/>
      <c r="E977" s="165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</row>
    <row r="978" spans="3:21" ht="12.75">
      <c r="C978" s="165"/>
      <c r="D978" s="165"/>
      <c r="E978" s="165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</row>
    <row r="979" spans="3:21" ht="12.75">
      <c r="C979" s="165"/>
      <c r="D979" s="165"/>
      <c r="E979" s="165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</row>
    <row r="980" spans="3:21" ht="12.75">
      <c r="C980" s="165"/>
      <c r="D980" s="165"/>
      <c r="E980" s="165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</row>
    <row r="981" spans="3:21" ht="12.75">
      <c r="C981" s="165"/>
      <c r="D981" s="165"/>
      <c r="E981" s="165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</row>
    <row r="982" spans="3:21" ht="12.75">
      <c r="C982" s="165"/>
      <c r="D982" s="165"/>
      <c r="E982" s="165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</row>
    <row r="983" spans="3:21" ht="12.75">
      <c r="C983" s="165"/>
      <c r="D983" s="165"/>
      <c r="E983" s="165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</row>
    <row r="984" spans="3:21" ht="12.75">
      <c r="C984" s="165"/>
      <c r="D984" s="165"/>
      <c r="E984" s="165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</row>
    <row r="985" spans="3:21" ht="12.75">
      <c r="C985" s="165"/>
      <c r="D985" s="165"/>
      <c r="E985" s="165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</row>
    <row r="986" spans="3:21" ht="12.75">
      <c r="C986" s="165"/>
      <c r="D986" s="165"/>
      <c r="E986" s="165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</row>
    <row r="987" spans="3:21" ht="12.75">
      <c r="C987" s="165"/>
      <c r="D987" s="165"/>
      <c r="E987" s="165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</row>
    <row r="988" spans="3:21" ht="12.75">
      <c r="C988" s="165"/>
      <c r="D988" s="165"/>
      <c r="E988" s="165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</row>
    <row r="989" spans="3:21" ht="12.75">
      <c r="C989" s="165"/>
      <c r="D989" s="165"/>
      <c r="E989" s="165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</row>
    <row r="990" spans="3:21" ht="12.75">
      <c r="C990" s="165"/>
      <c r="D990" s="165"/>
      <c r="E990" s="165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</row>
    <row r="991" spans="3:21" ht="12.75">
      <c r="C991" s="165"/>
      <c r="D991" s="165"/>
      <c r="E991" s="165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</row>
    <row r="992" spans="3:21" ht="12.75">
      <c r="C992" s="165"/>
      <c r="D992" s="165"/>
      <c r="E992" s="165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</row>
    <row r="993" spans="3:21" ht="12.75">
      <c r="C993" s="165"/>
      <c r="D993" s="165"/>
      <c r="E993" s="165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</row>
    <row r="994" spans="3:21" ht="12.75">
      <c r="C994" s="165"/>
      <c r="D994" s="165"/>
      <c r="E994" s="165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</row>
    <row r="995" spans="3:21" ht="12.75">
      <c r="C995" s="165"/>
      <c r="D995" s="165"/>
      <c r="E995" s="165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</row>
    <row r="996" spans="3:21" ht="12.75">
      <c r="C996" s="165"/>
      <c r="D996" s="165"/>
      <c r="E996" s="165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</row>
    <row r="997" spans="3:21" ht="12.75">
      <c r="C997" s="165"/>
      <c r="D997" s="165"/>
      <c r="E997" s="165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</row>
    <row r="998" spans="3:21" ht="12.75">
      <c r="C998" s="165"/>
      <c r="D998" s="165"/>
      <c r="E998" s="165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</row>
    <row r="999" spans="3:21" ht="12.75">
      <c r="C999" s="165"/>
      <c r="D999" s="165"/>
      <c r="E999" s="165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</row>
    <row r="1000" spans="3:21" ht="12.75">
      <c r="C1000" s="165"/>
      <c r="D1000" s="165"/>
      <c r="E1000" s="165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</row>
    <row r="1001" spans="3:21" ht="12.75">
      <c r="C1001" s="165"/>
      <c r="D1001" s="165"/>
      <c r="E1001" s="165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</row>
    <row r="1002" spans="3:21" ht="12.75">
      <c r="C1002" s="165"/>
      <c r="D1002" s="165"/>
      <c r="E1002" s="165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</row>
    <row r="1003" spans="3:21" ht="12.75">
      <c r="C1003" s="165"/>
      <c r="D1003" s="165"/>
      <c r="E1003" s="165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</row>
    <row r="1004" spans="3:21" ht="12.75">
      <c r="C1004" s="165"/>
      <c r="D1004" s="165"/>
      <c r="E1004" s="165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</row>
    <row r="1005" spans="3:21" ht="12.75">
      <c r="C1005" s="165"/>
      <c r="D1005" s="165"/>
      <c r="E1005" s="165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</row>
    <row r="1006" spans="3:21" ht="12.75">
      <c r="C1006" s="165"/>
      <c r="D1006" s="165"/>
      <c r="E1006" s="165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</row>
    <row r="1007" spans="3:21" ht="12.75">
      <c r="C1007" s="165"/>
      <c r="D1007" s="165"/>
      <c r="E1007" s="165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</row>
    <row r="1008" spans="3:21" ht="12.75">
      <c r="C1008" s="165"/>
      <c r="D1008" s="165"/>
      <c r="E1008" s="165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</row>
    <row r="1009" spans="3:21" ht="12.75">
      <c r="C1009" s="165"/>
      <c r="D1009" s="165"/>
      <c r="E1009" s="165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</row>
    <row r="1010" spans="3:21" ht="12.75">
      <c r="C1010" s="165"/>
      <c r="D1010" s="165"/>
      <c r="E1010" s="165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</row>
    <row r="1011" spans="3:21" ht="12.75">
      <c r="C1011" s="165"/>
      <c r="D1011" s="165"/>
      <c r="E1011" s="165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</row>
    <row r="1012" spans="3:21" ht="12.75">
      <c r="C1012" s="165"/>
      <c r="D1012" s="165"/>
      <c r="E1012" s="165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</row>
    <row r="1013" spans="3:21" ht="12.75">
      <c r="C1013" s="165"/>
      <c r="D1013" s="165"/>
      <c r="E1013" s="165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</row>
    <row r="1014" spans="3:21" ht="12.75">
      <c r="C1014" s="165"/>
      <c r="D1014" s="165"/>
      <c r="E1014" s="165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</row>
    <row r="1015" spans="3:21" ht="12.75">
      <c r="C1015" s="165"/>
      <c r="D1015" s="165"/>
      <c r="E1015" s="165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</row>
    <row r="1016" spans="3:21" ht="12.75">
      <c r="C1016" s="165"/>
      <c r="D1016" s="165"/>
      <c r="E1016" s="165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</row>
    <row r="1017" spans="3:21" ht="12.75">
      <c r="C1017" s="165"/>
      <c r="D1017" s="165"/>
      <c r="E1017" s="165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</row>
    <row r="1018" spans="3:21" ht="12.75">
      <c r="C1018" s="165"/>
      <c r="D1018" s="165"/>
      <c r="E1018" s="165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</row>
    <row r="1019" spans="3:21" ht="12.75">
      <c r="C1019" s="165"/>
      <c r="D1019" s="165"/>
      <c r="E1019" s="165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</row>
    <row r="1020" spans="3:21" ht="12.75">
      <c r="C1020" s="165"/>
      <c r="D1020" s="165"/>
      <c r="E1020" s="165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</row>
    <row r="1021" spans="3:21" ht="12.75">
      <c r="C1021" s="165"/>
      <c r="D1021" s="165"/>
      <c r="E1021" s="165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</row>
    <row r="1022" spans="3:21" ht="12.75">
      <c r="C1022" s="165"/>
      <c r="D1022" s="165"/>
      <c r="E1022" s="165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</row>
    <row r="1023" spans="3:21" ht="12.75">
      <c r="C1023" s="165"/>
      <c r="D1023" s="165"/>
      <c r="E1023" s="165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</row>
    <row r="1024" spans="3:21" ht="12.75">
      <c r="C1024" s="165"/>
      <c r="D1024" s="165"/>
      <c r="E1024" s="165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</row>
    <row r="1025" spans="3:21" ht="12.75">
      <c r="C1025" s="165"/>
      <c r="D1025" s="165"/>
      <c r="E1025" s="165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</row>
    <row r="1026" spans="3:21" ht="12.75">
      <c r="C1026" s="165"/>
      <c r="D1026" s="165"/>
      <c r="E1026" s="165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</row>
    <row r="1027" spans="3:21" ht="12.75">
      <c r="C1027" s="165"/>
      <c r="D1027" s="165"/>
      <c r="E1027" s="165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</row>
    <row r="1028" spans="3:21" ht="12.75">
      <c r="C1028" s="165"/>
      <c r="D1028" s="165"/>
      <c r="E1028" s="165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</row>
    <row r="1029" spans="3:21" ht="12.75">
      <c r="C1029" s="165"/>
      <c r="D1029" s="165"/>
      <c r="E1029" s="165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</row>
    <row r="1030" spans="3:21" ht="12.75">
      <c r="C1030" s="165"/>
      <c r="D1030" s="165"/>
      <c r="E1030" s="165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</row>
    <row r="1031" spans="3:21" ht="12.75">
      <c r="C1031" s="165"/>
      <c r="D1031" s="165"/>
      <c r="E1031" s="165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</row>
    <row r="1032" spans="3:21" ht="12.75">
      <c r="C1032" s="165"/>
      <c r="D1032" s="165"/>
      <c r="E1032" s="165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</row>
    <row r="1033" spans="3:21" ht="12.75">
      <c r="C1033" s="165"/>
      <c r="D1033" s="165"/>
      <c r="E1033" s="165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</row>
    <row r="1034" spans="3:21" ht="12.75">
      <c r="C1034" s="165"/>
      <c r="D1034" s="165"/>
      <c r="E1034" s="165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</row>
    <row r="1035" spans="3:21" ht="12.75">
      <c r="C1035" s="165"/>
      <c r="D1035" s="165"/>
      <c r="E1035" s="165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</row>
    <row r="1036" spans="3:21" ht="12.75">
      <c r="C1036" s="165"/>
      <c r="D1036" s="165"/>
      <c r="E1036" s="165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</row>
    <row r="1037" spans="3:21" ht="12.75">
      <c r="C1037" s="165"/>
      <c r="D1037" s="165"/>
      <c r="E1037" s="165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</row>
    <row r="1038" spans="3:21" ht="12.75">
      <c r="C1038" s="165"/>
      <c r="D1038" s="165"/>
      <c r="E1038" s="165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</row>
    <row r="1039" spans="3:21" ht="12.75">
      <c r="C1039" s="165"/>
      <c r="D1039" s="165"/>
      <c r="E1039" s="165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</row>
    <row r="1040" spans="3:21" ht="12.75">
      <c r="C1040" s="165"/>
      <c r="D1040" s="165"/>
      <c r="E1040" s="165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</row>
    <row r="1041" spans="3:21" ht="12.75">
      <c r="C1041" s="165"/>
      <c r="D1041" s="165"/>
      <c r="E1041" s="165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</row>
    <row r="1042" spans="3:21" ht="12.75">
      <c r="C1042" s="165"/>
      <c r="D1042" s="165"/>
      <c r="E1042" s="165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</row>
    <row r="1043" spans="3:21" ht="12.75">
      <c r="C1043" s="165"/>
      <c r="D1043" s="165"/>
      <c r="E1043" s="165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</row>
    <row r="1044" spans="3:21" ht="12.75">
      <c r="C1044" s="165"/>
      <c r="D1044" s="165"/>
      <c r="E1044" s="165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</row>
    <row r="1045" spans="3:21" ht="12.75">
      <c r="C1045" s="165"/>
      <c r="D1045" s="165"/>
      <c r="E1045" s="165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</row>
    <row r="1046" spans="3:21" ht="12.75">
      <c r="C1046" s="165"/>
      <c r="D1046" s="165"/>
      <c r="E1046" s="165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</row>
    <row r="1047" spans="3:21" ht="12.75">
      <c r="C1047" s="165"/>
      <c r="D1047" s="165"/>
      <c r="E1047" s="165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</row>
    <row r="1048" spans="3:21" ht="12.75">
      <c r="C1048" s="165"/>
      <c r="D1048" s="165"/>
      <c r="E1048" s="165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</row>
    <row r="1049" spans="3:21" ht="12.75">
      <c r="C1049" s="165"/>
      <c r="D1049" s="165"/>
      <c r="E1049" s="165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</row>
    <row r="1050" spans="3:21" ht="12.75">
      <c r="C1050" s="165"/>
      <c r="D1050" s="165"/>
      <c r="E1050" s="165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</row>
    <row r="1051" spans="3:21" ht="12.75">
      <c r="C1051" s="165"/>
      <c r="D1051" s="165"/>
      <c r="E1051" s="165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</row>
    <row r="1052" spans="3:21" ht="12.75">
      <c r="C1052" s="165"/>
      <c r="D1052" s="165"/>
      <c r="E1052" s="165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</row>
    <row r="1053" spans="3:21" ht="12.75">
      <c r="C1053" s="165"/>
      <c r="D1053" s="165"/>
      <c r="E1053" s="165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</row>
    <row r="1054" spans="3:21" ht="12.75">
      <c r="C1054" s="165"/>
      <c r="D1054" s="165"/>
      <c r="E1054" s="165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</row>
    <row r="1055" spans="3:21" ht="12.75">
      <c r="C1055" s="165"/>
      <c r="D1055" s="165"/>
      <c r="E1055" s="165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</row>
    <row r="1056" spans="3:21" ht="12.75">
      <c r="C1056" s="165"/>
      <c r="D1056" s="165"/>
      <c r="E1056" s="165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</row>
    <row r="1057" spans="3:21" ht="12.75">
      <c r="C1057" s="165"/>
      <c r="D1057" s="165"/>
      <c r="E1057" s="165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</row>
    <row r="1058" spans="3:21" ht="12.75">
      <c r="C1058" s="165"/>
      <c r="D1058" s="165"/>
      <c r="E1058" s="165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</row>
    <row r="1059" spans="3:21" ht="12.75">
      <c r="C1059" s="165"/>
      <c r="D1059" s="165"/>
      <c r="E1059" s="165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</row>
    <row r="1060" spans="3:21" ht="12.75">
      <c r="C1060" s="165"/>
      <c r="D1060" s="165"/>
      <c r="E1060" s="165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</row>
    <row r="1061" spans="3:21" ht="12.75">
      <c r="C1061" s="165"/>
      <c r="D1061" s="165"/>
      <c r="E1061" s="165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</row>
    <row r="1062" spans="3:21" ht="12.75">
      <c r="C1062" s="165"/>
      <c r="D1062" s="165"/>
      <c r="E1062" s="165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</row>
    <row r="1063" spans="3:21" ht="12.75">
      <c r="C1063" s="165"/>
      <c r="D1063" s="165"/>
      <c r="E1063" s="165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</row>
    <row r="1064" spans="3:21" ht="12.75">
      <c r="C1064" s="165"/>
      <c r="D1064" s="165"/>
      <c r="E1064" s="165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</row>
    <row r="1065" spans="3:21" ht="12.75">
      <c r="C1065" s="165"/>
      <c r="D1065" s="165"/>
      <c r="E1065" s="165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</row>
    <row r="1066" spans="3:21" ht="12.75">
      <c r="C1066" s="165"/>
      <c r="D1066" s="165"/>
      <c r="E1066" s="165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</row>
    <row r="1067" spans="3:21" ht="12.75">
      <c r="C1067" s="165"/>
      <c r="D1067" s="165"/>
      <c r="E1067" s="165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</row>
    <row r="1068" spans="3:21" ht="12.75">
      <c r="C1068" s="165"/>
      <c r="D1068" s="165"/>
      <c r="E1068" s="165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</row>
    <row r="1069" spans="3:21" ht="12.75">
      <c r="C1069" s="165"/>
      <c r="D1069" s="165"/>
      <c r="E1069" s="165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</row>
    <row r="1070" spans="3:21" ht="12.75">
      <c r="C1070" s="165"/>
      <c r="D1070" s="165"/>
      <c r="E1070" s="165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</row>
    <row r="1071" spans="3:21" ht="12.75">
      <c r="C1071" s="165"/>
      <c r="D1071" s="165"/>
      <c r="E1071" s="165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</row>
    <row r="1072" spans="3:21" ht="12.75">
      <c r="C1072" s="165"/>
      <c r="D1072" s="165"/>
      <c r="E1072" s="165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</row>
    <row r="1073" spans="3:21" ht="12.75">
      <c r="C1073" s="165"/>
      <c r="D1073" s="165"/>
      <c r="E1073" s="165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</row>
    <row r="1074" spans="3:21" ht="12.75">
      <c r="C1074" s="165"/>
      <c r="D1074" s="165"/>
      <c r="E1074" s="165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</row>
    <row r="1075" spans="3:21" ht="12.75">
      <c r="C1075" s="165"/>
      <c r="D1075" s="165"/>
      <c r="E1075" s="165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</row>
    <row r="1076" spans="3:21" ht="12.75">
      <c r="C1076" s="165"/>
      <c r="D1076" s="165"/>
      <c r="E1076" s="165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</row>
    <row r="1077" spans="3:21" ht="12.75">
      <c r="C1077" s="165"/>
      <c r="D1077" s="165"/>
      <c r="E1077" s="165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</row>
    <row r="1078" spans="3:21" ht="12.75">
      <c r="C1078" s="165"/>
      <c r="D1078" s="165"/>
      <c r="E1078" s="165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</row>
    <row r="1079" spans="3:21" ht="12.75">
      <c r="C1079" s="165"/>
      <c r="D1079" s="165"/>
      <c r="E1079" s="165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</row>
    <row r="1080" spans="3:21" ht="12.75">
      <c r="C1080" s="165"/>
      <c r="D1080" s="165"/>
      <c r="E1080" s="165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</row>
    <row r="1081" spans="3:21" ht="12.75">
      <c r="C1081" s="165"/>
      <c r="D1081" s="165"/>
      <c r="E1081" s="165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</row>
    <row r="1082" spans="3:21" ht="12.75">
      <c r="C1082" s="165"/>
      <c r="D1082" s="165"/>
      <c r="E1082" s="165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</row>
    <row r="1083" spans="3:21" ht="12.75">
      <c r="C1083" s="165"/>
      <c r="D1083" s="165"/>
      <c r="E1083" s="165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</row>
    <row r="1084" spans="3:21" ht="12.75">
      <c r="C1084" s="165"/>
      <c r="D1084" s="165"/>
      <c r="E1084" s="165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</row>
    <row r="1085" spans="3:21" ht="12.75">
      <c r="C1085" s="165"/>
      <c r="D1085" s="165"/>
      <c r="E1085" s="165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</row>
    <row r="1086" spans="3:21" ht="12.75">
      <c r="C1086" s="165"/>
      <c r="D1086" s="165"/>
      <c r="E1086" s="165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</row>
    <row r="1087" spans="3:21" ht="12.75">
      <c r="C1087" s="165"/>
      <c r="D1087" s="165"/>
      <c r="E1087" s="165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</row>
    <row r="1088" spans="3:21" ht="12.75">
      <c r="C1088" s="165"/>
      <c r="D1088" s="165"/>
      <c r="E1088" s="165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</row>
    <row r="1089" spans="3:21" ht="12.75">
      <c r="C1089" s="165"/>
      <c r="D1089" s="165"/>
      <c r="E1089" s="165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</row>
    <row r="1090" spans="3:21" ht="12.75">
      <c r="C1090" s="165"/>
      <c r="D1090" s="165"/>
      <c r="E1090" s="165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</row>
    <row r="1091" spans="3:21" ht="12.75">
      <c r="C1091" s="165"/>
      <c r="D1091" s="165"/>
      <c r="E1091" s="165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</row>
    <row r="1092" spans="3:21" ht="12.75">
      <c r="C1092" s="165"/>
      <c r="D1092" s="165"/>
      <c r="E1092" s="165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</row>
    <row r="1093" spans="3:21" ht="12.75">
      <c r="C1093" s="165"/>
      <c r="D1093" s="165"/>
      <c r="E1093" s="165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</row>
    <row r="1094" spans="3:21" ht="12.75">
      <c r="C1094" s="165"/>
      <c r="D1094" s="165"/>
      <c r="E1094" s="165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</row>
    <row r="1095" spans="3:21" ht="12.75">
      <c r="C1095" s="165"/>
      <c r="D1095" s="165"/>
      <c r="E1095" s="165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</row>
    <row r="1096" spans="3:21" ht="12.75">
      <c r="C1096" s="165"/>
      <c r="D1096" s="165"/>
      <c r="E1096" s="165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</row>
    <row r="1097" spans="3:21" ht="12.75">
      <c r="C1097" s="165"/>
      <c r="D1097" s="165"/>
      <c r="E1097" s="165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</row>
    <row r="1098" spans="3:21" ht="12.75">
      <c r="C1098" s="165"/>
      <c r="D1098" s="165"/>
      <c r="E1098" s="165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</row>
    <row r="1099" spans="3:21" ht="12.75">
      <c r="C1099" s="165"/>
      <c r="D1099" s="165"/>
      <c r="E1099" s="165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</row>
    <row r="1100" spans="3:21" ht="12.75">
      <c r="C1100" s="165"/>
      <c r="D1100" s="165"/>
      <c r="E1100" s="165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</row>
    <row r="1101" spans="3:21" ht="12.75">
      <c r="C1101" s="165"/>
      <c r="D1101" s="165"/>
      <c r="E1101" s="165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</row>
    <row r="1102" spans="3:21" ht="12.75">
      <c r="C1102" s="165"/>
      <c r="D1102" s="165"/>
      <c r="E1102" s="165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</row>
    <row r="1103" spans="3:21" ht="12.75">
      <c r="C1103" s="165"/>
      <c r="D1103" s="165"/>
      <c r="E1103" s="165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</row>
    <row r="1104" spans="3:21" ht="12.75">
      <c r="C1104" s="165"/>
      <c r="D1104" s="165"/>
      <c r="E1104" s="165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</row>
    <row r="1105" spans="3:21" ht="12.75">
      <c r="C1105" s="165"/>
      <c r="D1105" s="165"/>
      <c r="E1105" s="165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</row>
    <row r="1106" spans="3:21" ht="12.75">
      <c r="C1106" s="165"/>
      <c r="D1106" s="165"/>
      <c r="E1106" s="165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</row>
    <row r="1107" spans="3:21" ht="12.75">
      <c r="C1107" s="165"/>
      <c r="D1107" s="165"/>
      <c r="E1107" s="165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</row>
    <row r="1108" spans="3:21" ht="12.75">
      <c r="C1108" s="165"/>
      <c r="D1108" s="165"/>
      <c r="E1108" s="165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</row>
    <row r="1109" spans="3:21" ht="12.75">
      <c r="C1109" s="165"/>
      <c r="D1109" s="165"/>
      <c r="E1109" s="165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</row>
    <row r="1110" spans="3:21" ht="12.75">
      <c r="C1110" s="165"/>
      <c r="D1110" s="165"/>
      <c r="E1110" s="165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</row>
    <row r="1111" spans="3:21" ht="12.75">
      <c r="C1111" s="165"/>
      <c r="D1111" s="165"/>
      <c r="E1111" s="165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</row>
    <row r="1112" spans="3:21" ht="12.75">
      <c r="C1112" s="165"/>
      <c r="D1112" s="165"/>
      <c r="E1112" s="165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</row>
    <row r="1113" spans="3:21" ht="12.75">
      <c r="C1113" s="165"/>
      <c r="D1113" s="165"/>
      <c r="E1113" s="165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</row>
    <row r="1114" spans="3:21" ht="12.75">
      <c r="C1114" s="165"/>
      <c r="D1114" s="165"/>
      <c r="E1114" s="165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</row>
    <row r="1115" spans="3:21" ht="12.75">
      <c r="C1115" s="165"/>
      <c r="D1115" s="165"/>
      <c r="E1115" s="165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</row>
    <row r="1116" spans="3:21" ht="12.75">
      <c r="C1116" s="165"/>
      <c r="D1116" s="165"/>
      <c r="E1116" s="165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</row>
    <row r="1117" spans="3:21" ht="12.75">
      <c r="C1117" s="165"/>
      <c r="D1117" s="165"/>
      <c r="E1117" s="165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</row>
    <row r="1118" spans="3:21" ht="12.75">
      <c r="C1118" s="165"/>
      <c r="D1118" s="165"/>
      <c r="E1118" s="165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</row>
    <row r="1119" spans="3:21" ht="12.75">
      <c r="C1119" s="165"/>
      <c r="D1119" s="165"/>
      <c r="E1119" s="165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</row>
    <row r="1120" spans="3:21" ht="12.75">
      <c r="C1120" s="165"/>
      <c r="D1120" s="165"/>
      <c r="E1120" s="165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</row>
    <row r="1121" spans="3:21" ht="12.75">
      <c r="C1121" s="165"/>
      <c r="D1121" s="165"/>
      <c r="E1121" s="165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</row>
    <row r="1122" spans="3:21" ht="12.75">
      <c r="C1122" s="165"/>
      <c r="D1122" s="165"/>
      <c r="E1122" s="165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</row>
    <row r="1123" spans="3:21" ht="12.75">
      <c r="C1123" s="165"/>
      <c r="D1123" s="165"/>
      <c r="E1123" s="165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</row>
    <row r="1124" spans="3:21" ht="12.75">
      <c r="C1124" s="165"/>
      <c r="D1124" s="165"/>
      <c r="E1124" s="165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</row>
    <row r="1125" spans="3:21" ht="12.75">
      <c r="C1125" s="165"/>
      <c r="D1125" s="165"/>
      <c r="E1125" s="165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</row>
    <row r="1126" spans="3:21" ht="12.75">
      <c r="C1126" s="165"/>
      <c r="D1126" s="165"/>
      <c r="E1126" s="165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</row>
    <row r="1127" spans="3:21" ht="12.75">
      <c r="C1127" s="165"/>
      <c r="D1127" s="165"/>
      <c r="E1127" s="165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</row>
    <row r="1128" spans="3:21" ht="12.75">
      <c r="C1128" s="165"/>
      <c r="D1128" s="165"/>
      <c r="E1128" s="165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</row>
    <row r="1129" spans="3:21" ht="12.75">
      <c r="C1129" s="165"/>
      <c r="D1129" s="165"/>
      <c r="E1129" s="165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</row>
    <row r="1130" spans="3:21" ht="12.75">
      <c r="C1130" s="165"/>
      <c r="D1130" s="165"/>
      <c r="E1130" s="165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</row>
    <row r="1131" spans="3:21" ht="12.75">
      <c r="C1131" s="165"/>
      <c r="D1131" s="165"/>
      <c r="E1131" s="165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</row>
    <row r="1132" spans="3:21" ht="12.75">
      <c r="C1132" s="165"/>
      <c r="D1132" s="165"/>
      <c r="E1132" s="165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</row>
    <row r="1133" spans="3:21" ht="12.75">
      <c r="C1133" s="165"/>
      <c r="D1133" s="165"/>
      <c r="E1133" s="165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</row>
    <row r="1134" spans="3:21" ht="12.75">
      <c r="C1134" s="165"/>
      <c r="D1134" s="165"/>
      <c r="E1134" s="165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</row>
    <row r="1135" spans="3:21" ht="12.75">
      <c r="C1135" s="165"/>
      <c r="D1135" s="165"/>
      <c r="E1135" s="165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</row>
    <row r="1136" spans="3:21" ht="12.75">
      <c r="C1136" s="165"/>
      <c r="D1136" s="165"/>
      <c r="E1136" s="165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</row>
    <row r="1137" spans="3:21" ht="12.75">
      <c r="C1137" s="165"/>
      <c r="D1137" s="165"/>
      <c r="E1137" s="165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</row>
    <row r="1138" spans="3:21" ht="12.75">
      <c r="C1138" s="165"/>
      <c r="D1138" s="165"/>
      <c r="E1138" s="165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</row>
    <row r="1139" spans="3:21" ht="12.75">
      <c r="C1139" s="165"/>
      <c r="D1139" s="165"/>
      <c r="E1139" s="165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</row>
    <row r="1140" spans="3:21" ht="12.75">
      <c r="C1140" s="165"/>
      <c r="D1140" s="165"/>
      <c r="E1140" s="165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</row>
    <row r="1141" spans="3:21" ht="12.75">
      <c r="C1141" s="165"/>
      <c r="D1141" s="165"/>
      <c r="E1141" s="165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</row>
    <row r="1142" spans="3:21" ht="12.75">
      <c r="C1142" s="165"/>
      <c r="D1142" s="165"/>
      <c r="E1142" s="165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</row>
    <row r="1143" spans="3:21" ht="12.75">
      <c r="C1143" s="165"/>
      <c r="D1143" s="165"/>
      <c r="E1143" s="165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</row>
    <row r="1144" spans="3:21" ht="12.75">
      <c r="C1144" s="165"/>
      <c r="D1144" s="165"/>
      <c r="E1144" s="165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</row>
    <row r="1145" spans="3:21" ht="12.75">
      <c r="C1145" s="165"/>
      <c r="D1145" s="165"/>
      <c r="E1145" s="165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</row>
    <row r="1146" spans="3:21" ht="12.75">
      <c r="C1146" s="165"/>
      <c r="D1146" s="165"/>
      <c r="E1146" s="165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</row>
    <row r="1147" spans="3:21" ht="12.75">
      <c r="C1147" s="165"/>
      <c r="D1147" s="165"/>
      <c r="E1147" s="165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</row>
    <row r="1148" spans="3:21" ht="12.75">
      <c r="C1148" s="165"/>
      <c r="D1148" s="165"/>
      <c r="E1148" s="165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</row>
    <row r="1149" spans="3:21" ht="12.75">
      <c r="C1149" s="165"/>
      <c r="D1149" s="165"/>
      <c r="E1149" s="165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</row>
    <row r="1150" spans="3:21" ht="12.75">
      <c r="C1150" s="165"/>
      <c r="D1150" s="165"/>
      <c r="E1150" s="165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</row>
    <row r="1151" spans="3:21" ht="12.75">
      <c r="C1151" s="165"/>
      <c r="D1151" s="165"/>
      <c r="E1151" s="165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</row>
    <row r="1152" spans="3:21" ht="12.75">
      <c r="C1152" s="165"/>
      <c r="D1152" s="165"/>
      <c r="E1152" s="165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</row>
    <row r="1153" spans="3:21" ht="12.75">
      <c r="C1153" s="165"/>
      <c r="D1153" s="165"/>
      <c r="E1153" s="165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</row>
    <row r="1154" spans="3:21" ht="12.75">
      <c r="C1154" s="165"/>
      <c r="D1154" s="165"/>
      <c r="E1154" s="165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</row>
    <row r="1155" spans="3:21" ht="12.75">
      <c r="C1155" s="165"/>
      <c r="D1155" s="165"/>
      <c r="E1155" s="165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</row>
    <row r="1156" spans="3:21" ht="12.75">
      <c r="C1156" s="165"/>
      <c r="D1156" s="165"/>
      <c r="E1156" s="165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</row>
    <row r="1157" spans="3:21" ht="12.75">
      <c r="C1157" s="165"/>
      <c r="D1157" s="165"/>
      <c r="E1157" s="165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</row>
    <row r="1158" spans="3:21" ht="12.75">
      <c r="C1158" s="165"/>
      <c r="D1158" s="165"/>
      <c r="E1158" s="165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</row>
    <row r="1159" spans="3:21" ht="12.75">
      <c r="C1159" s="165"/>
      <c r="D1159" s="165"/>
      <c r="E1159" s="165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</row>
    <row r="1160" spans="3:21" ht="12.75">
      <c r="C1160" s="165"/>
      <c r="D1160" s="165"/>
      <c r="E1160" s="165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</row>
    <row r="1161" spans="3:21" ht="12.75">
      <c r="C1161" s="165"/>
      <c r="D1161" s="165"/>
      <c r="E1161" s="165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</row>
    <row r="1162" spans="3:21" ht="12.75">
      <c r="C1162" s="165"/>
      <c r="D1162" s="165"/>
      <c r="E1162" s="165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</row>
    <row r="1163" spans="3:21" ht="12.75">
      <c r="C1163" s="165"/>
      <c r="D1163" s="165"/>
      <c r="E1163" s="165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</row>
    <row r="1164" spans="3:21" ht="12.75">
      <c r="C1164" s="165"/>
      <c r="D1164" s="165"/>
      <c r="E1164" s="165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</row>
    <row r="1165" spans="3:21" ht="12.75">
      <c r="C1165" s="165"/>
      <c r="D1165" s="165"/>
      <c r="E1165" s="165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</row>
    <row r="1166" spans="3:21" ht="12.75">
      <c r="C1166" s="165"/>
      <c r="D1166" s="165"/>
      <c r="E1166" s="165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</row>
    <row r="1167" spans="3:21" ht="12.75">
      <c r="C1167" s="165"/>
      <c r="D1167" s="165"/>
      <c r="E1167" s="165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</row>
    <row r="1168" spans="3:21" ht="12.75">
      <c r="C1168" s="165"/>
      <c r="D1168" s="165"/>
      <c r="E1168" s="165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</row>
    <row r="1169" spans="3:21" ht="12.75">
      <c r="C1169" s="165"/>
      <c r="D1169" s="165"/>
      <c r="E1169" s="165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</row>
    <row r="1170" spans="3:21" ht="12.75">
      <c r="C1170" s="165"/>
      <c r="D1170" s="165"/>
      <c r="E1170" s="165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</row>
    <row r="1171" spans="3:21" ht="12.75">
      <c r="C1171" s="165"/>
      <c r="D1171" s="165"/>
      <c r="E1171" s="165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</row>
    <row r="1172" spans="3:21" ht="12.75">
      <c r="C1172" s="165"/>
      <c r="D1172" s="165"/>
      <c r="E1172" s="165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</row>
    <row r="1173" spans="3:21" ht="12.75">
      <c r="C1173" s="165"/>
      <c r="D1173" s="165"/>
      <c r="E1173" s="165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</row>
    <row r="1174" spans="3:21" ht="12.75">
      <c r="C1174" s="165"/>
      <c r="D1174" s="165"/>
      <c r="E1174" s="165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</row>
    <row r="1175" spans="3:21" ht="12.75">
      <c r="C1175" s="165"/>
      <c r="D1175" s="165"/>
      <c r="E1175" s="165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</row>
    <row r="1176" spans="3:21" ht="12.75">
      <c r="C1176" s="165"/>
      <c r="D1176" s="165"/>
      <c r="E1176" s="165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</row>
    <row r="1177" spans="3:21" ht="12.75">
      <c r="C1177" s="165"/>
      <c r="D1177" s="165"/>
      <c r="E1177" s="165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</row>
    <row r="1178" spans="3:21" ht="12.75">
      <c r="C1178" s="165"/>
      <c r="D1178" s="165"/>
      <c r="E1178" s="165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</row>
    <row r="1179" spans="3:21" ht="12.75">
      <c r="C1179" s="165"/>
      <c r="D1179" s="165"/>
      <c r="E1179" s="165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</row>
    <row r="1180" spans="3:21" ht="12.75">
      <c r="C1180" s="165"/>
      <c r="D1180" s="165"/>
      <c r="E1180" s="165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</row>
    <row r="1181" spans="3:21" ht="12.75">
      <c r="C1181" s="165"/>
      <c r="D1181" s="165"/>
      <c r="E1181" s="165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</row>
    <row r="1182" spans="3:21" ht="12.75">
      <c r="C1182" s="165"/>
      <c r="D1182" s="165"/>
      <c r="E1182" s="165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</row>
    <row r="1183" spans="3:21" ht="12.75">
      <c r="C1183" s="165"/>
      <c r="D1183" s="165"/>
      <c r="E1183" s="165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</row>
    <row r="1184" spans="3:21" ht="12.75">
      <c r="C1184" s="165"/>
      <c r="D1184" s="165"/>
      <c r="E1184" s="165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</row>
    <row r="1185" spans="3:21" ht="12.75">
      <c r="C1185" s="165"/>
      <c r="D1185" s="165"/>
      <c r="E1185" s="165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</row>
    <row r="1186" spans="3:21" ht="12.75">
      <c r="C1186" s="165"/>
      <c r="D1186" s="165"/>
      <c r="E1186" s="165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</row>
    <row r="1187" spans="3:21" ht="12.75">
      <c r="C1187" s="165"/>
      <c r="D1187" s="165"/>
      <c r="E1187" s="165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</row>
    <row r="1188" spans="3:21" ht="12.75">
      <c r="C1188" s="165"/>
      <c r="D1188" s="165"/>
      <c r="E1188" s="165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</row>
    <row r="1189" spans="3:21" ht="12.75">
      <c r="C1189" s="165"/>
      <c r="D1189" s="165"/>
      <c r="E1189" s="165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</row>
    <row r="1190" spans="3:21" ht="12.75">
      <c r="C1190" s="165"/>
      <c r="D1190" s="165"/>
      <c r="E1190" s="165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</row>
    <row r="1191" spans="3:21" ht="12.75">
      <c r="C1191" s="165"/>
      <c r="D1191" s="165"/>
      <c r="E1191" s="165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</row>
    <row r="1192" spans="3:21" ht="12.75">
      <c r="C1192" s="165"/>
      <c r="D1192" s="165"/>
      <c r="E1192" s="165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</row>
    <row r="1193" spans="3:21" ht="12.75">
      <c r="C1193" s="165"/>
      <c r="D1193" s="165"/>
      <c r="E1193" s="165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</row>
    <row r="1194" spans="3:21" ht="12.75">
      <c r="C1194" s="165"/>
      <c r="D1194" s="165"/>
      <c r="E1194" s="165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</row>
    <row r="1195" spans="3:21" ht="12.75">
      <c r="C1195" s="165"/>
      <c r="D1195" s="165"/>
      <c r="E1195" s="165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</row>
    <row r="1196" spans="3:21" ht="12.75">
      <c r="C1196" s="165"/>
      <c r="D1196" s="165"/>
      <c r="E1196" s="165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</row>
    <row r="1197" spans="3:21" ht="12.75">
      <c r="C1197" s="165"/>
      <c r="D1197" s="165"/>
      <c r="E1197" s="165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</row>
    <row r="1198" spans="3:21" ht="12.75">
      <c r="C1198" s="165"/>
      <c r="D1198" s="165"/>
      <c r="E1198" s="165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</row>
    <row r="1199" spans="3:21" ht="12.75">
      <c r="C1199" s="165"/>
      <c r="D1199" s="165"/>
      <c r="E1199" s="165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</row>
    <row r="1200" spans="3:21" ht="12.75">
      <c r="C1200" s="165"/>
      <c r="D1200" s="165"/>
      <c r="E1200" s="165"/>
      <c r="K1200" s="12"/>
      <c r="L1200" s="12"/>
      <c r="M1200" s="12"/>
      <c r="N1200" s="12"/>
    </row>
    <row r="1201" spans="3:14" ht="12.75">
      <c r="C1201" s="165"/>
      <c r="D1201" s="165"/>
      <c r="E1201" s="165"/>
      <c r="K1201" s="12"/>
      <c r="L1201" s="12"/>
      <c r="M1201" s="12"/>
      <c r="N1201" s="12"/>
    </row>
    <row r="1202" spans="3:14" ht="12.75">
      <c r="C1202" s="165"/>
      <c r="D1202" s="165"/>
      <c r="E1202" s="165"/>
      <c r="K1202" s="12"/>
      <c r="L1202" s="12"/>
      <c r="M1202" s="12"/>
      <c r="N1202" s="12"/>
    </row>
    <row r="1203" spans="3:14" ht="12.75">
      <c r="C1203" s="165"/>
      <c r="D1203" s="165"/>
      <c r="E1203" s="165"/>
      <c r="K1203" s="12"/>
      <c r="L1203" s="12"/>
      <c r="M1203" s="12"/>
      <c r="N1203" s="12"/>
    </row>
    <row r="1204" spans="3:14" ht="12.75">
      <c r="C1204" s="165"/>
      <c r="D1204" s="165"/>
      <c r="E1204" s="165"/>
      <c r="K1204" s="12"/>
      <c r="L1204" s="12"/>
      <c r="M1204" s="12"/>
      <c r="N1204" s="12"/>
    </row>
    <row r="1205" spans="3:14" ht="12.75">
      <c r="C1205" s="165"/>
      <c r="D1205" s="165"/>
      <c r="E1205" s="165"/>
      <c r="K1205" s="12"/>
      <c r="L1205" s="12"/>
      <c r="M1205" s="12"/>
      <c r="N1205" s="12"/>
    </row>
    <row r="1206" spans="3:14" ht="12.75">
      <c r="C1206" s="165"/>
      <c r="D1206" s="165"/>
      <c r="E1206" s="165"/>
      <c r="K1206" s="12"/>
      <c r="L1206" s="12"/>
      <c r="M1206" s="12"/>
      <c r="N1206" s="12"/>
    </row>
    <row r="1207" spans="3:14" ht="12.75">
      <c r="C1207" s="165"/>
      <c r="D1207" s="165"/>
      <c r="E1207" s="165"/>
      <c r="K1207" s="12"/>
      <c r="L1207" s="12"/>
      <c r="M1207" s="12"/>
      <c r="N1207" s="12"/>
    </row>
    <row r="1208" spans="3:14" ht="12.75">
      <c r="C1208" s="165"/>
      <c r="D1208" s="165"/>
      <c r="E1208" s="165"/>
      <c r="K1208" s="12"/>
      <c r="L1208" s="12"/>
      <c r="M1208" s="12"/>
      <c r="N1208" s="12"/>
    </row>
    <row r="1209" spans="3:14" ht="12.75">
      <c r="C1209" s="165"/>
      <c r="D1209" s="165"/>
      <c r="E1209" s="165"/>
      <c r="K1209" s="12"/>
      <c r="L1209" s="12"/>
      <c r="M1209" s="12"/>
      <c r="N1209" s="12"/>
    </row>
    <row r="1210" spans="3:14" ht="12.75">
      <c r="C1210" s="165"/>
      <c r="D1210" s="165"/>
      <c r="E1210" s="165"/>
      <c r="K1210" s="12"/>
      <c r="L1210" s="12"/>
      <c r="M1210" s="12"/>
      <c r="N1210" s="12"/>
    </row>
    <row r="1211" spans="3:14" ht="12.75">
      <c r="C1211" s="165"/>
      <c r="D1211" s="165"/>
      <c r="E1211" s="165"/>
      <c r="K1211" s="12"/>
      <c r="L1211" s="12"/>
      <c r="M1211" s="12"/>
      <c r="N1211" s="12"/>
    </row>
    <row r="1212" spans="3:14" ht="12.75">
      <c r="C1212" s="165"/>
      <c r="D1212" s="165"/>
      <c r="E1212" s="165"/>
      <c r="K1212" s="12"/>
      <c r="L1212" s="12"/>
      <c r="M1212" s="12"/>
      <c r="N1212" s="12"/>
    </row>
    <row r="1213" spans="3:14" ht="12.75">
      <c r="C1213" s="165"/>
      <c r="D1213" s="165"/>
      <c r="E1213" s="165"/>
      <c r="K1213" s="12"/>
      <c r="L1213" s="12"/>
      <c r="M1213" s="12"/>
      <c r="N1213" s="12"/>
    </row>
    <row r="1214" spans="3:14" ht="12.75">
      <c r="C1214" s="165"/>
      <c r="D1214" s="165"/>
      <c r="E1214" s="165"/>
      <c r="K1214" s="12"/>
      <c r="L1214" s="12"/>
      <c r="M1214" s="12"/>
      <c r="N1214" s="12"/>
    </row>
    <row r="1215" spans="3:14" ht="12.75">
      <c r="C1215" s="165"/>
      <c r="D1215" s="165"/>
      <c r="E1215" s="165"/>
      <c r="K1215" s="12"/>
      <c r="L1215" s="12"/>
      <c r="M1215" s="12"/>
      <c r="N1215" s="12"/>
    </row>
    <row r="1216" spans="3:14" ht="12.75">
      <c r="C1216" s="165"/>
      <c r="D1216" s="165"/>
      <c r="E1216" s="165"/>
      <c r="K1216" s="12"/>
      <c r="L1216" s="12"/>
      <c r="M1216" s="12"/>
      <c r="N1216" s="12"/>
    </row>
    <row r="1217" spans="3:14" ht="12.75">
      <c r="C1217" s="165"/>
      <c r="D1217" s="165"/>
      <c r="E1217" s="165"/>
      <c r="K1217" s="12"/>
      <c r="L1217" s="12"/>
      <c r="M1217" s="12"/>
      <c r="N1217" s="12"/>
    </row>
    <row r="1218" spans="3:14" ht="12.75">
      <c r="C1218" s="165"/>
      <c r="D1218" s="165"/>
      <c r="E1218" s="165"/>
      <c r="K1218" s="12"/>
      <c r="L1218" s="12"/>
      <c r="M1218" s="12"/>
      <c r="N1218" s="12"/>
    </row>
    <row r="1219" spans="3:14" ht="12.75">
      <c r="C1219" s="165"/>
      <c r="D1219" s="165"/>
      <c r="E1219" s="165"/>
      <c r="K1219" s="12"/>
      <c r="L1219" s="12"/>
      <c r="M1219" s="12"/>
      <c r="N1219" s="12"/>
    </row>
    <row r="1220" spans="3:14" ht="12.75">
      <c r="C1220" s="165"/>
      <c r="D1220" s="165"/>
      <c r="E1220" s="165"/>
      <c r="K1220" s="12"/>
      <c r="L1220" s="12"/>
      <c r="M1220" s="12"/>
      <c r="N1220" s="12"/>
    </row>
    <row r="1221" spans="3:14" ht="12.75">
      <c r="C1221" s="165"/>
      <c r="D1221" s="165"/>
      <c r="E1221" s="165"/>
      <c r="K1221" s="12"/>
      <c r="L1221" s="12"/>
      <c r="M1221" s="12"/>
      <c r="N1221" s="12"/>
    </row>
    <row r="1222" spans="3:14" ht="12.75">
      <c r="C1222" s="165"/>
      <c r="D1222" s="165"/>
      <c r="E1222" s="165"/>
      <c r="K1222" s="12"/>
      <c r="L1222" s="12"/>
      <c r="M1222" s="12"/>
      <c r="N1222" s="12"/>
    </row>
    <row r="1223" spans="3:14" ht="12.75">
      <c r="C1223" s="165"/>
      <c r="D1223" s="165"/>
      <c r="E1223" s="165"/>
      <c r="K1223" s="12"/>
      <c r="L1223" s="12"/>
      <c r="M1223" s="12"/>
      <c r="N1223" s="12"/>
    </row>
    <row r="1224" spans="3:14" ht="12.75">
      <c r="C1224" s="165"/>
      <c r="D1224" s="165"/>
      <c r="E1224" s="165"/>
      <c r="K1224" s="12"/>
      <c r="L1224" s="12"/>
      <c r="M1224" s="12"/>
      <c r="N1224" s="12"/>
    </row>
    <row r="1225" spans="3:14" ht="12.75">
      <c r="C1225" s="165"/>
      <c r="D1225" s="165"/>
      <c r="E1225" s="165"/>
      <c r="K1225" s="12"/>
      <c r="L1225" s="12"/>
      <c r="M1225" s="12"/>
      <c r="N1225" s="12"/>
    </row>
    <row r="1226" spans="3:14" ht="12.75">
      <c r="C1226" s="165"/>
      <c r="D1226" s="165"/>
      <c r="E1226" s="165"/>
      <c r="K1226" s="12"/>
      <c r="L1226" s="12"/>
      <c r="M1226" s="12"/>
      <c r="N1226" s="12"/>
    </row>
    <row r="1227" spans="3:14" ht="12.75">
      <c r="C1227" s="165"/>
      <c r="D1227" s="165"/>
      <c r="E1227" s="165"/>
      <c r="K1227" s="12"/>
      <c r="L1227" s="12"/>
      <c r="M1227" s="12"/>
      <c r="N1227" s="12"/>
    </row>
    <row r="1228" spans="3:14" ht="12.75">
      <c r="C1228" s="165"/>
      <c r="D1228" s="165"/>
      <c r="E1228" s="165"/>
      <c r="K1228" s="12"/>
      <c r="L1228" s="12"/>
      <c r="M1228" s="12"/>
      <c r="N1228" s="12"/>
    </row>
    <row r="1229" spans="3:14" ht="12.75">
      <c r="C1229" s="165"/>
      <c r="D1229" s="165"/>
      <c r="E1229" s="165"/>
      <c r="K1229" s="12"/>
      <c r="L1229" s="12"/>
      <c r="M1229" s="12"/>
      <c r="N1229" s="12"/>
    </row>
    <row r="1230" spans="3:14" ht="12.75">
      <c r="C1230" s="165"/>
      <c r="D1230" s="165"/>
      <c r="E1230" s="165"/>
      <c r="K1230" s="12"/>
      <c r="L1230" s="12"/>
      <c r="M1230" s="12"/>
      <c r="N1230" s="12"/>
    </row>
    <row r="1231" spans="3:14" ht="12.75">
      <c r="C1231" s="165"/>
      <c r="D1231" s="165"/>
      <c r="E1231" s="165"/>
      <c r="K1231" s="12"/>
      <c r="L1231" s="12"/>
      <c r="M1231" s="12"/>
      <c r="N1231" s="12"/>
    </row>
    <row r="1232" spans="3:14" ht="12.75">
      <c r="C1232" s="165"/>
      <c r="D1232" s="165"/>
      <c r="E1232" s="165"/>
      <c r="K1232" s="12"/>
      <c r="L1232" s="12"/>
      <c r="M1232" s="12"/>
      <c r="N1232" s="12"/>
    </row>
    <row r="1233" spans="3:14" ht="12.75">
      <c r="C1233" s="165"/>
      <c r="D1233" s="165"/>
      <c r="E1233" s="165"/>
      <c r="K1233" s="12"/>
      <c r="L1233" s="12"/>
      <c r="M1233" s="12"/>
      <c r="N1233" s="12"/>
    </row>
    <row r="1234" spans="3:14" ht="12.75">
      <c r="C1234" s="165"/>
      <c r="D1234" s="165"/>
      <c r="E1234" s="165"/>
      <c r="K1234" s="12"/>
      <c r="L1234" s="12"/>
      <c r="M1234" s="12"/>
      <c r="N1234" s="12"/>
    </row>
    <row r="1235" spans="3:14" ht="12.75">
      <c r="C1235" s="165"/>
      <c r="D1235" s="165"/>
      <c r="E1235" s="165"/>
      <c r="K1235" s="12"/>
      <c r="L1235" s="12"/>
      <c r="M1235" s="12"/>
      <c r="N1235" s="12"/>
    </row>
    <row r="1236" spans="3:14" ht="12.75">
      <c r="C1236" s="165"/>
      <c r="D1236" s="165"/>
      <c r="E1236" s="165"/>
      <c r="K1236" s="12"/>
      <c r="L1236" s="12"/>
      <c r="M1236" s="12"/>
      <c r="N1236" s="12"/>
    </row>
    <row r="1237" spans="3:14" ht="12.75">
      <c r="C1237" s="165"/>
      <c r="D1237" s="165"/>
      <c r="E1237" s="165"/>
      <c r="K1237" s="12"/>
      <c r="L1237" s="12"/>
      <c r="M1237" s="12"/>
      <c r="N1237" s="12"/>
    </row>
    <row r="1238" spans="3:14" ht="12.75">
      <c r="C1238" s="165"/>
      <c r="D1238" s="165"/>
      <c r="E1238" s="165"/>
      <c r="K1238" s="12"/>
      <c r="L1238" s="12"/>
      <c r="M1238" s="12"/>
      <c r="N1238" s="12"/>
    </row>
    <row r="1239" spans="3:14" ht="12.75">
      <c r="C1239" s="165"/>
      <c r="D1239" s="165"/>
      <c r="E1239" s="165"/>
      <c r="K1239" s="12"/>
      <c r="L1239" s="12"/>
      <c r="M1239" s="12"/>
      <c r="N1239" s="12"/>
    </row>
    <row r="1240" spans="3:14" ht="12.75">
      <c r="C1240" s="165"/>
      <c r="D1240" s="165"/>
      <c r="E1240" s="165"/>
      <c r="K1240" s="12"/>
      <c r="L1240" s="12"/>
      <c r="M1240" s="12"/>
      <c r="N1240" s="12"/>
    </row>
    <row r="1241" spans="3:14" ht="12.75">
      <c r="C1241" s="165"/>
      <c r="D1241" s="165"/>
      <c r="E1241" s="165"/>
      <c r="K1241" s="12"/>
      <c r="L1241" s="12"/>
      <c r="M1241" s="12"/>
      <c r="N1241" s="12"/>
    </row>
    <row r="1242" spans="3:14" ht="12.75">
      <c r="C1242" s="165"/>
      <c r="D1242" s="165"/>
      <c r="E1242" s="165"/>
      <c r="K1242" s="12"/>
      <c r="L1242" s="12"/>
      <c r="M1242" s="12"/>
      <c r="N1242" s="12"/>
    </row>
    <row r="1243" spans="3:14" ht="12.75">
      <c r="C1243" s="165"/>
      <c r="D1243" s="165"/>
      <c r="E1243" s="165"/>
      <c r="K1243" s="12"/>
      <c r="L1243" s="12"/>
      <c r="M1243" s="12"/>
      <c r="N1243" s="12"/>
    </row>
    <row r="1244" spans="3:14" ht="12.75">
      <c r="C1244" s="165"/>
      <c r="D1244" s="165"/>
      <c r="E1244" s="165"/>
      <c r="K1244" s="12"/>
      <c r="L1244" s="12"/>
      <c r="M1244" s="12"/>
      <c r="N1244" s="12"/>
    </row>
    <row r="1245" spans="3:14" ht="12.75">
      <c r="C1245" s="165"/>
      <c r="D1245" s="165"/>
      <c r="E1245" s="165"/>
      <c r="K1245" s="12"/>
      <c r="L1245" s="12"/>
      <c r="M1245" s="12"/>
      <c r="N1245" s="12"/>
    </row>
    <row r="1246" spans="3:14" ht="12.75">
      <c r="C1246" s="165"/>
      <c r="D1246" s="165"/>
      <c r="E1246" s="165"/>
      <c r="K1246" s="12"/>
      <c r="L1246" s="12"/>
      <c r="M1246" s="12"/>
      <c r="N1246" s="12"/>
    </row>
    <row r="1247" spans="3:14" ht="12.75">
      <c r="C1247" s="165"/>
      <c r="D1247" s="165"/>
      <c r="E1247" s="165"/>
      <c r="K1247" s="12"/>
      <c r="L1247" s="12"/>
      <c r="M1247" s="12"/>
      <c r="N1247" s="12"/>
    </row>
    <row r="1248" spans="3:14" ht="12.75">
      <c r="C1248" s="165"/>
      <c r="D1248" s="165"/>
      <c r="E1248" s="165"/>
      <c r="K1248" s="12"/>
      <c r="L1248" s="12"/>
      <c r="M1248" s="12"/>
      <c r="N1248" s="12"/>
    </row>
    <row r="1249" spans="3:14" ht="12.75">
      <c r="C1249" s="165"/>
      <c r="D1249" s="165"/>
      <c r="E1249" s="165"/>
      <c r="K1249" s="12"/>
      <c r="L1249" s="12"/>
      <c r="M1249" s="12"/>
      <c r="N1249" s="12"/>
    </row>
    <row r="1250" spans="3:14" ht="12.75">
      <c r="C1250" s="165"/>
      <c r="D1250" s="165"/>
      <c r="E1250" s="165"/>
      <c r="K1250" s="12"/>
      <c r="L1250" s="12"/>
      <c r="M1250" s="12"/>
      <c r="N1250" s="12"/>
    </row>
    <row r="1251" spans="3:14" ht="12.75">
      <c r="C1251" s="165"/>
      <c r="D1251" s="165"/>
      <c r="E1251" s="165"/>
      <c r="K1251" s="12"/>
      <c r="L1251" s="12"/>
      <c r="M1251" s="12"/>
      <c r="N1251" s="12"/>
    </row>
    <row r="1252" spans="3:14" ht="12.75">
      <c r="C1252" s="165"/>
      <c r="D1252" s="165"/>
      <c r="E1252" s="165"/>
      <c r="K1252" s="12"/>
      <c r="L1252" s="12"/>
      <c r="M1252" s="12"/>
      <c r="N1252" s="12"/>
    </row>
    <row r="1253" spans="3:14" ht="12.75">
      <c r="C1253" s="165"/>
      <c r="D1253" s="165"/>
      <c r="E1253" s="165"/>
      <c r="K1253" s="12"/>
      <c r="L1253" s="12"/>
      <c r="M1253" s="12"/>
      <c r="N1253" s="12"/>
    </row>
    <row r="1254" spans="3:14" ht="12.75">
      <c r="C1254" s="165"/>
      <c r="D1254" s="165"/>
      <c r="E1254" s="165"/>
      <c r="K1254" s="12"/>
      <c r="L1254" s="12"/>
      <c r="M1254" s="12"/>
      <c r="N1254" s="12"/>
    </row>
    <row r="1255" spans="3:14" ht="12.75">
      <c r="C1255" s="165"/>
      <c r="D1255" s="165"/>
      <c r="E1255" s="165"/>
      <c r="K1255" s="12"/>
      <c r="L1255" s="12"/>
      <c r="M1255" s="12"/>
      <c r="N1255" s="12"/>
    </row>
    <row r="1256" spans="3:14" ht="12.75">
      <c r="C1256" s="165"/>
      <c r="D1256" s="165"/>
      <c r="E1256" s="165"/>
      <c r="K1256" s="12"/>
      <c r="L1256" s="12"/>
      <c r="M1256" s="12"/>
      <c r="N1256" s="12"/>
    </row>
    <row r="1257" spans="3:14" ht="12.75">
      <c r="C1257" s="165"/>
      <c r="D1257" s="165"/>
      <c r="E1257" s="165"/>
      <c r="K1257" s="12"/>
      <c r="L1257" s="12"/>
      <c r="M1257" s="12"/>
      <c r="N1257" s="12"/>
    </row>
    <row r="1258" spans="3:14" ht="12.75">
      <c r="C1258" s="165"/>
      <c r="D1258" s="165"/>
      <c r="E1258" s="165"/>
      <c r="K1258" s="12"/>
      <c r="L1258" s="12"/>
      <c r="M1258" s="12"/>
      <c r="N1258" s="12"/>
    </row>
    <row r="1259" spans="3:14" ht="12.75">
      <c r="C1259" s="165"/>
      <c r="D1259" s="165"/>
      <c r="E1259" s="165"/>
      <c r="K1259" s="12"/>
      <c r="L1259" s="12"/>
      <c r="M1259" s="12"/>
      <c r="N1259" s="12"/>
    </row>
    <row r="1260" spans="3:14" ht="12.75">
      <c r="C1260" s="165"/>
      <c r="D1260" s="165"/>
      <c r="E1260" s="165"/>
      <c r="K1260" s="12"/>
      <c r="L1260" s="12"/>
      <c r="M1260" s="12"/>
      <c r="N1260" s="12"/>
    </row>
    <row r="1261" spans="3:14" ht="12.75">
      <c r="C1261" s="165"/>
      <c r="D1261" s="165"/>
      <c r="E1261" s="165"/>
      <c r="K1261" s="12"/>
      <c r="L1261" s="12"/>
      <c r="M1261" s="12"/>
      <c r="N1261" s="12"/>
    </row>
    <row r="1262" spans="3:14" ht="12.75">
      <c r="C1262" s="165"/>
      <c r="D1262" s="165"/>
      <c r="E1262" s="165"/>
      <c r="K1262" s="12"/>
      <c r="L1262" s="12"/>
      <c r="M1262" s="12"/>
      <c r="N1262" s="12"/>
    </row>
    <row r="1263" spans="3:14" ht="12.75">
      <c r="C1263" s="165"/>
      <c r="D1263" s="165"/>
      <c r="E1263" s="165"/>
      <c r="K1263" s="12"/>
      <c r="L1263" s="12"/>
      <c r="M1263" s="12"/>
      <c r="N1263" s="12"/>
    </row>
    <row r="1264" spans="3:14" ht="12.75">
      <c r="C1264" s="165"/>
      <c r="D1264" s="165"/>
      <c r="E1264" s="165"/>
      <c r="K1264" s="12"/>
      <c r="L1264" s="12"/>
      <c r="M1264" s="12"/>
      <c r="N1264" s="12"/>
    </row>
    <row r="1265" spans="3:14" ht="12.75">
      <c r="C1265" s="165"/>
      <c r="D1265" s="165"/>
      <c r="E1265" s="165"/>
      <c r="K1265" s="12"/>
      <c r="L1265" s="12"/>
      <c r="M1265" s="12"/>
      <c r="N1265" s="12"/>
    </row>
    <row r="1266" spans="3:14" ht="12.75">
      <c r="C1266" s="165"/>
      <c r="D1266" s="165"/>
      <c r="E1266" s="165"/>
      <c r="K1266" s="12"/>
      <c r="L1266" s="12"/>
      <c r="M1266" s="12"/>
      <c r="N1266" s="12"/>
    </row>
    <row r="1267" spans="3:14" ht="12.75">
      <c r="C1267" s="165"/>
      <c r="D1267" s="165"/>
      <c r="E1267" s="165"/>
      <c r="K1267" s="12"/>
      <c r="L1267" s="12"/>
      <c r="M1267" s="12"/>
      <c r="N1267" s="12"/>
    </row>
    <row r="1268" spans="3:14" ht="12.75">
      <c r="C1268" s="165"/>
      <c r="D1268" s="165"/>
      <c r="E1268" s="165"/>
      <c r="K1268" s="12"/>
      <c r="L1268" s="12"/>
      <c r="M1268" s="12"/>
      <c r="N1268" s="12"/>
    </row>
    <row r="1269" spans="3:14" ht="12.75">
      <c r="C1269" s="165"/>
      <c r="D1269" s="165"/>
      <c r="E1269" s="165"/>
      <c r="K1269" s="12"/>
      <c r="L1269" s="12"/>
      <c r="M1269" s="12"/>
      <c r="N1269" s="12"/>
    </row>
    <row r="1270" spans="3:14" ht="12.75">
      <c r="C1270" s="165"/>
      <c r="D1270" s="165"/>
      <c r="E1270" s="165"/>
      <c r="K1270" s="12"/>
      <c r="L1270" s="12"/>
      <c r="M1270" s="12"/>
      <c r="N1270" s="12"/>
    </row>
    <row r="1271" spans="3:14" ht="12.75">
      <c r="C1271" s="165"/>
      <c r="D1271" s="165"/>
      <c r="E1271" s="165"/>
      <c r="K1271" s="12"/>
      <c r="L1271" s="12"/>
      <c r="M1271" s="12"/>
      <c r="N1271" s="12"/>
    </row>
    <row r="1272" spans="3:14" ht="12.75">
      <c r="C1272" s="165"/>
      <c r="D1272" s="165"/>
      <c r="E1272" s="165"/>
      <c r="K1272" s="12"/>
      <c r="L1272" s="12"/>
      <c r="M1272" s="12"/>
      <c r="N1272" s="12"/>
    </row>
    <row r="1273" spans="3:14" ht="12.75">
      <c r="C1273" s="165"/>
      <c r="D1273" s="165"/>
      <c r="E1273" s="165"/>
      <c r="K1273" s="12"/>
      <c r="L1273" s="12"/>
      <c r="M1273" s="12"/>
      <c r="N1273" s="12"/>
    </row>
    <row r="1274" spans="3:14" ht="12.75">
      <c r="C1274" s="165"/>
      <c r="D1274" s="165"/>
      <c r="E1274" s="165"/>
      <c r="K1274" s="12"/>
      <c r="L1274" s="12"/>
      <c r="M1274" s="12"/>
      <c r="N1274" s="12"/>
    </row>
    <row r="1275" spans="3:14" ht="12.75">
      <c r="C1275" s="165"/>
      <c r="D1275" s="165"/>
      <c r="E1275" s="165"/>
      <c r="K1275" s="12"/>
      <c r="L1275" s="12"/>
      <c r="M1275" s="12"/>
      <c r="N1275" s="12"/>
    </row>
    <row r="1276" spans="3:14" ht="12.75">
      <c r="C1276" s="165"/>
      <c r="D1276" s="165"/>
      <c r="E1276" s="165"/>
      <c r="K1276" s="12"/>
      <c r="L1276" s="12"/>
      <c r="M1276" s="12"/>
      <c r="N1276" s="12"/>
    </row>
    <row r="1277" spans="3:14" ht="12.75">
      <c r="C1277" s="165"/>
      <c r="D1277" s="165"/>
      <c r="E1277" s="165"/>
      <c r="K1277" s="12"/>
      <c r="L1277" s="12"/>
      <c r="M1277" s="12"/>
      <c r="N1277" s="12"/>
    </row>
    <row r="1278" spans="3:14" ht="12.75">
      <c r="C1278" s="165"/>
      <c r="D1278" s="165"/>
      <c r="E1278" s="165"/>
      <c r="K1278" s="12"/>
      <c r="L1278" s="12"/>
      <c r="M1278" s="12"/>
      <c r="N1278" s="12"/>
    </row>
    <row r="1279" spans="3:14" ht="12.75">
      <c r="C1279" s="165"/>
      <c r="D1279" s="165"/>
      <c r="E1279" s="165"/>
      <c r="K1279" s="12"/>
      <c r="L1279" s="12"/>
      <c r="M1279" s="12"/>
      <c r="N1279" s="12"/>
    </row>
    <row r="1280" spans="3:14" ht="12.75">
      <c r="C1280" s="165"/>
      <c r="D1280" s="165"/>
      <c r="E1280" s="165"/>
      <c r="K1280" s="12"/>
      <c r="L1280" s="12"/>
      <c r="M1280" s="12"/>
      <c r="N1280" s="12"/>
    </row>
    <row r="1281" spans="3:14" ht="12.75">
      <c r="C1281" s="165"/>
      <c r="D1281" s="165"/>
      <c r="E1281" s="165"/>
      <c r="K1281" s="12"/>
      <c r="L1281" s="12"/>
      <c r="M1281" s="12"/>
      <c r="N1281" s="12"/>
    </row>
    <row r="1282" spans="3:14" ht="12.75">
      <c r="C1282" s="165"/>
      <c r="D1282" s="165"/>
      <c r="E1282" s="165"/>
      <c r="K1282" s="12"/>
      <c r="L1282" s="12"/>
      <c r="M1282" s="12"/>
      <c r="N1282" s="12"/>
    </row>
    <row r="1283" spans="3:14" ht="12.75">
      <c r="C1283" s="165"/>
      <c r="D1283" s="165"/>
      <c r="E1283" s="165"/>
      <c r="K1283" s="12"/>
      <c r="L1283" s="12"/>
      <c r="M1283" s="12"/>
      <c r="N1283" s="12"/>
    </row>
    <row r="1284" spans="3:14" ht="12.75">
      <c r="C1284" s="165"/>
      <c r="D1284" s="165"/>
      <c r="E1284" s="165"/>
      <c r="K1284" s="12"/>
      <c r="L1284" s="12"/>
      <c r="M1284" s="12"/>
      <c r="N1284" s="12"/>
    </row>
    <row r="1285" spans="3:14" ht="12.75">
      <c r="C1285" s="165"/>
      <c r="D1285" s="165"/>
      <c r="E1285" s="165"/>
      <c r="K1285" s="12"/>
      <c r="L1285" s="12"/>
      <c r="M1285" s="12"/>
      <c r="N1285" s="12"/>
    </row>
    <row r="1286" spans="3:14" ht="12.75">
      <c r="C1286" s="165"/>
      <c r="D1286" s="165"/>
      <c r="E1286" s="165"/>
      <c r="K1286" s="12"/>
      <c r="L1286" s="12"/>
      <c r="M1286" s="12"/>
      <c r="N1286" s="12"/>
    </row>
    <row r="1287" spans="3:14" ht="12.75">
      <c r="C1287" s="165"/>
      <c r="D1287" s="165"/>
      <c r="E1287" s="165"/>
      <c r="K1287" s="12"/>
      <c r="L1287" s="12"/>
      <c r="M1287" s="12"/>
      <c r="N1287" s="12"/>
    </row>
    <row r="1288" spans="3:14" ht="12.75">
      <c r="C1288" s="165"/>
      <c r="D1288" s="165"/>
      <c r="E1288" s="165"/>
      <c r="K1288" s="12"/>
      <c r="L1288" s="12"/>
      <c r="M1288" s="12"/>
      <c r="N1288" s="12"/>
    </row>
    <row r="1289" spans="3:14" ht="12.75">
      <c r="C1289" s="165"/>
      <c r="D1289" s="165"/>
      <c r="E1289" s="165"/>
      <c r="K1289" s="12"/>
      <c r="L1289" s="12"/>
      <c r="M1289" s="12"/>
      <c r="N1289" s="12"/>
    </row>
    <row r="1290" spans="3:14" ht="12.75">
      <c r="C1290" s="165"/>
      <c r="D1290" s="165"/>
      <c r="E1290" s="165"/>
      <c r="K1290" s="12"/>
      <c r="L1290" s="12"/>
      <c r="M1290" s="12"/>
      <c r="N1290" s="12"/>
    </row>
    <row r="1291" spans="3:14" ht="12.75">
      <c r="C1291" s="165"/>
      <c r="D1291" s="165"/>
      <c r="E1291" s="165"/>
      <c r="K1291" s="12"/>
      <c r="L1291" s="12"/>
      <c r="M1291" s="12"/>
      <c r="N1291" s="12"/>
    </row>
    <row r="1292" spans="3:14" ht="12.75">
      <c r="C1292" s="165"/>
      <c r="D1292" s="165"/>
      <c r="E1292" s="165"/>
      <c r="K1292" s="12"/>
      <c r="L1292" s="12"/>
      <c r="M1292" s="12"/>
      <c r="N1292" s="12"/>
    </row>
    <row r="1293" spans="3:14" ht="12.75">
      <c r="C1293" s="165"/>
      <c r="D1293" s="165"/>
      <c r="E1293" s="165"/>
      <c r="K1293" s="12"/>
      <c r="L1293" s="12"/>
      <c r="M1293" s="12"/>
      <c r="N1293" s="12"/>
    </row>
    <row r="1294" spans="3:14" ht="12.75">
      <c r="C1294" s="165"/>
      <c r="D1294" s="165"/>
      <c r="E1294" s="165"/>
      <c r="K1294" s="12"/>
      <c r="L1294" s="12"/>
      <c r="M1294" s="12"/>
      <c r="N1294" s="12"/>
    </row>
    <row r="1295" spans="3:14" ht="12.75">
      <c r="C1295" s="165"/>
      <c r="D1295" s="165"/>
      <c r="E1295" s="165"/>
      <c r="K1295" s="12"/>
      <c r="L1295" s="12"/>
      <c r="M1295" s="12"/>
      <c r="N1295" s="12"/>
    </row>
    <row r="1296" spans="3:14" ht="12.75">
      <c r="C1296" s="165"/>
      <c r="D1296" s="165"/>
      <c r="E1296" s="165"/>
      <c r="K1296" s="12"/>
      <c r="L1296" s="12"/>
      <c r="M1296" s="12"/>
      <c r="N1296" s="12"/>
    </row>
    <row r="1297" spans="3:14" ht="12.75">
      <c r="C1297" s="165"/>
      <c r="D1297" s="165"/>
      <c r="E1297" s="165"/>
      <c r="K1297" s="12"/>
      <c r="L1297" s="12"/>
      <c r="M1297" s="12"/>
      <c r="N1297" s="12"/>
    </row>
    <row r="1298" spans="3:14" ht="12.75">
      <c r="C1298" s="165"/>
      <c r="D1298" s="165"/>
      <c r="E1298" s="165"/>
      <c r="K1298" s="12"/>
      <c r="L1298" s="12"/>
      <c r="M1298" s="12"/>
      <c r="N1298" s="12"/>
    </row>
    <row r="1299" spans="3:14" ht="12.75">
      <c r="C1299" s="165"/>
      <c r="D1299" s="165"/>
      <c r="E1299" s="165"/>
      <c r="K1299" s="12"/>
      <c r="L1299" s="12"/>
      <c r="M1299" s="12"/>
      <c r="N1299" s="12"/>
    </row>
    <row r="1300" spans="3:14" ht="12.75">
      <c r="C1300" s="165"/>
      <c r="D1300" s="165"/>
      <c r="E1300" s="165"/>
      <c r="K1300" s="12"/>
      <c r="L1300" s="12"/>
      <c r="M1300" s="12"/>
      <c r="N1300" s="12"/>
    </row>
    <row r="1301" spans="3:14" ht="12.75">
      <c r="C1301" s="165"/>
      <c r="D1301" s="165"/>
      <c r="E1301" s="165"/>
      <c r="K1301" s="12"/>
      <c r="L1301" s="12"/>
      <c r="M1301" s="12"/>
      <c r="N1301" s="12"/>
    </row>
    <row r="1302" spans="3:14" ht="12.75">
      <c r="C1302" s="165"/>
      <c r="D1302" s="165"/>
      <c r="E1302" s="165"/>
      <c r="K1302" s="12"/>
      <c r="L1302" s="12"/>
      <c r="M1302" s="12"/>
      <c r="N1302" s="12"/>
    </row>
    <row r="1303" spans="3:14" ht="12.75">
      <c r="C1303" s="165"/>
      <c r="D1303" s="165"/>
      <c r="E1303" s="165"/>
      <c r="K1303" s="12"/>
      <c r="L1303" s="12"/>
      <c r="M1303" s="12"/>
      <c r="N1303" s="12"/>
    </row>
    <row r="1304" spans="3:14" ht="12.75">
      <c r="C1304" s="165"/>
      <c r="D1304" s="165"/>
      <c r="E1304" s="165"/>
      <c r="K1304" s="12"/>
      <c r="L1304" s="12"/>
      <c r="M1304" s="12"/>
      <c r="N1304" s="12"/>
    </row>
    <row r="1305" spans="3:14" ht="12.75">
      <c r="C1305" s="165"/>
      <c r="D1305" s="165"/>
      <c r="E1305" s="165"/>
      <c r="K1305" s="12"/>
      <c r="L1305" s="12"/>
      <c r="M1305" s="12"/>
      <c r="N1305" s="12"/>
    </row>
    <row r="1306" spans="3:14" ht="12.75">
      <c r="C1306" s="165"/>
      <c r="D1306" s="165"/>
      <c r="E1306" s="165"/>
      <c r="K1306" s="12"/>
      <c r="L1306" s="12"/>
      <c r="M1306" s="12"/>
      <c r="N1306" s="12"/>
    </row>
    <row r="1307" spans="3:14" ht="12.75">
      <c r="C1307" s="165"/>
      <c r="D1307" s="165"/>
      <c r="E1307" s="165"/>
      <c r="K1307" s="12"/>
      <c r="L1307" s="12"/>
      <c r="M1307" s="12"/>
      <c r="N1307" s="12"/>
    </row>
    <row r="1308" spans="3:14" ht="12.75">
      <c r="C1308" s="165"/>
      <c r="D1308" s="165"/>
      <c r="E1308" s="165"/>
      <c r="K1308" s="12"/>
      <c r="L1308" s="12"/>
      <c r="M1308" s="12"/>
      <c r="N1308" s="12"/>
    </row>
    <row r="1309" spans="3:14" ht="12.75">
      <c r="C1309" s="165"/>
      <c r="D1309" s="165"/>
      <c r="E1309" s="165"/>
      <c r="K1309" s="12"/>
      <c r="L1309" s="12"/>
      <c r="M1309" s="12"/>
      <c r="N1309" s="12"/>
    </row>
    <row r="1310" spans="3:14" ht="12.75">
      <c r="C1310" s="165"/>
      <c r="D1310" s="165"/>
      <c r="E1310" s="165"/>
      <c r="K1310" s="12"/>
      <c r="L1310" s="12"/>
      <c r="M1310" s="12"/>
      <c r="N1310" s="12"/>
    </row>
    <row r="1311" spans="3:14" ht="12.75">
      <c r="C1311" s="165"/>
      <c r="D1311" s="165"/>
      <c r="E1311" s="165"/>
      <c r="K1311" s="12"/>
      <c r="L1311" s="12"/>
      <c r="M1311" s="12"/>
      <c r="N1311" s="12"/>
    </row>
    <row r="1312" spans="3:14" ht="12.75">
      <c r="C1312" s="165"/>
      <c r="D1312" s="165"/>
      <c r="E1312" s="165"/>
      <c r="K1312" s="12"/>
      <c r="L1312" s="12"/>
      <c r="M1312" s="12"/>
      <c r="N1312" s="12"/>
    </row>
    <row r="1313" spans="3:14" ht="12.75">
      <c r="C1313" s="165"/>
      <c r="D1313" s="165"/>
      <c r="E1313" s="165"/>
      <c r="K1313" s="12"/>
      <c r="L1313" s="12"/>
      <c r="M1313" s="12"/>
      <c r="N1313" s="12"/>
    </row>
    <row r="1314" spans="3:14" ht="12.75">
      <c r="C1314" s="165"/>
      <c r="D1314" s="165"/>
      <c r="E1314" s="165"/>
      <c r="K1314" s="12"/>
      <c r="L1314" s="12"/>
      <c r="M1314" s="12"/>
      <c r="N1314" s="12"/>
    </row>
    <row r="1315" spans="3:14" ht="12.75">
      <c r="C1315" s="165"/>
      <c r="D1315" s="165"/>
      <c r="E1315" s="165"/>
      <c r="K1315" s="12"/>
      <c r="L1315" s="12"/>
      <c r="M1315" s="12"/>
      <c r="N1315" s="12"/>
    </row>
    <row r="1316" spans="3:14" ht="12.75">
      <c r="C1316" s="165"/>
      <c r="D1316" s="165"/>
      <c r="E1316" s="165"/>
      <c r="K1316" s="12"/>
      <c r="L1316" s="12"/>
      <c r="M1316" s="12"/>
      <c r="N1316" s="12"/>
    </row>
    <row r="1317" spans="3:14" ht="12.75">
      <c r="C1317" s="165"/>
      <c r="D1317" s="165"/>
      <c r="E1317" s="165"/>
      <c r="K1317" s="12"/>
      <c r="L1317" s="12"/>
      <c r="M1317" s="12"/>
      <c r="N1317" s="12"/>
    </row>
    <row r="1318" spans="3:14" ht="12.75">
      <c r="C1318" s="165"/>
      <c r="D1318" s="165"/>
      <c r="E1318" s="165"/>
      <c r="K1318" s="12"/>
      <c r="L1318" s="12"/>
      <c r="M1318" s="12"/>
      <c r="N1318" s="12"/>
    </row>
    <row r="1319" spans="3:14" ht="12.75">
      <c r="C1319" s="165"/>
      <c r="D1319" s="165"/>
      <c r="E1319" s="165"/>
      <c r="K1319" s="12"/>
      <c r="L1319" s="12"/>
      <c r="M1319" s="12"/>
      <c r="N1319" s="12"/>
    </row>
    <row r="1320" spans="3:14" ht="12.75">
      <c r="C1320" s="165"/>
      <c r="D1320" s="165"/>
      <c r="E1320" s="165"/>
      <c r="K1320" s="12"/>
      <c r="L1320" s="12"/>
      <c r="M1320" s="12"/>
      <c r="N1320" s="12"/>
    </row>
    <row r="1321" spans="3:14" ht="12.75">
      <c r="C1321" s="165"/>
      <c r="D1321" s="165"/>
      <c r="E1321" s="165"/>
      <c r="K1321" s="12"/>
      <c r="L1321" s="12"/>
      <c r="M1321" s="12"/>
      <c r="N1321" s="12"/>
    </row>
    <row r="1322" spans="3:14" ht="12.75">
      <c r="C1322" s="165"/>
      <c r="D1322" s="165"/>
      <c r="E1322" s="165"/>
      <c r="K1322" s="12"/>
      <c r="L1322" s="12"/>
      <c r="M1322" s="12"/>
      <c r="N1322" s="12"/>
    </row>
    <row r="1323" spans="3:14" ht="12.75">
      <c r="C1323" s="165"/>
      <c r="D1323" s="165"/>
      <c r="E1323" s="165"/>
      <c r="K1323" s="12"/>
      <c r="L1323" s="12"/>
      <c r="M1323" s="12"/>
      <c r="N1323" s="12"/>
    </row>
    <row r="1324" spans="3:14" ht="12.75">
      <c r="C1324" s="165"/>
      <c r="D1324" s="165"/>
      <c r="E1324" s="165"/>
      <c r="K1324" s="12"/>
      <c r="L1324" s="12"/>
      <c r="M1324" s="12"/>
      <c r="N1324" s="12"/>
    </row>
    <row r="1325" spans="3:14" ht="12.75">
      <c r="C1325" s="165"/>
      <c r="D1325" s="165"/>
      <c r="E1325" s="165"/>
      <c r="K1325" s="12"/>
      <c r="L1325" s="12"/>
      <c r="M1325" s="12"/>
      <c r="N1325" s="12"/>
    </row>
    <row r="1326" spans="3:14" ht="12.75">
      <c r="C1326" s="165"/>
      <c r="D1326" s="165"/>
      <c r="E1326" s="165"/>
      <c r="K1326" s="12"/>
      <c r="L1326" s="12"/>
      <c r="M1326" s="12"/>
      <c r="N1326" s="12"/>
    </row>
    <row r="1327" spans="3:14" ht="12.75">
      <c r="C1327" s="165"/>
      <c r="D1327" s="165"/>
      <c r="E1327" s="165"/>
      <c r="K1327" s="12"/>
      <c r="L1327" s="12"/>
      <c r="M1327" s="12"/>
      <c r="N1327" s="12"/>
    </row>
    <row r="1328" spans="3:14" ht="12.75">
      <c r="C1328" s="165"/>
      <c r="D1328" s="165"/>
      <c r="E1328" s="165"/>
      <c r="K1328" s="12"/>
      <c r="L1328" s="12"/>
      <c r="M1328" s="12"/>
      <c r="N1328" s="12"/>
    </row>
    <row r="1329" spans="3:14" ht="12.75">
      <c r="C1329" s="165"/>
      <c r="D1329" s="165"/>
      <c r="E1329" s="165"/>
      <c r="K1329" s="12"/>
      <c r="L1329" s="12"/>
      <c r="M1329" s="12"/>
      <c r="N1329" s="12"/>
    </row>
    <row r="1330" spans="3:14" ht="12.75">
      <c r="C1330" s="165"/>
      <c r="D1330" s="165"/>
      <c r="E1330" s="165"/>
      <c r="K1330" s="12"/>
      <c r="L1330" s="12"/>
      <c r="M1330" s="12"/>
      <c r="N1330" s="12"/>
    </row>
    <row r="1331" spans="3:14" ht="12.75">
      <c r="C1331" s="165"/>
      <c r="D1331" s="165"/>
      <c r="E1331" s="165"/>
      <c r="K1331" s="12"/>
      <c r="L1331" s="12"/>
      <c r="M1331" s="12"/>
      <c r="N1331" s="12"/>
    </row>
    <row r="1332" spans="3:14" ht="12.75">
      <c r="C1332" s="165"/>
      <c r="D1332" s="165"/>
      <c r="E1332" s="165"/>
      <c r="K1332" s="12"/>
      <c r="L1332" s="12"/>
      <c r="M1332" s="12"/>
      <c r="N1332" s="12"/>
    </row>
    <row r="1333" spans="3:14" ht="12.75">
      <c r="C1333" s="165"/>
      <c r="D1333" s="165"/>
      <c r="E1333" s="165"/>
      <c r="K1333" s="12"/>
      <c r="L1333" s="12"/>
      <c r="M1333" s="12"/>
      <c r="N1333" s="12"/>
    </row>
    <row r="1334" spans="3:14" ht="12.75">
      <c r="C1334" s="165"/>
      <c r="D1334" s="165"/>
      <c r="E1334" s="165"/>
      <c r="K1334" s="12"/>
      <c r="L1334" s="12"/>
      <c r="M1334" s="12"/>
      <c r="N1334" s="12"/>
    </row>
    <row r="1335" spans="3:14" ht="12.75">
      <c r="C1335" s="165"/>
      <c r="D1335" s="165"/>
      <c r="E1335" s="165"/>
      <c r="K1335" s="12"/>
      <c r="L1335" s="12"/>
      <c r="M1335" s="12"/>
      <c r="N1335" s="12"/>
    </row>
    <row r="1336" spans="3:14" ht="12.75">
      <c r="C1336" s="165"/>
      <c r="D1336" s="165"/>
      <c r="E1336" s="165"/>
      <c r="K1336" s="12"/>
      <c r="L1336" s="12"/>
      <c r="M1336" s="12"/>
      <c r="N1336" s="12"/>
    </row>
    <row r="1337" spans="3:14" ht="12.75">
      <c r="C1337" s="165"/>
      <c r="D1337" s="165"/>
      <c r="E1337" s="165"/>
      <c r="K1337" s="12"/>
      <c r="L1337" s="12"/>
      <c r="M1337" s="12"/>
      <c r="N1337" s="12"/>
    </row>
    <row r="1338" spans="3:14" ht="12.75">
      <c r="C1338" s="165"/>
      <c r="D1338" s="165"/>
      <c r="E1338" s="165"/>
      <c r="K1338" s="12"/>
      <c r="L1338" s="12"/>
      <c r="M1338" s="12"/>
      <c r="N1338" s="12"/>
    </row>
    <row r="1339" spans="3:14" ht="12.75">
      <c r="C1339" s="165"/>
      <c r="D1339" s="165"/>
      <c r="E1339" s="165"/>
      <c r="K1339" s="12"/>
      <c r="L1339" s="12"/>
      <c r="M1339" s="12"/>
      <c r="N1339" s="12"/>
    </row>
    <row r="1340" spans="3:14" ht="12.75">
      <c r="C1340" s="165"/>
      <c r="D1340" s="165"/>
      <c r="E1340" s="165"/>
      <c r="K1340" s="12"/>
      <c r="L1340" s="12"/>
      <c r="M1340" s="12"/>
      <c r="N1340" s="12"/>
    </row>
    <row r="1341" spans="3:14" ht="12.75">
      <c r="C1341" s="165"/>
      <c r="D1341" s="165"/>
      <c r="E1341" s="165"/>
      <c r="K1341" s="12"/>
      <c r="L1341" s="12"/>
      <c r="M1341" s="12"/>
      <c r="N1341" s="12"/>
    </row>
    <row r="1342" spans="3:14" ht="12.75">
      <c r="C1342" s="165"/>
      <c r="D1342" s="165"/>
      <c r="E1342" s="165"/>
      <c r="K1342" s="12"/>
      <c r="L1342" s="12"/>
      <c r="M1342" s="12"/>
      <c r="N1342" s="12"/>
    </row>
    <row r="1343" spans="3:14" ht="12.75">
      <c r="C1343" s="165"/>
      <c r="D1343" s="165"/>
      <c r="E1343" s="165"/>
      <c r="K1343" s="12"/>
      <c r="L1343" s="12"/>
      <c r="M1343" s="12"/>
      <c r="N1343" s="12"/>
    </row>
    <row r="1344" spans="3:14" ht="12.75">
      <c r="C1344" s="165"/>
      <c r="D1344" s="165"/>
      <c r="E1344" s="165"/>
      <c r="K1344" s="12"/>
      <c r="L1344" s="12"/>
      <c r="M1344" s="12"/>
      <c r="N1344" s="12"/>
    </row>
    <row r="1345" spans="3:14" ht="12.75">
      <c r="C1345" s="165"/>
      <c r="D1345" s="165"/>
      <c r="E1345" s="165"/>
      <c r="K1345" s="12"/>
      <c r="L1345" s="12"/>
      <c r="M1345" s="12"/>
      <c r="N1345" s="12"/>
    </row>
    <row r="1346" spans="3:14" ht="12.75">
      <c r="C1346" s="165"/>
      <c r="D1346" s="165"/>
      <c r="E1346" s="165"/>
      <c r="K1346" s="12"/>
      <c r="L1346" s="12"/>
      <c r="M1346" s="12"/>
      <c r="N1346" s="12"/>
    </row>
    <row r="1347" spans="3:14" ht="12.75">
      <c r="C1347" s="165"/>
      <c r="D1347" s="165"/>
      <c r="E1347" s="165"/>
      <c r="K1347" s="12"/>
      <c r="L1347" s="12"/>
      <c r="M1347" s="12"/>
      <c r="N1347" s="12"/>
    </row>
    <row r="1348" spans="3:14" ht="12.75">
      <c r="C1348" s="165"/>
      <c r="D1348" s="165"/>
      <c r="E1348" s="165"/>
      <c r="K1348" s="12"/>
      <c r="L1348" s="12"/>
      <c r="M1348" s="12"/>
      <c r="N1348" s="12"/>
    </row>
    <row r="1349" spans="3:14" ht="12.75">
      <c r="C1349" s="165"/>
      <c r="D1349" s="165"/>
      <c r="E1349" s="165"/>
      <c r="K1349" s="12"/>
      <c r="L1349" s="12"/>
      <c r="M1349" s="12"/>
      <c r="N1349" s="12"/>
    </row>
    <row r="1350" spans="3:14" ht="12.75">
      <c r="C1350" s="165"/>
      <c r="D1350" s="165"/>
      <c r="E1350" s="165"/>
      <c r="K1350" s="12"/>
      <c r="L1350" s="12"/>
      <c r="M1350" s="12"/>
      <c r="N1350" s="12"/>
    </row>
    <row r="1351" spans="3:14" ht="12.75">
      <c r="C1351" s="165"/>
      <c r="D1351" s="165"/>
      <c r="E1351" s="165"/>
      <c r="K1351" s="12"/>
      <c r="L1351" s="12"/>
      <c r="M1351" s="12"/>
      <c r="N1351" s="12"/>
    </row>
    <row r="1352" spans="3:14" ht="12.75">
      <c r="C1352" s="165"/>
      <c r="D1352" s="165"/>
      <c r="E1352" s="165"/>
      <c r="K1352" s="12"/>
      <c r="L1352" s="12"/>
      <c r="M1352" s="12"/>
      <c r="N1352" s="12"/>
    </row>
    <row r="1353" spans="3:14" ht="12.75">
      <c r="C1353" s="165"/>
      <c r="D1353" s="165"/>
      <c r="E1353" s="165"/>
      <c r="K1353" s="12"/>
      <c r="L1353" s="12"/>
      <c r="M1353" s="12"/>
      <c r="N1353" s="12"/>
    </row>
    <row r="1354" spans="3:14" ht="12.75">
      <c r="C1354" s="165"/>
      <c r="D1354" s="165"/>
      <c r="E1354" s="165"/>
      <c r="K1354" s="12"/>
      <c r="L1354" s="12"/>
      <c r="M1354" s="12"/>
      <c r="N1354" s="12"/>
    </row>
    <row r="1355" spans="3:14" ht="12.75">
      <c r="C1355" s="165"/>
      <c r="D1355" s="165"/>
      <c r="E1355" s="165"/>
      <c r="K1355" s="12"/>
      <c r="L1355" s="12"/>
      <c r="M1355" s="12"/>
      <c r="N1355" s="12"/>
    </row>
    <row r="1356" spans="3:14" ht="12.75">
      <c r="C1356" s="165"/>
      <c r="D1356" s="165"/>
      <c r="E1356" s="165"/>
      <c r="K1356" s="12"/>
      <c r="L1356" s="12"/>
      <c r="M1356" s="12"/>
      <c r="N1356" s="12"/>
    </row>
    <row r="1357" spans="3:14" ht="12.75">
      <c r="C1357" s="165"/>
      <c r="D1357" s="165"/>
      <c r="E1357" s="165"/>
      <c r="K1357" s="12"/>
      <c r="L1357" s="12"/>
      <c r="M1357" s="12"/>
      <c r="N1357" s="12"/>
    </row>
    <row r="1358" spans="3:14" ht="12.75">
      <c r="C1358" s="165"/>
      <c r="D1358" s="165"/>
      <c r="E1358" s="165"/>
      <c r="K1358" s="12"/>
      <c r="L1358" s="12"/>
      <c r="M1358" s="12"/>
      <c r="N1358" s="12"/>
    </row>
    <row r="1359" spans="3:14" ht="12.75">
      <c r="C1359" s="165"/>
      <c r="D1359" s="165"/>
      <c r="E1359" s="165"/>
      <c r="K1359" s="12"/>
      <c r="L1359" s="12"/>
      <c r="M1359" s="12"/>
      <c r="N1359" s="12"/>
    </row>
    <row r="1360" spans="3:14" ht="12.75">
      <c r="C1360" s="165"/>
      <c r="D1360" s="165"/>
      <c r="E1360" s="165"/>
      <c r="K1360" s="12"/>
      <c r="L1360" s="12"/>
      <c r="M1360" s="12"/>
      <c r="N1360" s="12"/>
    </row>
    <row r="1361" spans="3:14" ht="12.75">
      <c r="C1361" s="165"/>
      <c r="D1361" s="165"/>
      <c r="E1361" s="165"/>
      <c r="K1361" s="12"/>
      <c r="L1361" s="12"/>
      <c r="M1361" s="12"/>
      <c r="N1361" s="12"/>
    </row>
    <row r="1362" spans="3:14" ht="12.75">
      <c r="C1362" s="165"/>
      <c r="D1362" s="165"/>
      <c r="E1362" s="165"/>
      <c r="K1362" s="12"/>
      <c r="L1362" s="12"/>
      <c r="M1362" s="12"/>
      <c r="N1362" s="12"/>
    </row>
    <row r="1363" spans="3:14" ht="12.75">
      <c r="C1363" s="165"/>
      <c r="D1363" s="165"/>
      <c r="E1363" s="165"/>
      <c r="K1363" s="12"/>
      <c r="L1363" s="12"/>
      <c r="M1363" s="12"/>
      <c r="N1363" s="12"/>
    </row>
    <row r="1364" spans="3:14" ht="12.75">
      <c r="C1364" s="165"/>
      <c r="D1364" s="165"/>
      <c r="E1364" s="165"/>
      <c r="K1364" s="12"/>
      <c r="L1364" s="12"/>
      <c r="M1364" s="12"/>
      <c r="N1364" s="12"/>
    </row>
    <row r="1365" spans="3:14" ht="12.75">
      <c r="C1365" s="165"/>
      <c r="D1365" s="165"/>
      <c r="E1365" s="165"/>
      <c r="K1365" s="12"/>
      <c r="L1365" s="12"/>
      <c r="M1365" s="12"/>
      <c r="N1365" s="12"/>
    </row>
    <row r="1366" spans="3:14" ht="12.75">
      <c r="C1366" s="165"/>
      <c r="D1366" s="165"/>
      <c r="E1366" s="165"/>
      <c r="K1366" s="12"/>
      <c r="L1366" s="12"/>
      <c r="M1366" s="12"/>
      <c r="N1366" s="12"/>
    </row>
    <row r="1367" spans="3:14" ht="12.75">
      <c r="C1367" s="165"/>
      <c r="D1367" s="165"/>
      <c r="E1367" s="165"/>
      <c r="K1367" s="12"/>
      <c r="L1367" s="12"/>
      <c r="M1367" s="12"/>
      <c r="N1367" s="12"/>
    </row>
    <row r="1368" spans="3:14" ht="12.75">
      <c r="C1368" s="165"/>
      <c r="D1368" s="165"/>
      <c r="E1368" s="165"/>
      <c r="K1368" s="12"/>
      <c r="L1368" s="12"/>
      <c r="M1368" s="12"/>
      <c r="N1368" s="12"/>
    </row>
    <row r="1369" spans="3:14" ht="12.75">
      <c r="C1369" s="165"/>
      <c r="D1369" s="165"/>
      <c r="E1369" s="165"/>
      <c r="K1369" s="12"/>
      <c r="L1369" s="12"/>
      <c r="M1369" s="12"/>
      <c r="N1369" s="12"/>
    </row>
    <row r="1370" spans="3:14" ht="12.75">
      <c r="C1370" s="165"/>
      <c r="D1370" s="165"/>
      <c r="E1370" s="165"/>
      <c r="K1370" s="12"/>
      <c r="L1370" s="12"/>
      <c r="M1370" s="12"/>
      <c r="N1370" s="12"/>
    </row>
    <row r="1371" spans="3:14" ht="12.75">
      <c r="C1371" s="165"/>
      <c r="D1371" s="165"/>
      <c r="E1371" s="165"/>
      <c r="K1371" s="12"/>
      <c r="L1371" s="12"/>
      <c r="M1371" s="12"/>
      <c r="N1371" s="12"/>
    </row>
    <row r="1372" spans="3:14" ht="12.75">
      <c r="C1372" s="165"/>
      <c r="D1372" s="165"/>
      <c r="E1372" s="165"/>
      <c r="K1372" s="12"/>
      <c r="L1372" s="12"/>
      <c r="M1372" s="12"/>
      <c r="N1372" s="12"/>
    </row>
    <row r="1373" spans="3:14" ht="12.75">
      <c r="C1373" s="165"/>
      <c r="D1373" s="165"/>
      <c r="E1373" s="165"/>
      <c r="K1373" s="12"/>
      <c r="L1373" s="12"/>
      <c r="M1373" s="12"/>
      <c r="N1373" s="12"/>
    </row>
    <row r="1374" spans="3:14" ht="12.75">
      <c r="C1374" s="165"/>
      <c r="D1374" s="165"/>
      <c r="E1374" s="165"/>
      <c r="K1374" s="12"/>
      <c r="L1374" s="12"/>
      <c r="M1374" s="12"/>
      <c r="N1374" s="12"/>
    </row>
    <row r="1375" spans="3:14" ht="12.75">
      <c r="C1375" s="165"/>
      <c r="D1375" s="165"/>
      <c r="E1375" s="165"/>
      <c r="K1375" s="12"/>
      <c r="L1375" s="12"/>
      <c r="M1375" s="12"/>
      <c r="N1375" s="12"/>
    </row>
    <row r="1376" spans="3:14" ht="12.75">
      <c r="C1376" s="165"/>
      <c r="D1376" s="165"/>
      <c r="E1376" s="165"/>
      <c r="K1376" s="12"/>
      <c r="L1376" s="12"/>
      <c r="M1376" s="12"/>
      <c r="N1376" s="12"/>
    </row>
    <row r="1377" spans="3:14" ht="12.75">
      <c r="C1377" s="165"/>
      <c r="D1377" s="165"/>
      <c r="E1377" s="165"/>
      <c r="K1377" s="12"/>
      <c r="L1377" s="12"/>
      <c r="M1377" s="12"/>
      <c r="N1377" s="12"/>
    </row>
    <row r="1378" spans="3:14" ht="12.75">
      <c r="C1378" s="165"/>
      <c r="D1378" s="165"/>
      <c r="E1378" s="165"/>
      <c r="K1378" s="12"/>
      <c r="L1378" s="12"/>
      <c r="M1378" s="12"/>
      <c r="N1378" s="12"/>
    </row>
    <row r="1379" spans="3:14" ht="12.75">
      <c r="C1379" s="165"/>
      <c r="D1379" s="165"/>
      <c r="E1379" s="165"/>
      <c r="K1379" s="12"/>
      <c r="L1379" s="12"/>
      <c r="M1379" s="12"/>
      <c r="N1379" s="12"/>
    </row>
    <row r="1380" spans="3:14" ht="12.75">
      <c r="C1380" s="165"/>
      <c r="D1380" s="165"/>
      <c r="E1380" s="165"/>
      <c r="K1380" s="12"/>
      <c r="L1380" s="12"/>
      <c r="M1380" s="12"/>
      <c r="N1380" s="12"/>
    </row>
    <row r="1381" spans="3:14" ht="12.75">
      <c r="C1381" s="165"/>
      <c r="D1381" s="165"/>
      <c r="E1381" s="165"/>
      <c r="K1381" s="12"/>
      <c r="L1381" s="12"/>
      <c r="M1381" s="12"/>
      <c r="N1381" s="12"/>
    </row>
    <row r="1382" spans="3:14" ht="12.75">
      <c r="C1382" s="165"/>
      <c r="D1382" s="165"/>
      <c r="E1382" s="165"/>
      <c r="K1382" s="12"/>
      <c r="L1382" s="12"/>
      <c r="M1382" s="12"/>
      <c r="N1382" s="12"/>
    </row>
    <row r="1383" spans="3:14" ht="12.75">
      <c r="C1383" s="165"/>
      <c r="D1383" s="165"/>
      <c r="E1383" s="165"/>
      <c r="K1383" s="12"/>
      <c r="L1383" s="12"/>
      <c r="M1383" s="12"/>
      <c r="N1383" s="12"/>
    </row>
    <row r="1384" spans="3:14" ht="12.75">
      <c r="C1384" s="165"/>
      <c r="D1384" s="165"/>
      <c r="E1384" s="165"/>
      <c r="K1384" s="12"/>
      <c r="L1384" s="12"/>
      <c r="M1384" s="12"/>
      <c r="N1384" s="12"/>
    </row>
    <row r="1385" spans="3:14" ht="12.75">
      <c r="C1385" s="165"/>
      <c r="D1385" s="165"/>
      <c r="E1385" s="165"/>
      <c r="K1385" s="12"/>
      <c r="L1385" s="12"/>
      <c r="M1385" s="12"/>
      <c r="N1385" s="12"/>
    </row>
    <row r="1386" spans="3:14" ht="12.75">
      <c r="C1386" s="165"/>
      <c r="D1386" s="165"/>
      <c r="E1386" s="165"/>
      <c r="K1386" s="12"/>
      <c r="L1386" s="12"/>
      <c r="M1386" s="12"/>
      <c r="N1386" s="12"/>
    </row>
    <row r="1387" spans="3:14" ht="12.75">
      <c r="C1387" s="165"/>
      <c r="D1387" s="165"/>
      <c r="E1387" s="165"/>
      <c r="K1387" s="12"/>
      <c r="L1387" s="12"/>
      <c r="M1387" s="12"/>
      <c r="N1387" s="12"/>
    </row>
    <row r="1388" spans="3:14" ht="12.75">
      <c r="C1388" s="165"/>
      <c r="D1388" s="165"/>
      <c r="E1388" s="165"/>
      <c r="K1388" s="12"/>
      <c r="L1388" s="12"/>
      <c r="M1388" s="12"/>
      <c r="N1388" s="12"/>
    </row>
    <row r="1389" spans="3:14" ht="12.75">
      <c r="C1389" s="165"/>
      <c r="D1389" s="165"/>
      <c r="E1389" s="165"/>
      <c r="K1389" s="12"/>
      <c r="L1389" s="12"/>
      <c r="M1389" s="12"/>
      <c r="N1389" s="12"/>
    </row>
    <row r="1390" spans="3:14" ht="12.75">
      <c r="C1390" s="165"/>
      <c r="D1390" s="165"/>
      <c r="E1390" s="165"/>
      <c r="K1390" s="12"/>
      <c r="L1390" s="12"/>
      <c r="M1390" s="12"/>
      <c r="N1390" s="12"/>
    </row>
    <row r="1391" spans="3:14" ht="12.75">
      <c r="C1391" s="165"/>
      <c r="D1391" s="165"/>
      <c r="E1391" s="165"/>
      <c r="K1391" s="12"/>
      <c r="L1391" s="12"/>
      <c r="M1391" s="12"/>
      <c r="N1391" s="12"/>
    </row>
    <row r="1392" spans="3:14" ht="12.75">
      <c r="C1392" s="165"/>
      <c r="D1392" s="165"/>
      <c r="E1392" s="165"/>
      <c r="K1392" s="12"/>
      <c r="L1392" s="12"/>
      <c r="M1392" s="12"/>
      <c r="N1392" s="12"/>
    </row>
    <row r="1393" spans="3:14" ht="12.75">
      <c r="C1393" s="165"/>
      <c r="D1393" s="165"/>
      <c r="E1393" s="165"/>
      <c r="K1393" s="12"/>
      <c r="L1393" s="12"/>
      <c r="M1393" s="12"/>
      <c r="N1393" s="12"/>
    </row>
    <row r="1394" spans="3:14" ht="12.75">
      <c r="C1394" s="165"/>
      <c r="D1394" s="165"/>
      <c r="E1394" s="165"/>
      <c r="K1394" s="12"/>
      <c r="L1394" s="12"/>
      <c r="M1394" s="12"/>
      <c r="N1394" s="12"/>
    </row>
    <row r="1395" spans="3:14" ht="12.75">
      <c r="C1395" s="165"/>
      <c r="D1395" s="165"/>
      <c r="E1395" s="165"/>
      <c r="K1395" s="12"/>
      <c r="L1395" s="12"/>
      <c r="M1395" s="12"/>
      <c r="N1395" s="12"/>
    </row>
    <row r="1396" spans="3:14" ht="12.75">
      <c r="C1396" s="165"/>
      <c r="D1396" s="165"/>
      <c r="E1396" s="165"/>
      <c r="K1396" s="12"/>
      <c r="L1396" s="12"/>
      <c r="M1396" s="12"/>
      <c r="N1396" s="12"/>
    </row>
    <row r="1397" spans="3:14" ht="12.75">
      <c r="C1397" s="165"/>
      <c r="D1397" s="165"/>
      <c r="E1397" s="165"/>
      <c r="K1397" s="12"/>
      <c r="L1397" s="12"/>
      <c r="M1397" s="12"/>
      <c r="N1397" s="12"/>
    </row>
    <row r="1398" spans="3:14" ht="12.75">
      <c r="C1398" s="165"/>
      <c r="D1398" s="165"/>
      <c r="E1398" s="165"/>
      <c r="K1398" s="12"/>
      <c r="L1398" s="12"/>
      <c r="M1398" s="12"/>
      <c r="N1398" s="12"/>
    </row>
    <row r="1399" spans="3:14" ht="12.75">
      <c r="C1399" s="165"/>
      <c r="D1399" s="165"/>
      <c r="E1399" s="165"/>
      <c r="K1399" s="12"/>
      <c r="L1399" s="12"/>
      <c r="M1399" s="12"/>
      <c r="N1399" s="12"/>
    </row>
    <row r="1400" spans="3:14" ht="12.75">
      <c r="C1400" s="165"/>
      <c r="D1400" s="165"/>
      <c r="E1400" s="165"/>
      <c r="K1400" s="12"/>
      <c r="L1400" s="12"/>
      <c r="M1400" s="12"/>
      <c r="N1400" s="12"/>
    </row>
    <row r="1401" spans="3:14" ht="12.75">
      <c r="C1401" s="165"/>
      <c r="D1401" s="165"/>
      <c r="E1401" s="165"/>
      <c r="K1401" s="12"/>
      <c r="L1401" s="12"/>
      <c r="M1401" s="12"/>
      <c r="N1401" s="12"/>
    </row>
    <row r="1402" spans="3:14" ht="12.75">
      <c r="C1402" s="165"/>
      <c r="D1402" s="165"/>
      <c r="E1402" s="165"/>
      <c r="K1402" s="12"/>
      <c r="L1402" s="12"/>
      <c r="M1402" s="12"/>
      <c r="N1402" s="12"/>
    </row>
    <row r="1403" spans="3:14" ht="12.75">
      <c r="C1403" s="165"/>
      <c r="D1403" s="165"/>
      <c r="E1403" s="165"/>
      <c r="K1403" s="12"/>
      <c r="L1403" s="12"/>
      <c r="M1403" s="12"/>
      <c r="N1403" s="12"/>
    </row>
    <row r="1404" spans="3:14" ht="12.75">
      <c r="C1404" s="165"/>
      <c r="D1404" s="165"/>
      <c r="E1404" s="165"/>
      <c r="K1404" s="12"/>
      <c r="L1404" s="12"/>
      <c r="M1404" s="12"/>
      <c r="N1404" s="12"/>
    </row>
    <row r="1405" spans="3:14" ht="12.75">
      <c r="C1405" s="165"/>
      <c r="D1405" s="165"/>
      <c r="E1405" s="165"/>
      <c r="K1405" s="12"/>
      <c r="L1405" s="12"/>
      <c r="M1405" s="12"/>
      <c r="N1405" s="12"/>
    </row>
    <row r="1406" spans="3:14" ht="12.75">
      <c r="C1406" s="165"/>
      <c r="D1406" s="165"/>
      <c r="E1406" s="165"/>
      <c r="K1406" s="12"/>
      <c r="L1406" s="12"/>
      <c r="M1406" s="12"/>
      <c r="N1406" s="12"/>
    </row>
    <row r="1407" spans="3:14" ht="12.75">
      <c r="C1407" s="165"/>
      <c r="D1407" s="165"/>
      <c r="E1407" s="165"/>
      <c r="K1407" s="12"/>
      <c r="L1407" s="12"/>
      <c r="M1407" s="12"/>
      <c r="N1407" s="12"/>
    </row>
    <row r="1408" spans="3:14" ht="12.75">
      <c r="C1408" s="165"/>
      <c r="D1408" s="165"/>
      <c r="E1408" s="165"/>
      <c r="K1408" s="12"/>
      <c r="L1408" s="12"/>
      <c r="M1408" s="12"/>
      <c r="N1408" s="12"/>
    </row>
    <row r="1409" spans="3:14" ht="12.75">
      <c r="C1409" s="165"/>
      <c r="D1409" s="165"/>
      <c r="E1409" s="165"/>
      <c r="K1409" s="12"/>
      <c r="L1409" s="12"/>
      <c r="M1409" s="12"/>
      <c r="N1409" s="12"/>
    </row>
    <row r="1410" spans="3:14" ht="12.75">
      <c r="C1410" s="165"/>
      <c r="D1410" s="165"/>
      <c r="E1410" s="165"/>
      <c r="K1410" s="12"/>
      <c r="L1410" s="12"/>
      <c r="M1410" s="12"/>
      <c r="N1410" s="12"/>
    </row>
    <row r="1411" spans="3:14" ht="12.75">
      <c r="C1411" s="165"/>
      <c r="D1411" s="165"/>
      <c r="E1411" s="165"/>
      <c r="K1411" s="12"/>
      <c r="L1411" s="12"/>
      <c r="M1411" s="12"/>
      <c r="N1411" s="12"/>
    </row>
    <row r="1412" spans="3:14" ht="12.75">
      <c r="C1412" s="165"/>
      <c r="D1412" s="165"/>
      <c r="E1412" s="165"/>
      <c r="K1412" s="12"/>
      <c r="L1412" s="12"/>
      <c r="M1412" s="12"/>
      <c r="N1412" s="12"/>
    </row>
    <row r="1413" spans="3:14" ht="12.75">
      <c r="C1413" s="165"/>
      <c r="D1413" s="165"/>
      <c r="E1413" s="165"/>
      <c r="K1413" s="12"/>
      <c r="L1413" s="12"/>
      <c r="M1413" s="12"/>
      <c r="N1413" s="12"/>
    </row>
    <row r="1414" spans="3:14" ht="12.75">
      <c r="C1414" s="165"/>
      <c r="D1414" s="165"/>
      <c r="E1414" s="165"/>
      <c r="K1414" s="12"/>
      <c r="L1414" s="12"/>
      <c r="M1414" s="12"/>
      <c r="N1414" s="12"/>
    </row>
    <row r="1415" spans="3:14" ht="12.75">
      <c r="C1415" s="165"/>
      <c r="D1415" s="165"/>
      <c r="E1415" s="165"/>
      <c r="K1415" s="12"/>
      <c r="L1415" s="12"/>
      <c r="M1415" s="12"/>
      <c r="N1415" s="12"/>
    </row>
    <row r="1416" spans="3:14" ht="12.75">
      <c r="C1416" s="165"/>
      <c r="D1416" s="165"/>
      <c r="E1416" s="165"/>
      <c r="K1416" s="12"/>
      <c r="L1416" s="12"/>
      <c r="M1416" s="12"/>
      <c r="N1416" s="12"/>
    </row>
    <row r="1417" spans="3:14" ht="12.75">
      <c r="C1417" s="165"/>
      <c r="D1417" s="165"/>
      <c r="E1417" s="165"/>
      <c r="K1417" s="12"/>
      <c r="L1417" s="12"/>
      <c r="M1417" s="12"/>
      <c r="N1417" s="12"/>
    </row>
    <row r="1418" spans="3:14" ht="12.75">
      <c r="C1418" s="165"/>
      <c r="D1418" s="165"/>
      <c r="E1418" s="165"/>
      <c r="K1418" s="12"/>
      <c r="L1418" s="12"/>
      <c r="M1418" s="12"/>
      <c r="N1418" s="12"/>
    </row>
    <row r="1419" spans="3:14" ht="12.75">
      <c r="C1419" s="165"/>
      <c r="D1419" s="165"/>
      <c r="E1419" s="165"/>
      <c r="K1419" s="12"/>
      <c r="L1419" s="12"/>
      <c r="M1419" s="12"/>
      <c r="N1419" s="12"/>
    </row>
    <row r="1420" spans="3:14" ht="12.75">
      <c r="C1420" s="165"/>
      <c r="D1420" s="165"/>
      <c r="E1420" s="165"/>
      <c r="K1420" s="12"/>
      <c r="L1420" s="12"/>
      <c r="M1420" s="12"/>
      <c r="N1420" s="12"/>
    </row>
    <row r="1421" spans="3:14" ht="12.75">
      <c r="C1421" s="165"/>
      <c r="D1421" s="165"/>
      <c r="E1421" s="165"/>
      <c r="K1421" s="12"/>
      <c r="L1421" s="12"/>
      <c r="M1421" s="12"/>
      <c r="N1421" s="12"/>
    </row>
    <row r="1422" spans="3:14" ht="12.75">
      <c r="C1422" s="165"/>
      <c r="D1422" s="165"/>
      <c r="E1422" s="165"/>
      <c r="K1422" s="12"/>
      <c r="L1422" s="12"/>
      <c r="M1422" s="12"/>
      <c r="N1422" s="12"/>
    </row>
    <row r="1423" spans="3:14" ht="12.75">
      <c r="C1423" s="165"/>
      <c r="D1423" s="165"/>
      <c r="E1423" s="165"/>
      <c r="K1423" s="12"/>
      <c r="L1423" s="12"/>
      <c r="M1423" s="12"/>
      <c r="N1423" s="12"/>
    </row>
    <row r="1424" spans="3:14" ht="12.75">
      <c r="C1424" s="165"/>
      <c r="D1424" s="165"/>
      <c r="E1424" s="165"/>
      <c r="K1424" s="12"/>
      <c r="L1424" s="12"/>
      <c r="M1424" s="12"/>
      <c r="N1424" s="12"/>
    </row>
    <row r="1425" spans="3:14" ht="12.75">
      <c r="C1425" s="165"/>
      <c r="D1425" s="165"/>
      <c r="E1425" s="165"/>
      <c r="K1425" s="12"/>
      <c r="L1425" s="12"/>
      <c r="M1425" s="12"/>
      <c r="N1425" s="12"/>
    </row>
    <row r="1426" spans="3:14" ht="12.75">
      <c r="C1426" s="165"/>
      <c r="D1426" s="165"/>
      <c r="E1426" s="165"/>
      <c r="K1426" s="12"/>
      <c r="L1426" s="12"/>
      <c r="M1426" s="12"/>
      <c r="N1426" s="12"/>
    </row>
    <row r="1427" spans="3:14" ht="12.75">
      <c r="C1427" s="165"/>
      <c r="D1427" s="165"/>
      <c r="E1427" s="165"/>
      <c r="K1427" s="12"/>
      <c r="L1427" s="12"/>
      <c r="M1427" s="12"/>
      <c r="N1427" s="12"/>
    </row>
    <row r="1428" spans="3:14" ht="12.75">
      <c r="C1428" s="165"/>
      <c r="D1428" s="165"/>
      <c r="E1428" s="165"/>
      <c r="K1428" s="12"/>
      <c r="L1428" s="12"/>
      <c r="M1428" s="12"/>
      <c r="N1428" s="12"/>
    </row>
    <row r="1429" spans="3:14" ht="12.75">
      <c r="C1429" s="165"/>
      <c r="D1429" s="165"/>
      <c r="E1429" s="165"/>
      <c r="K1429" s="12"/>
      <c r="L1429" s="12"/>
      <c r="M1429" s="12"/>
      <c r="N1429" s="12"/>
    </row>
    <row r="1430" spans="3:14" ht="12.75">
      <c r="C1430" s="165"/>
      <c r="D1430" s="165"/>
      <c r="E1430" s="165"/>
      <c r="K1430" s="12"/>
      <c r="L1430" s="12"/>
      <c r="M1430" s="12"/>
      <c r="N1430" s="12"/>
    </row>
    <row r="1431" spans="3:14" ht="12.75">
      <c r="C1431" s="165"/>
      <c r="D1431" s="165"/>
      <c r="E1431" s="165"/>
      <c r="K1431" s="12"/>
      <c r="L1431" s="12"/>
      <c r="M1431" s="12"/>
      <c r="N1431" s="12"/>
    </row>
    <row r="1432" spans="3:14" ht="12.75">
      <c r="C1432" s="165"/>
      <c r="D1432" s="165"/>
      <c r="E1432" s="165"/>
      <c r="K1432" s="12"/>
      <c r="L1432" s="12"/>
      <c r="M1432" s="12"/>
      <c r="N1432" s="12"/>
    </row>
    <row r="1433" spans="3:14" ht="12.75">
      <c r="C1433" s="165"/>
      <c r="D1433" s="165"/>
      <c r="E1433" s="165"/>
      <c r="K1433" s="12"/>
      <c r="L1433" s="12"/>
      <c r="M1433" s="12"/>
      <c r="N1433" s="12"/>
    </row>
    <row r="1434" spans="3:14" ht="12.75">
      <c r="C1434" s="165"/>
      <c r="D1434" s="165"/>
      <c r="E1434" s="165"/>
      <c r="K1434" s="12"/>
      <c r="L1434" s="12"/>
      <c r="M1434" s="12"/>
      <c r="N1434" s="12"/>
    </row>
    <row r="1435" spans="3:14" ht="12.75">
      <c r="C1435" s="165"/>
      <c r="D1435" s="165"/>
      <c r="E1435" s="165"/>
      <c r="K1435" s="12"/>
      <c r="L1435" s="12"/>
      <c r="M1435" s="12"/>
      <c r="N1435" s="12"/>
    </row>
    <row r="1436" spans="3:14" ht="12.75">
      <c r="C1436" s="165"/>
      <c r="D1436" s="165"/>
      <c r="E1436" s="165"/>
      <c r="K1436" s="12"/>
      <c r="L1436" s="12"/>
      <c r="M1436" s="12"/>
      <c r="N1436" s="12"/>
    </row>
    <row r="1437" spans="3:14" ht="12.75">
      <c r="C1437" s="165"/>
      <c r="D1437" s="165"/>
      <c r="E1437" s="165"/>
      <c r="K1437" s="12"/>
      <c r="L1437" s="12"/>
      <c r="M1437" s="12"/>
      <c r="N1437" s="12"/>
    </row>
    <row r="1438" spans="3:14" ht="12.75">
      <c r="C1438" s="165"/>
      <c r="D1438" s="165"/>
      <c r="E1438" s="165"/>
      <c r="K1438" s="12"/>
      <c r="L1438" s="12"/>
      <c r="M1438" s="12"/>
      <c r="N1438" s="12"/>
    </row>
    <row r="1439" spans="3:14" ht="12.75">
      <c r="C1439" s="165"/>
      <c r="D1439" s="165"/>
      <c r="E1439" s="165"/>
      <c r="K1439" s="12"/>
      <c r="L1439" s="12"/>
      <c r="M1439" s="12"/>
      <c r="N1439" s="12"/>
    </row>
    <row r="1440" spans="3:14" ht="12.75">
      <c r="C1440" s="165"/>
      <c r="D1440" s="165"/>
      <c r="E1440" s="165"/>
      <c r="K1440" s="12"/>
      <c r="L1440" s="12"/>
      <c r="M1440" s="12"/>
      <c r="N1440" s="12"/>
    </row>
    <row r="1441" spans="3:14" ht="12.75">
      <c r="C1441" s="165"/>
      <c r="D1441" s="165"/>
      <c r="E1441" s="165"/>
      <c r="K1441" s="12"/>
      <c r="L1441" s="12"/>
      <c r="M1441" s="12"/>
      <c r="N1441" s="12"/>
    </row>
    <row r="1442" spans="3:14" ht="12.75">
      <c r="C1442" s="165"/>
      <c r="D1442" s="165"/>
      <c r="E1442" s="165"/>
      <c r="K1442" s="12"/>
      <c r="L1442" s="12"/>
      <c r="M1442" s="12"/>
      <c r="N1442" s="12"/>
    </row>
    <row r="1443" spans="3:14" ht="12.75">
      <c r="C1443" s="165"/>
      <c r="D1443" s="165"/>
      <c r="E1443" s="165"/>
      <c r="K1443" s="12"/>
      <c r="L1443" s="12"/>
      <c r="M1443" s="12"/>
      <c r="N1443" s="12"/>
    </row>
    <row r="1444" spans="3:14" ht="12.75">
      <c r="C1444" s="165"/>
      <c r="D1444" s="165"/>
      <c r="E1444" s="165"/>
      <c r="K1444" s="12"/>
      <c r="L1444" s="12"/>
      <c r="M1444" s="12"/>
      <c r="N1444" s="12"/>
    </row>
    <row r="1445" spans="3:14" ht="12.75">
      <c r="C1445" s="165"/>
      <c r="D1445" s="165"/>
      <c r="E1445" s="165"/>
      <c r="K1445" s="12"/>
      <c r="L1445" s="12"/>
      <c r="M1445" s="12"/>
      <c r="N1445" s="12"/>
    </row>
    <row r="1446" spans="3:14" ht="12.75">
      <c r="C1446" s="165"/>
      <c r="D1446" s="165"/>
      <c r="E1446" s="165"/>
      <c r="K1446" s="12"/>
      <c r="L1446" s="12"/>
      <c r="M1446" s="12"/>
      <c r="N1446" s="12"/>
    </row>
    <row r="1447" spans="3:14" ht="12.75">
      <c r="C1447" s="165"/>
      <c r="D1447" s="165"/>
      <c r="E1447" s="165"/>
      <c r="K1447" s="12"/>
      <c r="L1447" s="12"/>
      <c r="M1447" s="12"/>
      <c r="N1447" s="12"/>
    </row>
    <row r="1448" spans="3:14" ht="12.75">
      <c r="C1448" s="165"/>
      <c r="D1448" s="165"/>
      <c r="E1448" s="165"/>
      <c r="K1448" s="12"/>
      <c r="L1448" s="12"/>
      <c r="M1448" s="12"/>
      <c r="N1448" s="12"/>
    </row>
    <row r="1449" spans="3:14" ht="12.75">
      <c r="C1449" s="165"/>
      <c r="D1449" s="165"/>
      <c r="E1449" s="165"/>
      <c r="K1449" s="12"/>
      <c r="L1449" s="12"/>
      <c r="M1449" s="12"/>
      <c r="N1449" s="12"/>
    </row>
    <row r="1450" spans="3:14" ht="12.75">
      <c r="C1450" s="165"/>
      <c r="D1450" s="165"/>
      <c r="E1450" s="165"/>
      <c r="K1450" s="12"/>
      <c r="L1450" s="12"/>
      <c r="M1450" s="12"/>
      <c r="N1450" s="12"/>
    </row>
    <row r="1451" spans="3:14" ht="12.75">
      <c r="C1451" s="165"/>
      <c r="D1451" s="165"/>
      <c r="E1451" s="165"/>
      <c r="K1451" s="12"/>
      <c r="L1451" s="12"/>
      <c r="M1451" s="12"/>
      <c r="N1451" s="12"/>
    </row>
    <row r="1452" spans="3:14" ht="12.75">
      <c r="C1452" s="165"/>
      <c r="D1452" s="165"/>
      <c r="E1452" s="165"/>
      <c r="K1452" s="12"/>
      <c r="L1452" s="12"/>
      <c r="M1452" s="12"/>
      <c r="N1452" s="12"/>
    </row>
    <row r="1453" spans="3:14" ht="12.75">
      <c r="C1453" s="165"/>
      <c r="D1453" s="165"/>
      <c r="E1453" s="165"/>
      <c r="K1453" s="12"/>
      <c r="L1453" s="12"/>
      <c r="M1453" s="12"/>
      <c r="N1453" s="12"/>
    </row>
    <row r="1454" spans="3:14" ht="12.75">
      <c r="C1454" s="165"/>
      <c r="D1454" s="165"/>
      <c r="E1454" s="165"/>
      <c r="K1454" s="12"/>
      <c r="L1454" s="12"/>
      <c r="M1454" s="12"/>
      <c r="N1454" s="12"/>
    </row>
    <row r="1455" spans="3:14" ht="12.75">
      <c r="C1455" s="165"/>
      <c r="D1455" s="165"/>
      <c r="E1455" s="165"/>
      <c r="K1455" s="12"/>
      <c r="L1455" s="12"/>
      <c r="M1455" s="12"/>
      <c r="N1455" s="12"/>
    </row>
    <row r="1456" spans="3:14" ht="12.75">
      <c r="C1456" s="165"/>
      <c r="D1456" s="165"/>
      <c r="E1456" s="165"/>
      <c r="K1456" s="12"/>
      <c r="L1456" s="12"/>
      <c r="M1456" s="12"/>
      <c r="N1456" s="12"/>
    </row>
    <row r="1457" spans="3:14" ht="12.75">
      <c r="C1457" s="165"/>
      <c r="D1457" s="165"/>
      <c r="E1457" s="165"/>
      <c r="K1457" s="12"/>
      <c r="L1457" s="12"/>
      <c r="M1457" s="12"/>
      <c r="N1457" s="12"/>
    </row>
    <row r="1458" spans="3:14" ht="12.75">
      <c r="C1458" s="165"/>
      <c r="D1458" s="165"/>
      <c r="E1458" s="165"/>
      <c r="K1458" s="12"/>
      <c r="L1458" s="12"/>
      <c r="M1458" s="12"/>
      <c r="N1458" s="12"/>
    </row>
    <row r="1459" spans="3:14" ht="12.75">
      <c r="C1459" s="165"/>
      <c r="D1459" s="165"/>
      <c r="E1459" s="165"/>
      <c r="K1459" s="12"/>
      <c r="L1459" s="12"/>
      <c r="M1459" s="12"/>
      <c r="N1459" s="12"/>
    </row>
    <row r="1460" spans="3:14" ht="12.75">
      <c r="C1460" s="165"/>
      <c r="D1460" s="165"/>
      <c r="E1460" s="165"/>
      <c r="K1460" s="12"/>
      <c r="L1460" s="12"/>
      <c r="M1460" s="12"/>
      <c r="N1460" s="12"/>
    </row>
    <row r="1461" spans="3:14" ht="12.75">
      <c r="C1461" s="165"/>
      <c r="D1461" s="165"/>
      <c r="E1461" s="165"/>
      <c r="K1461" s="12"/>
      <c r="L1461" s="12"/>
      <c r="M1461" s="12"/>
      <c r="N1461" s="12"/>
    </row>
    <row r="1462" spans="3:14" ht="12.75">
      <c r="C1462" s="165"/>
      <c r="D1462" s="165"/>
      <c r="E1462" s="165"/>
      <c r="K1462" s="12"/>
      <c r="L1462" s="12"/>
      <c r="M1462" s="12"/>
      <c r="N1462" s="12"/>
    </row>
    <row r="1463" spans="3:14" ht="12.75">
      <c r="C1463" s="165"/>
      <c r="D1463" s="165"/>
      <c r="E1463" s="165"/>
      <c r="K1463" s="12"/>
      <c r="L1463" s="12"/>
      <c r="M1463" s="12"/>
      <c r="N1463" s="12"/>
    </row>
    <row r="1464" spans="3:14" ht="12.75">
      <c r="C1464" s="165"/>
      <c r="D1464" s="165"/>
      <c r="E1464" s="165"/>
      <c r="K1464" s="12"/>
      <c r="L1464" s="12"/>
      <c r="M1464" s="12"/>
      <c r="N1464" s="12"/>
    </row>
    <row r="1465" spans="3:14" ht="12.75">
      <c r="C1465" s="165"/>
      <c r="D1465" s="165"/>
      <c r="E1465" s="165"/>
      <c r="K1465" s="12"/>
      <c r="L1465" s="12"/>
      <c r="M1465" s="12"/>
      <c r="N1465" s="12"/>
    </row>
    <row r="1466" spans="3:14" ht="12.75">
      <c r="C1466" s="165"/>
      <c r="D1466" s="165"/>
      <c r="E1466" s="165"/>
      <c r="K1466" s="12"/>
      <c r="L1466" s="12"/>
      <c r="M1466" s="12"/>
      <c r="N1466" s="12"/>
    </row>
    <row r="1467" spans="3:14" ht="12.75">
      <c r="C1467" s="165"/>
      <c r="D1467" s="165"/>
      <c r="E1467" s="165"/>
      <c r="K1467" s="12"/>
      <c r="L1467" s="12"/>
      <c r="M1467" s="12"/>
      <c r="N1467" s="12"/>
    </row>
    <row r="1468" spans="3:14" ht="12.75">
      <c r="C1468" s="165"/>
      <c r="D1468" s="165"/>
      <c r="E1468" s="165"/>
      <c r="K1468" s="12"/>
      <c r="L1468" s="12"/>
      <c r="M1468" s="12"/>
      <c r="N1468" s="12"/>
    </row>
    <row r="1469" spans="3:14" ht="12.75">
      <c r="C1469" s="165"/>
      <c r="D1469" s="165"/>
      <c r="E1469" s="165"/>
      <c r="K1469" s="12"/>
      <c r="L1469" s="12"/>
      <c r="M1469" s="12"/>
      <c r="N1469" s="12"/>
    </row>
    <row r="1470" spans="3:14" ht="12.75">
      <c r="C1470" s="165"/>
      <c r="D1470" s="165"/>
      <c r="E1470" s="165"/>
      <c r="K1470" s="12"/>
      <c r="L1470" s="12"/>
      <c r="M1470" s="12"/>
      <c r="N1470" s="12"/>
    </row>
    <row r="1471" spans="3:14" ht="12.75">
      <c r="C1471" s="165"/>
      <c r="D1471" s="165"/>
      <c r="E1471" s="165"/>
      <c r="K1471" s="12"/>
      <c r="L1471" s="12"/>
      <c r="M1471" s="12"/>
      <c r="N1471" s="12"/>
    </row>
    <row r="1472" spans="3:14" ht="12.75">
      <c r="C1472" s="165"/>
      <c r="D1472" s="165"/>
      <c r="E1472" s="165"/>
      <c r="K1472" s="12"/>
      <c r="L1472" s="12"/>
      <c r="M1472" s="12"/>
      <c r="N1472" s="12"/>
    </row>
    <row r="1473" spans="3:14" ht="12.75">
      <c r="C1473" s="165"/>
      <c r="D1473" s="165"/>
      <c r="E1473" s="165"/>
      <c r="K1473" s="12"/>
      <c r="L1473" s="12"/>
      <c r="M1473" s="12"/>
      <c r="N1473" s="12"/>
    </row>
    <row r="1474" spans="3:14" ht="12.75">
      <c r="C1474" s="165"/>
      <c r="D1474" s="165"/>
      <c r="E1474" s="165"/>
      <c r="K1474" s="12"/>
      <c r="L1474" s="12"/>
      <c r="M1474" s="12"/>
      <c r="N1474" s="12"/>
    </row>
    <row r="1475" spans="3:14" ht="12.75">
      <c r="C1475" s="165"/>
      <c r="D1475" s="165"/>
      <c r="E1475" s="165"/>
      <c r="K1475" s="12"/>
      <c r="L1475" s="12"/>
      <c r="M1475" s="12"/>
      <c r="N1475" s="12"/>
    </row>
    <row r="1476" spans="3:14" ht="12.75">
      <c r="C1476" s="165"/>
      <c r="D1476" s="165"/>
      <c r="E1476" s="165"/>
      <c r="K1476" s="12"/>
      <c r="L1476" s="12"/>
      <c r="M1476" s="12"/>
      <c r="N1476" s="12"/>
    </row>
    <row r="1477" spans="3:14" ht="12.75">
      <c r="C1477" s="165"/>
      <c r="D1477" s="165"/>
      <c r="E1477" s="165"/>
      <c r="K1477" s="12"/>
      <c r="L1477" s="12"/>
      <c r="M1477" s="12"/>
      <c r="N1477" s="12"/>
    </row>
    <row r="1478" spans="3:14" ht="12.75">
      <c r="C1478" s="165"/>
      <c r="D1478" s="165"/>
      <c r="E1478" s="165"/>
      <c r="K1478" s="12"/>
      <c r="L1478" s="12"/>
      <c r="M1478" s="12"/>
      <c r="N1478" s="12"/>
    </row>
    <row r="1479" spans="3:14" ht="12.75">
      <c r="C1479" s="165"/>
      <c r="D1479" s="165"/>
      <c r="E1479" s="165"/>
      <c r="K1479" s="12"/>
      <c r="L1479" s="12"/>
      <c r="M1479" s="12"/>
      <c r="N1479" s="12"/>
    </row>
    <row r="1480" spans="3:14" ht="12.75">
      <c r="C1480" s="165"/>
      <c r="D1480" s="165"/>
      <c r="E1480" s="165"/>
      <c r="K1480" s="12"/>
      <c r="L1480" s="12"/>
      <c r="M1480" s="12"/>
      <c r="N1480" s="12"/>
    </row>
    <row r="1481" spans="3:14" ht="12.75">
      <c r="C1481" s="165"/>
      <c r="D1481" s="165"/>
      <c r="E1481" s="165"/>
      <c r="K1481" s="12"/>
      <c r="L1481" s="12"/>
      <c r="M1481" s="12"/>
      <c r="N1481" s="12"/>
    </row>
    <row r="1482" spans="3:14" ht="12.75">
      <c r="C1482" s="165"/>
      <c r="D1482" s="165"/>
      <c r="E1482" s="165"/>
      <c r="K1482" s="12"/>
      <c r="L1482" s="12"/>
      <c r="M1482" s="12"/>
      <c r="N1482" s="12"/>
    </row>
    <row r="1483" spans="3:14" ht="12.75">
      <c r="C1483" s="165"/>
      <c r="D1483" s="165"/>
      <c r="E1483" s="165"/>
      <c r="K1483" s="12"/>
      <c r="L1483" s="12"/>
      <c r="M1483" s="12"/>
      <c r="N1483" s="12"/>
    </row>
    <row r="1484" spans="3:14" ht="12.75">
      <c r="C1484" s="165"/>
      <c r="D1484" s="165"/>
      <c r="E1484" s="165"/>
      <c r="K1484" s="12"/>
      <c r="L1484" s="12"/>
      <c r="M1484" s="12"/>
      <c r="N1484" s="12"/>
    </row>
    <row r="1485" spans="3:14" ht="12.75">
      <c r="C1485" s="165"/>
      <c r="D1485" s="165"/>
      <c r="E1485" s="165"/>
      <c r="K1485" s="12"/>
      <c r="L1485" s="12"/>
      <c r="M1485" s="12"/>
      <c r="N1485" s="12"/>
    </row>
    <row r="1486" spans="3:14" ht="12.75">
      <c r="C1486" s="165"/>
      <c r="D1486" s="165"/>
      <c r="E1486" s="165"/>
      <c r="K1486" s="12"/>
      <c r="L1486" s="12"/>
      <c r="M1486" s="12"/>
      <c r="N1486" s="12"/>
    </row>
    <row r="1487" spans="3:14" ht="12.75">
      <c r="C1487" s="165"/>
      <c r="D1487" s="165"/>
      <c r="E1487" s="165"/>
      <c r="K1487" s="12"/>
      <c r="L1487" s="12"/>
      <c r="M1487" s="12"/>
      <c r="N1487" s="12"/>
    </row>
    <row r="1488" spans="3:14" ht="12.75">
      <c r="C1488" s="165"/>
      <c r="D1488" s="165"/>
      <c r="E1488" s="165"/>
      <c r="K1488" s="12"/>
      <c r="L1488" s="12"/>
      <c r="M1488" s="12"/>
      <c r="N1488" s="12"/>
    </row>
    <row r="1489" spans="3:14" ht="12.75">
      <c r="C1489" s="165"/>
      <c r="D1489" s="165"/>
      <c r="E1489" s="165"/>
      <c r="K1489" s="12"/>
      <c r="L1489" s="12"/>
      <c r="M1489" s="12"/>
      <c r="N1489" s="12"/>
    </row>
    <row r="1490" spans="3:14" ht="12.75">
      <c r="C1490" s="165"/>
      <c r="D1490" s="165"/>
      <c r="E1490" s="165"/>
      <c r="K1490" s="12"/>
      <c r="L1490" s="12"/>
      <c r="M1490" s="12"/>
      <c r="N1490" s="12"/>
    </row>
    <row r="1491" spans="3:14" ht="12.75">
      <c r="C1491" s="165"/>
      <c r="D1491" s="165"/>
      <c r="E1491" s="165"/>
      <c r="K1491" s="12"/>
      <c r="L1491" s="12"/>
      <c r="M1491" s="12"/>
      <c r="N1491" s="12"/>
    </row>
    <row r="1492" spans="3:14" ht="12.75">
      <c r="C1492" s="165"/>
      <c r="D1492" s="165"/>
      <c r="E1492" s="165"/>
      <c r="K1492" s="12"/>
      <c r="L1492" s="12"/>
      <c r="M1492" s="12"/>
      <c r="N1492" s="12"/>
    </row>
    <row r="1493" spans="3:14" ht="12.75">
      <c r="C1493" s="165"/>
      <c r="D1493" s="165"/>
      <c r="E1493" s="165"/>
      <c r="K1493" s="12"/>
      <c r="L1493" s="12"/>
      <c r="M1493" s="12"/>
      <c r="N1493" s="12"/>
    </row>
    <row r="1494" spans="3:14" ht="12.75">
      <c r="C1494" s="165"/>
      <c r="D1494" s="165"/>
      <c r="E1494" s="165"/>
      <c r="K1494" s="12"/>
      <c r="L1494" s="12"/>
      <c r="M1494" s="12"/>
      <c r="N1494" s="12"/>
    </row>
    <row r="1495" spans="3:14" ht="12.75">
      <c r="C1495" s="165"/>
      <c r="D1495" s="165"/>
      <c r="E1495" s="165"/>
      <c r="K1495" s="12"/>
      <c r="L1495" s="12"/>
      <c r="M1495" s="12"/>
      <c r="N1495" s="12"/>
    </row>
    <row r="1496" spans="3:14" ht="12.75">
      <c r="C1496" s="165"/>
      <c r="D1496" s="165"/>
      <c r="E1496" s="165"/>
      <c r="K1496" s="12"/>
      <c r="L1496" s="12"/>
      <c r="M1496" s="12"/>
      <c r="N1496" s="12"/>
    </row>
    <row r="1497" spans="3:14" ht="12.75">
      <c r="C1497" s="165"/>
      <c r="D1497" s="165"/>
      <c r="E1497" s="165"/>
      <c r="K1497" s="12"/>
      <c r="L1497" s="12"/>
      <c r="M1497" s="12"/>
      <c r="N1497" s="12"/>
    </row>
    <row r="1498" spans="3:14" ht="12.75">
      <c r="C1498" s="165"/>
      <c r="D1498" s="165"/>
      <c r="E1498" s="165"/>
      <c r="K1498" s="12"/>
      <c r="L1498" s="12"/>
      <c r="M1498" s="12"/>
      <c r="N1498" s="12"/>
    </row>
    <row r="1499" spans="3:14" ht="12.75">
      <c r="C1499" s="165"/>
      <c r="D1499" s="165"/>
      <c r="E1499" s="165"/>
      <c r="K1499" s="12"/>
      <c r="L1499" s="12"/>
      <c r="M1499" s="12"/>
      <c r="N1499" s="12"/>
    </row>
    <row r="1500" spans="3:14" ht="12.75">
      <c r="C1500" s="165"/>
      <c r="D1500" s="165"/>
      <c r="E1500" s="165"/>
      <c r="K1500" s="12"/>
      <c r="L1500" s="12"/>
      <c r="M1500" s="12"/>
      <c r="N1500" s="12"/>
    </row>
    <row r="1501" spans="3:14" ht="12.75">
      <c r="C1501" s="165"/>
      <c r="D1501" s="165"/>
      <c r="E1501" s="165"/>
      <c r="K1501" s="12"/>
      <c r="L1501" s="12"/>
      <c r="M1501" s="12"/>
      <c r="N1501" s="12"/>
    </row>
    <row r="1502" spans="3:14" ht="12.75">
      <c r="C1502" s="165"/>
      <c r="D1502" s="165"/>
      <c r="E1502" s="165"/>
      <c r="K1502" s="12"/>
      <c r="L1502" s="12"/>
      <c r="M1502" s="12"/>
      <c r="N1502" s="12"/>
    </row>
    <row r="1503" spans="3:14" ht="12.75">
      <c r="C1503" s="165"/>
      <c r="D1503" s="165"/>
      <c r="E1503" s="165"/>
      <c r="K1503" s="12"/>
      <c r="L1503" s="12"/>
      <c r="M1503" s="12"/>
      <c r="N1503" s="12"/>
    </row>
    <row r="1504" spans="3:14" ht="12.75">
      <c r="C1504" s="165"/>
      <c r="D1504" s="165"/>
      <c r="E1504" s="165"/>
      <c r="K1504" s="12"/>
      <c r="L1504" s="12"/>
      <c r="M1504" s="12"/>
      <c r="N1504" s="12"/>
    </row>
    <row r="1505" spans="3:14" ht="12.75">
      <c r="C1505" s="165"/>
      <c r="D1505" s="165"/>
      <c r="E1505" s="165"/>
      <c r="K1505" s="12"/>
      <c r="L1505" s="12"/>
      <c r="M1505" s="12"/>
      <c r="N1505" s="12"/>
    </row>
    <row r="1506" spans="3:14" ht="12.75">
      <c r="C1506" s="165"/>
      <c r="D1506" s="165"/>
      <c r="E1506" s="165"/>
      <c r="K1506" s="12"/>
      <c r="L1506" s="12"/>
      <c r="M1506" s="12"/>
      <c r="N1506" s="12"/>
    </row>
    <row r="1507" spans="3:14" ht="12.75">
      <c r="C1507" s="165"/>
      <c r="D1507" s="165"/>
      <c r="E1507" s="165"/>
      <c r="K1507" s="12"/>
      <c r="L1507" s="12"/>
      <c r="M1507" s="12"/>
      <c r="N1507" s="12"/>
    </row>
    <row r="1508" spans="3:14" ht="12.75">
      <c r="C1508" s="165"/>
      <c r="D1508" s="165"/>
      <c r="E1508" s="165"/>
      <c r="K1508" s="12"/>
      <c r="L1508" s="12"/>
      <c r="M1508" s="12"/>
      <c r="N1508" s="12"/>
    </row>
    <row r="1509" spans="3:14" ht="12.75">
      <c r="C1509" s="165"/>
      <c r="D1509" s="165"/>
      <c r="E1509" s="165"/>
      <c r="K1509" s="12"/>
      <c r="L1509" s="12"/>
      <c r="M1509" s="12"/>
      <c r="N1509" s="12"/>
    </row>
    <row r="1510" spans="3:14" ht="12.75">
      <c r="C1510" s="165"/>
      <c r="D1510" s="165"/>
      <c r="E1510" s="165"/>
      <c r="K1510" s="12"/>
      <c r="L1510" s="12"/>
      <c r="M1510" s="12"/>
      <c r="N1510" s="12"/>
    </row>
    <row r="1511" spans="3:14" ht="12.75">
      <c r="C1511" s="165"/>
      <c r="D1511" s="165"/>
      <c r="E1511" s="165"/>
      <c r="K1511" s="12"/>
      <c r="L1511" s="12"/>
      <c r="M1511" s="12"/>
      <c r="N1511" s="12"/>
    </row>
    <row r="1512" spans="3:14" ht="12.75">
      <c r="C1512" s="165"/>
      <c r="D1512" s="165"/>
      <c r="E1512" s="165"/>
      <c r="K1512" s="12"/>
      <c r="L1512" s="12"/>
      <c r="M1512" s="12"/>
      <c r="N1512" s="12"/>
    </row>
    <row r="1513" spans="3:14" ht="12.75">
      <c r="C1513" s="165"/>
      <c r="D1513" s="165"/>
      <c r="E1513" s="165"/>
      <c r="K1513" s="12"/>
      <c r="L1513" s="12"/>
      <c r="M1513" s="12"/>
      <c r="N1513" s="12"/>
    </row>
    <row r="1514" spans="3:14" ht="12.75">
      <c r="C1514" s="165"/>
      <c r="D1514" s="165"/>
      <c r="E1514" s="165"/>
      <c r="K1514" s="12"/>
      <c r="L1514" s="12"/>
      <c r="M1514" s="12"/>
      <c r="N1514" s="12"/>
    </row>
    <row r="1515" spans="3:14" ht="12.75">
      <c r="C1515" s="165"/>
      <c r="D1515" s="165"/>
      <c r="E1515" s="165"/>
      <c r="K1515" s="12"/>
      <c r="L1515" s="12"/>
      <c r="M1515" s="12"/>
      <c r="N1515" s="12"/>
    </row>
    <row r="1516" spans="3:14" ht="12.75">
      <c r="C1516" s="165"/>
      <c r="D1516" s="165"/>
      <c r="E1516" s="165"/>
      <c r="K1516" s="12"/>
      <c r="L1516" s="12"/>
      <c r="M1516" s="12"/>
      <c r="N1516" s="12"/>
    </row>
    <row r="1517" spans="3:14" ht="12.75">
      <c r="C1517" s="165"/>
      <c r="D1517" s="165"/>
      <c r="E1517" s="165"/>
      <c r="K1517" s="12"/>
      <c r="L1517" s="12"/>
      <c r="M1517" s="12"/>
      <c r="N1517" s="12"/>
    </row>
    <row r="1518" spans="3:14" ht="12.75">
      <c r="C1518" s="165"/>
      <c r="D1518" s="165"/>
      <c r="E1518" s="165"/>
      <c r="K1518" s="12"/>
      <c r="L1518" s="12"/>
      <c r="M1518" s="12"/>
      <c r="N1518" s="12"/>
    </row>
    <row r="1519" spans="3:14" ht="12.75">
      <c r="C1519" s="165"/>
      <c r="D1519" s="165"/>
      <c r="E1519" s="165"/>
      <c r="K1519" s="12"/>
      <c r="L1519" s="12"/>
      <c r="M1519" s="12"/>
      <c r="N1519" s="12"/>
    </row>
    <row r="1520" spans="3:14" ht="12.75">
      <c r="C1520" s="165"/>
      <c r="D1520" s="165"/>
      <c r="E1520" s="165"/>
      <c r="K1520" s="12"/>
      <c r="L1520" s="12"/>
      <c r="M1520" s="12"/>
      <c r="N1520" s="12"/>
    </row>
    <row r="1521" spans="3:14" ht="12.75">
      <c r="C1521" s="165"/>
      <c r="D1521" s="165"/>
      <c r="E1521" s="165"/>
      <c r="K1521" s="12"/>
      <c r="L1521" s="12"/>
      <c r="M1521" s="12"/>
      <c r="N1521" s="12"/>
    </row>
    <row r="1522" spans="3:14" ht="12.75">
      <c r="C1522" s="165"/>
      <c r="D1522" s="165"/>
      <c r="E1522" s="165"/>
      <c r="K1522" s="12"/>
      <c r="L1522" s="12"/>
      <c r="M1522" s="12"/>
      <c r="N1522" s="12"/>
    </row>
    <row r="1523" spans="3:14" ht="12.75">
      <c r="C1523" s="165"/>
      <c r="D1523" s="165"/>
      <c r="E1523" s="165"/>
      <c r="K1523" s="12"/>
      <c r="L1523" s="12"/>
      <c r="M1523" s="12"/>
      <c r="N1523" s="12"/>
    </row>
    <row r="1524" spans="3:14" ht="12.75">
      <c r="C1524" s="165"/>
      <c r="D1524" s="165"/>
      <c r="E1524" s="165"/>
      <c r="K1524" s="12"/>
      <c r="L1524" s="12"/>
      <c r="M1524" s="12"/>
      <c r="N1524" s="12"/>
    </row>
    <row r="1525" spans="3:14" ht="12.75">
      <c r="C1525" s="165"/>
      <c r="D1525" s="165"/>
      <c r="E1525" s="165"/>
      <c r="K1525" s="12"/>
      <c r="L1525" s="12"/>
      <c r="M1525" s="12"/>
      <c r="N1525" s="12"/>
    </row>
    <row r="1526" spans="3:14" ht="12.75">
      <c r="C1526" s="165"/>
      <c r="D1526" s="165"/>
      <c r="E1526" s="165"/>
      <c r="K1526" s="12"/>
      <c r="L1526" s="12"/>
      <c r="M1526" s="12"/>
      <c r="N1526" s="12"/>
    </row>
    <row r="1527" spans="3:14" ht="12.75">
      <c r="C1527" s="165"/>
      <c r="D1527" s="165"/>
      <c r="E1527" s="165"/>
      <c r="K1527" s="12"/>
      <c r="L1527" s="12"/>
      <c r="M1527" s="12"/>
      <c r="N1527" s="12"/>
    </row>
    <row r="1528" spans="3:14" ht="12.75">
      <c r="C1528" s="165"/>
      <c r="D1528" s="165"/>
      <c r="E1528" s="165"/>
      <c r="K1528" s="12"/>
      <c r="L1528" s="12"/>
      <c r="M1528" s="12"/>
      <c r="N1528" s="12"/>
    </row>
    <row r="1529" spans="3:14" ht="12.75">
      <c r="C1529" s="165"/>
      <c r="D1529" s="165"/>
      <c r="E1529" s="165"/>
      <c r="K1529" s="12"/>
      <c r="L1529" s="12"/>
      <c r="M1529" s="12"/>
      <c r="N1529" s="12"/>
    </row>
    <row r="1530" spans="3:14" ht="12.75">
      <c r="C1530" s="165"/>
      <c r="D1530" s="165"/>
      <c r="E1530" s="165"/>
      <c r="K1530" s="12"/>
      <c r="L1530" s="12"/>
      <c r="M1530" s="12"/>
      <c r="N1530" s="12"/>
    </row>
    <row r="1531" spans="3:14" ht="12.75">
      <c r="C1531" s="165"/>
      <c r="D1531" s="165"/>
      <c r="E1531" s="165"/>
      <c r="K1531" s="12"/>
      <c r="L1531" s="12"/>
      <c r="M1531" s="12"/>
      <c r="N1531" s="12"/>
    </row>
    <row r="1532" spans="3:14" ht="12.75">
      <c r="C1532" s="165"/>
      <c r="D1532" s="165"/>
      <c r="E1532" s="165"/>
      <c r="K1532" s="12"/>
      <c r="L1532" s="12"/>
      <c r="M1532" s="12"/>
      <c r="N1532" s="12"/>
    </row>
    <row r="1533" spans="3:14" ht="12.75">
      <c r="C1533" s="165"/>
      <c r="D1533" s="165"/>
      <c r="E1533" s="165"/>
      <c r="K1533" s="12"/>
      <c r="L1533" s="12"/>
      <c r="M1533" s="12"/>
      <c r="N1533" s="12"/>
    </row>
    <row r="1534" spans="3:14" ht="12.75">
      <c r="C1534" s="165"/>
      <c r="D1534" s="165"/>
      <c r="E1534" s="165"/>
      <c r="K1534" s="12"/>
      <c r="L1534" s="12"/>
      <c r="M1534" s="12"/>
      <c r="N1534" s="12"/>
    </row>
    <row r="1535" spans="3:14" ht="12.75">
      <c r="C1535" s="165"/>
      <c r="D1535" s="165"/>
      <c r="E1535" s="165"/>
      <c r="K1535" s="12"/>
      <c r="L1535" s="12"/>
      <c r="M1535" s="12"/>
      <c r="N1535" s="12"/>
    </row>
    <row r="1536" spans="3:14" ht="12.75">
      <c r="C1536" s="165"/>
      <c r="D1536" s="165"/>
      <c r="E1536" s="165"/>
      <c r="K1536" s="12"/>
      <c r="L1536" s="12"/>
      <c r="M1536" s="12"/>
      <c r="N1536" s="12"/>
    </row>
    <row r="1537" spans="3:14" ht="12.75">
      <c r="C1537" s="165"/>
      <c r="D1537" s="165"/>
      <c r="E1537" s="165"/>
      <c r="K1537" s="12"/>
      <c r="L1537" s="12"/>
      <c r="M1537" s="12"/>
      <c r="N1537" s="12"/>
    </row>
    <row r="1538" spans="3:14" ht="12.75">
      <c r="C1538" s="165"/>
      <c r="D1538" s="165"/>
      <c r="E1538" s="165"/>
      <c r="K1538" s="12"/>
      <c r="L1538" s="12"/>
      <c r="M1538" s="12"/>
      <c r="N1538" s="12"/>
    </row>
    <row r="1539" spans="3:14" ht="12.75">
      <c r="C1539" s="165"/>
      <c r="D1539" s="165"/>
      <c r="E1539" s="165"/>
      <c r="K1539" s="12"/>
      <c r="L1539" s="12"/>
      <c r="M1539" s="12"/>
      <c r="N1539" s="12"/>
    </row>
    <row r="1540" spans="3:14" ht="12.75">
      <c r="C1540" s="165"/>
      <c r="D1540" s="165"/>
      <c r="E1540" s="165"/>
      <c r="K1540" s="12"/>
      <c r="L1540" s="12"/>
      <c r="M1540" s="12"/>
      <c r="N1540" s="12"/>
    </row>
    <row r="1541" spans="3:14" ht="12.75">
      <c r="C1541" s="165"/>
      <c r="D1541" s="165"/>
      <c r="E1541" s="165"/>
      <c r="K1541" s="12"/>
      <c r="L1541" s="12"/>
      <c r="M1541" s="12"/>
      <c r="N1541" s="12"/>
    </row>
    <row r="1542" spans="3:14" ht="12.75">
      <c r="C1542" s="165"/>
      <c r="D1542" s="165"/>
      <c r="E1542" s="165"/>
      <c r="K1542" s="12"/>
      <c r="L1542" s="12"/>
      <c r="M1542" s="12"/>
      <c r="N1542" s="12"/>
    </row>
    <row r="1543" spans="3:14" ht="12.75">
      <c r="C1543" s="165"/>
      <c r="D1543" s="165"/>
      <c r="E1543" s="165"/>
      <c r="K1543" s="12"/>
      <c r="L1543" s="12"/>
      <c r="M1543" s="12"/>
      <c r="N1543" s="12"/>
    </row>
    <row r="1544" spans="3:14" ht="12.75">
      <c r="C1544" s="165"/>
      <c r="D1544" s="165"/>
      <c r="E1544" s="165"/>
      <c r="K1544" s="12"/>
      <c r="L1544" s="12"/>
      <c r="M1544" s="12"/>
      <c r="N1544" s="12"/>
    </row>
    <row r="1545" spans="3:14" ht="12.75">
      <c r="C1545" s="165"/>
      <c r="D1545" s="165"/>
      <c r="E1545" s="165"/>
      <c r="K1545" s="12"/>
      <c r="L1545" s="12"/>
      <c r="M1545" s="12"/>
      <c r="N1545" s="12"/>
    </row>
    <row r="1546" spans="3:14" ht="12.75">
      <c r="C1546" s="165"/>
      <c r="D1546" s="165"/>
      <c r="E1546" s="165"/>
      <c r="K1546" s="12"/>
      <c r="L1546" s="12"/>
      <c r="M1546" s="12"/>
      <c r="N1546" s="12"/>
    </row>
    <row r="1547" spans="3:14" ht="12.75">
      <c r="C1547" s="165"/>
      <c r="D1547" s="165"/>
      <c r="E1547" s="165"/>
      <c r="K1547" s="12"/>
      <c r="L1547" s="12"/>
      <c r="M1547" s="12"/>
      <c r="N1547" s="12"/>
    </row>
    <row r="1548" spans="3:14" ht="12.75">
      <c r="C1548" s="165"/>
      <c r="D1548" s="165"/>
      <c r="E1548" s="165"/>
      <c r="K1548" s="12"/>
      <c r="L1548" s="12"/>
      <c r="M1548" s="12"/>
      <c r="N1548" s="12"/>
    </row>
    <row r="1549" spans="3:14" ht="12.75">
      <c r="C1549" s="165"/>
      <c r="D1549" s="165"/>
      <c r="E1549" s="165"/>
      <c r="K1549" s="12"/>
      <c r="L1549" s="12"/>
      <c r="M1549" s="12"/>
      <c r="N1549" s="12"/>
    </row>
    <row r="1550" spans="3:14" ht="12.75">
      <c r="C1550" s="165"/>
      <c r="D1550" s="165"/>
      <c r="E1550" s="165"/>
      <c r="K1550" s="12"/>
      <c r="L1550" s="12"/>
      <c r="M1550" s="12"/>
      <c r="N1550" s="12"/>
    </row>
    <row r="1551" spans="3:14" ht="12.75">
      <c r="C1551" s="165"/>
      <c r="D1551" s="165"/>
      <c r="E1551" s="165"/>
      <c r="K1551" s="12"/>
      <c r="L1551" s="12"/>
      <c r="M1551" s="12"/>
      <c r="N1551" s="12"/>
    </row>
    <row r="1552" spans="3:14" ht="12.75">
      <c r="C1552" s="165"/>
      <c r="D1552" s="165"/>
      <c r="E1552" s="165"/>
      <c r="K1552" s="12"/>
      <c r="L1552" s="12"/>
      <c r="M1552" s="12"/>
      <c r="N1552" s="12"/>
    </row>
    <row r="1553" spans="3:14" ht="12.75">
      <c r="C1553" s="165"/>
      <c r="D1553" s="165"/>
      <c r="E1553" s="165"/>
      <c r="K1553" s="12"/>
      <c r="L1553" s="12"/>
      <c r="M1553" s="12"/>
      <c r="N1553" s="12"/>
    </row>
    <row r="1554" spans="3:14" ht="12.75">
      <c r="C1554" s="165"/>
      <c r="D1554" s="165"/>
      <c r="E1554" s="165"/>
      <c r="K1554" s="12"/>
      <c r="L1554" s="12"/>
      <c r="M1554" s="12"/>
      <c r="N1554" s="12"/>
    </row>
    <row r="1555" spans="3:14" ht="12.75">
      <c r="C1555" s="165"/>
      <c r="D1555" s="165"/>
      <c r="E1555" s="165"/>
      <c r="K1555" s="12"/>
      <c r="L1555" s="12"/>
      <c r="M1555" s="12"/>
      <c r="N1555" s="12"/>
    </row>
    <row r="1556" spans="3:14" ht="12.75">
      <c r="C1556" s="165"/>
      <c r="D1556" s="165"/>
      <c r="E1556" s="165"/>
      <c r="K1556" s="12"/>
      <c r="L1556" s="12"/>
      <c r="M1556" s="12"/>
      <c r="N1556" s="12"/>
    </row>
    <row r="1557" spans="3:14" ht="12.75">
      <c r="C1557" s="165"/>
      <c r="D1557" s="165"/>
      <c r="E1557" s="165"/>
      <c r="K1557" s="12"/>
      <c r="L1557" s="12"/>
      <c r="M1557" s="12"/>
      <c r="N1557" s="12"/>
    </row>
    <row r="1558" spans="3:14" ht="12.75">
      <c r="C1558" s="165"/>
      <c r="D1558" s="165"/>
      <c r="E1558" s="165"/>
      <c r="K1558" s="12"/>
      <c r="L1558" s="12"/>
      <c r="M1558" s="12"/>
      <c r="N1558" s="12"/>
    </row>
    <row r="1559" spans="3:14" ht="12.75">
      <c r="C1559" s="165"/>
      <c r="D1559" s="165"/>
      <c r="E1559" s="165"/>
      <c r="K1559" s="12"/>
      <c r="L1559" s="12"/>
      <c r="M1559" s="12"/>
      <c r="N1559" s="12"/>
    </row>
    <row r="1560" spans="3:14" ht="12.75">
      <c r="C1560" s="165"/>
      <c r="D1560" s="165"/>
      <c r="E1560" s="165"/>
      <c r="K1560" s="12"/>
      <c r="L1560" s="12"/>
      <c r="M1560" s="12"/>
      <c r="N1560" s="12"/>
    </row>
    <row r="1561" spans="3:14" ht="12.75">
      <c r="C1561" s="165"/>
      <c r="D1561" s="165"/>
      <c r="E1561" s="165"/>
      <c r="K1561" s="12"/>
      <c r="L1561" s="12"/>
      <c r="M1561" s="12"/>
      <c r="N1561" s="12"/>
    </row>
    <row r="1562" spans="3:14" ht="12.75">
      <c r="C1562" s="165"/>
      <c r="D1562" s="165"/>
      <c r="E1562" s="165"/>
      <c r="K1562" s="12"/>
      <c r="L1562" s="12"/>
      <c r="M1562" s="12"/>
      <c r="N1562" s="12"/>
    </row>
    <row r="1563" spans="3:14" ht="12.75">
      <c r="C1563" s="165"/>
      <c r="D1563" s="165"/>
      <c r="E1563" s="165"/>
      <c r="K1563" s="12"/>
      <c r="L1563" s="12"/>
      <c r="M1563" s="12"/>
      <c r="N1563" s="12"/>
    </row>
    <row r="1564" spans="3:14" ht="12.75">
      <c r="C1564" s="165"/>
      <c r="D1564" s="165"/>
      <c r="E1564" s="165"/>
      <c r="K1564" s="12"/>
      <c r="L1564" s="12"/>
      <c r="M1564" s="12"/>
      <c r="N1564" s="12"/>
    </row>
    <row r="1565" spans="3:14" ht="12.75">
      <c r="C1565" s="165"/>
      <c r="D1565" s="165"/>
      <c r="E1565" s="165"/>
      <c r="K1565" s="12"/>
      <c r="L1565" s="12"/>
      <c r="M1565" s="12"/>
      <c r="N1565" s="12"/>
    </row>
    <row r="1566" spans="3:14" ht="12.75">
      <c r="C1566" s="165"/>
      <c r="D1566" s="165"/>
      <c r="E1566" s="165"/>
      <c r="K1566" s="12"/>
      <c r="L1566" s="12"/>
      <c r="M1566" s="12"/>
      <c r="N1566" s="12"/>
    </row>
    <row r="1567" spans="3:14" ht="12.75">
      <c r="C1567" s="165"/>
      <c r="D1567" s="165"/>
      <c r="E1567" s="165"/>
      <c r="K1567" s="12"/>
      <c r="L1567" s="12"/>
      <c r="M1567" s="12"/>
      <c r="N1567" s="12"/>
    </row>
    <row r="1568" spans="3:14" ht="12.75">
      <c r="C1568" s="165"/>
      <c r="D1568" s="165"/>
      <c r="E1568" s="165"/>
      <c r="K1568" s="12"/>
      <c r="L1568" s="12"/>
      <c r="M1568" s="12"/>
      <c r="N1568" s="12"/>
    </row>
    <row r="1569" spans="3:14" ht="12.75">
      <c r="C1569" s="165"/>
      <c r="D1569" s="165"/>
      <c r="E1569" s="165"/>
      <c r="K1569" s="12"/>
      <c r="L1569" s="12"/>
      <c r="M1569" s="12"/>
      <c r="N1569" s="12"/>
    </row>
    <row r="1570" spans="3:14" ht="12.75">
      <c r="C1570" s="165"/>
      <c r="D1570" s="165"/>
      <c r="E1570" s="165"/>
      <c r="K1570" s="12"/>
      <c r="L1570" s="12"/>
      <c r="M1570" s="12"/>
      <c r="N1570" s="12"/>
    </row>
    <row r="1571" spans="3:14" ht="12.75">
      <c r="C1571" s="165"/>
      <c r="D1571" s="165"/>
      <c r="E1571" s="165"/>
      <c r="K1571" s="12"/>
      <c r="L1571" s="12"/>
      <c r="M1571" s="12"/>
      <c r="N1571" s="12"/>
    </row>
    <row r="1572" spans="3:14" ht="12.75">
      <c r="C1572" s="165"/>
      <c r="D1572" s="165"/>
      <c r="E1572" s="165"/>
      <c r="K1572" s="12"/>
      <c r="L1572" s="12"/>
      <c r="M1572" s="12"/>
      <c r="N1572" s="12"/>
    </row>
    <row r="1573" spans="3:14" ht="12.75">
      <c r="C1573" s="165"/>
      <c r="D1573" s="165"/>
      <c r="E1573" s="165"/>
      <c r="K1573" s="12"/>
      <c r="L1573" s="12"/>
      <c r="M1573" s="12"/>
      <c r="N1573" s="12"/>
    </row>
    <row r="1574" spans="3:14" ht="12.75">
      <c r="C1574" s="165"/>
      <c r="D1574" s="165"/>
      <c r="E1574" s="165"/>
      <c r="K1574" s="12"/>
      <c r="L1574" s="12"/>
      <c r="M1574" s="12"/>
      <c r="N1574" s="12"/>
    </row>
    <row r="1575" spans="3:14" ht="12.75">
      <c r="C1575" s="165"/>
      <c r="D1575" s="165"/>
      <c r="E1575" s="165"/>
      <c r="K1575" s="12"/>
      <c r="L1575" s="12"/>
      <c r="M1575" s="12"/>
      <c r="N1575" s="12"/>
    </row>
    <row r="1576" spans="3:14" ht="12.75">
      <c r="C1576" s="165"/>
      <c r="D1576" s="165"/>
      <c r="E1576" s="165"/>
      <c r="K1576" s="12"/>
      <c r="L1576" s="12"/>
      <c r="M1576" s="12"/>
      <c r="N1576" s="12"/>
    </row>
    <row r="1577" spans="3:14" ht="12.75">
      <c r="C1577" s="165"/>
      <c r="D1577" s="165"/>
      <c r="E1577" s="165"/>
      <c r="K1577" s="12"/>
      <c r="L1577" s="12"/>
      <c r="M1577" s="12"/>
      <c r="N1577" s="12"/>
    </row>
    <row r="1578" spans="3:14" ht="12.75">
      <c r="C1578" s="165"/>
      <c r="D1578" s="165"/>
      <c r="E1578" s="165"/>
      <c r="K1578" s="12"/>
      <c r="L1578" s="12"/>
      <c r="M1578" s="12"/>
      <c r="N1578" s="12"/>
    </row>
    <row r="1579" spans="3:14" ht="12.75">
      <c r="C1579" s="165"/>
      <c r="D1579" s="165"/>
      <c r="E1579" s="165"/>
      <c r="K1579" s="12"/>
      <c r="L1579" s="12"/>
      <c r="M1579" s="12"/>
      <c r="N1579" s="12"/>
    </row>
    <row r="1580" spans="3:14" ht="12.75">
      <c r="C1580" s="165"/>
      <c r="D1580" s="165"/>
      <c r="E1580" s="165"/>
      <c r="K1580" s="12"/>
      <c r="L1580" s="12"/>
      <c r="M1580" s="12"/>
      <c r="N1580" s="12"/>
    </row>
    <row r="1581" spans="3:14" ht="12.75">
      <c r="C1581" s="165"/>
      <c r="D1581" s="165"/>
      <c r="E1581" s="165"/>
      <c r="K1581" s="12"/>
      <c r="L1581" s="12"/>
      <c r="M1581" s="12"/>
      <c r="N1581" s="12"/>
    </row>
    <row r="1582" spans="3:14" ht="12.75">
      <c r="C1582" s="165"/>
      <c r="D1582" s="165"/>
      <c r="E1582" s="165"/>
      <c r="K1582" s="12"/>
      <c r="L1582" s="12"/>
      <c r="M1582" s="12"/>
      <c r="N1582" s="12"/>
    </row>
    <row r="1583" spans="3:14" ht="12.75">
      <c r="C1583" s="165"/>
      <c r="D1583" s="165"/>
      <c r="E1583" s="165"/>
      <c r="K1583" s="12"/>
      <c r="L1583" s="12"/>
      <c r="M1583" s="12"/>
      <c r="N1583" s="12"/>
    </row>
    <row r="1584" spans="3:14" ht="12.75">
      <c r="C1584" s="165"/>
      <c r="D1584" s="165"/>
      <c r="E1584" s="165"/>
      <c r="K1584" s="12"/>
      <c r="L1584" s="12"/>
      <c r="M1584" s="12"/>
      <c r="N1584" s="12"/>
    </row>
    <row r="1585" spans="3:14" ht="12.75">
      <c r="C1585" s="165"/>
      <c r="D1585" s="165"/>
      <c r="E1585" s="165"/>
      <c r="K1585" s="12"/>
      <c r="L1585" s="12"/>
      <c r="M1585" s="12"/>
      <c r="N1585" s="12"/>
    </row>
    <row r="1586" spans="3:14" ht="12.75">
      <c r="C1586" s="165"/>
      <c r="D1586" s="165"/>
      <c r="E1586" s="165"/>
      <c r="K1586" s="12"/>
      <c r="L1586" s="12"/>
      <c r="M1586" s="12"/>
      <c r="N1586" s="12"/>
    </row>
    <row r="1587" spans="3:14" ht="12.75">
      <c r="C1587" s="165"/>
      <c r="D1587" s="165"/>
      <c r="E1587" s="165"/>
      <c r="K1587" s="12"/>
      <c r="L1587" s="12"/>
      <c r="M1587" s="12"/>
      <c r="N1587" s="12"/>
    </row>
    <row r="1588" spans="3:14" ht="12.75">
      <c r="C1588" s="165"/>
      <c r="D1588" s="165"/>
      <c r="E1588" s="165"/>
      <c r="K1588" s="12"/>
      <c r="L1588" s="12"/>
      <c r="M1588" s="12"/>
      <c r="N1588" s="12"/>
    </row>
    <row r="1589" spans="3:14" ht="12.75">
      <c r="C1589" s="165"/>
      <c r="D1589" s="165"/>
      <c r="E1589" s="165"/>
      <c r="K1589" s="12"/>
      <c r="L1589" s="12"/>
      <c r="M1589" s="12"/>
      <c r="N1589" s="12"/>
    </row>
    <row r="1590" spans="3:14" ht="12.75">
      <c r="C1590" s="165"/>
      <c r="D1590" s="165"/>
      <c r="E1590" s="165"/>
      <c r="K1590" s="12"/>
      <c r="L1590" s="12"/>
      <c r="M1590" s="12"/>
      <c r="N1590" s="12"/>
    </row>
    <row r="1591" spans="3:14" ht="12.75">
      <c r="C1591" s="165"/>
      <c r="D1591" s="165"/>
      <c r="E1591" s="165"/>
      <c r="K1591" s="12"/>
      <c r="L1591" s="12"/>
      <c r="M1591" s="12"/>
      <c r="N1591" s="12"/>
    </row>
    <row r="1592" spans="3:14" ht="12.75">
      <c r="C1592" s="165"/>
      <c r="D1592" s="165"/>
      <c r="E1592" s="165"/>
      <c r="K1592" s="12"/>
      <c r="L1592" s="12"/>
      <c r="M1592" s="12"/>
      <c r="N1592" s="12"/>
    </row>
    <row r="1593" spans="3:14" ht="12.75">
      <c r="C1593" s="165"/>
      <c r="D1593" s="165"/>
      <c r="E1593" s="165"/>
      <c r="K1593" s="12"/>
      <c r="L1593" s="12"/>
      <c r="M1593" s="12"/>
      <c r="N1593" s="12"/>
    </row>
    <row r="1594" spans="3:14" ht="12.75">
      <c r="C1594" s="165"/>
      <c r="D1594" s="165"/>
      <c r="E1594" s="165"/>
      <c r="K1594" s="12"/>
      <c r="L1594" s="12"/>
      <c r="M1594" s="12"/>
      <c r="N1594" s="12"/>
    </row>
    <row r="1595" spans="3:14" ht="12.75">
      <c r="C1595" s="165"/>
      <c r="D1595" s="165"/>
      <c r="E1595" s="165"/>
      <c r="K1595" s="12"/>
      <c r="L1595" s="12"/>
      <c r="M1595" s="12"/>
      <c r="N1595" s="12"/>
    </row>
    <row r="1596" spans="3:14" ht="12.75">
      <c r="C1596" s="165"/>
      <c r="D1596" s="165"/>
      <c r="E1596" s="165"/>
      <c r="K1596" s="12"/>
      <c r="L1596" s="12"/>
      <c r="M1596" s="12"/>
      <c r="N1596" s="12"/>
    </row>
    <row r="1597" spans="3:14" ht="12.75">
      <c r="C1597" s="165"/>
      <c r="D1597" s="165"/>
      <c r="E1597" s="165"/>
      <c r="K1597" s="12"/>
      <c r="L1597" s="12"/>
      <c r="M1597" s="12"/>
      <c r="N1597" s="12"/>
    </row>
    <row r="1598" spans="3:14" ht="12.75">
      <c r="C1598" s="165"/>
      <c r="D1598" s="165"/>
      <c r="E1598" s="165"/>
      <c r="K1598" s="12"/>
      <c r="L1598" s="12"/>
      <c r="M1598" s="12"/>
      <c r="N1598" s="12"/>
    </row>
    <row r="1599" spans="3:14" ht="12.75">
      <c r="C1599" s="165"/>
      <c r="D1599" s="165"/>
      <c r="E1599" s="165"/>
      <c r="K1599" s="12"/>
      <c r="L1599" s="12"/>
      <c r="M1599" s="12"/>
      <c r="N1599" s="12"/>
    </row>
    <row r="1600" spans="3:14" ht="12.75">
      <c r="C1600" s="165"/>
      <c r="D1600" s="165"/>
      <c r="E1600" s="165"/>
      <c r="K1600" s="12"/>
      <c r="L1600" s="12"/>
      <c r="M1600" s="12"/>
      <c r="N1600" s="12"/>
    </row>
    <row r="1601" spans="3:14" ht="12.75">
      <c r="C1601" s="165"/>
      <c r="D1601" s="165"/>
      <c r="E1601" s="165"/>
      <c r="K1601" s="12"/>
      <c r="L1601" s="12"/>
      <c r="M1601" s="12"/>
      <c r="N1601" s="12"/>
    </row>
    <row r="1602" spans="3:14" ht="12.75">
      <c r="C1602" s="165"/>
      <c r="D1602" s="165"/>
      <c r="E1602" s="165"/>
      <c r="K1602" s="12"/>
      <c r="L1602" s="12"/>
      <c r="M1602" s="12"/>
      <c r="N1602" s="12"/>
    </row>
    <row r="1603" spans="3:14" ht="12.75">
      <c r="C1603" s="165"/>
      <c r="D1603" s="165"/>
      <c r="E1603" s="165"/>
      <c r="K1603" s="12"/>
      <c r="L1603" s="12"/>
      <c r="M1603" s="12"/>
      <c r="N1603" s="12"/>
    </row>
    <row r="1604" spans="3:14" ht="12.75">
      <c r="C1604" s="165"/>
      <c r="D1604" s="165"/>
      <c r="E1604" s="165"/>
      <c r="K1604" s="12"/>
      <c r="L1604" s="12"/>
      <c r="M1604" s="12"/>
      <c r="N1604" s="12"/>
    </row>
    <row r="1605" spans="3:14" ht="12.75">
      <c r="C1605" s="165"/>
      <c r="D1605" s="165"/>
      <c r="E1605" s="165"/>
      <c r="K1605" s="12"/>
      <c r="L1605" s="12"/>
      <c r="M1605" s="12"/>
      <c r="N1605" s="12"/>
    </row>
    <row r="1606" spans="3:14" ht="12.75">
      <c r="C1606" s="165"/>
      <c r="D1606" s="165"/>
      <c r="E1606" s="165"/>
      <c r="K1606" s="12"/>
      <c r="L1606" s="12"/>
      <c r="M1606" s="12"/>
      <c r="N1606" s="12"/>
    </row>
    <row r="1607" spans="3:14" ht="12.75">
      <c r="C1607" s="165"/>
      <c r="D1607" s="165"/>
      <c r="E1607" s="165"/>
      <c r="K1607" s="12"/>
      <c r="L1607" s="12"/>
      <c r="M1607" s="12"/>
      <c r="N1607" s="12"/>
    </row>
    <row r="1608" spans="3:14" ht="12.75">
      <c r="C1608" s="165"/>
      <c r="D1608" s="165"/>
      <c r="E1608" s="165"/>
      <c r="K1608" s="12"/>
      <c r="L1608" s="12"/>
      <c r="M1608" s="12"/>
      <c r="N1608" s="12"/>
    </row>
    <row r="1609" spans="3:14" ht="12.75">
      <c r="C1609" s="165"/>
      <c r="D1609" s="165"/>
      <c r="E1609" s="165"/>
      <c r="K1609" s="12"/>
      <c r="L1609" s="12"/>
      <c r="M1609" s="12"/>
      <c r="N1609" s="12"/>
    </row>
    <row r="1610" spans="3:14" ht="12.75">
      <c r="C1610" s="165"/>
      <c r="D1610" s="165"/>
      <c r="E1610" s="165"/>
      <c r="K1610" s="12"/>
      <c r="L1610" s="12"/>
      <c r="M1610" s="12"/>
      <c r="N1610" s="12"/>
    </row>
    <row r="1611" spans="3:14" ht="12.75">
      <c r="C1611" s="165"/>
      <c r="D1611" s="165"/>
      <c r="E1611" s="165"/>
      <c r="K1611" s="12"/>
      <c r="L1611" s="12"/>
      <c r="M1611" s="12"/>
      <c r="N1611" s="12"/>
    </row>
    <row r="1612" spans="3:14" ht="12.75">
      <c r="C1612" s="165"/>
      <c r="D1612" s="165"/>
      <c r="E1612" s="165"/>
      <c r="K1612" s="12"/>
      <c r="L1612" s="12"/>
      <c r="M1612" s="12"/>
      <c r="N1612" s="12"/>
    </row>
    <row r="1613" spans="3:14" ht="12.75">
      <c r="C1613" s="165"/>
      <c r="D1613" s="165"/>
      <c r="E1613" s="165"/>
      <c r="K1613" s="12"/>
      <c r="L1613" s="12"/>
      <c r="M1613" s="12"/>
      <c r="N1613" s="12"/>
    </row>
    <row r="1614" spans="3:14" ht="12.75">
      <c r="C1614" s="165"/>
      <c r="D1614" s="165"/>
      <c r="E1614" s="165"/>
      <c r="K1614" s="12"/>
      <c r="L1614" s="12"/>
      <c r="M1614" s="12"/>
      <c r="N1614" s="12"/>
    </row>
    <row r="1615" spans="3:14" ht="12.75">
      <c r="C1615" s="165"/>
      <c r="D1615" s="165"/>
      <c r="E1615" s="165"/>
      <c r="K1615" s="12"/>
      <c r="L1615" s="12"/>
      <c r="M1615" s="12"/>
      <c r="N1615" s="12"/>
    </row>
    <row r="1616" spans="3:14" ht="12.75">
      <c r="C1616" s="165"/>
      <c r="D1616" s="165"/>
      <c r="E1616" s="165"/>
      <c r="K1616" s="12"/>
      <c r="L1616" s="12"/>
      <c r="M1616" s="12"/>
      <c r="N1616" s="12"/>
    </row>
    <row r="1617" spans="3:14" ht="12.75">
      <c r="C1617" s="165"/>
      <c r="D1617" s="165"/>
      <c r="E1617" s="165"/>
      <c r="K1617" s="12"/>
      <c r="L1617" s="12"/>
      <c r="M1617" s="12"/>
      <c r="N1617" s="12"/>
    </row>
    <row r="1618" spans="3:14" ht="12.75">
      <c r="C1618" s="165"/>
      <c r="D1618" s="165"/>
      <c r="E1618" s="165"/>
      <c r="K1618" s="12"/>
      <c r="L1618" s="12"/>
      <c r="M1618" s="12"/>
      <c r="N1618" s="12"/>
    </row>
    <row r="1619" spans="3:14" ht="12.75">
      <c r="C1619" s="165"/>
      <c r="D1619" s="165"/>
      <c r="E1619" s="165"/>
      <c r="K1619" s="12"/>
      <c r="L1619" s="12"/>
      <c r="M1619" s="12"/>
      <c r="N1619" s="12"/>
    </row>
    <row r="1620" spans="3:14" ht="12.75">
      <c r="C1620" s="165"/>
      <c r="D1620" s="165"/>
      <c r="E1620" s="165"/>
      <c r="K1620" s="12"/>
      <c r="L1620" s="12"/>
      <c r="M1620" s="12"/>
      <c r="N1620" s="12"/>
    </row>
    <row r="1621" spans="3:14" ht="12.75">
      <c r="C1621" s="165"/>
      <c r="D1621" s="165"/>
      <c r="E1621" s="165"/>
      <c r="K1621" s="12"/>
      <c r="L1621" s="12"/>
      <c r="M1621" s="12"/>
      <c r="N1621" s="12"/>
    </row>
    <row r="1622" spans="3:14" ht="12.75">
      <c r="C1622" s="165"/>
      <c r="D1622" s="165"/>
      <c r="E1622" s="165"/>
      <c r="K1622" s="12"/>
      <c r="L1622" s="12"/>
      <c r="M1622" s="12"/>
      <c r="N1622" s="12"/>
    </row>
    <row r="1623" spans="3:14" ht="12.75">
      <c r="C1623" s="165"/>
      <c r="D1623" s="165"/>
      <c r="E1623" s="165"/>
      <c r="K1623" s="12"/>
      <c r="L1623" s="12"/>
      <c r="M1623" s="12"/>
      <c r="N1623" s="12"/>
    </row>
    <row r="1624" spans="3:14" ht="12.75">
      <c r="C1624" s="165"/>
      <c r="D1624" s="165"/>
      <c r="E1624" s="165"/>
      <c r="K1624" s="12"/>
      <c r="L1624" s="12"/>
      <c r="M1624" s="12"/>
      <c r="N1624" s="12"/>
    </row>
    <row r="1625" spans="3:14" ht="12.75">
      <c r="C1625" s="165"/>
      <c r="D1625" s="165"/>
      <c r="E1625" s="165"/>
      <c r="K1625" s="12"/>
      <c r="L1625" s="12"/>
      <c r="M1625" s="12"/>
      <c r="N1625" s="12"/>
    </row>
    <row r="1626" spans="3:14" ht="12.75">
      <c r="C1626" s="165"/>
      <c r="D1626" s="165"/>
      <c r="E1626" s="165"/>
      <c r="K1626" s="12"/>
      <c r="L1626" s="12"/>
      <c r="M1626" s="12"/>
      <c r="N1626" s="12"/>
    </row>
    <row r="1627" spans="3:14" ht="12.75">
      <c r="C1627" s="165"/>
      <c r="D1627" s="165"/>
      <c r="E1627" s="165"/>
      <c r="K1627" s="12"/>
      <c r="L1627" s="12"/>
      <c r="M1627" s="12"/>
      <c r="N1627" s="12"/>
    </row>
    <row r="1628" spans="3:14" ht="12.75">
      <c r="C1628" s="165"/>
      <c r="D1628" s="165"/>
      <c r="E1628" s="165"/>
      <c r="K1628" s="12"/>
      <c r="L1628" s="12"/>
      <c r="M1628" s="12"/>
      <c r="N1628" s="12"/>
    </row>
    <row r="1629" spans="3:14" ht="12.75">
      <c r="C1629" s="165"/>
      <c r="D1629" s="165"/>
      <c r="E1629" s="165"/>
      <c r="K1629" s="12"/>
      <c r="L1629" s="12"/>
      <c r="M1629" s="12"/>
      <c r="N1629" s="12"/>
    </row>
    <row r="1630" spans="3:14" ht="12.75">
      <c r="C1630" s="165"/>
      <c r="D1630" s="165"/>
      <c r="E1630" s="165"/>
      <c r="K1630" s="12"/>
      <c r="L1630" s="12"/>
      <c r="M1630" s="12"/>
      <c r="N1630" s="12"/>
    </row>
    <row r="1631" spans="3:14" ht="12.75">
      <c r="C1631" s="165"/>
      <c r="D1631" s="165"/>
      <c r="E1631" s="165"/>
      <c r="K1631" s="12"/>
      <c r="L1631" s="12"/>
      <c r="M1631" s="12"/>
      <c r="N1631" s="12"/>
    </row>
    <row r="1632" spans="3:14" ht="12.75">
      <c r="C1632" s="165"/>
      <c r="D1632" s="165"/>
      <c r="E1632" s="165"/>
      <c r="K1632" s="12"/>
      <c r="L1632" s="12"/>
      <c r="M1632" s="12"/>
      <c r="N1632" s="12"/>
    </row>
    <row r="1633" spans="3:14" ht="12.75">
      <c r="C1633" s="165"/>
      <c r="D1633" s="165"/>
      <c r="E1633" s="165"/>
      <c r="K1633" s="12"/>
      <c r="L1633" s="12"/>
      <c r="M1633" s="12"/>
      <c r="N1633" s="12"/>
    </row>
    <row r="1634" spans="3:14" ht="12.75">
      <c r="C1634" s="165"/>
      <c r="D1634" s="165"/>
      <c r="E1634" s="165"/>
      <c r="K1634" s="12"/>
      <c r="L1634" s="12"/>
      <c r="M1634" s="12"/>
      <c r="N1634" s="12"/>
    </row>
    <row r="1635" spans="3:14" ht="12.75">
      <c r="C1635" s="165"/>
      <c r="D1635" s="165"/>
      <c r="E1635" s="165"/>
      <c r="K1635" s="12"/>
      <c r="L1635" s="12"/>
      <c r="M1635" s="12"/>
      <c r="N1635" s="12"/>
    </row>
    <row r="1636" spans="3:14" ht="12.75">
      <c r="C1636" s="165"/>
      <c r="D1636" s="165"/>
      <c r="E1636" s="165"/>
      <c r="K1636" s="12"/>
      <c r="L1636" s="12"/>
      <c r="M1636" s="12"/>
      <c r="N1636" s="12"/>
    </row>
    <row r="1637" spans="3:14" ht="12.75">
      <c r="C1637" s="165"/>
      <c r="D1637" s="165"/>
      <c r="E1637" s="165"/>
      <c r="K1637" s="12"/>
      <c r="L1637" s="12"/>
      <c r="M1637" s="12"/>
      <c r="N1637" s="12"/>
    </row>
    <row r="1638" spans="3:14" ht="12.75">
      <c r="C1638" s="165"/>
      <c r="D1638" s="165"/>
      <c r="E1638" s="165"/>
      <c r="K1638" s="12"/>
      <c r="L1638" s="12"/>
      <c r="M1638" s="12"/>
      <c r="N1638" s="12"/>
    </row>
    <row r="1639" spans="3:14" ht="12.75">
      <c r="C1639" s="165"/>
      <c r="D1639" s="165"/>
      <c r="E1639" s="165"/>
      <c r="K1639" s="12"/>
      <c r="L1639" s="12"/>
      <c r="M1639" s="12"/>
      <c r="N1639" s="12"/>
    </row>
    <row r="1640" spans="3:14" ht="12.75">
      <c r="C1640" s="165"/>
      <c r="D1640" s="165"/>
      <c r="E1640" s="165"/>
      <c r="K1640" s="12"/>
      <c r="L1640" s="12"/>
      <c r="M1640" s="12"/>
      <c r="N1640" s="12"/>
    </row>
    <row r="1641" spans="3:14" ht="12.75">
      <c r="C1641" s="165"/>
      <c r="D1641" s="165"/>
      <c r="E1641" s="165"/>
      <c r="K1641" s="12"/>
      <c r="L1641" s="12"/>
      <c r="M1641" s="12"/>
      <c r="N1641" s="12"/>
    </row>
    <row r="1642" spans="3:14" ht="12.75">
      <c r="C1642" s="165"/>
      <c r="D1642" s="165"/>
      <c r="E1642" s="165"/>
      <c r="K1642" s="12"/>
      <c r="L1642" s="12"/>
      <c r="M1642" s="12"/>
      <c r="N1642" s="12"/>
    </row>
    <row r="1643" spans="3:14" ht="12.75">
      <c r="C1643" s="165"/>
      <c r="D1643" s="165"/>
      <c r="E1643" s="165"/>
      <c r="K1643" s="12"/>
      <c r="L1643" s="12"/>
      <c r="M1643" s="12"/>
      <c r="N1643" s="12"/>
    </row>
    <row r="1644" spans="3:14" ht="12.75">
      <c r="C1644" s="165"/>
      <c r="D1644" s="165"/>
      <c r="E1644" s="165"/>
      <c r="K1644" s="12"/>
      <c r="L1644" s="12"/>
      <c r="M1644" s="12"/>
      <c r="N1644" s="12"/>
    </row>
    <row r="1645" spans="3:14" ht="12.75">
      <c r="C1645" s="165"/>
      <c r="D1645" s="165"/>
      <c r="E1645" s="165"/>
      <c r="K1645" s="12"/>
      <c r="L1645" s="12"/>
      <c r="M1645" s="12"/>
      <c r="N1645" s="12"/>
    </row>
    <row r="1646" spans="3:14" ht="12.75">
      <c r="C1646" s="165"/>
      <c r="D1646" s="165"/>
      <c r="E1646" s="165"/>
      <c r="K1646" s="12"/>
      <c r="L1646" s="12"/>
      <c r="M1646" s="12"/>
      <c r="N1646" s="12"/>
    </row>
    <row r="1647" spans="3:14" ht="12.75">
      <c r="C1647" s="165"/>
      <c r="D1647" s="165"/>
      <c r="E1647" s="165"/>
      <c r="K1647" s="12"/>
      <c r="L1647" s="12"/>
      <c r="M1647" s="12"/>
      <c r="N1647" s="12"/>
    </row>
    <row r="1648" spans="3:14" ht="12.75">
      <c r="C1648" s="165"/>
      <c r="D1648" s="165"/>
      <c r="E1648" s="165"/>
      <c r="K1648" s="12"/>
      <c r="L1648" s="12"/>
      <c r="M1648" s="12"/>
      <c r="N1648" s="12"/>
    </row>
    <row r="1649" spans="3:14" ht="12.75">
      <c r="C1649" s="165"/>
      <c r="D1649" s="165"/>
      <c r="E1649" s="165"/>
      <c r="K1649" s="12"/>
      <c r="L1649" s="12"/>
      <c r="M1649" s="12"/>
      <c r="N1649" s="12"/>
    </row>
    <row r="1650" spans="3:14" ht="12.75">
      <c r="C1650" s="165"/>
      <c r="D1650" s="165"/>
      <c r="E1650" s="165"/>
      <c r="K1650" s="12"/>
      <c r="L1650" s="12"/>
      <c r="M1650" s="12"/>
      <c r="N1650" s="12"/>
    </row>
    <row r="1651" spans="3:14" ht="12.75">
      <c r="C1651" s="165"/>
      <c r="D1651" s="165"/>
      <c r="E1651" s="165"/>
      <c r="K1651" s="12"/>
      <c r="L1651" s="12"/>
      <c r="M1651" s="12"/>
      <c r="N1651" s="12"/>
    </row>
    <row r="1652" spans="3:14" ht="12.75">
      <c r="C1652" s="165"/>
      <c r="D1652" s="165"/>
      <c r="E1652" s="165"/>
      <c r="K1652" s="12"/>
      <c r="L1652" s="12"/>
      <c r="M1652" s="12"/>
      <c r="N1652" s="12"/>
    </row>
    <row r="1653" spans="3:14" ht="12.75">
      <c r="C1653" s="165"/>
      <c r="D1653" s="165"/>
      <c r="E1653" s="165"/>
      <c r="K1653" s="12"/>
      <c r="L1653" s="12"/>
      <c r="M1653" s="12"/>
      <c r="N1653" s="12"/>
    </row>
    <row r="1654" spans="3:14" ht="12.75">
      <c r="C1654" s="165"/>
      <c r="D1654" s="165"/>
      <c r="E1654" s="165"/>
      <c r="K1654" s="12"/>
      <c r="L1654" s="12"/>
      <c r="M1654" s="12"/>
      <c r="N1654" s="12"/>
    </row>
    <row r="1655" spans="3:14" ht="12.75">
      <c r="C1655" s="165"/>
      <c r="D1655" s="165"/>
      <c r="E1655" s="165"/>
      <c r="K1655" s="12"/>
      <c r="L1655" s="12"/>
      <c r="M1655" s="12"/>
      <c r="N1655" s="12"/>
    </row>
    <row r="1656" spans="3:14" ht="12.75">
      <c r="C1656" s="165"/>
      <c r="D1656" s="165"/>
      <c r="E1656" s="165"/>
      <c r="K1656" s="12"/>
      <c r="L1656" s="12"/>
      <c r="M1656" s="12"/>
      <c r="N1656" s="12"/>
    </row>
    <row r="1657" spans="3:14" ht="12.75">
      <c r="C1657" s="165"/>
      <c r="D1657" s="165"/>
      <c r="E1657" s="165"/>
      <c r="K1657" s="12"/>
      <c r="L1657" s="12"/>
      <c r="M1657" s="12"/>
      <c r="N1657" s="12"/>
    </row>
    <row r="1658" spans="3:14" ht="12.75">
      <c r="C1658" s="165"/>
      <c r="D1658" s="165"/>
      <c r="E1658" s="165"/>
      <c r="K1658" s="12"/>
      <c r="L1658" s="12"/>
      <c r="M1658" s="12"/>
      <c r="N1658" s="12"/>
    </row>
    <row r="1659" spans="3:14" ht="12.75">
      <c r="C1659" s="165"/>
      <c r="D1659" s="165"/>
      <c r="E1659" s="165"/>
      <c r="K1659" s="12"/>
      <c r="L1659" s="12"/>
      <c r="M1659" s="12"/>
      <c r="N1659" s="12"/>
    </row>
    <row r="1660" spans="3:14" ht="12.75">
      <c r="C1660" s="165"/>
      <c r="D1660" s="165"/>
      <c r="E1660" s="165"/>
      <c r="K1660" s="12"/>
      <c r="L1660" s="12"/>
      <c r="M1660" s="12"/>
      <c r="N1660" s="12"/>
    </row>
    <row r="1661" spans="3:14" ht="12.75">
      <c r="C1661" s="165"/>
      <c r="D1661" s="165"/>
      <c r="E1661" s="165"/>
      <c r="K1661" s="12"/>
      <c r="L1661" s="12"/>
      <c r="M1661" s="12"/>
      <c r="N1661" s="12"/>
    </row>
    <row r="1662" spans="3:14" ht="12.75">
      <c r="C1662" s="165"/>
      <c r="D1662" s="165"/>
      <c r="E1662" s="165"/>
      <c r="K1662" s="12"/>
      <c r="L1662" s="12"/>
      <c r="M1662" s="12"/>
      <c r="N1662" s="12"/>
    </row>
    <row r="1663" spans="3:14" ht="12.75">
      <c r="C1663" s="165"/>
      <c r="D1663" s="165"/>
      <c r="E1663" s="165"/>
      <c r="K1663" s="12"/>
      <c r="L1663" s="12"/>
      <c r="M1663" s="12"/>
      <c r="N1663" s="12"/>
    </row>
    <row r="1664" spans="3:14" ht="12.75">
      <c r="C1664" s="165"/>
      <c r="D1664" s="165"/>
      <c r="E1664" s="165"/>
      <c r="K1664" s="12"/>
      <c r="L1664" s="12"/>
      <c r="M1664" s="12"/>
      <c r="N1664" s="12"/>
    </row>
    <row r="1665" spans="3:14" ht="12.75">
      <c r="C1665" s="165"/>
      <c r="D1665" s="165"/>
      <c r="E1665" s="165"/>
      <c r="K1665" s="12"/>
      <c r="L1665" s="12"/>
      <c r="M1665" s="12"/>
      <c r="N1665" s="12"/>
    </row>
    <row r="1666" spans="3:14" ht="12.75">
      <c r="C1666" s="165"/>
      <c r="D1666" s="165"/>
      <c r="E1666" s="165"/>
      <c r="K1666" s="12"/>
      <c r="L1666" s="12"/>
      <c r="M1666" s="12"/>
      <c r="N1666" s="12"/>
    </row>
    <row r="1667" spans="3:14" ht="12.75">
      <c r="C1667" s="165"/>
      <c r="D1667" s="165"/>
      <c r="E1667" s="165"/>
      <c r="K1667" s="12"/>
      <c r="L1667" s="12"/>
      <c r="M1667" s="12"/>
      <c r="N1667" s="12"/>
    </row>
    <row r="1668" spans="3:14" ht="12.75">
      <c r="C1668" s="165"/>
      <c r="D1668" s="165"/>
      <c r="E1668" s="165"/>
      <c r="K1668" s="12"/>
      <c r="L1668" s="12"/>
      <c r="M1668" s="12"/>
      <c r="N1668" s="12"/>
    </row>
    <row r="1669" spans="3:14" ht="12.75">
      <c r="C1669" s="165"/>
      <c r="D1669" s="165"/>
      <c r="E1669" s="165"/>
      <c r="K1669" s="12"/>
      <c r="L1669" s="12"/>
      <c r="M1669" s="12"/>
      <c r="N1669" s="12"/>
    </row>
    <row r="1670" spans="3:14" ht="12.75">
      <c r="C1670" s="165"/>
      <c r="D1670" s="165"/>
      <c r="E1670" s="165"/>
      <c r="K1670" s="12"/>
      <c r="L1670" s="12"/>
      <c r="M1670" s="12"/>
      <c r="N1670" s="12"/>
    </row>
    <row r="1671" spans="3:14" ht="12.75">
      <c r="C1671" s="165"/>
      <c r="D1671" s="165"/>
      <c r="E1671" s="165"/>
      <c r="K1671" s="12"/>
      <c r="L1671" s="12"/>
      <c r="M1671" s="12"/>
      <c r="N1671" s="12"/>
    </row>
    <row r="1672" spans="3:14" ht="12.75">
      <c r="C1672" s="165"/>
      <c r="D1672" s="165"/>
      <c r="E1672" s="165"/>
      <c r="K1672" s="12"/>
      <c r="L1672" s="12"/>
      <c r="M1672" s="12"/>
      <c r="N1672" s="12"/>
    </row>
    <row r="1673" spans="3:14" ht="12.75">
      <c r="C1673" s="165"/>
      <c r="D1673" s="165"/>
      <c r="E1673" s="165"/>
      <c r="K1673" s="12"/>
      <c r="L1673" s="12"/>
      <c r="M1673" s="12"/>
      <c r="N1673" s="12"/>
    </row>
    <row r="1674" spans="3:14" ht="12.75">
      <c r="C1674" s="165"/>
      <c r="D1674" s="165"/>
      <c r="E1674" s="165"/>
      <c r="K1674" s="12"/>
      <c r="L1674" s="12"/>
      <c r="M1674" s="12"/>
      <c r="N1674" s="12"/>
    </row>
    <row r="1675" spans="3:14" ht="12.75">
      <c r="C1675" s="165"/>
      <c r="D1675" s="165"/>
      <c r="E1675" s="165"/>
      <c r="K1675" s="12"/>
      <c r="L1675" s="12"/>
      <c r="M1675" s="12"/>
      <c r="N1675" s="12"/>
    </row>
    <row r="1676" spans="3:14" ht="12.75">
      <c r="C1676" s="165"/>
      <c r="D1676" s="165"/>
      <c r="E1676" s="165"/>
      <c r="K1676" s="12"/>
      <c r="L1676" s="12"/>
      <c r="M1676" s="12"/>
      <c r="N1676" s="12"/>
    </row>
    <row r="1677" spans="3:14" ht="12.75">
      <c r="C1677" s="165"/>
      <c r="D1677" s="165"/>
      <c r="E1677" s="165"/>
      <c r="K1677" s="12"/>
      <c r="L1677" s="12"/>
      <c r="M1677" s="12"/>
      <c r="N1677" s="12"/>
    </row>
    <row r="1678" spans="3:14" ht="12.75">
      <c r="C1678" s="165"/>
      <c r="D1678" s="165"/>
      <c r="E1678" s="165"/>
      <c r="K1678" s="12"/>
      <c r="L1678" s="12"/>
      <c r="M1678" s="12"/>
      <c r="N1678" s="12"/>
    </row>
    <row r="1679" spans="3:14" ht="12.75">
      <c r="C1679" s="165"/>
      <c r="D1679" s="165"/>
      <c r="E1679" s="165"/>
      <c r="K1679" s="12"/>
      <c r="L1679" s="12"/>
      <c r="M1679" s="12"/>
      <c r="N1679" s="12"/>
    </row>
    <row r="1680" spans="3:14" ht="12.75">
      <c r="C1680" s="165"/>
      <c r="D1680" s="165"/>
      <c r="E1680" s="165"/>
      <c r="K1680" s="12"/>
      <c r="L1680" s="12"/>
      <c r="M1680" s="12"/>
      <c r="N1680" s="12"/>
    </row>
    <row r="1681" spans="3:14" ht="12.75">
      <c r="C1681" s="165"/>
      <c r="D1681" s="165"/>
      <c r="E1681" s="165"/>
      <c r="K1681" s="12"/>
      <c r="L1681" s="12"/>
      <c r="M1681" s="12"/>
      <c r="N1681" s="12"/>
    </row>
    <row r="1682" spans="3:14" ht="12.75">
      <c r="C1682" s="165"/>
      <c r="D1682" s="165"/>
      <c r="E1682" s="165"/>
      <c r="K1682" s="12"/>
      <c r="L1682" s="12"/>
      <c r="M1682" s="12"/>
      <c r="N1682" s="12"/>
    </row>
    <row r="1683" spans="3:14" ht="12.75">
      <c r="C1683" s="165"/>
      <c r="D1683" s="165"/>
      <c r="E1683" s="165"/>
      <c r="K1683" s="12"/>
      <c r="L1683" s="12"/>
      <c r="M1683" s="12"/>
      <c r="N1683" s="12"/>
    </row>
    <row r="1684" spans="3:14" ht="12.75">
      <c r="C1684" s="165"/>
      <c r="D1684" s="165"/>
      <c r="E1684" s="165"/>
      <c r="K1684" s="12"/>
      <c r="L1684" s="12"/>
      <c r="M1684" s="12"/>
      <c r="N1684" s="12"/>
    </row>
    <row r="1685" spans="3:14" ht="12.75">
      <c r="C1685" s="165"/>
      <c r="D1685" s="165"/>
      <c r="E1685" s="165"/>
      <c r="K1685" s="12"/>
      <c r="L1685" s="12"/>
      <c r="M1685" s="12"/>
      <c r="N1685" s="12"/>
    </row>
    <row r="1686" spans="3:14" ht="12.75">
      <c r="C1686" s="165"/>
      <c r="D1686" s="165"/>
      <c r="E1686" s="165"/>
      <c r="K1686" s="12"/>
      <c r="L1686" s="12"/>
      <c r="M1686" s="12"/>
      <c r="N1686" s="12"/>
    </row>
    <row r="1687" spans="3:14" ht="12.75">
      <c r="C1687" s="165"/>
      <c r="D1687" s="165"/>
      <c r="E1687" s="165"/>
      <c r="K1687" s="12"/>
      <c r="L1687" s="12"/>
      <c r="M1687" s="12"/>
      <c r="N1687" s="12"/>
    </row>
    <row r="1688" spans="3:14" ht="12.75">
      <c r="C1688" s="165"/>
      <c r="D1688" s="165"/>
      <c r="E1688" s="165"/>
      <c r="K1688" s="12"/>
      <c r="L1688" s="12"/>
      <c r="M1688" s="12"/>
      <c r="N1688" s="12"/>
    </row>
    <row r="1689" spans="3:14" ht="12.75">
      <c r="C1689" s="165"/>
      <c r="D1689" s="165"/>
      <c r="E1689" s="165"/>
      <c r="K1689" s="12"/>
      <c r="L1689" s="12"/>
      <c r="M1689" s="12"/>
      <c r="N1689" s="12"/>
    </row>
    <row r="1690" spans="3:14" ht="12.75">
      <c r="C1690" s="165"/>
      <c r="D1690" s="165"/>
      <c r="E1690" s="165"/>
      <c r="K1690" s="12"/>
      <c r="L1690" s="12"/>
      <c r="M1690" s="12"/>
      <c r="N1690" s="12"/>
    </row>
    <row r="1691" spans="3:14" ht="12.75">
      <c r="C1691" s="165"/>
      <c r="D1691" s="165"/>
      <c r="E1691" s="165"/>
      <c r="K1691" s="12"/>
      <c r="L1691" s="12"/>
      <c r="M1691" s="12"/>
      <c r="N1691" s="12"/>
    </row>
    <row r="1692" spans="3:14" ht="12.75">
      <c r="C1692" s="165"/>
      <c r="D1692" s="165"/>
      <c r="E1692" s="165"/>
      <c r="K1692" s="12"/>
      <c r="L1692" s="12"/>
      <c r="M1692" s="12"/>
      <c r="N1692" s="12"/>
    </row>
    <row r="1693" spans="3:14" ht="12.75">
      <c r="C1693" s="165"/>
      <c r="D1693" s="165"/>
      <c r="E1693" s="165"/>
      <c r="K1693" s="12"/>
      <c r="L1693" s="12"/>
      <c r="M1693" s="12"/>
      <c r="N1693" s="12"/>
    </row>
    <row r="1694" spans="3:14" ht="12.75">
      <c r="C1694" s="165"/>
      <c r="D1694" s="165"/>
      <c r="E1694" s="165"/>
      <c r="K1694" s="12"/>
      <c r="L1694" s="12"/>
      <c r="M1694" s="12"/>
      <c r="N1694" s="12"/>
    </row>
    <row r="1695" spans="3:14" ht="12.75">
      <c r="C1695" s="165"/>
      <c r="D1695" s="165"/>
      <c r="E1695" s="165"/>
      <c r="K1695" s="12"/>
      <c r="L1695" s="12"/>
      <c r="M1695" s="12"/>
      <c r="N1695" s="12"/>
    </row>
    <row r="1696" spans="3:14" ht="12.75">
      <c r="C1696" s="165"/>
      <c r="D1696" s="165"/>
      <c r="E1696" s="165"/>
      <c r="K1696" s="12"/>
      <c r="L1696" s="12"/>
      <c r="M1696" s="12"/>
      <c r="N1696" s="12"/>
    </row>
    <row r="1697" spans="3:14" ht="12.75">
      <c r="C1697" s="165"/>
      <c r="D1697" s="165"/>
      <c r="E1697" s="165"/>
      <c r="K1697" s="12"/>
      <c r="L1697" s="12"/>
      <c r="M1697" s="12"/>
      <c r="N1697" s="12"/>
    </row>
    <row r="1698" spans="3:14" ht="12.75">
      <c r="C1698" s="165"/>
      <c r="D1698" s="165"/>
      <c r="E1698" s="165"/>
      <c r="K1698" s="12"/>
      <c r="L1698" s="12"/>
      <c r="M1698" s="12"/>
      <c r="N1698" s="12"/>
    </row>
    <row r="1699" spans="3:14" ht="12.75">
      <c r="C1699" s="165"/>
      <c r="D1699" s="165"/>
      <c r="E1699" s="165"/>
      <c r="K1699" s="12"/>
      <c r="L1699" s="12"/>
      <c r="M1699" s="12"/>
      <c r="N1699" s="12"/>
    </row>
    <row r="1700" spans="3:14" ht="12.75">
      <c r="C1700" s="165"/>
      <c r="D1700" s="165"/>
      <c r="E1700" s="165"/>
      <c r="K1700" s="12"/>
      <c r="L1700" s="12"/>
      <c r="M1700" s="12"/>
      <c r="N1700" s="12"/>
    </row>
    <row r="1701" spans="3:14" ht="12.75">
      <c r="C1701" s="165"/>
      <c r="D1701" s="165"/>
      <c r="E1701" s="165"/>
      <c r="K1701" s="12"/>
      <c r="L1701" s="12"/>
      <c r="M1701" s="12"/>
      <c r="N1701" s="12"/>
    </row>
    <row r="1702" spans="3:14" ht="12.75">
      <c r="C1702" s="165"/>
      <c r="D1702" s="165"/>
      <c r="E1702" s="165"/>
      <c r="K1702" s="12"/>
      <c r="L1702" s="12"/>
      <c r="M1702" s="12"/>
      <c r="N1702" s="12"/>
    </row>
    <row r="1703" spans="3:14" ht="12.75">
      <c r="C1703" s="165"/>
      <c r="D1703" s="165"/>
      <c r="E1703" s="165"/>
      <c r="K1703" s="12"/>
      <c r="L1703" s="12"/>
      <c r="M1703" s="12"/>
      <c r="N1703" s="12"/>
    </row>
    <row r="1704" spans="3:14" ht="12.75">
      <c r="C1704" s="165"/>
      <c r="D1704" s="165"/>
      <c r="E1704" s="165"/>
      <c r="K1704" s="12"/>
      <c r="L1704" s="12"/>
      <c r="M1704" s="12"/>
      <c r="N1704" s="12"/>
    </row>
    <row r="1705" spans="3:14" ht="12.75">
      <c r="C1705" s="165"/>
      <c r="D1705" s="165"/>
      <c r="E1705" s="165"/>
      <c r="K1705" s="12"/>
      <c r="L1705" s="12"/>
      <c r="M1705" s="12"/>
      <c r="N1705" s="12"/>
    </row>
    <row r="1706" spans="3:14" ht="12.75">
      <c r="C1706" s="165"/>
      <c r="D1706" s="165"/>
      <c r="E1706" s="165"/>
      <c r="K1706" s="12"/>
      <c r="L1706" s="12"/>
      <c r="M1706" s="12"/>
      <c r="N1706" s="12"/>
    </row>
    <row r="1707" spans="3:14" ht="12.75">
      <c r="C1707" s="165"/>
      <c r="D1707" s="165"/>
      <c r="E1707" s="165"/>
      <c r="K1707" s="12"/>
      <c r="L1707" s="12"/>
      <c r="M1707" s="12"/>
      <c r="N1707" s="12"/>
    </row>
    <row r="1708" spans="3:14" ht="12.75">
      <c r="C1708" s="165"/>
      <c r="D1708" s="165"/>
      <c r="E1708" s="165"/>
      <c r="K1708" s="12"/>
      <c r="L1708" s="12"/>
      <c r="M1708" s="12"/>
      <c r="N1708" s="12"/>
    </row>
    <row r="1709" spans="3:14" ht="12.75">
      <c r="C1709" s="165"/>
      <c r="D1709" s="165"/>
      <c r="E1709" s="165"/>
      <c r="K1709" s="12"/>
      <c r="L1709" s="12"/>
      <c r="M1709" s="12"/>
      <c r="N1709" s="12"/>
    </row>
    <row r="1710" spans="3:14" ht="12.75">
      <c r="C1710" s="165"/>
      <c r="D1710" s="165"/>
      <c r="E1710" s="165"/>
      <c r="K1710" s="12"/>
      <c r="L1710" s="12"/>
      <c r="M1710" s="12"/>
      <c r="N1710" s="12"/>
    </row>
    <row r="1711" spans="3:14" ht="12.75">
      <c r="C1711" s="165"/>
      <c r="D1711" s="165"/>
      <c r="E1711" s="165"/>
      <c r="K1711" s="12"/>
      <c r="L1711" s="12"/>
      <c r="M1711" s="12"/>
      <c r="N1711" s="12"/>
    </row>
    <row r="1712" spans="3:14" ht="12.75">
      <c r="C1712" s="165"/>
      <c r="D1712" s="165"/>
      <c r="E1712" s="165"/>
      <c r="K1712" s="12"/>
      <c r="L1712" s="12"/>
      <c r="M1712" s="12"/>
      <c r="N1712" s="12"/>
    </row>
    <row r="1713" spans="3:14" ht="12.75">
      <c r="C1713" s="165"/>
      <c r="D1713" s="165"/>
      <c r="E1713" s="165"/>
      <c r="K1713" s="12"/>
      <c r="L1713" s="12"/>
      <c r="M1713" s="12"/>
      <c r="N1713" s="12"/>
    </row>
    <row r="1714" spans="3:14" ht="12.75">
      <c r="C1714" s="165"/>
      <c r="D1714" s="165"/>
      <c r="E1714" s="165"/>
      <c r="K1714" s="12"/>
      <c r="L1714" s="12"/>
      <c r="M1714" s="12"/>
      <c r="N1714" s="12"/>
    </row>
    <row r="1715" spans="3:14" ht="12.75">
      <c r="C1715" s="165"/>
      <c r="D1715" s="165"/>
      <c r="E1715" s="165"/>
      <c r="K1715" s="12"/>
      <c r="L1715" s="12"/>
      <c r="M1715" s="12"/>
      <c r="N1715" s="12"/>
    </row>
    <row r="1716" spans="3:14" ht="12.75">
      <c r="C1716" s="165"/>
      <c r="D1716" s="165"/>
      <c r="E1716" s="165"/>
      <c r="K1716" s="12"/>
      <c r="L1716" s="12"/>
      <c r="M1716" s="12"/>
      <c r="N1716" s="12"/>
    </row>
    <row r="1717" spans="3:14" ht="12.75">
      <c r="C1717" s="165"/>
      <c r="D1717" s="165"/>
      <c r="E1717" s="165"/>
      <c r="K1717" s="12"/>
      <c r="L1717" s="12"/>
      <c r="M1717" s="12"/>
      <c r="N1717" s="12"/>
    </row>
    <row r="1718" spans="3:14" ht="12.75">
      <c r="C1718" s="165"/>
      <c r="D1718" s="165"/>
      <c r="E1718" s="165"/>
      <c r="K1718" s="12"/>
      <c r="L1718" s="12"/>
      <c r="M1718" s="12"/>
      <c r="N1718" s="12"/>
    </row>
    <row r="1719" spans="3:14" ht="12.75">
      <c r="C1719" s="165"/>
      <c r="D1719" s="165"/>
      <c r="E1719" s="165"/>
      <c r="K1719" s="12"/>
      <c r="L1719" s="12"/>
      <c r="M1719" s="12"/>
      <c r="N1719" s="12"/>
    </row>
    <row r="1720" spans="3:14" ht="12.75">
      <c r="C1720" s="165"/>
      <c r="D1720" s="165"/>
      <c r="E1720" s="165"/>
      <c r="K1720" s="12"/>
      <c r="L1720" s="12"/>
      <c r="M1720" s="12"/>
      <c r="N1720" s="12"/>
    </row>
    <row r="1721" spans="3:14" ht="12.75">
      <c r="C1721" s="165"/>
      <c r="D1721" s="165"/>
      <c r="E1721" s="165"/>
      <c r="K1721" s="12"/>
      <c r="L1721" s="12"/>
      <c r="M1721" s="12"/>
      <c r="N1721" s="12"/>
    </row>
    <row r="1722" spans="3:14" ht="12.75">
      <c r="C1722" s="165"/>
      <c r="D1722" s="165"/>
      <c r="E1722" s="165"/>
      <c r="K1722" s="12"/>
      <c r="L1722" s="12"/>
      <c r="M1722" s="12"/>
      <c r="N1722" s="12"/>
    </row>
    <row r="1723" spans="3:14" ht="12.75">
      <c r="C1723" s="165"/>
      <c r="D1723" s="165"/>
      <c r="E1723" s="165"/>
      <c r="K1723" s="12"/>
      <c r="L1723" s="12"/>
      <c r="M1723" s="12"/>
      <c r="N1723" s="12"/>
    </row>
    <row r="1724" spans="3:14" ht="12.75">
      <c r="C1724" s="165"/>
      <c r="D1724" s="165"/>
      <c r="E1724" s="165"/>
      <c r="K1724" s="12"/>
      <c r="L1724" s="12"/>
      <c r="M1724" s="12"/>
      <c r="N1724" s="12"/>
    </row>
    <row r="1725" spans="3:14" ht="12.75">
      <c r="C1725" s="165"/>
      <c r="D1725" s="165"/>
      <c r="E1725" s="165"/>
      <c r="K1725" s="12"/>
      <c r="L1725" s="12"/>
      <c r="M1725" s="12"/>
      <c r="N1725" s="12"/>
    </row>
    <row r="1726" spans="3:14" ht="12.75">
      <c r="C1726" s="165"/>
      <c r="D1726" s="165"/>
      <c r="E1726" s="165"/>
      <c r="K1726" s="12"/>
      <c r="L1726" s="12"/>
      <c r="M1726" s="12"/>
      <c r="N1726" s="12"/>
    </row>
    <row r="1727" spans="3:14" ht="12.75">
      <c r="C1727" s="165"/>
      <c r="D1727" s="165"/>
      <c r="E1727" s="165"/>
      <c r="K1727" s="12"/>
      <c r="L1727" s="12"/>
      <c r="M1727" s="12"/>
      <c r="N1727" s="12"/>
    </row>
    <row r="1728" spans="3:14" ht="12.75">
      <c r="C1728" s="165"/>
      <c r="D1728" s="165"/>
      <c r="E1728" s="165"/>
      <c r="K1728" s="12"/>
      <c r="L1728" s="12"/>
      <c r="M1728" s="12"/>
      <c r="N1728" s="12"/>
    </row>
    <row r="1729" spans="3:14" ht="12.75">
      <c r="C1729" s="165"/>
      <c r="D1729" s="165"/>
      <c r="E1729" s="165"/>
      <c r="K1729" s="12"/>
      <c r="L1729" s="12"/>
      <c r="M1729" s="12"/>
      <c r="N1729" s="12"/>
    </row>
    <row r="1730" spans="3:14" ht="12.75">
      <c r="C1730" s="165"/>
      <c r="D1730" s="165"/>
      <c r="E1730" s="165"/>
      <c r="K1730" s="12"/>
      <c r="L1730" s="12"/>
      <c r="M1730" s="12"/>
      <c r="N1730" s="12"/>
    </row>
    <row r="1731" spans="3:14" ht="12.75">
      <c r="C1731" s="165"/>
      <c r="D1731" s="165"/>
      <c r="E1731" s="165"/>
      <c r="K1731" s="12"/>
      <c r="L1731" s="12"/>
      <c r="M1731" s="12"/>
      <c r="N1731" s="12"/>
    </row>
    <row r="1732" spans="3:14" ht="12.75">
      <c r="C1732" s="165"/>
      <c r="D1732" s="165"/>
      <c r="E1732" s="165"/>
      <c r="K1732" s="12"/>
      <c r="L1732" s="12"/>
      <c r="M1732" s="12"/>
      <c r="N1732" s="12"/>
    </row>
    <row r="1733" spans="3:14" ht="12.75">
      <c r="C1733" s="165"/>
      <c r="D1733" s="165"/>
      <c r="E1733" s="165"/>
      <c r="K1733" s="12"/>
      <c r="L1733" s="12"/>
      <c r="M1733" s="12"/>
      <c r="N1733" s="12"/>
    </row>
    <row r="1734" spans="3:14" ht="12.75">
      <c r="C1734" s="165"/>
      <c r="D1734" s="165"/>
      <c r="E1734" s="165"/>
      <c r="K1734" s="12"/>
      <c r="L1734" s="12"/>
      <c r="M1734" s="12"/>
      <c r="N1734" s="12"/>
    </row>
    <row r="1735" spans="3:14" ht="12.75">
      <c r="C1735" s="165"/>
      <c r="D1735" s="165"/>
      <c r="E1735" s="165"/>
      <c r="K1735" s="12"/>
      <c r="L1735" s="12"/>
      <c r="M1735" s="12"/>
      <c r="N1735" s="12"/>
    </row>
    <row r="1736" spans="3:14" ht="12.75">
      <c r="C1736" s="165"/>
      <c r="D1736" s="165"/>
      <c r="E1736" s="165"/>
      <c r="K1736" s="12"/>
      <c r="L1736" s="12"/>
      <c r="M1736" s="12"/>
      <c r="N1736" s="12"/>
    </row>
    <row r="1737" spans="3:14" ht="12.75">
      <c r="C1737" s="165"/>
      <c r="D1737" s="165"/>
      <c r="E1737" s="165"/>
      <c r="K1737" s="12"/>
      <c r="L1737" s="12"/>
      <c r="M1737" s="12"/>
      <c r="N1737" s="12"/>
    </row>
    <row r="1738" spans="3:14" ht="12.75">
      <c r="C1738" s="165"/>
      <c r="D1738" s="165"/>
      <c r="E1738" s="165"/>
      <c r="K1738" s="12"/>
      <c r="L1738" s="12"/>
      <c r="M1738" s="12"/>
      <c r="N1738" s="12"/>
    </row>
    <row r="1739" spans="3:14" ht="12.75">
      <c r="C1739" s="165"/>
      <c r="D1739" s="165"/>
      <c r="E1739" s="165"/>
      <c r="K1739" s="12"/>
      <c r="L1739" s="12"/>
      <c r="M1739" s="12"/>
      <c r="N1739" s="12"/>
    </row>
    <row r="1740" spans="3:14" ht="12.75">
      <c r="C1740" s="165"/>
      <c r="D1740" s="165"/>
      <c r="E1740" s="165"/>
      <c r="K1740" s="12"/>
      <c r="L1740" s="12"/>
      <c r="M1740" s="12"/>
      <c r="N1740" s="12"/>
    </row>
    <row r="1741" spans="3:14" ht="12.75">
      <c r="C1741" s="165"/>
      <c r="D1741" s="165"/>
      <c r="E1741" s="165"/>
      <c r="K1741" s="12"/>
      <c r="L1741" s="12"/>
      <c r="M1741" s="12"/>
      <c r="N1741" s="12"/>
    </row>
    <row r="1742" spans="3:14" ht="12.75">
      <c r="C1742" s="165"/>
      <c r="D1742" s="165"/>
      <c r="E1742" s="165"/>
      <c r="K1742" s="12"/>
      <c r="L1742" s="12"/>
      <c r="M1742" s="12"/>
      <c r="N1742" s="12"/>
    </row>
    <row r="1743" spans="3:14" ht="12.75">
      <c r="C1743" s="165"/>
      <c r="D1743" s="165"/>
      <c r="E1743" s="165"/>
      <c r="K1743" s="12"/>
      <c r="L1743" s="12"/>
      <c r="M1743" s="12"/>
      <c r="N1743" s="12"/>
    </row>
    <row r="1744" spans="3:14" ht="12.75">
      <c r="C1744" s="165"/>
      <c r="D1744" s="165"/>
      <c r="E1744" s="165"/>
      <c r="K1744" s="12"/>
      <c r="L1744" s="12"/>
      <c r="M1744" s="12"/>
      <c r="N1744" s="12"/>
    </row>
    <row r="1745" spans="3:14" ht="12.75">
      <c r="C1745" s="165"/>
      <c r="D1745" s="165"/>
      <c r="E1745" s="165"/>
      <c r="K1745" s="12"/>
      <c r="L1745" s="12"/>
      <c r="M1745" s="12"/>
      <c r="N1745" s="12"/>
    </row>
    <row r="1746" spans="3:14" ht="12.75">
      <c r="C1746" s="165"/>
      <c r="D1746" s="165"/>
      <c r="E1746" s="165"/>
      <c r="K1746" s="12"/>
      <c r="L1746" s="12"/>
      <c r="M1746" s="12"/>
      <c r="N1746" s="12"/>
    </row>
    <row r="1747" spans="3:14" ht="12.75">
      <c r="C1747" s="165"/>
      <c r="D1747" s="165"/>
      <c r="E1747" s="165"/>
      <c r="K1747" s="12"/>
      <c r="L1747" s="12"/>
      <c r="M1747" s="12"/>
      <c r="N1747" s="12"/>
    </row>
    <row r="1748" spans="3:14" ht="12.75">
      <c r="C1748" s="165"/>
      <c r="D1748" s="165"/>
      <c r="E1748" s="165"/>
      <c r="K1748" s="12"/>
      <c r="L1748" s="12"/>
      <c r="M1748" s="12"/>
      <c r="N1748" s="12"/>
    </row>
    <row r="1749" spans="3:14" ht="12.75">
      <c r="C1749" s="165"/>
      <c r="D1749" s="165"/>
      <c r="E1749" s="165"/>
      <c r="K1749" s="12"/>
      <c r="L1749" s="12"/>
      <c r="M1749" s="12"/>
      <c r="N1749" s="12"/>
    </row>
    <row r="1750" spans="3:14" ht="12.75">
      <c r="C1750" s="165"/>
      <c r="D1750" s="165"/>
      <c r="E1750" s="165"/>
      <c r="K1750" s="12"/>
      <c r="L1750" s="12"/>
      <c r="M1750" s="12"/>
      <c r="N1750" s="12"/>
    </row>
    <row r="1751" spans="3:14" ht="12.75">
      <c r="C1751" s="165"/>
      <c r="D1751" s="165"/>
      <c r="E1751" s="165"/>
      <c r="K1751" s="12"/>
      <c r="L1751" s="12"/>
      <c r="M1751" s="12"/>
      <c r="N1751" s="12"/>
    </row>
    <row r="1752" spans="3:14" ht="12.75">
      <c r="C1752" s="165"/>
      <c r="D1752" s="165"/>
      <c r="E1752" s="165"/>
      <c r="K1752" s="12"/>
      <c r="L1752" s="12"/>
      <c r="M1752" s="12"/>
      <c r="N1752" s="12"/>
    </row>
    <row r="1753" spans="3:14" ht="12.75">
      <c r="C1753" s="165"/>
      <c r="D1753" s="165"/>
      <c r="E1753" s="165"/>
      <c r="K1753" s="12"/>
      <c r="L1753" s="12"/>
      <c r="M1753" s="12"/>
      <c r="N1753" s="12"/>
    </row>
    <row r="1754" spans="3:14" ht="12.75">
      <c r="C1754" s="165"/>
      <c r="D1754" s="165"/>
      <c r="E1754" s="165"/>
      <c r="K1754" s="12"/>
      <c r="L1754" s="12"/>
      <c r="M1754" s="12"/>
      <c r="N1754" s="12"/>
    </row>
    <row r="1755" spans="3:14" ht="12.75">
      <c r="C1755" s="165"/>
      <c r="D1755" s="165"/>
      <c r="E1755" s="165"/>
      <c r="K1755" s="12"/>
      <c r="L1755" s="12"/>
      <c r="M1755" s="12"/>
      <c r="N1755" s="12"/>
    </row>
    <row r="1756" spans="3:14" ht="12.75">
      <c r="C1756" s="165"/>
      <c r="D1756" s="165"/>
      <c r="E1756" s="165"/>
      <c r="K1756" s="12"/>
      <c r="L1756" s="12"/>
      <c r="M1756" s="12"/>
      <c r="N1756" s="12"/>
    </row>
    <row r="1757" spans="3:14" ht="12.75">
      <c r="C1757" s="165"/>
      <c r="D1757" s="165"/>
      <c r="E1757" s="165"/>
      <c r="K1757" s="12"/>
      <c r="L1757" s="12"/>
      <c r="M1757" s="12"/>
      <c r="N1757" s="12"/>
    </row>
    <row r="1758" spans="3:14" ht="12.75">
      <c r="C1758" s="165"/>
      <c r="D1758" s="165"/>
      <c r="E1758" s="165"/>
      <c r="K1758" s="12"/>
      <c r="L1758" s="12"/>
      <c r="M1758" s="12"/>
      <c r="N1758" s="12"/>
    </row>
    <row r="1759" spans="3:14" ht="12.75">
      <c r="C1759" s="165"/>
      <c r="D1759" s="165"/>
      <c r="E1759" s="165"/>
      <c r="K1759" s="12"/>
      <c r="L1759" s="12"/>
      <c r="M1759" s="12"/>
      <c r="N1759" s="12"/>
    </row>
    <row r="1760" spans="3:14" ht="12.75">
      <c r="C1760" s="165"/>
      <c r="D1760" s="165"/>
      <c r="E1760" s="165"/>
      <c r="K1760" s="12"/>
      <c r="L1760" s="12"/>
      <c r="M1760" s="12"/>
      <c r="N1760" s="12"/>
    </row>
    <row r="1761" spans="3:14" ht="12.75">
      <c r="C1761" s="165"/>
      <c r="D1761" s="165"/>
      <c r="E1761" s="165"/>
      <c r="K1761" s="12"/>
      <c r="L1761" s="12"/>
      <c r="M1761" s="12"/>
      <c r="N1761" s="12"/>
    </row>
    <row r="1762" spans="3:14" ht="12.75">
      <c r="C1762" s="165"/>
      <c r="D1762" s="165"/>
      <c r="E1762" s="165"/>
      <c r="K1762" s="12"/>
      <c r="L1762" s="12"/>
      <c r="M1762" s="12"/>
      <c r="N1762" s="12"/>
    </row>
    <row r="1763" spans="3:14" ht="12.75">
      <c r="C1763" s="165"/>
      <c r="D1763" s="165"/>
      <c r="E1763" s="165"/>
      <c r="K1763" s="12"/>
      <c r="L1763" s="12"/>
      <c r="M1763" s="12"/>
      <c r="N1763" s="12"/>
    </row>
    <row r="1764" spans="3:14" ht="12.75">
      <c r="C1764" s="165"/>
      <c r="D1764" s="165"/>
      <c r="E1764" s="165"/>
      <c r="K1764" s="12"/>
      <c r="L1764" s="12"/>
      <c r="M1764" s="12"/>
      <c r="N1764" s="12"/>
    </row>
    <row r="1765" spans="3:14" ht="12.75">
      <c r="C1765" s="165"/>
      <c r="D1765" s="165"/>
      <c r="E1765" s="165"/>
      <c r="K1765" s="12"/>
      <c r="L1765" s="12"/>
      <c r="M1765" s="12"/>
      <c r="N1765" s="12"/>
    </row>
    <row r="1766" spans="3:14" ht="12.75">
      <c r="C1766" s="165"/>
      <c r="D1766" s="165"/>
      <c r="E1766" s="165"/>
      <c r="K1766" s="12"/>
      <c r="L1766" s="12"/>
      <c r="M1766" s="12"/>
      <c r="N1766" s="12"/>
    </row>
    <row r="1767" spans="3:14" ht="12.75">
      <c r="C1767" s="165"/>
      <c r="D1767" s="165"/>
      <c r="E1767" s="165"/>
      <c r="K1767" s="12"/>
      <c r="L1767" s="12"/>
      <c r="M1767" s="12"/>
      <c r="N1767" s="12"/>
    </row>
    <row r="1768" spans="3:14" ht="12.75">
      <c r="C1768" s="165"/>
      <c r="D1768" s="165"/>
      <c r="E1768" s="165"/>
      <c r="K1768" s="12"/>
      <c r="L1768" s="12"/>
      <c r="M1768" s="12"/>
      <c r="N1768" s="12"/>
    </row>
    <row r="1769" spans="3:14" ht="12.75">
      <c r="C1769" s="165"/>
      <c r="D1769" s="165"/>
      <c r="E1769" s="165"/>
      <c r="K1769" s="12"/>
      <c r="L1769" s="12"/>
      <c r="M1769" s="12"/>
      <c r="N1769" s="12"/>
    </row>
    <row r="1770" spans="3:14" ht="12.75">
      <c r="C1770" s="165"/>
      <c r="D1770" s="165"/>
      <c r="E1770" s="165"/>
      <c r="K1770" s="12"/>
      <c r="L1770" s="12"/>
      <c r="M1770" s="12"/>
      <c r="N1770" s="12"/>
    </row>
    <row r="1771" spans="3:14" ht="12.75">
      <c r="C1771" s="165"/>
      <c r="D1771" s="165"/>
      <c r="E1771" s="165"/>
      <c r="K1771" s="12"/>
      <c r="L1771" s="12"/>
      <c r="M1771" s="12"/>
      <c r="N1771" s="12"/>
    </row>
    <row r="1772" spans="3:14" ht="12.75">
      <c r="C1772" s="165"/>
      <c r="D1772" s="165"/>
      <c r="E1772" s="165"/>
      <c r="K1772" s="12"/>
      <c r="L1772" s="12"/>
      <c r="M1772" s="12"/>
      <c r="N1772" s="12"/>
    </row>
    <row r="1773" spans="3:14" ht="12.75">
      <c r="C1773" s="165"/>
      <c r="D1773" s="165"/>
      <c r="E1773" s="165"/>
      <c r="K1773" s="12"/>
      <c r="L1773" s="12"/>
      <c r="M1773" s="12"/>
      <c r="N1773" s="12"/>
    </row>
    <row r="1774" spans="3:14" ht="12.75">
      <c r="C1774" s="165"/>
      <c r="D1774" s="165"/>
      <c r="E1774" s="165"/>
      <c r="K1774" s="12"/>
      <c r="L1774" s="12"/>
      <c r="M1774" s="12"/>
      <c r="N1774" s="12"/>
    </row>
    <row r="1775" spans="3:14" ht="12.75">
      <c r="C1775" s="165"/>
      <c r="D1775" s="165"/>
      <c r="E1775" s="165"/>
      <c r="K1775" s="12"/>
      <c r="L1775" s="12"/>
      <c r="M1775" s="12"/>
      <c r="N1775" s="12"/>
    </row>
    <row r="1776" spans="3:14" ht="12.75">
      <c r="C1776" s="165"/>
      <c r="D1776" s="165"/>
      <c r="E1776" s="165"/>
      <c r="K1776" s="12"/>
      <c r="L1776" s="12"/>
      <c r="M1776" s="12"/>
      <c r="N1776" s="12"/>
    </row>
    <row r="1777" spans="3:14" ht="12.75">
      <c r="C1777" s="165"/>
      <c r="D1777" s="165"/>
      <c r="E1777" s="165"/>
      <c r="K1777" s="12"/>
      <c r="L1777" s="12"/>
      <c r="M1777" s="12"/>
      <c r="N1777" s="12"/>
    </row>
    <row r="1778" spans="3:14" ht="12.75">
      <c r="C1778" s="165"/>
      <c r="D1778" s="165"/>
      <c r="E1778" s="165"/>
      <c r="K1778" s="12"/>
      <c r="L1778" s="12"/>
      <c r="M1778" s="12"/>
      <c r="N1778" s="12"/>
    </row>
    <row r="1779" spans="3:14" ht="12.75">
      <c r="C1779" s="165"/>
      <c r="D1779" s="165"/>
      <c r="E1779" s="165"/>
      <c r="K1779" s="12"/>
      <c r="L1779" s="12"/>
      <c r="M1779" s="12"/>
      <c r="N1779" s="12"/>
    </row>
    <row r="1780" spans="3:14" ht="12.75">
      <c r="C1780" s="165"/>
      <c r="D1780" s="165"/>
      <c r="E1780" s="165"/>
      <c r="K1780" s="12"/>
      <c r="L1780" s="12"/>
      <c r="M1780" s="12"/>
      <c r="N1780" s="12"/>
    </row>
    <row r="1781" spans="3:14" ht="12.75">
      <c r="C1781" s="165"/>
      <c r="D1781" s="165"/>
      <c r="E1781" s="165"/>
      <c r="K1781" s="12"/>
      <c r="L1781" s="12"/>
      <c r="M1781" s="12"/>
      <c r="N1781" s="12"/>
    </row>
    <row r="1782" spans="3:14" ht="12.75">
      <c r="C1782" s="165"/>
      <c r="D1782" s="165"/>
      <c r="E1782" s="165"/>
      <c r="K1782" s="12"/>
      <c r="L1782" s="12"/>
      <c r="M1782" s="12"/>
      <c r="N1782" s="12"/>
    </row>
    <row r="1783" spans="3:14" ht="12.75">
      <c r="C1783" s="165"/>
      <c r="D1783" s="165"/>
      <c r="E1783" s="165"/>
      <c r="K1783" s="12"/>
      <c r="L1783" s="12"/>
      <c r="M1783" s="12"/>
      <c r="N1783" s="12"/>
    </row>
    <row r="1784" spans="3:14" ht="12.75">
      <c r="C1784" s="165"/>
      <c r="D1784" s="165"/>
      <c r="E1784" s="165"/>
      <c r="K1784" s="12"/>
      <c r="L1784" s="12"/>
      <c r="M1784" s="12"/>
      <c r="N1784" s="12"/>
    </row>
    <row r="1785" spans="3:14" ht="12.75">
      <c r="C1785" s="165"/>
      <c r="D1785" s="165"/>
      <c r="E1785" s="165"/>
      <c r="K1785" s="12"/>
      <c r="L1785" s="12"/>
      <c r="M1785" s="12"/>
      <c r="N1785" s="12"/>
    </row>
    <row r="1786" spans="3:14" ht="12.75">
      <c r="C1786" s="165"/>
      <c r="D1786" s="165"/>
      <c r="E1786" s="165"/>
      <c r="K1786" s="12"/>
      <c r="L1786" s="12"/>
      <c r="M1786" s="12"/>
      <c r="N1786" s="12"/>
    </row>
    <row r="1787" spans="3:14" ht="12.75">
      <c r="C1787" s="165"/>
      <c r="D1787" s="165"/>
      <c r="E1787" s="165"/>
      <c r="K1787" s="12"/>
      <c r="L1787" s="12"/>
      <c r="M1787" s="12"/>
      <c r="N1787" s="12"/>
    </row>
    <row r="1788" spans="3:14" ht="12.75">
      <c r="C1788" s="165"/>
      <c r="D1788" s="165"/>
      <c r="E1788" s="165"/>
      <c r="K1788" s="12"/>
      <c r="L1788" s="12"/>
      <c r="M1788" s="12"/>
      <c r="N1788" s="12"/>
    </row>
    <row r="1789" spans="3:14" ht="12.75">
      <c r="C1789" s="165"/>
      <c r="D1789" s="165"/>
      <c r="E1789" s="165"/>
      <c r="K1789" s="12"/>
      <c r="L1789" s="12"/>
      <c r="M1789" s="12"/>
      <c r="N1789" s="12"/>
    </row>
    <row r="1790" spans="3:14" ht="12.75">
      <c r="C1790" s="165"/>
      <c r="D1790" s="165"/>
      <c r="E1790" s="165"/>
      <c r="K1790" s="12"/>
      <c r="L1790" s="12"/>
      <c r="M1790" s="12"/>
      <c r="N1790" s="12"/>
    </row>
    <row r="1791" spans="3:14" ht="12.75">
      <c r="C1791" s="165"/>
      <c r="D1791" s="165"/>
      <c r="E1791" s="165"/>
      <c r="K1791" s="12"/>
      <c r="L1791" s="12"/>
      <c r="M1791" s="12"/>
      <c r="N1791" s="12"/>
    </row>
    <row r="1792" spans="3:14" ht="12.75">
      <c r="C1792" s="165"/>
      <c r="D1792" s="165"/>
      <c r="E1792" s="165"/>
      <c r="K1792" s="12"/>
      <c r="L1792" s="12"/>
      <c r="M1792" s="12"/>
      <c r="N1792" s="12"/>
    </row>
    <row r="1793" spans="3:14" ht="12.75">
      <c r="C1793" s="165"/>
      <c r="D1793" s="165"/>
      <c r="E1793" s="165"/>
      <c r="K1793" s="12"/>
      <c r="L1793" s="12"/>
      <c r="M1793" s="12"/>
      <c r="N1793" s="12"/>
    </row>
    <row r="1794" spans="3:14" ht="12.75">
      <c r="C1794" s="165"/>
      <c r="D1794" s="165"/>
      <c r="E1794" s="165"/>
      <c r="K1794" s="12"/>
      <c r="L1794" s="12"/>
      <c r="M1794" s="12"/>
      <c r="N1794" s="12"/>
    </row>
    <row r="1795" spans="3:14" ht="12.75">
      <c r="C1795" s="165"/>
      <c r="D1795" s="165"/>
      <c r="E1795" s="165"/>
      <c r="K1795" s="12"/>
      <c r="L1795" s="12"/>
      <c r="M1795" s="12"/>
      <c r="N1795" s="12"/>
    </row>
    <row r="1796" spans="3:14" ht="12.75">
      <c r="C1796" s="165"/>
      <c r="D1796" s="165"/>
      <c r="E1796" s="165"/>
      <c r="K1796" s="12"/>
      <c r="L1796" s="12"/>
      <c r="M1796" s="12"/>
      <c r="N1796" s="12"/>
    </row>
    <row r="1797" spans="3:14" ht="12.75">
      <c r="C1797" s="165"/>
      <c r="D1797" s="165"/>
      <c r="E1797" s="165"/>
      <c r="K1797" s="12"/>
      <c r="L1797" s="12"/>
      <c r="M1797" s="12"/>
      <c r="N1797" s="12"/>
    </row>
    <row r="1798" spans="3:14" ht="12.75">
      <c r="C1798" s="165"/>
      <c r="D1798" s="165"/>
      <c r="E1798" s="165"/>
      <c r="K1798" s="12"/>
      <c r="L1798" s="12"/>
      <c r="M1798" s="12"/>
      <c r="N1798" s="12"/>
    </row>
    <row r="1799" spans="3:14" ht="12.75">
      <c r="C1799" s="165"/>
      <c r="D1799" s="165"/>
      <c r="E1799" s="165"/>
      <c r="K1799" s="12"/>
      <c r="L1799" s="12"/>
      <c r="M1799" s="12"/>
      <c r="N1799" s="12"/>
    </row>
    <row r="1800" spans="3:14" ht="12.75">
      <c r="C1800" s="165"/>
      <c r="D1800" s="165"/>
      <c r="E1800" s="165"/>
      <c r="K1800" s="12"/>
      <c r="L1800" s="12"/>
      <c r="M1800" s="12"/>
      <c r="N1800" s="12"/>
    </row>
    <row r="1801" spans="3:14" ht="12.75">
      <c r="C1801" s="165"/>
      <c r="D1801" s="165"/>
      <c r="E1801" s="165"/>
      <c r="K1801" s="12"/>
      <c r="L1801" s="12"/>
      <c r="M1801" s="12"/>
      <c r="N1801" s="12"/>
    </row>
    <row r="1802" spans="3:14" ht="12.75">
      <c r="C1802" s="165"/>
      <c r="D1802" s="165"/>
      <c r="E1802" s="165"/>
      <c r="K1802" s="12"/>
      <c r="L1802" s="12"/>
      <c r="M1802" s="12"/>
      <c r="N1802" s="12"/>
    </row>
    <row r="1803" spans="3:14" ht="12.75">
      <c r="C1803" s="165"/>
      <c r="D1803" s="165"/>
      <c r="E1803" s="165"/>
      <c r="K1803" s="12"/>
      <c r="L1803" s="12"/>
      <c r="M1803" s="12"/>
      <c r="N1803" s="12"/>
    </row>
    <row r="1804" spans="3:14" ht="12.75">
      <c r="C1804" s="165"/>
      <c r="D1804" s="165"/>
      <c r="E1804" s="165"/>
      <c r="K1804" s="12"/>
      <c r="L1804" s="12"/>
      <c r="M1804" s="12"/>
      <c r="N1804" s="12"/>
    </row>
    <row r="1805" spans="3:14" ht="12.75">
      <c r="C1805" s="165"/>
      <c r="D1805" s="165"/>
      <c r="E1805" s="165"/>
      <c r="K1805" s="12"/>
      <c r="L1805" s="12"/>
      <c r="M1805" s="12"/>
      <c r="N1805" s="12"/>
    </row>
    <row r="1806" spans="3:14" ht="12.75">
      <c r="C1806" s="165"/>
      <c r="D1806" s="165"/>
      <c r="E1806" s="165"/>
      <c r="K1806" s="12"/>
      <c r="L1806" s="12"/>
      <c r="M1806" s="12"/>
      <c r="N1806" s="12"/>
    </row>
    <row r="1807" spans="3:14" ht="12.75">
      <c r="C1807" s="165"/>
      <c r="D1807" s="165"/>
      <c r="E1807" s="165"/>
      <c r="K1807" s="12"/>
      <c r="L1807" s="12"/>
      <c r="M1807" s="12"/>
      <c r="N1807" s="12"/>
    </row>
    <row r="1808" spans="3:14" ht="12.75">
      <c r="C1808" s="165"/>
      <c r="D1808" s="165"/>
      <c r="E1808" s="165"/>
      <c r="K1808" s="12"/>
      <c r="L1808" s="12"/>
      <c r="M1808" s="12"/>
      <c r="N1808" s="12"/>
    </row>
    <row r="1809" spans="3:14" ht="12.75">
      <c r="C1809" s="165"/>
      <c r="D1809" s="165"/>
      <c r="E1809" s="165"/>
      <c r="K1809" s="12"/>
      <c r="L1809" s="12"/>
      <c r="M1809" s="12"/>
      <c r="N1809" s="12"/>
    </row>
    <row r="1810" spans="3:14" ht="12.75">
      <c r="C1810" s="165"/>
      <c r="D1810" s="165"/>
      <c r="E1810" s="165"/>
      <c r="K1810" s="12"/>
      <c r="L1810" s="12"/>
      <c r="M1810" s="12"/>
      <c r="N1810" s="12"/>
    </row>
    <row r="1811" spans="3:14" ht="12.75">
      <c r="C1811" s="165"/>
      <c r="D1811" s="165"/>
      <c r="E1811" s="165"/>
      <c r="K1811" s="12"/>
      <c r="L1811" s="12"/>
      <c r="M1811" s="12"/>
      <c r="N1811" s="12"/>
    </row>
    <row r="1812" spans="3:14" ht="12.75">
      <c r="C1812" s="165"/>
      <c r="D1812" s="165"/>
      <c r="E1812" s="165"/>
      <c r="K1812" s="12"/>
      <c r="L1812" s="12"/>
      <c r="M1812" s="12"/>
      <c r="N1812" s="12"/>
    </row>
    <row r="1813" spans="3:14" ht="12.75">
      <c r="C1813" s="165"/>
      <c r="D1813" s="165"/>
      <c r="E1813" s="165"/>
      <c r="K1813" s="12"/>
      <c r="L1813" s="12"/>
      <c r="M1813" s="12"/>
      <c r="N1813" s="12"/>
    </row>
    <row r="1814" spans="3:14" ht="12.75">
      <c r="C1814" s="165"/>
      <c r="D1814" s="165"/>
      <c r="E1814" s="165"/>
      <c r="K1814" s="12"/>
      <c r="L1814" s="12"/>
      <c r="M1814" s="12"/>
      <c r="N1814" s="12"/>
    </row>
    <row r="1815" spans="3:14" ht="12.75">
      <c r="C1815" s="165"/>
      <c r="D1815" s="165"/>
      <c r="E1815" s="165"/>
      <c r="K1815" s="12"/>
      <c r="L1815" s="12"/>
      <c r="M1815" s="12"/>
      <c r="N1815" s="12"/>
    </row>
    <row r="1816" spans="3:14" ht="12.75">
      <c r="C1816" s="165"/>
      <c r="D1816" s="165"/>
      <c r="E1816" s="165"/>
      <c r="K1816" s="12"/>
      <c r="L1816" s="12"/>
      <c r="M1816" s="12"/>
      <c r="N1816" s="12"/>
    </row>
    <row r="1817" spans="3:14" ht="12.75">
      <c r="C1817" s="165"/>
      <c r="D1817" s="165"/>
      <c r="E1817" s="165"/>
      <c r="K1817" s="12"/>
      <c r="L1817" s="12"/>
      <c r="M1817" s="12"/>
      <c r="N1817" s="12"/>
    </row>
    <row r="1818" spans="3:14" ht="12.75">
      <c r="C1818" s="165"/>
      <c r="D1818" s="165"/>
      <c r="E1818" s="165"/>
      <c r="K1818" s="12"/>
      <c r="L1818" s="12"/>
      <c r="M1818" s="12"/>
      <c r="N1818" s="12"/>
    </row>
    <row r="1819" spans="3:14" ht="12.75">
      <c r="C1819" s="165"/>
      <c r="D1819" s="165"/>
      <c r="E1819" s="165"/>
      <c r="K1819" s="12"/>
      <c r="L1819" s="12"/>
      <c r="M1819" s="12"/>
      <c r="N1819" s="12"/>
    </row>
    <row r="1820" spans="3:14" ht="12.75">
      <c r="C1820" s="165"/>
      <c r="D1820" s="165"/>
      <c r="E1820" s="165"/>
      <c r="K1820" s="12"/>
      <c r="L1820" s="12"/>
      <c r="M1820" s="12"/>
      <c r="N1820" s="12"/>
    </row>
    <row r="1821" spans="3:14" ht="12.75">
      <c r="C1821" s="165"/>
      <c r="D1821" s="165"/>
      <c r="E1821" s="165"/>
      <c r="K1821" s="12"/>
      <c r="L1821" s="12"/>
      <c r="M1821" s="12"/>
      <c r="N1821" s="12"/>
    </row>
    <row r="1822" spans="3:14" ht="12.75">
      <c r="C1822" s="165"/>
      <c r="D1822" s="165"/>
      <c r="E1822" s="165"/>
      <c r="K1822" s="12"/>
      <c r="L1822" s="12"/>
      <c r="M1822" s="12"/>
      <c r="N1822" s="12"/>
    </row>
    <row r="1823" spans="3:14" ht="12.75">
      <c r="C1823" s="165"/>
      <c r="D1823" s="165"/>
      <c r="E1823" s="165"/>
      <c r="K1823" s="12"/>
      <c r="L1823" s="12"/>
      <c r="M1823" s="12"/>
      <c r="N1823" s="12"/>
    </row>
    <row r="1824" spans="3:14" ht="12.75">
      <c r="C1824" s="165"/>
      <c r="D1824" s="165"/>
      <c r="E1824" s="165"/>
      <c r="K1824" s="12"/>
      <c r="L1824" s="12"/>
      <c r="M1824" s="12"/>
      <c r="N1824" s="12"/>
    </row>
    <row r="1825" spans="3:14" ht="12.75">
      <c r="C1825" s="165"/>
      <c r="D1825" s="165"/>
      <c r="E1825" s="165"/>
      <c r="K1825" s="12"/>
      <c r="L1825" s="12"/>
      <c r="M1825" s="12"/>
      <c r="N1825" s="12"/>
    </row>
    <row r="1826" spans="3:14" ht="12.75">
      <c r="C1826" s="165"/>
      <c r="D1826" s="165"/>
      <c r="E1826" s="165"/>
      <c r="K1826" s="12"/>
      <c r="L1826" s="12"/>
      <c r="M1826" s="12"/>
      <c r="N1826" s="12"/>
    </row>
    <row r="1827" spans="3:14" ht="12.75">
      <c r="C1827" s="165"/>
      <c r="D1827" s="165"/>
      <c r="E1827" s="165"/>
      <c r="K1827" s="12"/>
      <c r="L1827" s="12"/>
      <c r="M1827" s="12"/>
      <c r="N1827" s="12"/>
    </row>
    <row r="1828" spans="3:14" ht="12.75">
      <c r="C1828" s="165"/>
      <c r="D1828" s="165"/>
      <c r="E1828" s="165"/>
      <c r="K1828" s="12"/>
      <c r="L1828" s="12"/>
      <c r="M1828" s="12"/>
      <c r="N1828" s="12"/>
    </row>
    <row r="1829" spans="3:14" ht="12.75">
      <c r="C1829" s="165"/>
      <c r="D1829" s="165"/>
      <c r="E1829" s="165"/>
      <c r="K1829" s="12"/>
      <c r="L1829" s="12"/>
      <c r="M1829" s="12"/>
      <c r="N1829" s="12"/>
    </row>
    <row r="1830" spans="3:14" ht="12.75">
      <c r="C1830" s="165"/>
      <c r="D1830" s="165"/>
      <c r="E1830" s="165"/>
      <c r="K1830" s="12"/>
      <c r="L1830" s="12"/>
      <c r="M1830" s="12"/>
      <c r="N1830" s="12"/>
    </row>
    <row r="1831" spans="3:14" ht="12.75">
      <c r="C1831" s="165"/>
      <c r="D1831" s="165"/>
      <c r="E1831" s="165"/>
      <c r="K1831" s="12"/>
      <c r="L1831" s="12"/>
      <c r="M1831" s="12"/>
      <c r="N1831" s="12"/>
    </row>
    <row r="1832" spans="3:14" ht="12.75">
      <c r="C1832" s="165"/>
      <c r="D1832" s="165"/>
      <c r="E1832" s="165"/>
      <c r="K1832" s="12"/>
      <c r="L1832" s="12"/>
      <c r="M1832" s="12"/>
      <c r="N1832" s="12"/>
    </row>
    <row r="1833" spans="3:14" ht="12.75">
      <c r="C1833" s="165"/>
      <c r="D1833" s="165"/>
      <c r="E1833" s="165"/>
      <c r="K1833" s="12"/>
      <c r="L1833" s="12"/>
      <c r="M1833" s="12"/>
      <c r="N1833" s="12"/>
    </row>
    <row r="1834" spans="3:14" ht="12.75">
      <c r="C1834" s="165"/>
      <c r="D1834" s="165"/>
      <c r="E1834" s="165"/>
      <c r="K1834" s="12"/>
      <c r="L1834" s="12"/>
      <c r="M1834" s="12"/>
      <c r="N1834" s="12"/>
    </row>
    <row r="1835" spans="3:14" ht="12.75">
      <c r="C1835" s="165"/>
      <c r="D1835" s="165"/>
      <c r="E1835" s="165"/>
      <c r="K1835" s="12"/>
      <c r="L1835" s="12"/>
      <c r="M1835" s="12"/>
      <c r="N1835" s="12"/>
    </row>
    <row r="1836" spans="3:14" ht="12.75">
      <c r="C1836" s="165"/>
      <c r="D1836" s="165"/>
      <c r="E1836" s="165"/>
      <c r="K1836" s="12"/>
      <c r="L1836" s="12"/>
      <c r="M1836" s="12"/>
      <c r="N1836" s="12"/>
    </row>
    <row r="1837" spans="3:14" ht="12.75">
      <c r="C1837" s="165"/>
      <c r="D1837" s="165"/>
      <c r="E1837" s="165"/>
      <c r="K1837" s="12"/>
      <c r="L1837" s="12"/>
      <c r="M1837" s="12"/>
      <c r="N1837" s="12"/>
    </row>
    <row r="1838" spans="3:14" ht="12.75">
      <c r="C1838" s="165"/>
      <c r="D1838" s="165"/>
      <c r="E1838" s="165"/>
      <c r="K1838" s="12"/>
      <c r="L1838" s="12"/>
      <c r="M1838" s="12"/>
      <c r="N1838" s="12"/>
    </row>
    <row r="1839" spans="3:14" ht="12.75">
      <c r="C1839" s="165"/>
      <c r="D1839" s="165"/>
      <c r="E1839" s="165"/>
      <c r="K1839" s="12"/>
      <c r="L1839" s="12"/>
      <c r="M1839" s="12"/>
      <c r="N1839" s="12"/>
    </row>
    <row r="1840" spans="3:14" ht="12.75">
      <c r="C1840" s="165"/>
      <c r="D1840" s="165"/>
      <c r="E1840" s="165"/>
      <c r="K1840" s="12"/>
      <c r="L1840" s="12"/>
      <c r="M1840" s="12"/>
      <c r="N1840" s="12"/>
    </row>
    <row r="1841" spans="3:14" ht="12.75">
      <c r="C1841" s="165"/>
      <c r="D1841" s="165"/>
      <c r="E1841" s="165"/>
      <c r="K1841" s="12"/>
      <c r="L1841" s="12"/>
      <c r="M1841" s="12"/>
      <c r="N1841" s="12"/>
    </row>
    <row r="1842" spans="3:14" ht="12.75">
      <c r="C1842" s="165"/>
      <c r="D1842" s="165"/>
      <c r="E1842" s="165"/>
      <c r="K1842" s="12"/>
      <c r="L1842" s="12"/>
      <c r="M1842" s="12"/>
      <c r="N1842" s="12"/>
    </row>
    <row r="1843" spans="3:14" ht="12.75">
      <c r="C1843" s="165"/>
      <c r="D1843" s="165"/>
      <c r="E1843" s="165"/>
      <c r="K1843" s="12"/>
      <c r="L1843" s="12"/>
      <c r="M1843" s="12"/>
      <c r="N1843" s="12"/>
    </row>
    <row r="1844" spans="3:14" ht="12.75">
      <c r="C1844" s="165"/>
      <c r="D1844" s="165"/>
      <c r="E1844" s="165"/>
      <c r="K1844" s="12"/>
      <c r="L1844" s="12"/>
      <c r="M1844" s="12"/>
      <c r="N1844" s="12"/>
    </row>
    <row r="1845" spans="3:14" ht="12.75">
      <c r="C1845" s="165"/>
      <c r="D1845" s="165"/>
      <c r="E1845" s="165"/>
      <c r="K1845" s="12"/>
      <c r="L1845" s="12"/>
      <c r="M1845" s="12"/>
      <c r="N1845" s="12"/>
    </row>
    <row r="1846" spans="3:14" ht="12.75">
      <c r="C1846" s="165"/>
      <c r="D1846" s="165"/>
      <c r="E1846" s="165"/>
      <c r="K1846" s="12"/>
      <c r="L1846" s="12"/>
      <c r="M1846" s="12"/>
      <c r="N1846" s="12"/>
    </row>
    <row r="1847" spans="3:14" ht="12.75">
      <c r="C1847" s="165"/>
      <c r="D1847" s="165"/>
      <c r="E1847" s="165"/>
      <c r="K1847" s="12"/>
      <c r="L1847" s="12"/>
      <c r="M1847" s="12"/>
      <c r="N1847" s="12"/>
    </row>
    <row r="1848" spans="3:14" ht="12.75">
      <c r="C1848" s="165"/>
      <c r="D1848" s="165"/>
      <c r="E1848" s="165"/>
      <c r="K1848" s="12"/>
      <c r="L1848" s="12"/>
      <c r="M1848" s="12"/>
      <c r="N1848" s="12"/>
    </row>
    <row r="1849" spans="3:14" ht="12.75">
      <c r="C1849" s="165"/>
      <c r="D1849" s="165"/>
      <c r="E1849" s="165"/>
      <c r="K1849" s="12"/>
      <c r="L1849" s="12"/>
      <c r="M1849" s="12"/>
      <c r="N1849" s="12"/>
    </row>
    <row r="1850" spans="3:14" ht="12.75">
      <c r="C1850" s="165"/>
      <c r="D1850" s="165"/>
      <c r="E1850" s="165"/>
      <c r="K1850" s="12"/>
      <c r="L1850" s="12"/>
      <c r="M1850" s="12"/>
      <c r="N1850" s="12"/>
    </row>
    <row r="1851" spans="3:14" ht="12.75">
      <c r="C1851" s="165"/>
      <c r="D1851" s="165"/>
      <c r="E1851" s="165"/>
      <c r="K1851" s="12"/>
      <c r="L1851" s="12"/>
      <c r="M1851" s="12"/>
      <c r="N1851" s="12"/>
    </row>
    <row r="1852" spans="3:14" ht="12.75">
      <c r="C1852" s="165"/>
      <c r="D1852" s="165"/>
      <c r="E1852" s="165"/>
      <c r="K1852" s="12"/>
      <c r="L1852" s="12"/>
      <c r="M1852" s="12"/>
      <c r="N1852" s="12"/>
    </row>
    <row r="1853" spans="3:14" ht="12.75">
      <c r="C1853" s="165"/>
      <c r="D1853" s="165"/>
      <c r="E1853" s="165"/>
      <c r="K1853" s="12"/>
      <c r="L1853" s="12"/>
      <c r="M1853" s="12"/>
      <c r="N1853" s="12"/>
    </row>
    <row r="1854" spans="3:14" ht="12.75">
      <c r="C1854" s="165"/>
      <c r="D1854" s="165"/>
      <c r="E1854" s="165"/>
      <c r="K1854" s="12"/>
      <c r="L1854" s="12"/>
      <c r="M1854" s="12"/>
      <c r="N1854" s="12"/>
    </row>
    <row r="1855" spans="3:14" ht="12.75">
      <c r="C1855" s="165"/>
      <c r="D1855" s="165"/>
      <c r="E1855" s="165"/>
      <c r="K1855" s="12"/>
      <c r="L1855" s="12"/>
      <c r="M1855" s="12"/>
      <c r="N1855" s="12"/>
    </row>
    <row r="1856" spans="3:14" ht="12.75">
      <c r="C1856" s="165"/>
      <c r="D1856" s="165"/>
      <c r="E1856" s="165"/>
      <c r="K1856" s="12"/>
      <c r="L1856" s="12"/>
      <c r="M1856" s="12"/>
      <c r="N1856" s="12"/>
    </row>
    <row r="1857" spans="3:14" ht="12.75">
      <c r="C1857" s="165"/>
      <c r="D1857" s="165"/>
      <c r="E1857" s="165"/>
      <c r="K1857" s="12"/>
      <c r="L1857" s="12"/>
      <c r="M1857" s="12"/>
      <c r="N1857" s="12"/>
    </row>
    <row r="1858" spans="3:14" ht="12.75">
      <c r="C1858" s="165"/>
      <c r="D1858" s="165"/>
      <c r="E1858" s="165"/>
      <c r="K1858" s="12"/>
      <c r="L1858" s="12"/>
      <c r="M1858" s="12"/>
      <c r="N1858" s="12"/>
    </row>
    <row r="1859" spans="3:14" ht="12.75">
      <c r="C1859" s="165"/>
      <c r="D1859" s="165"/>
      <c r="E1859" s="165"/>
      <c r="K1859" s="12"/>
      <c r="L1859" s="12"/>
      <c r="M1859" s="12"/>
      <c r="N1859" s="12"/>
    </row>
    <row r="1860" spans="3:14" ht="12.75">
      <c r="C1860" s="165"/>
      <c r="D1860" s="165"/>
      <c r="E1860" s="165"/>
      <c r="K1860" s="12"/>
      <c r="L1860" s="12"/>
      <c r="M1860" s="12"/>
      <c r="N1860" s="12"/>
    </row>
    <row r="1861" spans="3:14" ht="12.75">
      <c r="C1861" s="165"/>
      <c r="D1861" s="165"/>
      <c r="E1861" s="165"/>
      <c r="K1861" s="12"/>
      <c r="L1861" s="12"/>
      <c r="M1861" s="12"/>
      <c r="N1861" s="12"/>
    </row>
    <row r="1862" spans="3:14" ht="12.75">
      <c r="C1862" s="165"/>
      <c r="D1862" s="165"/>
      <c r="E1862" s="165"/>
      <c r="K1862" s="12"/>
      <c r="L1862" s="12"/>
      <c r="M1862" s="12"/>
      <c r="N1862" s="12"/>
    </row>
    <row r="1863" spans="3:14" ht="12.75">
      <c r="C1863" s="165"/>
      <c r="D1863" s="165"/>
      <c r="E1863" s="165"/>
      <c r="K1863" s="12"/>
      <c r="L1863" s="12"/>
      <c r="M1863" s="12"/>
      <c r="N1863" s="12"/>
    </row>
    <row r="1864" spans="3:14" ht="12.75">
      <c r="C1864" s="165"/>
      <c r="D1864" s="165"/>
      <c r="E1864" s="165"/>
      <c r="K1864" s="12"/>
      <c r="L1864" s="12"/>
      <c r="M1864" s="12"/>
      <c r="N1864" s="12"/>
    </row>
    <row r="1865" spans="3:14" ht="12.75">
      <c r="C1865" s="165"/>
      <c r="D1865" s="165"/>
      <c r="E1865" s="165"/>
      <c r="K1865" s="12"/>
      <c r="L1865" s="12"/>
      <c r="M1865" s="12"/>
      <c r="N1865" s="12"/>
    </row>
    <row r="1866" spans="3:14" ht="12.75">
      <c r="C1866" s="165"/>
      <c r="D1866" s="165"/>
      <c r="E1866" s="165"/>
      <c r="K1866" s="12"/>
      <c r="L1866" s="12"/>
      <c r="M1866" s="12"/>
      <c r="N1866" s="12"/>
    </row>
    <row r="1867" spans="3:14" ht="12.75">
      <c r="C1867" s="165"/>
      <c r="D1867" s="165"/>
      <c r="E1867" s="165"/>
      <c r="K1867" s="12"/>
      <c r="L1867" s="12"/>
      <c r="M1867" s="12"/>
      <c r="N1867" s="12"/>
    </row>
    <row r="1868" spans="3:14" ht="12.75">
      <c r="C1868" s="165"/>
      <c r="D1868" s="165"/>
      <c r="E1868" s="165"/>
      <c r="K1868" s="12"/>
      <c r="L1868" s="12"/>
      <c r="M1868" s="12"/>
      <c r="N1868" s="12"/>
    </row>
    <row r="1869" spans="3:14" ht="12.75">
      <c r="C1869" s="165"/>
      <c r="D1869" s="165"/>
      <c r="E1869" s="165"/>
      <c r="K1869" s="12"/>
      <c r="L1869" s="12"/>
      <c r="M1869" s="12"/>
      <c r="N1869" s="12"/>
    </row>
    <row r="1870" spans="3:14" ht="12.75">
      <c r="C1870" s="165"/>
      <c r="D1870" s="165"/>
      <c r="E1870" s="165"/>
      <c r="K1870" s="12"/>
      <c r="L1870" s="12"/>
      <c r="M1870" s="12"/>
      <c r="N1870" s="12"/>
    </row>
    <row r="1871" spans="3:14" ht="12.75">
      <c r="C1871" s="165"/>
      <c r="D1871" s="165"/>
      <c r="E1871" s="165"/>
      <c r="K1871" s="12"/>
      <c r="L1871" s="12"/>
      <c r="M1871" s="12"/>
      <c r="N1871" s="12"/>
    </row>
    <row r="1872" spans="3:14" ht="12.75">
      <c r="C1872" s="165"/>
      <c r="D1872" s="165"/>
      <c r="E1872" s="165"/>
      <c r="K1872" s="12"/>
      <c r="L1872" s="12"/>
      <c r="M1872" s="12"/>
      <c r="N1872" s="12"/>
    </row>
    <row r="1873" spans="3:14" ht="12.75">
      <c r="C1873" s="165"/>
      <c r="D1873" s="165"/>
      <c r="E1873" s="165"/>
      <c r="K1873" s="12"/>
      <c r="L1873" s="12"/>
      <c r="M1873" s="12"/>
      <c r="N1873" s="12"/>
    </row>
    <row r="1874" spans="3:14" ht="12.75">
      <c r="C1874" s="165"/>
      <c r="D1874" s="165"/>
      <c r="E1874" s="165"/>
      <c r="K1874" s="12"/>
      <c r="L1874" s="12"/>
      <c r="M1874" s="12"/>
      <c r="N1874" s="12"/>
    </row>
    <row r="1875" spans="3:14" ht="12.75">
      <c r="C1875" s="165"/>
      <c r="D1875" s="165"/>
      <c r="E1875" s="165"/>
      <c r="K1875" s="12"/>
      <c r="L1875" s="12"/>
      <c r="M1875" s="12"/>
      <c r="N1875" s="12"/>
    </row>
    <row r="1876" spans="3:14" ht="12.75">
      <c r="C1876" s="165"/>
      <c r="D1876" s="165"/>
      <c r="E1876" s="165"/>
      <c r="K1876" s="12"/>
      <c r="L1876" s="12"/>
      <c r="M1876" s="12"/>
      <c r="N1876" s="12"/>
    </row>
    <row r="1877" spans="3:14" ht="12.75">
      <c r="C1877" s="165"/>
      <c r="D1877" s="165"/>
      <c r="E1877" s="165"/>
      <c r="K1877" s="12"/>
      <c r="L1877" s="12"/>
      <c r="M1877" s="12"/>
      <c r="N1877" s="12"/>
    </row>
    <row r="1878" spans="3:14" ht="12.75">
      <c r="C1878" s="165"/>
      <c r="D1878" s="165"/>
      <c r="E1878" s="165"/>
      <c r="K1878" s="12"/>
      <c r="L1878" s="12"/>
      <c r="M1878" s="12"/>
      <c r="N1878" s="12"/>
    </row>
    <row r="1879" spans="3:14" ht="12.75">
      <c r="C1879" s="165"/>
      <c r="D1879" s="165"/>
      <c r="E1879" s="165"/>
      <c r="K1879" s="12"/>
      <c r="L1879" s="12"/>
      <c r="M1879" s="12"/>
      <c r="N1879" s="12"/>
    </row>
    <row r="1880" spans="3:14" ht="12.75">
      <c r="C1880" s="165"/>
      <c r="D1880" s="165"/>
      <c r="E1880" s="165"/>
      <c r="K1880" s="12"/>
      <c r="L1880" s="12"/>
      <c r="M1880" s="12"/>
      <c r="N1880" s="12"/>
    </row>
    <row r="1881" spans="3:14" ht="12.75">
      <c r="C1881" s="165"/>
      <c r="D1881" s="165"/>
      <c r="E1881" s="165"/>
      <c r="K1881" s="12"/>
      <c r="L1881" s="12"/>
      <c r="M1881" s="12"/>
      <c r="N1881" s="12"/>
    </row>
    <row r="1882" spans="3:14" ht="12.75">
      <c r="C1882" s="165"/>
      <c r="D1882" s="165"/>
      <c r="E1882" s="165"/>
      <c r="K1882" s="12"/>
      <c r="L1882" s="12"/>
      <c r="M1882" s="12"/>
      <c r="N1882" s="12"/>
    </row>
    <row r="1883" spans="3:14" ht="12.75">
      <c r="C1883" s="165"/>
      <c r="D1883" s="165"/>
      <c r="E1883" s="165"/>
      <c r="K1883" s="12"/>
      <c r="L1883" s="12"/>
      <c r="M1883" s="12"/>
      <c r="N1883" s="12"/>
    </row>
    <row r="1884" spans="3:14" ht="12.75">
      <c r="C1884" s="165"/>
      <c r="D1884" s="165"/>
      <c r="E1884" s="165"/>
      <c r="K1884" s="12"/>
      <c r="L1884" s="12"/>
      <c r="M1884" s="12"/>
      <c r="N1884" s="12"/>
    </row>
    <row r="1885" spans="3:14" ht="12.75">
      <c r="C1885" s="165"/>
      <c r="D1885" s="165"/>
      <c r="E1885" s="165"/>
      <c r="K1885" s="12"/>
      <c r="L1885" s="12"/>
      <c r="M1885" s="12"/>
      <c r="N1885" s="12"/>
    </row>
    <row r="1886" spans="3:14" ht="12.75">
      <c r="C1886" s="165"/>
      <c r="D1886" s="165"/>
      <c r="E1886" s="165"/>
      <c r="K1886" s="12"/>
      <c r="L1886" s="12"/>
      <c r="M1886" s="12"/>
      <c r="N1886" s="12"/>
    </row>
    <row r="1887" spans="3:14" ht="12.75">
      <c r="C1887" s="165"/>
      <c r="D1887" s="165"/>
      <c r="E1887" s="165"/>
      <c r="K1887" s="12"/>
      <c r="L1887" s="12"/>
      <c r="M1887" s="12"/>
      <c r="N1887" s="12"/>
    </row>
    <row r="1888" spans="3:14" ht="12.75">
      <c r="C1888" s="165"/>
      <c r="D1888" s="165"/>
      <c r="E1888" s="165"/>
      <c r="K1888" s="12"/>
      <c r="L1888" s="12"/>
      <c r="M1888" s="12"/>
      <c r="N1888" s="12"/>
    </row>
    <row r="1889" spans="3:14" ht="12.75">
      <c r="C1889" s="165"/>
      <c r="D1889" s="165"/>
      <c r="E1889" s="165"/>
      <c r="K1889" s="12"/>
      <c r="L1889" s="12"/>
      <c r="M1889" s="12"/>
      <c r="N1889" s="12"/>
    </row>
    <row r="1890" spans="3:14" ht="12.75">
      <c r="C1890" s="165"/>
      <c r="D1890" s="165"/>
      <c r="E1890" s="165"/>
      <c r="K1890" s="12"/>
      <c r="L1890" s="12"/>
      <c r="M1890" s="12"/>
      <c r="N1890" s="12"/>
    </row>
    <row r="1891" spans="3:14" ht="12.75">
      <c r="C1891" s="165"/>
      <c r="D1891" s="165"/>
      <c r="E1891" s="165"/>
      <c r="K1891" s="12"/>
      <c r="L1891" s="12"/>
      <c r="M1891" s="12"/>
      <c r="N1891" s="12"/>
    </row>
    <row r="1892" spans="3:14" ht="12.75">
      <c r="C1892" s="165"/>
      <c r="D1892" s="165"/>
      <c r="E1892" s="165"/>
      <c r="K1892" s="12"/>
      <c r="L1892" s="12"/>
      <c r="M1892" s="12"/>
      <c r="N1892" s="12"/>
    </row>
    <row r="1893" spans="3:14" ht="12.75">
      <c r="C1893" s="165"/>
      <c r="D1893" s="165"/>
      <c r="E1893" s="165"/>
      <c r="K1893" s="12"/>
      <c r="L1893" s="12"/>
      <c r="M1893" s="12"/>
      <c r="N1893" s="12"/>
    </row>
    <row r="1894" spans="3:14" ht="12.75">
      <c r="C1894" s="165"/>
      <c r="D1894" s="165"/>
      <c r="E1894" s="165"/>
      <c r="K1894" s="12"/>
      <c r="L1894" s="12"/>
      <c r="M1894" s="12"/>
      <c r="N1894" s="12"/>
    </row>
    <row r="1895" spans="3:14" ht="12.75">
      <c r="C1895" s="165"/>
      <c r="D1895" s="165"/>
      <c r="E1895" s="165"/>
      <c r="K1895" s="12"/>
      <c r="L1895" s="12"/>
      <c r="M1895" s="12"/>
      <c r="N1895" s="12"/>
    </row>
    <row r="1896" spans="3:14" ht="12.75">
      <c r="C1896" s="165"/>
      <c r="D1896" s="165"/>
      <c r="E1896" s="165"/>
      <c r="K1896" s="12"/>
      <c r="L1896" s="12"/>
      <c r="M1896" s="12"/>
      <c r="N1896" s="12"/>
    </row>
    <row r="1897" spans="3:14" ht="12.75">
      <c r="C1897" s="165"/>
      <c r="D1897" s="165"/>
      <c r="E1897" s="165"/>
      <c r="K1897" s="12"/>
      <c r="L1897" s="12"/>
      <c r="M1897" s="12"/>
      <c r="N1897" s="12"/>
    </row>
    <row r="1898" spans="3:14" ht="12.75">
      <c r="C1898" s="165"/>
      <c r="D1898" s="165"/>
      <c r="E1898" s="165"/>
      <c r="K1898" s="12"/>
      <c r="L1898" s="12"/>
      <c r="M1898" s="12"/>
      <c r="N1898" s="12"/>
    </row>
    <row r="1899" spans="3:14" ht="12.75">
      <c r="C1899" s="165"/>
      <c r="D1899" s="165"/>
      <c r="E1899" s="165"/>
      <c r="K1899" s="12"/>
      <c r="L1899" s="12"/>
      <c r="M1899" s="12"/>
      <c r="N1899" s="12"/>
    </row>
    <row r="1900" spans="3:14" ht="12.75">
      <c r="C1900" s="165"/>
      <c r="D1900" s="165"/>
      <c r="E1900" s="165"/>
      <c r="K1900" s="12"/>
      <c r="L1900" s="12"/>
      <c r="M1900" s="12"/>
      <c r="N1900" s="12"/>
    </row>
    <row r="1901" spans="3:14" ht="12.75">
      <c r="C1901" s="165"/>
      <c r="D1901" s="165"/>
      <c r="E1901" s="165"/>
      <c r="K1901" s="12"/>
      <c r="L1901" s="12"/>
      <c r="M1901" s="12"/>
      <c r="N1901" s="12"/>
    </row>
    <row r="1902" spans="3:14" ht="12.75">
      <c r="C1902" s="165"/>
      <c r="D1902" s="165"/>
      <c r="E1902" s="165"/>
      <c r="K1902" s="12"/>
      <c r="L1902" s="12"/>
      <c r="M1902" s="12"/>
      <c r="N1902" s="12"/>
    </row>
    <row r="1903" spans="3:14" ht="12.75">
      <c r="C1903" s="165"/>
      <c r="D1903" s="165"/>
      <c r="E1903" s="165"/>
      <c r="K1903" s="12"/>
      <c r="L1903" s="12"/>
      <c r="M1903" s="12"/>
      <c r="N1903" s="12"/>
    </row>
    <row r="1904" spans="3:14" ht="12.75">
      <c r="C1904" s="165"/>
      <c r="D1904" s="165"/>
      <c r="E1904" s="165"/>
      <c r="K1904" s="12"/>
      <c r="L1904" s="12"/>
      <c r="M1904" s="12"/>
      <c r="N1904" s="12"/>
    </row>
    <row r="1905" spans="3:14" ht="12.75">
      <c r="C1905" s="165"/>
      <c r="D1905" s="165"/>
      <c r="E1905" s="165"/>
      <c r="K1905" s="12"/>
      <c r="L1905" s="12"/>
      <c r="M1905" s="12"/>
      <c r="N1905" s="12"/>
    </row>
    <row r="1906" spans="3:14" ht="12.75">
      <c r="C1906" s="165"/>
      <c r="D1906" s="165"/>
      <c r="E1906" s="165"/>
      <c r="K1906" s="12"/>
      <c r="L1906" s="12"/>
      <c r="M1906" s="12"/>
      <c r="N1906" s="12"/>
    </row>
    <row r="1907" spans="3:14" ht="12.75">
      <c r="C1907" s="165"/>
      <c r="D1907" s="165"/>
      <c r="E1907" s="165"/>
      <c r="K1907" s="12"/>
      <c r="L1907" s="12"/>
      <c r="M1907" s="12"/>
      <c r="N1907" s="12"/>
    </row>
    <row r="1908" spans="3:14" ht="12.75">
      <c r="C1908" s="165"/>
      <c r="D1908" s="165"/>
      <c r="E1908" s="165"/>
      <c r="K1908" s="12"/>
      <c r="L1908" s="12"/>
      <c r="M1908" s="12"/>
      <c r="N1908" s="12"/>
    </row>
    <row r="1909" spans="3:14" ht="12.75">
      <c r="C1909" s="165"/>
      <c r="D1909" s="165"/>
      <c r="E1909" s="165"/>
      <c r="K1909" s="12"/>
      <c r="L1909" s="12"/>
      <c r="M1909" s="12"/>
      <c r="N1909" s="12"/>
    </row>
    <row r="1910" spans="3:14" ht="12.75">
      <c r="C1910" s="165"/>
      <c r="D1910" s="165"/>
      <c r="E1910" s="165"/>
      <c r="K1910" s="12"/>
      <c r="L1910" s="12"/>
      <c r="M1910" s="12"/>
      <c r="N1910" s="12"/>
    </row>
    <row r="1911" spans="3:14" ht="12.75">
      <c r="C1911" s="165"/>
      <c r="D1911" s="165"/>
      <c r="E1911" s="165"/>
      <c r="K1911" s="12"/>
      <c r="L1911" s="12"/>
      <c r="M1911" s="12"/>
      <c r="N1911" s="12"/>
    </row>
    <row r="1912" spans="3:14" ht="12.75">
      <c r="C1912" s="165"/>
      <c r="D1912" s="165"/>
      <c r="E1912" s="165"/>
      <c r="K1912" s="12"/>
      <c r="L1912" s="12"/>
      <c r="M1912" s="12"/>
      <c r="N1912" s="12"/>
    </row>
    <row r="1913" spans="3:14" ht="12.75">
      <c r="C1913" s="165"/>
      <c r="D1913" s="165"/>
      <c r="E1913" s="165"/>
      <c r="K1913" s="12"/>
      <c r="L1913" s="12"/>
      <c r="M1913" s="12"/>
      <c r="N1913" s="12"/>
    </row>
    <row r="1914" spans="3:14" ht="12.75">
      <c r="C1914" s="165"/>
      <c r="D1914" s="165"/>
      <c r="E1914" s="165"/>
      <c r="K1914" s="12"/>
      <c r="L1914" s="12"/>
      <c r="M1914" s="12"/>
      <c r="N1914" s="12"/>
    </row>
    <row r="1915" spans="3:14" ht="12.75">
      <c r="C1915" s="165"/>
      <c r="D1915" s="165"/>
      <c r="E1915" s="165"/>
      <c r="K1915" s="12"/>
      <c r="L1915" s="12"/>
      <c r="M1915" s="12"/>
      <c r="N1915" s="12"/>
    </row>
    <row r="1916" spans="3:14" ht="12.75">
      <c r="C1916" s="165"/>
      <c r="D1916" s="165"/>
      <c r="E1916" s="165"/>
      <c r="K1916" s="12"/>
      <c r="L1916" s="12"/>
      <c r="M1916" s="12"/>
      <c r="N1916" s="12"/>
    </row>
    <row r="1917" spans="3:14" ht="12.75">
      <c r="C1917" s="165"/>
      <c r="D1917" s="165"/>
      <c r="E1917" s="165"/>
      <c r="K1917" s="12"/>
      <c r="L1917" s="12"/>
      <c r="M1917" s="12"/>
      <c r="N1917" s="12"/>
    </row>
    <row r="1918" spans="3:14" ht="12.75">
      <c r="C1918" s="165"/>
      <c r="D1918" s="165"/>
      <c r="E1918" s="165"/>
      <c r="K1918" s="12"/>
      <c r="L1918" s="12"/>
      <c r="M1918" s="12"/>
      <c r="N1918" s="12"/>
    </row>
    <row r="1919" spans="3:14" ht="12.75">
      <c r="C1919" s="165"/>
      <c r="D1919" s="165"/>
      <c r="E1919" s="165"/>
      <c r="K1919" s="12"/>
      <c r="L1919" s="12"/>
      <c r="M1919" s="12"/>
      <c r="N1919" s="12"/>
    </row>
    <row r="1920" spans="3:14" ht="12.75">
      <c r="C1920" s="165"/>
      <c r="D1920" s="165"/>
      <c r="E1920" s="165"/>
      <c r="K1920" s="12"/>
      <c r="L1920" s="12"/>
      <c r="M1920" s="12"/>
      <c r="N1920" s="12"/>
    </row>
    <row r="1921" spans="3:14" ht="12.75">
      <c r="C1921" s="165"/>
      <c r="D1921" s="165"/>
      <c r="E1921" s="165"/>
      <c r="K1921" s="12"/>
      <c r="L1921" s="12"/>
      <c r="M1921" s="12"/>
      <c r="N1921" s="12"/>
    </row>
    <row r="1922" spans="3:14" ht="12.75">
      <c r="C1922" s="165"/>
      <c r="D1922" s="165"/>
      <c r="E1922" s="165"/>
      <c r="K1922" s="12"/>
      <c r="L1922" s="12"/>
      <c r="M1922" s="12"/>
      <c r="N1922" s="12"/>
    </row>
    <row r="1923" spans="3:14" ht="12.75">
      <c r="C1923" s="165"/>
      <c r="D1923" s="165"/>
      <c r="E1923" s="165"/>
      <c r="K1923" s="12"/>
      <c r="L1923" s="12"/>
      <c r="M1923" s="12"/>
      <c r="N1923" s="12"/>
    </row>
    <row r="1924" spans="3:14" ht="12.75">
      <c r="C1924" s="165"/>
      <c r="D1924" s="165"/>
      <c r="E1924" s="165"/>
      <c r="K1924" s="12"/>
      <c r="L1924" s="12"/>
      <c r="M1924" s="12"/>
      <c r="N1924" s="12"/>
    </row>
    <row r="1925" spans="3:14" ht="12.75">
      <c r="C1925" s="165"/>
      <c r="D1925" s="165"/>
      <c r="E1925" s="165"/>
      <c r="K1925" s="12"/>
      <c r="L1925" s="12"/>
      <c r="M1925" s="12"/>
      <c r="N1925" s="12"/>
    </row>
    <row r="1926" spans="3:14" ht="12.75">
      <c r="C1926" s="165"/>
      <c r="D1926" s="165"/>
      <c r="E1926" s="165"/>
      <c r="K1926" s="12"/>
      <c r="L1926" s="12"/>
      <c r="M1926" s="12"/>
      <c r="N1926" s="12"/>
    </row>
    <row r="1927" spans="3:14" ht="12.75">
      <c r="C1927" s="165"/>
      <c r="D1927" s="165"/>
      <c r="E1927" s="165"/>
      <c r="K1927" s="12"/>
      <c r="L1927" s="12"/>
      <c r="M1927" s="12"/>
      <c r="N1927" s="12"/>
    </row>
    <row r="1928" spans="3:14" ht="12.75">
      <c r="C1928" s="165"/>
      <c r="D1928" s="165"/>
      <c r="E1928" s="165"/>
      <c r="K1928" s="12"/>
      <c r="L1928" s="12"/>
      <c r="M1928" s="12"/>
      <c r="N1928" s="12"/>
    </row>
    <row r="1929" spans="3:14" ht="12.75">
      <c r="C1929" s="165"/>
      <c r="D1929" s="165"/>
      <c r="E1929" s="165"/>
      <c r="K1929" s="12"/>
      <c r="L1929" s="12"/>
      <c r="M1929" s="12"/>
      <c r="N1929" s="12"/>
    </row>
    <row r="1930" spans="3:14" ht="12.75">
      <c r="C1930" s="165"/>
      <c r="D1930" s="165"/>
      <c r="E1930" s="165"/>
      <c r="K1930" s="12"/>
      <c r="L1930" s="12"/>
      <c r="M1930" s="12"/>
      <c r="N1930" s="12"/>
    </row>
    <row r="1931" spans="3:14" ht="12.75">
      <c r="C1931" s="165"/>
      <c r="D1931" s="165"/>
      <c r="E1931" s="165"/>
      <c r="K1931" s="12"/>
      <c r="L1931" s="12"/>
      <c r="M1931" s="12"/>
      <c r="N1931" s="12"/>
    </row>
    <row r="1932" spans="3:14" ht="12.75">
      <c r="C1932" s="165"/>
      <c r="D1932" s="165"/>
      <c r="E1932" s="165"/>
      <c r="K1932" s="12"/>
      <c r="L1932" s="12"/>
      <c r="M1932" s="12"/>
      <c r="N1932" s="12"/>
    </row>
    <row r="1933" spans="3:14" ht="12.75">
      <c r="C1933" s="165"/>
      <c r="D1933" s="165"/>
      <c r="E1933" s="165"/>
      <c r="K1933" s="12"/>
      <c r="L1933" s="12"/>
      <c r="M1933" s="12"/>
      <c r="N1933" s="12"/>
    </row>
    <row r="1934" spans="3:14" ht="12.75">
      <c r="C1934" s="165"/>
      <c r="D1934" s="165"/>
      <c r="E1934" s="165"/>
      <c r="K1934" s="12"/>
      <c r="L1934" s="12"/>
      <c r="M1934" s="12"/>
      <c r="N1934" s="12"/>
    </row>
    <row r="1935" spans="3:14" ht="12.75">
      <c r="C1935" s="165"/>
      <c r="D1935" s="165"/>
      <c r="E1935" s="165"/>
      <c r="K1935" s="12"/>
      <c r="L1935" s="12"/>
      <c r="M1935" s="12"/>
      <c r="N1935" s="12"/>
    </row>
    <row r="1936" spans="3:14" ht="12.75">
      <c r="C1936" s="165"/>
      <c r="D1936" s="165"/>
      <c r="E1936" s="165"/>
      <c r="K1936" s="12"/>
      <c r="L1936" s="12"/>
      <c r="M1936" s="12"/>
      <c r="N1936" s="12"/>
    </row>
    <row r="1937" spans="3:14" ht="12.75">
      <c r="C1937" s="165"/>
      <c r="D1937" s="165"/>
      <c r="E1937" s="165"/>
      <c r="K1937" s="12"/>
      <c r="L1937" s="12"/>
      <c r="M1937" s="12"/>
      <c r="N1937" s="12"/>
    </row>
    <row r="1938" spans="3:14" ht="12.75">
      <c r="C1938" s="165"/>
      <c r="D1938" s="165"/>
      <c r="E1938" s="165"/>
      <c r="K1938" s="12"/>
      <c r="L1938" s="12"/>
      <c r="M1938" s="12"/>
      <c r="N1938" s="12"/>
    </row>
    <row r="1939" spans="3:14" ht="12.75">
      <c r="C1939" s="165"/>
      <c r="D1939" s="165"/>
      <c r="E1939" s="165"/>
      <c r="K1939" s="12"/>
      <c r="L1939" s="12"/>
      <c r="M1939" s="12"/>
      <c r="N1939" s="12"/>
    </row>
    <row r="1940" spans="3:14" ht="12.75">
      <c r="C1940" s="165"/>
      <c r="D1940" s="165"/>
      <c r="E1940" s="165"/>
      <c r="K1940" s="12"/>
      <c r="L1940" s="12"/>
      <c r="M1940" s="12"/>
      <c r="N1940" s="12"/>
    </row>
    <row r="1941" spans="3:14" ht="12.75">
      <c r="C1941" s="165"/>
      <c r="D1941" s="165"/>
      <c r="E1941" s="165"/>
      <c r="K1941" s="12"/>
      <c r="L1941" s="12"/>
      <c r="M1941" s="12"/>
      <c r="N1941" s="12"/>
    </row>
    <row r="1942" spans="3:14" ht="12.75">
      <c r="C1942" s="165"/>
      <c r="D1942" s="165"/>
      <c r="E1942" s="165"/>
      <c r="K1942" s="12"/>
      <c r="L1942" s="12"/>
      <c r="M1942" s="12"/>
      <c r="N1942" s="12"/>
    </row>
    <row r="1943" spans="3:14" ht="12.75">
      <c r="C1943" s="165"/>
      <c r="D1943" s="165"/>
      <c r="E1943" s="165"/>
      <c r="K1943" s="12"/>
      <c r="L1943" s="12"/>
      <c r="M1943" s="12"/>
      <c r="N1943" s="12"/>
    </row>
    <row r="1944" spans="3:14" ht="12.75">
      <c r="C1944" s="165"/>
      <c r="D1944" s="165"/>
      <c r="E1944" s="165"/>
      <c r="K1944" s="12"/>
      <c r="L1944" s="12"/>
      <c r="M1944" s="12"/>
      <c r="N1944" s="12"/>
    </row>
    <row r="1945" spans="3:14" ht="12.75">
      <c r="C1945" s="165"/>
      <c r="D1945" s="165"/>
      <c r="E1945" s="165"/>
      <c r="K1945" s="12"/>
      <c r="L1945" s="12"/>
      <c r="M1945" s="12"/>
      <c r="N1945" s="12"/>
    </row>
    <row r="1946" spans="3:14" ht="12.75">
      <c r="C1946" s="165"/>
      <c r="D1946" s="165"/>
      <c r="E1946" s="165"/>
      <c r="K1946" s="12"/>
      <c r="L1946" s="12"/>
      <c r="M1946" s="12"/>
      <c r="N1946" s="12"/>
    </row>
    <row r="1947" spans="3:14" ht="12.75">
      <c r="C1947" s="165"/>
      <c r="D1947" s="165"/>
      <c r="E1947" s="165"/>
      <c r="K1947" s="12"/>
      <c r="L1947" s="12"/>
      <c r="M1947" s="12"/>
      <c r="N1947" s="12"/>
    </row>
    <row r="1948" spans="3:14" ht="12.75">
      <c r="C1948" s="165"/>
      <c r="D1948" s="165"/>
      <c r="E1948" s="165"/>
      <c r="K1948" s="12"/>
      <c r="L1948" s="12"/>
      <c r="M1948" s="12"/>
      <c r="N1948" s="12"/>
    </row>
    <row r="1949" spans="3:14" ht="12.75">
      <c r="C1949" s="165"/>
      <c r="D1949" s="165"/>
      <c r="E1949" s="165"/>
      <c r="K1949" s="12"/>
      <c r="L1949" s="12"/>
      <c r="M1949" s="12"/>
      <c r="N1949" s="12"/>
    </row>
    <row r="1950" spans="3:14" ht="12.75">
      <c r="C1950" s="165"/>
      <c r="D1950" s="165"/>
      <c r="E1950" s="165"/>
      <c r="K1950" s="12"/>
      <c r="L1950" s="12"/>
      <c r="M1950" s="12"/>
      <c r="N1950" s="12"/>
    </row>
    <row r="1951" spans="3:14" ht="12.75">
      <c r="C1951" s="165"/>
      <c r="D1951" s="165"/>
      <c r="E1951" s="165"/>
      <c r="K1951" s="12"/>
      <c r="L1951" s="12"/>
      <c r="M1951" s="12"/>
      <c r="N1951" s="12"/>
    </row>
    <row r="1952" spans="3:14" ht="12.75">
      <c r="C1952" s="165"/>
      <c r="D1952" s="165"/>
      <c r="E1952" s="165"/>
      <c r="K1952" s="12"/>
      <c r="L1952" s="12"/>
      <c r="M1952" s="12"/>
      <c r="N1952" s="12"/>
    </row>
    <row r="1953" spans="3:14" ht="12.75">
      <c r="C1953" s="165"/>
      <c r="D1953" s="165"/>
      <c r="E1953" s="165"/>
      <c r="K1953" s="12"/>
      <c r="L1953" s="12"/>
      <c r="M1953" s="12"/>
      <c r="N1953" s="12"/>
    </row>
    <row r="1954" spans="3:14" ht="12.75">
      <c r="C1954" s="165"/>
      <c r="D1954" s="165"/>
      <c r="E1954" s="165"/>
      <c r="K1954" s="12"/>
      <c r="L1954" s="12"/>
      <c r="M1954" s="12"/>
      <c r="N1954" s="12"/>
    </row>
    <row r="1955" spans="3:14" ht="12.75">
      <c r="C1955" s="165"/>
      <c r="D1955" s="165"/>
      <c r="E1955" s="165"/>
      <c r="K1955" s="12"/>
      <c r="L1955" s="12"/>
      <c r="M1955" s="12"/>
      <c r="N1955" s="12"/>
    </row>
    <row r="1956" spans="3:14" ht="12.75">
      <c r="C1956" s="165"/>
      <c r="D1956" s="165"/>
      <c r="E1956" s="165"/>
      <c r="K1956" s="12"/>
      <c r="L1956" s="12"/>
      <c r="M1956" s="12"/>
      <c r="N1956" s="12"/>
    </row>
    <row r="1957" spans="3:14" ht="12.75">
      <c r="C1957" s="165"/>
      <c r="D1957" s="165"/>
      <c r="E1957" s="165"/>
      <c r="K1957" s="12"/>
      <c r="L1957" s="12"/>
      <c r="M1957" s="12"/>
      <c r="N1957" s="12"/>
    </row>
    <row r="1958" spans="3:14" ht="12.75">
      <c r="C1958" s="165"/>
      <c r="D1958" s="165"/>
      <c r="E1958" s="165"/>
      <c r="K1958" s="12"/>
      <c r="L1958" s="12"/>
      <c r="M1958" s="12"/>
      <c r="N1958" s="12"/>
    </row>
    <row r="1959" spans="3:14" ht="12.75">
      <c r="C1959" s="165"/>
      <c r="D1959" s="165"/>
      <c r="E1959" s="165"/>
      <c r="K1959" s="12"/>
      <c r="L1959" s="12"/>
      <c r="M1959" s="12"/>
      <c r="N1959" s="12"/>
    </row>
    <row r="1960" spans="3:14" ht="12.75">
      <c r="C1960" s="165"/>
      <c r="D1960" s="165"/>
      <c r="E1960" s="165"/>
      <c r="K1960" s="12"/>
      <c r="L1960" s="12"/>
      <c r="M1960" s="12"/>
      <c r="N1960" s="12"/>
    </row>
    <row r="1961" spans="3:14" ht="12.75">
      <c r="C1961" s="165"/>
      <c r="D1961" s="165"/>
      <c r="E1961" s="165"/>
      <c r="K1961" s="12"/>
      <c r="L1961" s="12"/>
      <c r="M1961" s="12"/>
      <c r="N1961" s="12"/>
    </row>
    <row r="1962" spans="3:14" ht="12.75">
      <c r="C1962" s="165"/>
      <c r="D1962" s="165"/>
      <c r="E1962" s="165"/>
      <c r="K1962" s="12"/>
      <c r="L1962" s="12"/>
      <c r="M1962" s="12"/>
      <c r="N1962" s="12"/>
    </row>
    <row r="1963" spans="3:14" ht="12.75">
      <c r="C1963" s="165"/>
      <c r="D1963" s="165"/>
      <c r="E1963" s="165"/>
      <c r="K1963" s="12"/>
      <c r="L1963" s="12"/>
      <c r="M1963" s="12"/>
      <c r="N1963" s="12"/>
    </row>
    <row r="1964" spans="3:14" ht="12.75">
      <c r="C1964" s="165"/>
      <c r="D1964" s="165"/>
      <c r="E1964" s="165"/>
      <c r="K1964" s="12"/>
      <c r="L1964" s="12"/>
      <c r="M1964" s="12"/>
      <c r="N1964" s="12"/>
    </row>
    <row r="1965" spans="3:14" ht="12.75">
      <c r="C1965" s="165"/>
      <c r="D1965" s="165"/>
      <c r="E1965" s="165"/>
      <c r="K1965" s="12"/>
      <c r="L1965" s="12"/>
      <c r="M1965" s="12"/>
      <c r="N1965" s="12"/>
    </row>
    <row r="1966" spans="3:14" ht="12.75">
      <c r="C1966" s="165"/>
      <c r="D1966" s="165"/>
      <c r="E1966" s="165"/>
      <c r="K1966" s="12"/>
      <c r="L1966" s="12"/>
      <c r="M1966" s="12"/>
      <c r="N1966" s="12"/>
    </row>
    <row r="1967" spans="3:14" ht="12.75">
      <c r="C1967" s="165"/>
      <c r="D1967" s="165"/>
      <c r="E1967" s="165"/>
      <c r="K1967" s="12"/>
      <c r="L1967" s="12"/>
      <c r="M1967" s="12"/>
      <c r="N1967" s="12"/>
    </row>
    <row r="1968" spans="3:14" ht="12.75">
      <c r="C1968" s="165"/>
      <c r="D1968" s="165"/>
      <c r="E1968" s="165"/>
      <c r="K1968" s="12"/>
      <c r="L1968" s="12"/>
      <c r="M1968" s="12"/>
      <c r="N1968" s="12"/>
    </row>
    <row r="1969" spans="3:14" ht="12.75">
      <c r="C1969" s="165"/>
      <c r="D1969" s="165"/>
      <c r="E1969" s="165"/>
      <c r="K1969" s="12"/>
      <c r="L1969" s="12"/>
      <c r="M1969" s="12"/>
      <c r="N1969" s="12"/>
    </row>
    <row r="1970" spans="3:14" ht="12.75">
      <c r="C1970" s="165"/>
      <c r="D1970" s="165"/>
      <c r="E1970" s="165"/>
      <c r="K1970" s="12"/>
      <c r="L1970" s="12"/>
      <c r="M1970" s="12"/>
      <c r="N1970" s="12"/>
    </row>
    <row r="1971" spans="3:14" ht="12.75">
      <c r="C1971" s="165"/>
      <c r="D1971" s="165"/>
      <c r="E1971" s="165"/>
      <c r="K1971" s="12"/>
      <c r="L1971" s="12"/>
      <c r="M1971" s="12"/>
      <c r="N1971" s="12"/>
    </row>
    <row r="1972" spans="3:14" ht="12.75">
      <c r="C1972" s="165"/>
      <c r="D1972" s="165"/>
      <c r="E1972" s="165"/>
      <c r="K1972" s="12"/>
      <c r="L1972" s="12"/>
      <c r="M1972" s="12"/>
      <c r="N1972" s="12"/>
    </row>
    <row r="1973" spans="3:14" ht="12.75">
      <c r="C1973" s="165"/>
      <c r="D1973" s="165"/>
      <c r="E1973" s="165"/>
      <c r="K1973" s="12"/>
      <c r="L1973" s="12"/>
      <c r="M1973" s="12"/>
      <c r="N1973" s="12"/>
    </row>
    <row r="1974" spans="3:14" ht="12.75">
      <c r="C1974" s="165"/>
      <c r="D1974" s="165"/>
      <c r="E1974" s="165"/>
      <c r="K1974" s="12"/>
      <c r="L1974" s="12"/>
      <c r="M1974" s="12"/>
      <c r="N1974" s="12"/>
    </row>
    <row r="1975" spans="3:14" ht="12.75">
      <c r="C1975" s="165"/>
      <c r="D1975" s="165"/>
      <c r="E1975" s="165"/>
      <c r="K1975" s="12"/>
      <c r="L1975" s="12"/>
      <c r="M1975" s="12"/>
      <c r="N1975" s="12"/>
    </row>
    <row r="1976" spans="3:14" ht="12.75">
      <c r="C1976" s="165"/>
      <c r="D1976" s="165"/>
      <c r="E1976" s="165"/>
      <c r="K1976" s="12"/>
      <c r="L1976" s="12"/>
      <c r="M1976" s="12"/>
      <c r="N1976" s="12"/>
    </row>
    <row r="1977" spans="3:14" ht="12.75">
      <c r="C1977" s="165"/>
      <c r="D1977" s="165"/>
      <c r="E1977" s="165"/>
      <c r="K1977" s="12"/>
      <c r="L1977" s="12"/>
      <c r="M1977" s="12"/>
      <c r="N1977" s="12"/>
    </row>
    <row r="1978" spans="3:14" ht="12.75">
      <c r="C1978" s="165"/>
      <c r="D1978" s="165"/>
      <c r="E1978" s="165"/>
      <c r="K1978" s="12"/>
      <c r="L1978" s="12"/>
      <c r="M1978" s="12"/>
      <c r="N1978" s="12"/>
    </row>
    <row r="1979" spans="3:14" ht="12.75">
      <c r="C1979" s="165"/>
      <c r="D1979" s="165"/>
      <c r="E1979" s="165"/>
      <c r="K1979" s="12"/>
      <c r="L1979" s="12"/>
      <c r="M1979" s="12"/>
      <c r="N1979" s="12"/>
    </row>
    <row r="1980" spans="3:14" ht="12.75">
      <c r="C1980" s="165"/>
      <c r="D1980" s="165"/>
      <c r="E1980" s="165"/>
      <c r="K1980" s="12"/>
      <c r="L1980" s="12"/>
      <c r="M1980" s="12"/>
      <c r="N1980" s="12"/>
    </row>
    <row r="1981" spans="3:14" ht="12.75">
      <c r="C1981" s="165"/>
      <c r="D1981" s="165"/>
      <c r="E1981" s="165"/>
      <c r="K1981" s="12"/>
      <c r="L1981" s="12"/>
      <c r="M1981" s="12"/>
      <c r="N1981" s="12"/>
    </row>
    <row r="1982" spans="3:14" ht="12.75">
      <c r="C1982" s="165"/>
      <c r="D1982" s="165"/>
      <c r="E1982" s="165"/>
      <c r="K1982" s="12"/>
      <c r="L1982" s="12"/>
      <c r="M1982" s="12"/>
      <c r="N1982" s="12"/>
    </row>
    <row r="1983" spans="3:14" ht="12.75">
      <c r="C1983" s="165"/>
      <c r="D1983" s="165"/>
      <c r="E1983" s="165"/>
      <c r="K1983" s="12"/>
      <c r="L1983" s="12"/>
      <c r="M1983" s="12"/>
      <c r="N1983" s="12"/>
    </row>
    <row r="1984" spans="3:14" ht="12.75">
      <c r="C1984" s="165"/>
      <c r="D1984" s="165"/>
      <c r="E1984" s="165"/>
      <c r="K1984" s="12"/>
      <c r="L1984" s="12"/>
      <c r="M1984" s="12"/>
      <c r="N1984" s="12"/>
    </row>
    <row r="1985" spans="3:14" ht="12.75">
      <c r="C1985" s="165"/>
      <c r="D1985" s="165"/>
      <c r="E1985" s="165"/>
      <c r="K1985" s="12"/>
      <c r="L1985" s="12"/>
      <c r="M1985" s="12"/>
      <c r="N1985" s="12"/>
    </row>
    <row r="1986" spans="3:14" ht="12.75">
      <c r="C1986" s="165"/>
      <c r="D1986" s="165"/>
      <c r="E1986" s="165"/>
      <c r="K1986" s="12"/>
      <c r="L1986" s="12"/>
      <c r="M1986" s="12"/>
      <c r="N1986" s="12"/>
    </row>
    <row r="1987" spans="3:14" ht="12.75">
      <c r="C1987" s="165"/>
      <c r="D1987" s="165"/>
      <c r="E1987" s="165"/>
      <c r="K1987" s="12"/>
      <c r="L1987" s="12"/>
      <c r="M1987" s="12"/>
      <c r="N1987" s="12"/>
    </row>
    <row r="1988" spans="3:14" ht="12.75">
      <c r="C1988" s="165"/>
      <c r="D1988" s="165"/>
      <c r="E1988" s="165"/>
      <c r="K1988" s="12"/>
      <c r="L1988" s="12"/>
      <c r="M1988" s="12"/>
      <c r="N1988" s="12"/>
    </row>
    <row r="1989" spans="3:14" ht="12.75">
      <c r="C1989" s="165"/>
      <c r="D1989" s="165"/>
      <c r="E1989" s="165"/>
      <c r="K1989" s="12"/>
      <c r="L1989" s="12"/>
      <c r="M1989" s="12"/>
      <c r="N1989" s="12"/>
    </row>
    <row r="1990" spans="3:14" ht="12.75">
      <c r="C1990" s="165"/>
      <c r="D1990" s="165"/>
      <c r="E1990" s="165"/>
      <c r="K1990" s="12"/>
      <c r="L1990" s="12"/>
      <c r="M1990" s="12"/>
      <c r="N1990" s="12"/>
    </row>
    <row r="1991" spans="3:14" ht="12.75">
      <c r="C1991" s="165"/>
      <c r="D1991" s="165"/>
      <c r="E1991" s="165"/>
      <c r="K1991" s="12"/>
      <c r="L1991" s="12"/>
      <c r="M1991" s="12"/>
      <c r="N1991" s="12"/>
    </row>
    <row r="1992" spans="3:14" ht="12.75">
      <c r="C1992" s="165"/>
      <c r="D1992" s="165"/>
      <c r="E1992" s="165"/>
      <c r="K1992" s="12"/>
      <c r="L1992" s="12"/>
      <c r="M1992" s="12"/>
      <c r="N1992" s="12"/>
    </row>
    <row r="1993" spans="3:14" ht="12.75">
      <c r="C1993" s="165"/>
      <c r="D1993" s="165"/>
      <c r="E1993" s="165"/>
      <c r="K1993" s="12"/>
      <c r="L1993" s="12"/>
      <c r="M1993" s="12"/>
      <c r="N1993" s="12"/>
    </row>
    <row r="1994" spans="3:14" ht="12.75">
      <c r="C1994" s="165"/>
      <c r="D1994" s="165"/>
      <c r="E1994" s="165"/>
      <c r="K1994" s="12"/>
      <c r="L1994" s="12"/>
      <c r="M1994" s="12"/>
      <c r="N1994" s="12"/>
    </row>
    <row r="1995" spans="3:14" ht="12.75">
      <c r="C1995" s="165"/>
      <c r="D1995" s="165"/>
      <c r="E1995" s="165"/>
      <c r="K1995" s="12"/>
      <c r="L1995" s="12"/>
      <c r="M1995" s="12"/>
      <c r="N1995" s="12"/>
    </row>
    <row r="1996" spans="3:14" ht="12.75">
      <c r="C1996" s="165"/>
      <c r="D1996" s="165"/>
      <c r="E1996" s="165"/>
      <c r="K1996" s="12"/>
      <c r="L1996" s="12"/>
      <c r="M1996" s="12"/>
      <c r="N1996" s="12"/>
    </row>
    <row r="1997" spans="3:14" ht="12.75">
      <c r="C1997" s="165"/>
      <c r="D1997" s="165"/>
      <c r="E1997" s="165"/>
      <c r="K1997" s="12"/>
      <c r="L1997" s="12"/>
      <c r="M1997" s="12"/>
      <c r="N1997" s="12"/>
    </row>
    <row r="1998" spans="3:14" ht="12.75">
      <c r="C1998" s="165"/>
      <c r="D1998" s="165"/>
      <c r="E1998" s="165"/>
      <c r="K1998" s="12"/>
      <c r="L1998" s="12"/>
      <c r="M1998" s="12"/>
      <c r="N1998" s="12"/>
    </row>
    <row r="1999" spans="3:14" ht="12.75">
      <c r="C1999" s="165"/>
      <c r="D1999" s="165"/>
      <c r="E1999" s="165"/>
      <c r="K1999" s="12"/>
      <c r="L1999" s="12"/>
      <c r="M1999" s="12"/>
      <c r="N1999" s="12"/>
    </row>
    <row r="2000" spans="3:14" ht="12.75">
      <c r="C2000" s="165"/>
      <c r="D2000" s="165"/>
      <c r="E2000" s="165"/>
      <c r="K2000" s="12"/>
      <c r="L2000" s="12"/>
      <c r="M2000" s="12"/>
      <c r="N2000" s="12"/>
    </row>
    <row r="2001" spans="3:14" ht="12.75">
      <c r="C2001" s="165"/>
      <c r="D2001" s="165"/>
      <c r="E2001" s="165"/>
      <c r="K2001" s="12"/>
      <c r="L2001" s="12"/>
      <c r="M2001" s="12"/>
      <c r="N2001" s="12"/>
    </row>
    <row r="2002" spans="3:14" ht="12.75">
      <c r="C2002" s="165"/>
      <c r="D2002" s="165"/>
      <c r="E2002" s="165"/>
      <c r="K2002" s="12"/>
      <c r="L2002" s="12"/>
      <c r="M2002" s="12"/>
      <c r="N2002" s="12"/>
    </row>
    <row r="2003" spans="3:14" ht="12.75">
      <c r="C2003" s="165"/>
      <c r="D2003" s="165"/>
      <c r="E2003" s="165"/>
      <c r="K2003" s="12"/>
      <c r="L2003" s="12"/>
      <c r="M2003" s="12"/>
      <c r="N2003" s="12"/>
    </row>
    <row r="2004" spans="3:14" ht="12.75">
      <c r="C2004" s="165"/>
      <c r="D2004" s="165"/>
      <c r="E2004" s="165"/>
      <c r="K2004" s="12"/>
      <c r="L2004" s="12"/>
      <c r="M2004" s="12"/>
      <c r="N2004" s="12"/>
    </row>
    <row r="2005" spans="3:14" ht="12.75">
      <c r="C2005" s="165"/>
      <c r="D2005" s="165"/>
      <c r="E2005" s="165"/>
      <c r="K2005" s="12"/>
      <c r="L2005" s="12"/>
      <c r="M2005" s="12"/>
      <c r="N2005" s="12"/>
    </row>
    <row r="2006" spans="3:14" ht="12.75">
      <c r="C2006" s="165"/>
      <c r="D2006" s="165"/>
      <c r="E2006" s="165"/>
      <c r="K2006" s="12"/>
      <c r="L2006" s="12"/>
      <c r="M2006" s="12"/>
      <c r="N2006" s="12"/>
    </row>
    <row r="2007" spans="3:14" ht="12.75">
      <c r="C2007" s="165"/>
      <c r="D2007" s="165"/>
      <c r="E2007" s="165"/>
      <c r="K2007" s="12"/>
      <c r="L2007" s="12"/>
      <c r="M2007" s="12"/>
      <c r="N2007" s="12"/>
    </row>
    <row r="2008" spans="3:14" ht="12.75">
      <c r="C2008" s="165"/>
      <c r="D2008" s="165"/>
      <c r="E2008" s="165"/>
      <c r="K2008" s="12"/>
      <c r="L2008" s="12"/>
      <c r="M2008" s="12"/>
      <c r="N2008" s="12"/>
    </row>
    <row r="2009" spans="3:14" ht="12.75">
      <c r="C2009" s="165"/>
      <c r="D2009" s="165"/>
      <c r="E2009" s="165"/>
      <c r="K2009" s="12"/>
      <c r="L2009" s="12"/>
      <c r="M2009" s="12"/>
      <c r="N2009" s="12"/>
    </row>
    <row r="2010" spans="3:14" ht="12.75">
      <c r="C2010" s="165"/>
      <c r="D2010" s="165"/>
      <c r="E2010" s="165"/>
      <c r="K2010" s="12"/>
      <c r="L2010" s="12"/>
      <c r="M2010" s="12"/>
      <c r="N2010" s="12"/>
    </row>
    <row r="2011" spans="3:14" ht="12.75">
      <c r="C2011" s="165"/>
      <c r="D2011" s="165"/>
      <c r="E2011" s="165"/>
      <c r="K2011" s="12"/>
      <c r="L2011" s="12"/>
      <c r="M2011" s="12"/>
      <c r="N2011" s="12"/>
    </row>
    <row r="2012" spans="3:14" ht="12.75">
      <c r="C2012" s="165"/>
      <c r="D2012" s="165"/>
      <c r="E2012" s="165"/>
      <c r="K2012" s="12"/>
      <c r="L2012" s="12"/>
      <c r="M2012" s="12"/>
      <c r="N2012" s="12"/>
    </row>
    <row r="2013" spans="3:14" ht="12.75">
      <c r="C2013" s="165"/>
      <c r="D2013" s="165"/>
      <c r="E2013" s="165"/>
      <c r="K2013" s="12"/>
      <c r="L2013" s="12"/>
      <c r="M2013" s="12"/>
      <c r="N2013" s="12"/>
    </row>
    <row r="2014" spans="3:14" ht="12.75">
      <c r="C2014" s="165"/>
      <c r="D2014" s="165"/>
      <c r="E2014" s="165"/>
      <c r="K2014" s="12"/>
      <c r="L2014" s="12"/>
      <c r="M2014" s="12"/>
      <c r="N2014" s="12"/>
    </row>
    <row r="2015" spans="3:14" ht="12.75">
      <c r="C2015" s="165"/>
      <c r="D2015" s="165"/>
      <c r="E2015" s="165"/>
      <c r="K2015" s="12"/>
      <c r="L2015" s="12"/>
      <c r="M2015" s="12"/>
      <c r="N2015" s="12"/>
    </row>
    <row r="2016" spans="3:14" ht="12.75">
      <c r="C2016" s="165"/>
      <c r="D2016" s="165"/>
      <c r="E2016" s="165"/>
      <c r="K2016" s="12"/>
      <c r="L2016" s="12"/>
      <c r="M2016" s="12"/>
      <c r="N2016" s="12"/>
    </row>
    <row r="2017" spans="3:14" ht="12.75">
      <c r="C2017" s="165"/>
      <c r="D2017" s="165"/>
      <c r="E2017" s="165"/>
      <c r="K2017" s="12"/>
      <c r="L2017" s="12"/>
      <c r="M2017" s="12"/>
      <c r="N2017" s="12"/>
    </row>
    <row r="2018" spans="3:14" ht="12.75">
      <c r="C2018" s="165"/>
      <c r="D2018" s="165"/>
      <c r="E2018" s="165"/>
      <c r="K2018" s="12"/>
      <c r="L2018" s="12"/>
      <c r="M2018" s="12"/>
      <c r="N2018" s="12"/>
    </row>
    <row r="2019" spans="3:14" ht="12.75">
      <c r="C2019" s="165"/>
      <c r="D2019" s="165"/>
      <c r="E2019" s="165"/>
      <c r="K2019" s="12"/>
      <c r="L2019" s="12"/>
      <c r="M2019" s="12"/>
      <c r="N2019" s="12"/>
    </row>
    <row r="2020" spans="3:14" ht="12.75">
      <c r="C2020" s="165"/>
      <c r="D2020" s="165"/>
      <c r="E2020" s="165"/>
      <c r="K2020" s="12"/>
      <c r="L2020" s="12"/>
      <c r="M2020" s="12"/>
      <c r="N2020" s="12"/>
    </row>
    <row r="2021" spans="3:14" ht="12.75">
      <c r="C2021" s="165"/>
      <c r="D2021" s="165"/>
      <c r="E2021" s="165"/>
      <c r="K2021" s="12"/>
      <c r="L2021" s="12"/>
      <c r="M2021" s="12"/>
      <c r="N2021" s="12"/>
    </row>
    <row r="2022" spans="3:14" ht="12.75">
      <c r="C2022" s="165"/>
      <c r="D2022" s="165"/>
      <c r="E2022" s="165"/>
      <c r="K2022" s="12"/>
      <c r="L2022" s="12"/>
      <c r="M2022" s="12"/>
      <c r="N2022" s="12"/>
    </row>
    <row r="2023" spans="3:14" ht="12.75">
      <c r="C2023" s="165"/>
      <c r="D2023" s="165"/>
      <c r="E2023" s="165"/>
      <c r="K2023" s="12"/>
      <c r="L2023" s="12"/>
      <c r="M2023" s="12"/>
      <c r="N2023" s="12"/>
    </row>
    <row r="2024" spans="3:14" ht="12.75">
      <c r="C2024" s="165"/>
      <c r="D2024" s="165"/>
      <c r="E2024" s="165"/>
      <c r="K2024" s="12"/>
      <c r="L2024" s="12"/>
      <c r="M2024" s="12"/>
      <c r="N2024" s="12"/>
    </row>
    <row r="2025" spans="3:14" ht="12.75">
      <c r="C2025" s="165"/>
      <c r="D2025" s="165"/>
      <c r="E2025" s="165"/>
      <c r="K2025" s="12"/>
      <c r="L2025" s="12"/>
      <c r="M2025" s="12"/>
      <c r="N2025" s="12"/>
    </row>
    <row r="2026" spans="3:14" ht="12.75">
      <c r="C2026" s="165"/>
      <c r="D2026" s="165"/>
      <c r="E2026" s="165"/>
      <c r="K2026" s="12"/>
      <c r="L2026" s="12"/>
      <c r="M2026" s="12"/>
      <c r="N2026" s="12"/>
    </row>
    <row r="2027" spans="3:14" ht="12.75">
      <c r="C2027" s="165"/>
      <c r="D2027" s="165"/>
      <c r="E2027" s="165"/>
      <c r="K2027" s="12"/>
      <c r="L2027" s="12"/>
      <c r="M2027" s="12"/>
      <c r="N2027" s="12"/>
    </row>
    <row r="2028" spans="3:14" ht="12.75">
      <c r="C2028" s="165"/>
      <c r="D2028" s="165"/>
      <c r="E2028" s="165"/>
      <c r="K2028" s="12"/>
      <c r="L2028" s="12"/>
      <c r="M2028" s="12"/>
      <c r="N2028" s="12"/>
    </row>
    <row r="2029" spans="3:14" ht="12.75">
      <c r="C2029" s="165"/>
      <c r="D2029" s="165"/>
      <c r="E2029" s="165"/>
      <c r="K2029" s="12"/>
      <c r="L2029" s="12"/>
      <c r="M2029" s="12"/>
      <c r="N2029" s="12"/>
    </row>
    <row r="2030" spans="3:14" ht="12.75">
      <c r="C2030" s="165"/>
      <c r="D2030" s="165"/>
      <c r="E2030" s="165"/>
      <c r="K2030" s="12"/>
      <c r="L2030" s="12"/>
      <c r="M2030" s="12"/>
      <c r="N2030" s="12"/>
    </row>
    <row r="2031" spans="3:14" ht="12.75">
      <c r="C2031" s="165"/>
      <c r="D2031" s="165"/>
      <c r="E2031" s="165"/>
      <c r="K2031" s="12"/>
      <c r="L2031" s="12"/>
      <c r="M2031" s="12"/>
      <c r="N2031" s="12"/>
    </row>
    <row r="2032" spans="3:14" ht="12.75">
      <c r="C2032" s="165"/>
      <c r="D2032" s="165"/>
      <c r="E2032" s="165"/>
      <c r="K2032" s="12"/>
      <c r="L2032" s="12"/>
      <c r="M2032" s="12"/>
      <c r="N2032" s="12"/>
    </row>
    <row r="2033" spans="3:14" ht="12.75">
      <c r="C2033" s="165"/>
      <c r="D2033" s="165"/>
      <c r="E2033" s="165"/>
      <c r="K2033" s="12"/>
      <c r="L2033" s="12"/>
      <c r="M2033" s="12"/>
      <c r="N2033" s="12"/>
    </row>
    <row r="2034" spans="3:14" ht="12.75">
      <c r="C2034" s="165"/>
      <c r="D2034" s="165"/>
      <c r="E2034" s="165"/>
      <c r="K2034" s="12"/>
      <c r="L2034" s="12"/>
      <c r="M2034" s="12"/>
      <c r="N2034" s="12"/>
    </row>
    <row r="2035" spans="3:14" ht="12.75">
      <c r="C2035" s="165"/>
      <c r="D2035" s="165"/>
      <c r="E2035" s="165"/>
      <c r="K2035" s="12"/>
      <c r="L2035" s="12"/>
      <c r="M2035" s="12"/>
      <c r="N2035" s="12"/>
    </row>
    <row r="2036" spans="3:14" ht="12.75">
      <c r="C2036" s="165"/>
      <c r="D2036" s="165"/>
      <c r="E2036" s="165"/>
      <c r="K2036" s="12"/>
      <c r="L2036" s="12"/>
      <c r="M2036" s="12"/>
      <c r="N2036" s="12"/>
    </row>
    <row r="2037" spans="3:14" ht="12.75">
      <c r="C2037" s="165"/>
      <c r="D2037" s="165"/>
      <c r="E2037" s="165"/>
      <c r="K2037" s="12"/>
      <c r="L2037" s="12"/>
      <c r="M2037" s="12"/>
      <c r="N2037" s="12"/>
    </row>
    <row r="2038" spans="3:14" ht="12.75">
      <c r="C2038" s="165"/>
      <c r="D2038" s="165"/>
      <c r="E2038" s="165"/>
      <c r="K2038" s="12"/>
      <c r="L2038" s="12"/>
      <c r="M2038" s="12"/>
      <c r="N2038" s="12"/>
    </row>
    <row r="2039" spans="3:14" ht="12.75">
      <c r="C2039" s="165"/>
      <c r="D2039" s="165"/>
      <c r="E2039" s="165"/>
      <c r="K2039" s="12"/>
      <c r="L2039" s="12"/>
      <c r="M2039" s="12"/>
      <c r="N2039" s="12"/>
    </row>
    <row r="2040" spans="3:14" ht="12.75">
      <c r="C2040" s="165"/>
      <c r="D2040" s="165"/>
      <c r="E2040" s="165"/>
      <c r="K2040" s="12"/>
      <c r="L2040" s="12"/>
      <c r="M2040" s="12"/>
      <c r="N2040" s="12"/>
    </row>
    <row r="2041" spans="3:14" ht="12.75">
      <c r="C2041" s="165"/>
      <c r="D2041" s="165"/>
      <c r="E2041" s="165"/>
      <c r="K2041" s="12"/>
      <c r="L2041" s="12"/>
      <c r="M2041" s="12"/>
      <c r="N2041" s="12"/>
    </row>
    <row r="2042" spans="3:14" ht="12.75">
      <c r="C2042" s="165"/>
      <c r="D2042" s="165"/>
      <c r="E2042" s="165"/>
      <c r="K2042" s="12"/>
      <c r="L2042" s="12"/>
      <c r="M2042" s="12"/>
      <c r="N2042" s="12"/>
    </row>
    <row r="2043" spans="3:14" ht="12.75">
      <c r="C2043" s="165"/>
      <c r="D2043" s="165"/>
      <c r="E2043" s="165"/>
      <c r="K2043" s="12"/>
      <c r="L2043" s="12"/>
      <c r="M2043" s="12"/>
      <c r="N2043" s="12"/>
    </row>
    <row r="2044" spans="3:14" ht="12.75">
      <c r="C2044" s="165"/>
      <c r="D2044" s="165"/>
      <c r="E2044" s="165"/>
      <c r="K2044" s="12"/>
      <c r="L2044" s="12"/>
      <c r="M2044" s="12"/>
      <c r="N2044" s="12"/>
    </row>
    <row r="2045" spans="3:14" ht="12.75">
      <c r="C2045" s="165"/>
      <c r="D2045" s="165"/>
      <c r="E2045" s="165"/>
      <c r="K2045" s="12"/>
      <c r="L2045" s="12"/>
      <c r="M2045" s="12"/>
      <c r="N2045" s="12"/>
    </row>
    <row r="2046" spans="3:14" ht="12.75">
      <c r="C2046" s="165"/>
      <c r="D2046" s="165"/>
      <c r="E2046" s="165"/>
      <c r="K2046" s="12"/>
      <c r="L2046" s="12"/>
      <c r="M2046" s="12"/>
      <c r="N2046" s="12"/>
    </row>
    <row r="2047" spans="3:14" ht="12.75">
      <c r="C2047" s="165"/>
      <c r="D2047" s="165"/>
      <c r="E2047" s="165"/>
      <c r="K2047" s="12"/>
      <c r="L2047" s="12"/>
      <c r="M2047" s="12"/>
      <c r="N2047" s="12"/>
    </row>
    <row r="2048" spans="3:14" ht="12.75">
      <c r="C2048" s="165"/>
      <c r="D2048" s="165"/>
      <c r="E2048" s="165"/>
      <c r="K2048" s="12"/>
      <c r="L2048" s="12"/>
      <c r="M2048" s="12"/>
      <c r="N2048" s="12"/>
    </row>
    <row r="2049" spans="3:14" ht="12.75">
      <c r="C2049" s="165"/>
      <c r="D2049" s="165"/>
      <c r="E2049" s="165"/>
      <c r="K2049" s="12"/>
      <c r="L2049" s="12"/>
      <c r="M2049" s="12"/>
      <c r="N2049" s="12"/>
    </row>
    <row r="2050" spans="3:14" ht="12.75">
      <c r="C2050" s="165"/>
      <c r="D2050" s="165"/>
      <c r="E2050" s="165"/>
      <c r="K2050" s="12"/>
      <c r="L2050" s="12"/>
      <c r="M2050" s="12"/>
      <c r="N2050" s="12"/>
    </row>
    <row r="2051" spans="3:14" ht="12.75">
      <c r="C2051" s="165"/>
      <c r="D2051" s="165"/>
      <c r="E2051" s="165"/>
      <c r="K2051" s="12"/>
      <c r="L2051" s="12"/>
      <c r="M2051" s="12"/>
      <c r="N2051" s="12"/>
    </row>
    <row r="2052" spans="3:14" ht="12.75">
      <c r="C2052" s="165"/>
      <c r="D2052" s="165"/>
      <c r="E2052" s="165"/>
      <c r="K2052" s="12"/>
      <c r="L2052" s="12"/>
      <c r="M2052" s="12"/>
      <c r="N2052" s="12"/>
    </row>
    <row r="2053" spans="3:14" ht="12.75">
      <c r="C2053" s="165"/>
      <c r="D2053" s="165"/>
      <c r="E2053" s="165"/>
      <c r="K2053" s="12"/>
      <c r="L2053" s="12"/>
      <c r="M2053" s="12"/>
      <c r="N2053" s="12"/>
    </row>
    <row r="2054" spans="3:14" ht="12.75">
      <c r="C2054" s="165"/>
      <c r="D2054" s="165"/>
      <c r="E2054" s="165"/>
      <c r="K2054" s="12"/>
      <c r="L2054" s="12"/>
      <c r="M2054" s="12"/>
      <c r="N2054" s="12"/>
    </row>
    <row r="2055" spans="3:14" ht="12.75">
      <c r="C2055" s="165"/>
      <c r="D2055" s="165"/>
      <c r="E2055" s="165"/>
      <c r="K2055" s="12"/>
      <c r="L2055" s="12"/>
      <c r="M2055" s="12"/>
      <c r="N2055" s="12"/>
    </row>
    <row r="2056" spans="3:14" ht="12.75">
      <c r="C2056" s="165"/>
      <c r="D2056" s="165"/>
      <c r="E2056" s="165"/>
      <c r="K2056" s="12"/>
      <c r="L2056" s="12"/>
      <c r="M2056" s="12"/>
      <c r="N2056" s="12"/>
    </row>
    <row r="2057" spans="3:14" ht="12.75">
      <c r="C2057" s="165"/>
      <c r="D2057" s="165"/>
      <c r="E2057" s="165"/>
      <c r="K2057" s="12"/>
      <c r="L2057" s="12"/>
      <c r="M2057" s="12"/>
      <c r="N2057" s="12"/>
    </row>
    <row r="2058" spans="3:14" ht="12.75">
      <c r="C2058" s="165"/>
      <c r="D2058" s="165"/>
      <c r="E2058" s="165"/>
      <c r="K2058" s="12"/>
      <c r="L2058" s="12"/>
      <c r="M2058" s="12"/>
      <c r="N2058" s="12"/>
    </row>
    <row r="2059" spans="3:14" ht="12.75">
      <c r="C2059" s="165"/>
      <c r="D2059" s="165"/>
      <c r="E2059" s="165"/>
      <c r="K2059" s="12"/>
      <c r="L2059" s="12"/>
      <c r="M2059" s="12"/>
      <c r="N2059" s="12"/>
    </row>
    <row r="2060" spans="3:14" ht="12.75">
      <c r="C2060" s="165"/>
      <c r="D2060" s="165"/>
      <c r="E2060" s="165"/>
      <c r="K2060" s="12"/>
      <c r="L2060" s="12"/>
      <c r="M2060" s="12"/>
      <c r="N2060" s="12"/>
    </row>
    <row r="2061" spans="3:14" ht="12.75">
      <c r="C2061" s="165"/>
      <c r="D2061" s="165"/>
      <c r="E2061" s="165"/>
      <c r="K2061" s="12"/>
      <c r="L2061" s="12"/>
      <c r="M2061" s="12"/>
      <c r="N2061" s="12"/>
    </row>
    <row r="2062" spans="3:14" ht="12.75">
      <c r="C2062" s="165"/>
      <c r="D2062" s="165"/>
      <c r="E2062" s="165"/>
      <c r="K2062" s="12"/>
      <c r="L2062" s="12"/>
      <c r="M2062" s="12"/>
      <c r="N2062" s="12"/>
    </row>
    <row r="2063" spans="3:14" ht="12.75">
      <c r="C2063" s="165"/>
      <c r="D2063" s="165"/>
      <c r="E2063" s="165"/>
      <c r="K2063" s="12"/>
      <c r="L2063" s="12"/>
      <c r="M2063" s="12"/>
      <c r="N2063" s="12"/>
    </row>
    <row r="2064" spans="3:14" ht="12.75">
      <c r="C2064" s="165"/>
      <c r="D2064" s="165"/>
      <c r="E2064" s="165"/>
      <c r="K2064" s="12"/>
      <c r="L2064" s="12"/>
      <c r="M2064" s="12"/>
      <c r="N2064" s="12"/>
    </row>
    <row r="2065" spans="3:14" ht="12.75">
      <c r="C2065" s="165"/>
      <c r="D2065" s="165"/>
      <c r="E2065" s="165"/>
      <c r="K2065" s="12"/>
      <c r="L2065" s="12"/>
      <c r="M2065" s="12"/>
      <c r="N2065" s="12"/>
    </row>
    <row r="2066" spans="3:14" ht="12.75">
      <c r="C2066" s="165"/>
      <c r="D2066" s="165"/>
      <c r="E2066" s="165"/>
      <c r="K2066" s="12"/>
      <c r="L2066" s="12"/>
      <c r="M2066" s="12"/>
      <c r="N2066" s="12"/>
    </row>
    <row r="2067" spans="3:14" ht="12.75">
      <c r="C2067" s="165"/>
      <c r="D2067" s="165"/>
      <c r="E2067" s="165"/>
      <c r="K2067" s="12"/>
      <c r="L2067" s="12"/>
      <c r="M2067" s="12"/>
      <c r="N2067" s="12"/>
    </row>
    <row r="2068" spans="3:14" ht="12.75">
      <c r="C2068" s="165"/>
      <c r="D2068" s="165"/>
      <c r="E2068" s="165"/>
      <c r="K2068" s="12"/>
      <c r="L2068" s="12"/>
      <c r="M2068" s="12"/>
      <c r="N2068" s="12"/>
    </row>
    <row r="2069" spans="3:14" ht="12.75">
      <c r="C2069" s="165"/>
      <c r="D2069" s="165"/>
      <c r="E2069" s="165"/>
      <c r="K2069" s="12"/>
      <c r="L2069" s="12"/>
      <c r="M2069" s="12"/>
      <c r="N2069" s="12"/>
    </row>
    <row r="2070" spans="3:14" ht="12.75">
      <c r="C2070" s="165"/>
      <c r="D2070" s="165"/>
      <c r="E2070" s="165"/>
      <c r="K2070" s="12"/>
      <c r="L2070" s="12"/>
      <c r="M2070" s="12"/>
      <c r="N2070" s="12"/>
    </row>
    <row r="2071" spans="3:14" ht="12.75">
      <c r="C2071" s="165"/>
      <c r="D2071" s="165"/>
      <c r="E2071" s="165"/>
      <c r="K2071" s="12"/>
      <c r="L2071" s="12"/>
      <c r="M2071" s="12"/>
      <c r="N2071" s="12"/>
    </row>
    <row r="2072" spans="3:14" ht="12.75">
      <c r="C2072" s="165"/>
      <c r="D2072" s="165"/>
      <c r="E2072" s="165"/>
      <c r="K2072" s="12"/>
      <c r="L2072" s="12"/>
      <c r="M2072" s="12"/>
      <c r="N2072" s="12"/>
    </row>
    <row r="2073" spans="3:14" ht="12.75">
      <c r="C2073" s="165"/>
      <c r="D2073" s="165"/>
      <c r="E2073" s="165"/>
      <c r="K2073" s="12"/>
      <c r="L2073" s="12"/>
      <c r="M2073" s="12"/>
      <c r="N2073" s="12"/>
    </row>
    <row r="2074" spans="3:14" ht="12.75">
      <c r="C2074" s="165"/>
      <c r="D2074" s="165"/>
      <c r="E2074" s="165"/>
      <c r="K2074" s="12"/>
      <c r="L2074" s="12"/>
      <c r="M2074" s="12"/>
      <c r="N2074" s="12"/>
    </row>
    <row r="2075" spans="3:14" ht="12.75">
      <c r="C2075" s="165"/>
      <c r="D2075" s="165"/>
      <c r="E2075" s="165"/>
      <c r="K2075" s="12"/>
      <c r="L2075" s="12"/>
      <c r="M2075" s="12"/>
      <c r="N2075" s="12"/>
    </row>
    <row r="2076" spans="3:14" ht="12.75">
      <c r="C2076" s="165"/>
      <c r="D2076" s="165"/>
      <c r="E2076" s="165"/>
      <c r="K2076" s="12"/>
      <c r="L2076" s="12"/>
      <c r="M2076" s="12"/>
      <c r="N2076" s="12"/>
    </row>
    <row r="2077" spans="3:14" ht="12.75">
      <c r="C2077" s="165"/>
      <c r="D2077" s="165"/>
      <c r="E2077" s="165"/>
      <c r="K2077" s="12"/>
      <c r="L2077" s="12"/>
      <c r="M2077" s="12"/>
      <c r="N2077" s="12"/>
    </row>
    <row r="2078" spans="3:14" ht="12.75">
      <c r="C2078" s="165"/>
      <c r="D2078" s="165"/>
      <c r="E2078" s="165"/>
      <c r="K2078" s="12"/>
      <c r="L2078" s="12"/>
      <c r="M2078" s="12"/>
      <c r="N2078" s="12"/>
    </row>
    <row r="2079" spans="3:14" ht="12.75">
      <c r="C2079" s="165"/>
      <c r="D2079" s="165"/>
      <c r="E2079" s="165"/>
      <c r="K2079" s="12"/>
      <c r="L2079" s="12"/>
      <c r="M2079" s="12"/>
      <c r="N2079" s="12"/>
    </row>
    <row r="2080" spans="3:14" ht="12.75">
      <c r="C2080" s="165"/>
      <c r="D2080" s="165"/>
      <c r="E2080" s="165"/>
      <c r="K2080" s="12"/>
      <c r="L2080" s="12"/>
      <c r="M2080" s="12"/>
      <c r="N2080" s="12"/>
    </row>
    <row r="2081" spans="3:14" ht="12.75">
      <c r="C2081" s="165"/>
      <c r="D2081" s="165"/>
      <c r="E2081" s="165"/>
      <c r="K2081" s="12"/>
      <c r="L2081" s="12"/>
      <c r="M2081" s="12"/>
      <c r="N2081" s="12"/>
    </row>
    <row r="2082" spans="3:14" ht="12.75">
      <c r="C2082" s="165"/>
      <c r="D2082" s="165"/>
      <c r="E2082" s="165"/>
      <c r="K2082" s="12"/>
      <c r="L2082" s="12"/>
      <c r="M2082" s="12"/>
      <c r="N2082" s="12"/>
    </row>
    <row r="2083" spans="3:14" ht="12.75">
      <c r="C2083" s="165"/>
      <c r="D2083" s="165"/>
      <c r="E2083" s="165"/>
      <c r="K2083" s="12"/>
      <c r="L2083" s="12"/>
      <c r="M2083" s="12"/>
      <c r="N2083" s="12"/>
    </row>
    <row r="2084" spans="3:14" ht="12.75">
      <c r="C2084" s="165"/>
      <c r="D2084" s="165"/>
      <c r="E2084" s="165"/>
      <c r="K2084" s="12"/>
      <c r="L2084" s="12"/>
      <c r="M2084" s="12"/>
      <c r="N2084" s="12"/>
    </row>
    <row r="2085" spans="3:14" ht="12.75">
      <c r="C2085" s="165"/>
      <c r="D2085" s="165"/>
      <c r="E2085" s="165"/>
      <c r="K2085" s="12"/>
      <c r="L2085" s="12"/>
      <c r="M2085" s="12"/>
      <c r="N2085" s="12"/>
    </row>
    <row r="2086" spans="3:14" ht="12.75">
      <c r="C2086" s="165"/>
      <c r="D2086" s="165"/>
      <c r="E2086" s="165"/>
      <c r="K2086" s="12"/>
      <c r="L2086" s="12"/>
      <c r="M2086" s="12"/>
      <c r="N2086" s="12"/>
    </row>
    <row r="2087" spans="3:14" ht="12.75">
      <c r="C2087" s="165"/>
      <c r="D2087" s="165"/>
      <c r="E2087" s="165"/>
      <c r="K2087" s="12"/>
      <c r="L2087" s="12"/>
      <c r="M2087" s="12"/>
      <c r="N2087" s="12"/>
    </row>
    <row r="2088" spans="3:14" ht="12.75">
      <c r="C2088" s="165"/>
      <c r="D2088" s="165"/>
      <c r="E2088" s="165"/>
      <c r="K2088" s="12"/>
      <c r="L2088" s="12"/>
      <c r="M2088" s="12"/>
      <c r="N2088" s="12"/>
    </row>
    <row r="2089" spans="3:14" ht="12.75">
      <c r="C2089" s="165"/>
      <c r="D2089" s="165"/>
      <c r="E2089" s="165"/>
      <c r="K2089" s="12"/>
      <c r="L2089" s="12"/>
      <c r="M2089" s="12"/>
      <c r="N2089" s="12"/>
    </row>
    <row r="2090" spans="3:14" ht="12.75">
      <c r="C2090" s="165"/>
      <c r="D2090" s="165"/>
      <c r="E2090" s="165"/>
      <c r="K2090" s="12"/>
      <c r="L2090" s="12"/>
      <c r="M2090" s="12"/>
      <c r="N2090" s="12"/>
    </row>
    <row r="2091" spans="3:14" ht="12.75">
      <c r="C2091" s="165"/>
      <c r="D2091" s="165"/>
      <c r="E2091" s="165"/>
      <c r="K2091" s="12"/>
      <c r="L2091" s="12"/>
      <c r="M2091" s="12"/>
      <c r="N2091" s="12"/>
    </row>
    <row r="2092" spans="3:14" ht="12.75">
      <c r="C2092" s="165"/>
      <c r="D2092" s="165"/>
      <c r="E2092" s="165"/>
      <c r="K2092" s="12"/>
      <c r="L2092" s="12"/>
      <c r="M2092" s="12"/>
      <c r="N2092" s="12"/>
    </row>
    <row r="2093" spans="3:14" ht="12.75">
      <c r="C2093" s="165"/>
      <c r="D2093" s="165"/>
      <c r="E2093" s="165"/>
      <c r="K2093" s="12"/>
      <c r="L2093" s="12"/>
      <c r="M2093" s="12"/>
      <c r="N2093" s="12"/>
    </row>
    <row r="2094" spans="3:14" ht="12.75">
      <c r="C2094" s="165"/>
      <c r="D2094" s="165"/>
      <c r="E2094" s="165"/>
      <c r="K2094" s="12"/>
      <c r="L2094" s="12"/>
      <c r="M2094" s="12"/>
      <c r="N2094" s="12"/>
    </row>
    <row r="2095" spans="3:14" ht="12.75">
      <c r="C2095" s="165"/>
      <c r="D2095" s="165"/>
      <c r="E2095" s="165"/>
      <c r="K2095" s="12"/>
      <c r="L2095" s="12"/>
      <c r="M2095" s="12"/>
      <c r="N2095" s="12"/>
    </row>
    <row r="2096" spans="3:14" ht="12.75">
      <c r="C2096" s="165"/>
      <c r="D2096" s="165"/>
      <c r="E2096" s="165"/>
      <c r="K2096" s="12"/>
      <c r="L2096" s="12"/>
      <c r="M2096" s="12"/>
      <c r="N2096" s="12"/>
    </row>
    <row r="2097" spans="3:14" ht="12.75">
      <c r="C2097" s="165"/>
      <c r="D2097" s="165"/>
      <c r="E2097" s="165"/>
      <c r="K2097" s="12"/>
      <c r="L2097" s="12"/>
      <c r="M2097" s="12"/>
      <c r="N2097" s="12"/>
    </row>
    <row r="2098" spans="3:14" ht="12.75">
      <c r="C2098" s="165"/>
      <c r="D2098" s="165"/>
      <c r="E2098" s="165"/>
      <c r="K2098" s="12"/>
      <c r="L2098" s="12"/>
      <c r="M2098" s="12"/>
      <c r="N2098" s="12"/>
    </row>
    <row r="2099" spans="3:14" ht="12.75">
      <c r="C2099" s="165"/>
      <c r="D2099" s="165"/>
      <c r="E2099" s="165"/>
      <c r="K2099" s="12"/>
      <c r="L2099" s="12"/>
      <c r="M2099" s="12"/>
      <c r="N2099" s="12"/>
    </row>
    <row r="2100" spans="3:14" ht="12.75">
      <c r="C2100" s="165"/>
      <c r="D2100" s="165"/>
      <c r="E2100" s="165"/>
      <c r="K2100" s="12"/>
      <c r="L2100" s="12"/>
      <c r="M2100" s="12"/>
      <c r="N2100" s="12"/>
    </row>
    <row r="2101" spans="3:14" ht="12.75">
      <c r="C2101" s="165"/>
      <c r="D2101" s="165"/>
      <c r="E2101" s="165"/>
      <c r="K2101" s="12"/>
      <c r="L2101" s="12"/>
      <c r="M2101" s="12"/>
      <c r="N2101" s="12"/>
    </row>
    <row r="2102" spans="3:14" ht="12.75">
      <c r="C2102" s="165"/>
      <c r="D2102" s="165"/>
      <c r="E2102" s="165"/>
      <c r="K2102" s="12"/>
      <c r="L2102" s="12"/>
      <c r="M2102" s="12"/>
      <c r="N2102" s="12"/>
    </row>
    <row r="2103" spans="3:14" ht="12.75">
      <c r="C2103" s="165"/>
      <c r="D2103" s="165"/>
      <c r="E2103" s="165"/>
      <c r="K2103" s="12"/>
      <c r="L2103" s="12"/>
      <c r="M2103" s="12"/>
      <c r="N2103" s="12"/>
    </row>
    <row r="2104" spans="3:14" ht="12.75">
      <c r="C2104" s="165"/>
      <c r="D2104" s="165"/>
      <c r="E2104" s="165"/>
      <c r="K2104" s="12"/>
      <c r="L2104" s="12"/>
      <c r="M2104" s="12"/>
      <c r="N2104" s="12"/>
    </row>
    <row r="2105" spans="3:14" ht="12.75">
      <c r="C2105" s="165"/>
      <c r="D2105" s="165"/>
      <c r="E2105" s="165"/>
      <c r="K2105" s="12"/>
      <c r="L2105" s="12"/>
      <c r="M2105" s="12"/>
      <c r="N2105" s="12"/>
    </row>
    <row r="2106" spans="3:14" ht="12.75">
      <c r="C2106" s="165"/>
      <c r="D2106" s="165"/>
      <c r="E2106" s="165"/>
      <c r="K2106" s="12"/>
      <c r="L2106" s="12"/>
      <c r="M2106" s="12"/>
      <c r="N2106" s="12"/>
    </row>
    <row r="2107" spans="3:14" ht="12.75">
      <c r="C2107" s="165"/>
      <c r="D2107" s="165"/>
      <c r="E2107" s="165"/>
      <c r="K2107" s="12"/>
      <c r="L2107" s="12"/>
      <c r="M2107" s="12"/>
      <c r="N2107" s="12"/>
    </row>
    <row r="2108" spans="3:14" ht="12.75">
      <c r="C2108" s="165"/>
      <c r="D2108" s="165"/>
      <c r="E2108" s="165"/>
      <c r="K2108" s="12"/>
      <c r="L2108" s="12"/>
      <c r="M2108" s="12"/>
      <c r="N2108" s="12"/>
    </row>
    <row r="2109" spans="3:14" ht="12.75">
      <c r="C2109" s="165"/>
      <c r="D2109" s="165"/>
      <c r="E2109" s="165"/>
      <c r="K2109" s="12"/>
      <c r="L2109" s="12"/>
      <c r="M2109" s="12"/>
      <c r="N2109" s="12"/>
    </row>
    <row r="2110" spans="3:14" ht="12.75">
      <c r="C2110" s="165"/>
      <c r="D2110" s="165"/>
      <c r="E2110" s="165"/>
      <c r="K2110" s="12"/>
      <c r="L2110" s="12"/>
      <c r="M2110" s="12"/>
      <c r="N2110" s="12"/>
    </row>
    <row r="2111" spans="3:14" ht="12.75">
      <c r="C2111" s="165"/>
      <c r="D2111" s="165"/>
      <c r="E2111" s="165"/>
      <c r="K2111" s="12"/>
      <c r="L2111" s="12"/>
      <c r="M2111" s="12"/>
      <c r="N2111" s="12"/>
    </row>
    <row r="2112" spans="3:14" ht="12.75">
      <c r="C2112" s="165"/>
      <c r="D2112" s="165"/>
      <c r="E2112" s="165"/>
      <c r="K2112" s="12"/>
      <c r="L2112" s="12"/>
      <c r="M2112" s="12"/>
      <c r="N2112" s="12"/>
    </row>
    <row r="2113" spans="3:14" ht="12.75">
      <c r="C2113" s="165"/>
      <c r="D2113" s="165"/>
      <c r="E2113" s="165"/>
      <c r="K2113" s="12"/>
      <c r="L2113" s="12"/>
      <c r="M2113" s="12"/>
      <c r="N2113" s="12"/>
    </row>
    <row r="2114" spans="3:14" ht="12.75">
      <c r="C2114" s="165"/>
      <c r="D2114" s="165"/>
      <c r="E2114" s="165"/>
      <c r="K2114" s="12"/>
      <c r="L2114" s="12"/>
      <c r="M2114" s="12"/>
      <c r="N2114" s="12"/>
    </row>
    <row r="2115" spans="3:14" ht="12.75">
      <c r="C2115" s="165"/>
      <c r="D2115" s="165"/>
      <c r="E2115" s="165"/>
      <c r="K2115" s="12"/>
      <c r="L2115" s="12"/>
      <c r="M2115" s="12"/>
      <c r="N2115" s="12"/>
    </row>
    <row r="2116" spans="3:14" ht="12.75">
      <c r="C2116" s="165"/>
      <c r="D2116" s="165"/>
      <c r="E2116" s="165"/>
      <c r="K2116" s="12"/>
      <c r="L2116" s="12"/>
      <c r="M2116" s="12"/>
      <c r="N2116" s="12"/>
    </row>
    <row r="2117" spans="3:14" ht="12.75">
      <c r="C2117" s="165"/>
      <c r="D2117" s="165"/>
      <c r="E2117" s="165"/>
      <c r="K2117" s="12"/>
      <c r="L2117" s="12"/>
      <c r="M2117" s="12"/>
      <c r="N2117" s="12"/>
    </row>
    <row r="2118" spans="3:14" ht="12.75">
      <c r="C2118" s="165"/>
      <c r="D2118" s="165"/>
      <c r="E2118" s="165"/>
      <c r="K2118" s="12"/>
      <c r="L2118" s="12"/>
      <c r="M2118" s="12"/>
      <c r="N2118" s="12"/>
    </row>
    <row r="2119" spans="3:14" ht="12.75">
      <c r="C2119" s="165"/>
      <c r="D2119" s="165"/>
      <c r="E2119" s="165"/>
      <c r="K2119" s="12"/>
      <c r="L2119" s="12"/>
      <c r="M2119" s="12"/>
      <c r="N2119" s="12"/>
    </row>
    <row r="2120" spans="3:14" ht="12.75">
      <c r="C2120" s="165"/>
      <c r="D2120" s="165"/>
      <c r="E2120" s="165"/>
      <c r="K2120" s="12"/>
      <c r="L2120" s="12"/>
      <c r="M2120" s="12"/>
      <c r="N2120" s="12"/>
    </row>
    <row r="2121" spans="3:14" ht="12.75">
      <c r="C2121" s="165"/>
      <c r="D2121" s="165"/>
      <c r="E2121" s="165"/>
      <c r="K2121" s="12"/>
      <c r="L2121" s="12"/>
      <c r="M2121" s="12"/>
      <c r="N2121" s="12"/>
    </row>
    <row r="2122" spans="3:14" ht="12.75">
      <c r="C2122" s="165"/>
      <c r="D2122" s="165"/>
      <c r="E2122" s="165"/>
      <c r="K2122" s="12"/>
      <c r="L2122" s="12"/>
      <c r="M2122" s="12"/>
      <c r="N2122" s="12"/>
    </row>
    <row r="2123" spans="3:14" ht="12.75">
      <c r="C2123" s="165"/>
      <c r="D2123" s="165"/>
      <c r="E2123" s="165"/>
      <c r="K2123" s="12"/>
      <c r="L2123" s="12"/>
      <c r="M2123" s="12"/>
      <c r="N2123" s="12"/>
    </row>
    <row r="2124" spans="3:14" ht="12.75">
      <c r="C2124" s="165"/>
      <c r="D2124" s="165"/>
      <c r="E2124" s="165"/>
      <c r="K2124" s="12"/>
      <c r="L2124" s="12"/>
      <c r="M2124" s="12"/>
      <c r="N2124" s="12"/>
    </row>
    <row r="2125" spans="3:14" ht="12.75">
      <c r="C2125" s="165"/>
      <c r="D2125" s="165"/>
      <c r="E2125" s="165"/>
      <c r="K2125" s="12"/>
      <c r="L2125" s="12"/>
      <c r="M2125" s="12"/>
      <c r="N2125" s="12"/>
    </row>
    <row r="2126" spans="3:14" ht="12.75">
      <c r="C2126" s="165"/>
      <c r="D2126" s="165"/>
      <c r="E2126" s="165"/>
      <c r="K2126" s="12"/>
      <c r="L2126" s="12"/>
      <c r="M2126" s="12"/>
      <c r="N2126" s="12"/>
    </row>
    <row r="2127" spans="3:14" ht="12.75">
      <c r="C2127" s="165"/>
      <c r="D2127" s="165"/>
      <c r="E2127" s="165"/>
      <c r="K2127" s="12"/>
      <c r="L2127" s="12"/>
      <c r="M2127" s="12"/>
      <c r="N2127" s="12"/>
    </row>
    <row r="2128" spans="3:14" ht="12.75">
      <c r="C2128" s="165"/>
      <c r="D2128" s="165"/>
      <c r="E2128" s="165"/>
      <c r="K2128" s="12"/>
      <c r="L2128" s="12"/>
      <c r="M2128" s="12"/>
      <c r="N2128" s="12"/>
    </row>
    <row r="2129" spans="3:14" ht="12.75">
      <c r="C2129" s="165"/>
      <c r="D2129" s="165"/>
      <c r="E2129" s="165"/>
      <c r="K2129" s="12"/>
      <c r="L2129" s="12"/>
      <c r="M2129" s="12"/>
      <c r="N2129" s="12"/>
    </row>
    <row r="2130" spans="3:14" ht="12.75">
      <c r="C2130" s="165"/>
      <c r="D2130" s="165"/>
      <c r="E2130" s="165"/>
      <c r="K2130" s="12"/>
      <c r="L2130" s="12"/>
      <c r="M2130" s="12"/>
      <c r="N2130" s="12"/>
    </row>
    <row r="2131" spans="3:14" ht="12.75">
      <c r="C2131" s="165"/>
      <c r="D2131" s="165"/>
      <c r="E2131" s="165"/>
      <c r="K2131" s="12"/>
      <c r="L2131" s="12"/>
      <c r="M2131" s="12"/>
      <c r="N2131" s="12"/>
    </row>
    <row r="2132" spans="3:14" ht="12.75">
      <c r="C2132" s="165"/>
      <c r="D2132" s="165"/>
      <c r="E2132" s="165"/>
      <c r="K2132" s="12"/>
      <c r="L2132" s="12"/>
      <c r="M2132" s="12"/>
      <c r="N2132" s="12"/>
    </row>
    <row r="2133" spans="3:14" ht="12.75">
      <c r="C2133" s="165"/>
      <c r="D2133" s="165"/>
      <c r="E2133" s="165"/>
      <c r="K2133" s="12"/>
      <c r="L2133" s="12"/>
      <c r="M2133" s="12"/>
      <c r="N2133" s="12"/>
    </row>
    <row r="2134" spans="3:14" ht="12.75">
      <c r="C2134" s="165"/>
      <c r="D2134" s="165"/>
      <c r="E2134" s="165"/>
      <c r="K2134" s="12"/>
      <c r="L2134" s="12"/>
      <c r="M2134" s="12"/>
      <c r="N2134" s="12"/>
    </row>
    <row r="2135" spans="3:14" ht="12.75">
      <c r="C2135" s="165"/>
      <c r="D2135" s="165"/>
      <c r="E2135" s="165"/>
      <c r="K2135" s="12"/>
      <c r="L2135" s="12"/>
      <c r="M2135" s="12"/>
      <c r="N2135" s="12"/>
    </row>
    <row r="2136" spans="3:14" ht="12.75">
      <c r="C2136" s="165"/>
      <c r="D2136" s="165"/>
      <c r="E2136" s="165"/>
      <c r="K2136" s="12"/>
      <c r="L2136" s="12"/>
      <c r="M2136" s="12"/>
      <c r="N2136" s="12"/>
    </row>
    <row r="2137" spans="3:14" ht="12.75">
      <c r="C2137" s="165"/>
      <c r="D2137" s="165"/>
      <c r="E2137" s="165"/>
      <c r="K2137" s="12"/>
      <c r="L2137" s="12"/>
      <c r="M2137" s="12"/>
      <c r="N2137" s="12"/>
    </row>
    <row r="2138" spans="3:14" ht="12.75">
      <c r="C2138" s="165"/>
      <c r="D2138" s="165"/>
      <c r="E2138" s="165"/>
      <c r="K2138" s="12"/>
      <c r="L2138" s="12"/>
      <c r="M2138" s="12"/>
      <c r="N2138" s="12"/>
    </row>
    <row r="2139" spans="3:14" ht="12.75">
      <c r="C2139" s="165"/>
      <c r="D2139" s="165"/>
      <c r="E2139" s="165"/>
      <c r="K2139" s="12"/>
      <c r="L2139" s="12"/>
      <c r="M2139" s="12"/>
      <c r="N2139" s="12"/>
    </row>
    <row r="2140" spans="3:14" ht="12.75">
      <c r="C2140" s="165"/>
      <c r="D2140" s="165"/>
      <c r="E2140" s="165"/>
      <c r="K2140" s="12"/>
      <c r="L2140" s="12"/>
      <c r="M2140" s="12"/>
      <c r="N2140" s="12"/>
    </row>
    <row r="2141" spans="3:14" ht="12.75">
      <c r="C2141" s="165"/>
      <c r="D2141" s="165"/>
      <c r="E2141" s="165"/>
      <c r="K2141" s="12"/>
      <c r="L2141" s="12"/>
      <c r="M2141" s="12"/>
      <c r="N2141" s="12"/>
    </row>
    <row r="2142" spans="3:14" ht="12.75">
      <c r="C2142" s="165"/>
      <c r="D2142" s="165"/>
      <c r="E2142" s="165"/>
      <c r="K2142" s="12"/>
      <c r="L2142" s="12"/>
      <c r="M2142" s="12"/>
      <c r="N2142" s="12"/>
    </row>
    <row r="2143" spans="3:14" ht="12.75">
      <c r="C2143" s="165"/>
      <c r="D2143" s="165"/>
      <c r="E2143" s="165"/>
      <c r="K2143" s="12"/>
      <c r="L2143" s="12"/>
      <c r="M2143" s="12"/>
      <c r="N2143" s="12"/>
    </row>
    <row r="2144" spans="3:14" ht="12.75">
      <c r="C2144" s="165"/>
      <c r="D2144" s="165"/>
      <c r="E2144" s="165"/>
      <c r="K2144" s="12"/>
      <c r="L2144" s="12"/>
      <c r="M2144" s="12"/>
      <c r="N2144" s="12"/>
    </row>
    <row r="2145" spans="3:14" ht="12.75">
      <c r="C2145" s="165"/>
      <c r="D2145" s="165"/>
      <c r="E2145" s="165"/>
      <c r="K2145" s="12"/>
      <c r="L2145" s="12"/>
      <c r="M2145" s="12"/>
      <c r="N2145" s="12"/>
    </row>
    <row r="2146" spans="3:14" ht="12.75">
      <c r="C2146" s="165"/>
      <c r="D2146" s="165"/>
      <c r="E2146" s="165"/>
      <c r="K2146" s="12"/>
      <c r="L2146" s="12"/>
      <c r="M2146" s="12"/>
      <c r="N2146" s="12"/>
    </row>
    <row r="2147" spans="3:14" ht="12.75">
      <c r="C2147" s="165"/>
      <c r="D2147" s="165"/>
      <c r="E2147" s="165"/>
      <c r="K2147" s="12"/>
      <c r="L2147" s="12"/>
      <c r="M2147" s="12"/>
      <c r="N2147" s="12"/>
    </row>
    <row r="2148" spans="3:14" ht="12.75">
      <c r="C2148" s="165"/>
      <c r="D2148" s="165"/>
      <c r="E2148" s="165"/>
      <c r="K2148" s="12"/>
      <c r="L2148" s="12"/>
      <c r="M2148" s="12"/>
      <c r="N2148" s="12"/>
    </row>
    <row r="2149" spans="3:14" ht="12.75">
      <c r="C2149" s="165"/>
      <c r="D2149" s="165"/>
      <c r="E2149" s="165"/>
      <c r="K2149" s="12"/>
      <c r="L2149" s="12"/>
      <c r="M2149" s="12"/>
      <c r="N2149" s="12"/>
    </row>
    <row r="2150" spans="3:14" ht="12.75">
      <c r="C2150" s="165"/>
      <c r="D2150" s="165"/>
      <c r="E2150" s="165"/>
      <c r="K2150" s="12"/>
      <c r="L2150" s="12"/>
      <c r="M2150" s="12"/>
      <c r="N2150" s="12"/>
    </row>
    <row r="2151" spans="3:14" ht="12.75">
      <c r="C2151" s="165"/>
      <c r="D2151" s="165"/>
      <c r="E2151" s="165"/>
      <c r="K2151" s="12"/>
      <c r="L2151" s="12"/>
      <c r="M2151" s="12"/>
      <c r="N2151" s="12"/>
    </row>
    <row r="2152" spans="3:14" ht="12.75">
      <c r="C2152" s="165"/>
      <c r="D2152" s="165"/>
      <c r="E2152" s="165"/>
      <c r="K2152" s="12"/>
      <c r="L2152" s="12"/>
      <c r="M2152" s="12"/>
      <c r="N2152" s="12"/>
    </row>
    <row r="2153" spans="3:14" ht="12.75">
      <c r="C2153" s="165"/>
      <c r="D2153" s="165"/>
      <c r="E2153" s="165"/>
      <c r="K2153" s="12"/>
      <c r="L2153" s="12"/>
      <c r="M2153" s="12"/>
      <c r="N2153" s="12"/>
    </row>
    <row r="2154" spans="3:14" ht="12.75">
      <c r="C2154" s="165"/>
      <c r="D2154" s="165"/>
      <c r="E2154" s="165"/>
      <c r="K2154" s="12"/>
      <c r="L2154" s="12"/>
      <c r="M2154" s="12"/>
      <c r="N2154" s="12"/>
    </row>
    <row r="2155" spans="3:14" ht="12.75">
      <c r="C2155" s="165"/>
      <c r="D2155" s="165"/>
      <c r="E2155" s="165"/>
      <c r="K2155" s="12"/>
      <c r="L2155" s="12"/>
      <c r="M2155" s="12"/>
      <c r="N2155" s="12"/>
    </row>
    <row r="2156" spans="3:14" ht="12.75">
      <c r="C2156" s="165"/>
      <c r="D2156" s="165"/>
      <c r="E2156" s="165"/>
      <c r="K2156" s="12"/>
      <c r="L2156" s="12"/>
      <c r="M2156" s="12"/>
      <c r="N2156" s="12"/>
    </row>
    <row r="2157" spans="3:14" ht="12.75">
      <c r="C2157" s="165"/>
      <c r="D2157" s="165"/>
      <c r="E2157" s="165"/>
      <c r="K2157" s="12"/>
      <c r="L2157" s="12"/>
      <c r="M2157" s="12"/>
      <c r="N2157" s="12"/>
    </row>
    <row r="2158" spans="3:14" ht="12.75">
      <c r="C2158" s="165"/>
      <c r="D2158" s="165"/>
      <c r="E2158" s="165"/>
      <c r="K2158" s="12"/>
      <c r="L2158" s="12"/>
      <c r="M2158" s="12"/>
      <c r="N2158" s="12"/>
    </row>
    <row r="2159" spans="3:14" ht="12.75">
      <c r="C2159" s="165"/>
      <c r="D2159" s="165"/>
      <c r="E2159" s="165"/>
      <c r="K2159" s="12"/>
      <c r="L2159" s="12"/>
      <c r="M2159" s="12"/>
      <c r="N2159" s="12"/>
    </row>
    <row r="2160" spans="3:14" ht="12.75">
      <c r="C2160" s="165"/>
      <c r="D2160" s="165"/>
      <c r="E2160" s="165"/>
      <c r="K2160" s="12"/>
      <c r="L2160" s="12"/>
      <c r="M2160" s="12"/>
      <c r="N2160" s="12"/>
    </row>
    <row r="2161" spans="3:14" ht="12.75">
      <c r="C2161" s="165"/>
      <c r="D2161" s="165"/>
      <c r="E2161" s="165"/>
      <c r="K2161" s="12"/>
      <c r="L2161" s="12"/>
      <c r="M2161" s="12"/>
      <c r="N2161" s="12"/>
    </row>
    <row r="2162" spans="3:14" ht="12.75">
      <c r="C2162" s="165"/>
      <c r="D2162" s="165"/>
      <c r="E2162" s="165"/>
      <c r="K2162" s="12"/>
      <c r="L2162" s="12"/>
      <c r="M2162" s="12"/>
      <c r="N2162" s="12"/>
    </row>
    <row r="2163" spans="3:14" ht="12.75">
      <c r="C2163" s="165"/>
      <c r="D2163" s="165"/>
      <c r="E2163" s="165"/>
      <c r="K2163" s="12"/>
      <c r="L2163" s="12"/>
      <c r="M2163" s="12"/>
      <c r="N2163" s="12"/>
    </row>
    <row r="2164" spans="3:14" ht="12.75">
      <c r="C2164" s="165"/>
      <c r="D2164" s="165"/>
      <c r="E2164" s="165"/>
      <c r="K2164" s="12"/>
      <c r="L2164" s="12"/>
      <c r="M2164" s="12"/>
      <c r="N2164" s="12"/>
    </row>
    <row r="2165" spans="3:14" ht="12.75">
      <c r="C2165" s="165"/>
      <c r="D2165" s="165"/>
      <c r="E2165" s="165"/>
      <c r="K2165" s="12"/>
      <c r="L2165" s="12"/>
      <c r="M2165" s="12"/>
      <c r="N2165" s="12"/>
    </row>
    <row r="2166" spans="3:14" ht="12.75">
      <c r="C2166" s="165"/>
      <c r="D2166" s="165"/>
      <c r="E2166" s="165"/>
      <c r="K2166" s="12"/>
      <c r="L2166" s="12"/>
      <c r="M2166" s="12"/>
      <c r="N2166" s="12"/>
    </row>
    <row r="2167" spans="3:14" ht="12.75">
      <c r="C2167" s="165"/>
      <c r="D2167" s="165"/>
      <c r="E2167" s="165"/>
      <c r="K2167" s="12"/>
      <c r="L2167" s="12"/>
      <c r="M2167" s="12"/>
      <c r="N2167" s="12"/>
    </row>
    <row r="2168" spans="3:14" ht="12.75">
      <c r="C2168" s="165"/>
      <c r="D2168" s="165"/>
      <c r="E2168" s="165"/>
      <c r="K2168" s="12"/>
      <c r="L2168" s="12"/>
      <c r="M2168" s="12"/>
      <c r="N2168" s="12"/>
    </row>
    <row r="2169" spans="3:14" ht="12.75">
      <c r="C2169" s="165"/>
      <c r="D2169" s="165"/>
      <c r="E2169" s="165"/>
      <c r="K2169" s="12"/>
      <c r="L2169" s="12"/>
      <c r="M2169" s="12"/>
      <c r="N2169" s="12"/>
    </row>
    <row r="2170" spans="3:14" ht="12.75">
      <c r="C2170" s="165"/>
      <c r="D2170" s="165"/>
      <c r="E2170" s="165"/>
      <c r="K2170" s="12"/>
      <c r="L2170" s="12"/>
      <c r="M2170" s="12"/>
      <c r="N2170" s="12"/>
    </row>
    <row r="2171" spans="3:14" ht="12.75">
      <c r="C2171" s="165"/>
      <c r="D2171" s="165"/>
      <c r="E2171" s="165"/>
      <c r="K2171" s="12"/>
      <c r="L2171" s="12"/>
      <c r="M2171" s="12"/>
      <c r="N2171" s="12"/>
    </row>
    <row r="2172" spans="3:14" ht="12.75">
      <c r="C2172" s="165"/>
      <c r="D2172" s="165"/>
      <c r="E2172" s="165"/>
      <c r="K2172" s="12"/>
      <c r="L2172" s="12"/>
      <c r="M2172" s="12"/>
      <c r="N2172" s="12"/>
    </row>
    <row r="2173" spans="3:14" ht="12.75">
      <c r="C2173" s="165"/>
      <c r="D2173" s="165"/>
      <c r="E2173" s="165"/>
      <c r="K2173" s="12"/>
      <c r="L2173" s="12"/>
      <c r="M2173" s="12"/>
      <c r="N2173" s="12"/>
    </row>
    <row r="2174" spans="3:14" ht="12.75">
      <c r="C2174" s="165"/>
      <c r="D2174" s="165"/>
      <c r="E2174" s="165"/>
      <c r="K2174" s="12"/>
      <c r="L2174" s="12"/>
      <c r="M2174" s="12"/>
      <c r="N2174" s="12"/>
    </row>
    <row r="2175" spans="3:14" ht="12.75">
      <c r="C2175" s="165"/>
      <c r="D2175" s="165"/>
      <c r="E2175" s="165"/>
      <c r="K2175" s="12"/>
      <c r="L2175" s="12"/>
      <c r="M2175" s="12"/>
      <c r="N2175" s="12"/>
    </row>
    <row r="2176" spans="3:14" ht="12.75">
      <c r="C2176" s="165"/>
      <c r="D2176" s="165"/>
      <c r="E2176" s="165"/>
      <c r="K2176" s="12"/>
      <c r="L2176" s="12"/>
      <c r="M2176" s="12"/>
      <c r="N2176" s="12"/>
    </row>
    <row r="2177" spans="3:14" ht="12.75">
      <c r="C2177" s="165"/>
      <c r="D2177" s="165"/>
      <c r="E2177" s="165"/>
      <c r="K2177" s="12"/>
      <c r="L2177" s="12"/>
      <c r="M2177" s="12"/>
      <c r="N2177" s="12"/>
    </row>
    <row r="2178" spans="3:14" ht="12.75">
      <c r="C2178" s="165"/>
      <c r="D2178" s="165"/>
      <c r="E2178" s="165"/>
      <c r="K2178" s="12"/>
      <c r="L2178" s="12"/>
      <c r="M2178" s="12"/>
      <c r="N2178" s="12"/>
    </row>
    <row r="2179" spans="3:14" ht="12.75">
      <c r="C2179" s="165"/>
      <c r="D2179" s="165"/>
      <c r="E2179" s="165"/>
      <c r="K2179" s="12"/>
      <c r="L2179" s="12"/>
      <c r="M2179" s="12"/>
      <c r="N2179" s="12"/>
    </row>
    <row r="2180" spans="3:14" ht="12.75">
      <c r="C2180" s="165"/>
      <c r="D2180" s="165"/>
      <c r="E2180" s="165"/>
      <c r="K2180" s="12"/>
      <c r="L2180" s="12"/>
      <c r="M2180" s="12"/>
      <c r="N2180" s="12"/>
    </row>
    <row r="2181" spans="3:14" ht="12.75">
      <c r="C2181" s="165"/>
      <c r="D2181" s="165"/>
      <c r="E2181" s="165"/>
      <c r="K2181" s="12"/>
      <c r="L2181" s="12"/>
      <c r="M2181" s="12"/>
      <c r="N2181" s="12"/>
    </row>
    <row r="2182" spans="3:14" ht="12.75">
      <c r="C2182" s="165"/>
      <c r="D2182" s="165"/>
      <c r="E2182" s="165"/>
      <c r="K2182" s="12"/>
      <c r="L2182" s="12"/>
      <c r="M2182" s="12"/>
      <c r="N2182" s="12"/>
    </row>
    <row r="2183" spans="3:14" ht="12.75">
      <c r="C2183" s="165"/>
      <c r="D2183" s="165"/>
      <c r="E2183" s="165"/>
      <c r="K2183" s="12"/>
      <c r="L2183" s="12"/>
      <c r="M2183" s="12"/>
      <c r="N2183" s="12"/>
    </row>
    <row r="2184" spans="3:14" ht="12.75">
      <c r="C2184" s="165"/>
      <c r="D2184" s="165"/>
      <c r="E2184" s="165"/>
      <c r="K2184" s="12"/>
      <c r="L2184" s="12"/>
      <c r="M2184" s="12"/>
      <c r="N2184" s="12"/>
    </row>
    <row r="2185" spans="3:14" ht="12.75">
      <c r="C2185" s="165"/>
      <c r="D2185" s="165"/>
      <c r="E2185" s="165"/>
      <c r="K2185" s="12"/>
      <c r="L2185" s="12"/>
      <c r="M2185" s="12"/>
      <c r="N2185" s="12"/>
    </row>
    <row r="2186" spans="3:14" ht="12.75">
      <c r="C2186" s="165"/>
      <c r="D2186" s="165"/>
      <c r="E2186" s="165"/>
      <c r="K2186" s="12"/>
      <c r="L2186" s="12"/>
      <c r="M2186" s="12"/>
      <c r="N2186" s="12"/>
    </row>
    <row r="2187" spans="3:14" ht="12.75">
      <c r="C2187" s="165"/>
      <c r="D2187" s="165"/>
      <c r="E2187" s="165"/>
      <c r="K2187" s="12"/>
      <c r="L2187" s="12"/>
      <c r="M2187" s="12"/>
      <c r="N2187" s="12"/>
    </row>
    <row r="2188" spans="3:14" ht="12.75">
      <c r="C2188" s="165"/>
      <c r="D2188" s="165"/>
      <c r="E2188" s="165"/>
      <c r="K2188" s="12"/>
      <c r="L2188" s="12"/>
      <c r="M2188" s="12"/>
      <c r="N2188" s="12"/>
    </row>
    <row r="2189" spans="3:14" ht="12.75">
      <c r="C2189" s="165"/>
      <c r="D2189" s="165"/>
      <c r="E2189" s="165"/>
      <c r="K2189" s="12"/>
      <c r="L2189" s="12"/>
      <c r="M2189" s="12"/>
      <c r="N2189" s="12"/>
    </row>
    <row r="2190" spans="3:14" ht="12.75">
      <c r="C2190" s="165"/>
      <c r="D2190" s="165"/>
      <c r="E2190" s="165"/>
      <c r="K2190" s="12"/>
      <c r="L2190" s="12"/>
      <c r="M2190" s="12"/>
      <c r="N2190" s="12"/>
    </row>
    <row r="2191" spans="3:14" ht="12.75">
      <c r="C2191" s="165"/>
      <c r="D2191" s="165"/>
      <c r="E2191" s="165"/>
      <c r="K2191" s="12"/>
      <c r="L2191" s="12"/>
      <c r="M2191" s="12"/>
      <c r="N2191" s="12"/>
    </row>
    <row r="2192" spans="3:14" ht="12.75">
      <c r="C2192" s="165"/>
      <c r="D2192" s="165"/>
      <c r="E2192" s="165"/>
      <c r="K2192" s="12"/>
      <c r="L2192" s="12"/>
      <c r="M2192" s="12"/>
      <c r="N2192" s="12"/>
    </row>
    <row r="2193" spans="3:14" ht="12.75">
      <c r="C2193" s="165"/>
      <c r="D2193" s="165"/>
      <c r="E2193" s="165"/>
      <c r="K2193" s="12"/>
      <c r="L2193" s="12"/>
      <c r="M2193" s="12"/>
      <c r="N2193" s="12"/>
    </row>
    <row r="2194" spans="3:14" ht="12.75">
      <c r="C2194" s="165"/>
      <c r="D2194" s="165"/>
      <c r="E2194" s="165"/>
      <c r="K2194" s="12"/>
      <c r="L2194" s="12"/>
      <c r="M2194" s="12"/>
      <c r="N2194" s="12"/>
    </row>
    <row r="2195" spans="3:14" ht="12.75">
      <c r="C2195" s="165"/>
      <c r="D2195" s="165"/>
      <c r="E2195" s="165"/>
      <c r="K2195" s="12"/>
      <c r="L2195" s="12"/>
      <c r="M2195" s="12"/>
      <c r="N2195" s="12"/>
    </row>
    <row r="2196" spans="3:14" ht="12.75">
      <c r="C2196" s="165"/>
      <c r="D2196" s="165"/>
      <c r="E2196" s="165"/>
      <c r="K2196" s="12"/>
      <c r="L2196" s="12"/>
      <c r="M2196" s="12"/>
      <c r="N2196" s="12"/>
    </row>
    <row r="2197" spans="3:14" ht="12.75">
      <c r="C2197" s="165"/>
      <c r="D2197" s="165"/>
      <c r="E2197" s="165"/>
      <c r="K2197" s="12"/>
      <c r="L2197" s="12"/>
      <c r="M2197" s="12"/>
      <c r="N2197" s="12"/>
    </row>
    <row r="2198" spans="3:14" ht="12.75">
      <c r="C2198" s="165"/>
      <c r="D2198" s="165"/>
      <c r="E2198" s="165"/>
      <c r="K2198" s="12"/>
      <c r="L2198" s="12"/>
      <c r="M2198" s="12"/>
      <c r="N2198" s="12"/>
    </row>
    <row r="2199" spans="3:14" ht="12.75">
      <c r="C2199" s="165"/>
      <c r="D2199" s="165"/>
      <c r="E2199" s="165"/>
      <c r="K2199" s="12"/>
      <c r="L2199" s="12"/>
      <c r="M2199" s="12"/>
      <c r="N2199" s="12"/>
    </row>
    <row r="2200" spans="3:14" ht="12.75">
      <c r="C2200" s="165"/>
      <c r="D2200" s="165"/>
      <c r="E2200" s="165"/>
      <c r="K2200" s="12"/>
      <c r="L2200" s="12"/>
      <c r="M2200" s="12"/>
      <c r="N2200" s="12"/>
    </row>
    <row r="2201" spans="3:14" ht="12.75">
      <c r="C2201" s="165"/>
      <c r="D2201" s="165"/>
      <c r="E2201" s="165"/>
      <c r="K2201" s="12"/>
      <c r="L2201" s="12"/>
      <c r="M2201" s="12"/>
      <c r="N2201" s="12"/>
    </row>
    <row r="2202" spans="3:14" ht="12.75">
      <c r="C2202" s="165"/>
      <c r="D2202" s="165"/>
      <c r="E2202" s="165"/>
      <c r="K2202" s="12"/>
      <c r="L2202" s="12"/>
      <c r="M2202" s="12"/>
      <c r="N2202" s="12"/>
    </row>
    <row r="2203" spans="3:14" ht="12.75">
      <c r="C2203" s="165"/>
      <c r="D2203" s="165"/>
      <c r="E2203" s="165"/>
      <c r="K2203" s="12"/>
      <c r="L2203" s="12"/>
      <c r="M2203" s="12"/>
      <c r="N2203" s="12"/>
    </row>
    <row r="2204" spans="3:14" ht="12.75">
      <c r="C2204" s="165"/>
      <c r="D2204" s="165"/>
      <c r="E2204" s="165"/>
      <c r="K2204" s="12"/>
      <c r="L2204" s="12"/>
      <c r="M2204" s="12"/>
      <c r="N2204" s="12"/>
    </row>
    <row r="2205" spans="3:14" ht="12.75">
      <c r="C2205" s="165"/>
      <c r="D2205" s="165"/>
      <c r="E2205" s="165"/>
      <c r="K2205" s="12"/>
      <c r="L2205" s="12"/>
      <c r="M2205" s="12"/>
      <c r="N2205" s="12"/>
    </row>
    <row r="2206" spans="3:14" ht="12.75">
      <c r="C2206" s="165"/>
      <c r="D2206" s="165"/>
      <c r="E2206" s="165"/>
      <c r="K2206" s="12"/>
      <c r="L2206" s="12"/>
      <c r="M2206" s="12"/>
      <c r="N2206" s="12"/>
    </row>
    <row r="2207" spans="3:14" ht="12.75">
      <c r="C2207" s="165"/>
      <c r="D2207" s="165"/>
      <c r="E2207" s="165"/>
      <c r="K2207" s="12"/>
      <c r="L2207" s="12"/>
      <c r="M2207" s="12"/>
      <c r="N2207" s="12"/>
    </row>
    <row r="2208" spans="3:14" ht="12.75">
      <c r="C2208" s="165"/>
      <c r="D2208" s="165"/>
      <c r="E2208" s="165"/>
      <c r="K2208" s="12"/>
      <c r="L2208" s="12"/>
      <c r="M2208" s="12"/>
      <c r="N2208" s="12"/>
    </row>
    <row r="2209" spans="3:14" ht="12.75">
      <c r="C2209" s="165"/>
      <c r="D2209" s="165"/>
      <c r="E2209" s="165"/>
      <c r="K2209" s="12"/>
      <c r="L2209" s="12"/>
      <c r="M2209" s="12"/>
      <c r="N2209" s="12"/>
    </row>
    <row r="2210" spans="3:14" ht="12.75">
      <c r="C2210" s="165"/>
      <c r="D2210" s="165"/>
      <c r="E2210" s="165"/>
      <c r="K2210" s="12"/>
      <c r="L2210" s="12"/>
      <c r="M2210" s="12"/>
      <c r="N2210" s="12"/>
    </row>
    <row r="2211" spans="3:14" ht="12.75">
      <c r="C2211" s="165"/>
      <c r="D2211" s="165"/>
      <c r="E2211" s="165"/>
      <c r="K2211" s="12"/>
      <c r="L2211" s="12"/>
      <c r="M2211" s="12"/>
      <c r="N2211" s="12"/>
    </row>
    <row r="2212" spans="3:14" ht="12.75">
      <c r="C2212" s="165"/>
      <c r="D2212" s="165"/>
      <c r="E2212" s="165"/>
      <c r="K2212" s="12"/>
      <c r="L2212" s="12"/>
      <c r="M2212" s="12"/>
      <c r="N2212" s="12"/>
    </row>
    <row r="2213" spans="3:14" ht="12.75">
      <c r="C2213" s="165"/>
      <c r="D2213" s="165"/>
      <c r="E2213" s="165"/>
      <c r="K2213" s="12"/>
      <c r="L2213" s="12"/>
      <c r="M2213" s="12"/>
      <c r="N2213" s="12"/>
    </row>
    <row r="2214" spans="3:14" ht="12.75">
      <c r="C2214" s="165"/>
      <c r="D2214" s="165"/>
      <c r="E2214" s="165"/>
      <c r="K2214" s="12"/>
      <c r="L2214" s="12"/>
      <c r="M2214" s="12"/>
      <c r="N2214" s="12"/>
    </row>
    <row r="2215" spans="3:14" ht="12.75">
      <c r="C2215" s="165"/>
      <c r="D2215" s="165"/>
      <c r="E2215" s="165"/>
      <c r="K2215" s="12"/>
      <c r="L2215" s="12"/>
      <c r="M2215" s="12"/>
      <c r="N2215" s="12"/>
    </row>
    <row r="2216" spans="3:14" ht="12.75">
      <c r="C2216" s="165"/>
      <c r="D2216" s="165"/>
      <c r="E2216" s="165"/>
      <c r="K2216" s="12"/>
      <c r="L2216" s="12"/>
      <c r="M2216" s="12"/>
      <c r="N2216" s="12"/>
    </row>
    <row r="2217" spans="3:14" ht="12.75">
      <c r="C2217" s="165"/>
      <c r="D2217" s="165"/>
      <c r="E2217" s="165"/>
      <c r="K2217" s="12"/>
      <c r="L2217" s="12"/>
      <c r="M2217" s="12"/>
      <c r="N2217" s="12"/>
    </row>
    <row r="2218" spans="3:14" ht="12.75">
      <c r="C2218" s="165"/>
      <c r="D2218" s="165"/>
      <c r="E2218" s="165"/>
      <c r="K2218" s="12"/>
      <c r="L2218" s="12"/>
      <c r="M2218" s="12"/>
      <c r="N2218" s="12"/>
    </row>
    <row r="2219" spans="3:14" ht="12.75">
      <c r="C2219" s="165"/>
      <c r="D2219" s="165"/>
      <c r="E2219" s="165"/>
      <c r="K2219" s="12"/>
      <c r="L2219" s="12"/>
      <c r="M2219" s="12"/>
      <c r="N2219" s="12"/>
    </row>
    <row r="2220" spans="3:14" ht="12.75">
      <c r="C2220" s="165"/>
      <c r="D2220" s="165"/>
      <c r="E2220" s="165"/>
      <c r="K2220" s="12"/>
      <c r="L2220" s="12"/>
      <c r="M2220" s="12"/>
      <c r="N2220" s="12"/>
    </row>
    <row r="2221" spans="3:14" ht="12.75">
      <c r="C2221" s="165"/>
      <c r="D2221" s="165"/>
      <c r="E2221" s="165"/>
      <c r="K2221" s="12"/>
      <c r="L2221" s="12"/>
      <c r="M2221" s="12"/>
      <c r="N2221" s="12"/>
    </row>
    <row r="2222" spans="3:14" ht="12.75">
      <c r="C2222" s="165"/>
      <c r="D2222" s="165"/>
      <c r="E2222" s="165"/>
      <c r="K2222" s="12"/>
      <c r="L2222" s="12"/>
      <c r="M2222" s="12"/>
      <c r="N2222" s="12"/>
    </row>
    <row r="2223" spans="3:14" ht="12.75">
      <c r="C2223" s="165"/>
      <c r="D2223" s="165"/>
      <c r="E2223" s="165"/>
      <c r="K2223" s="12"/>
      <c r="L2223" s="12"/>
      <c r="M2223" s="12"/>
      <c r="N2223" s="12"/>
    </row>
    <row r="2224" spans="3:14" ht="12.75">
      <c r="C2224" s="165"/>
      <c r="D2224" s="165"/>
      <c r="E2224" s="165"/>
      <c r="K2224" s="12"/>
      <c r="L2224" s="12"/>
      <c r="M2224" s="12"/>
      <c r="N2224" s="12"/>
    </row>
    <row r="2225" spans="3:14" ht="12.75">
      <c r="C2225" s="165"/>
      <c r="D2225" s="165"/>
      <c r="E2225" s="165"/>
      <c r="K2225" s="12"/>
      <c r="L2225" s="12"/>
      <c r="M2225" s="12"/>
      <c r="N2225" s="12"/>
    </row>
    <row r="2226" spans="3:14" ht="12.75">
      <c r="C2226" s="165"/>
      <c r="D2226" s="165"/>
      <c r="E2226" s="165"/>
      <c r="K2226" s="12"/>
      <c r="L2226" s="12"/>
      <c r="M2226" s="12"/>
      <c r="N2226" s="12"/>
    </row>
    <row r="2227" spans="3:14" ht="12.75">
      <c r="C2227" s="165"/>
      <c r="D2227" s="165"/>
      <c r="E2227" s="165"/>
      <c r="K2227" s="12"/>
      <c r="L2227" s="12"/>
      <c r="M2227" s="12"/>
      <c r="N2227" s="12"/>
    </row>
    <row r="2228" spans="3:14" ht="12.75">
      <c r="C2228" s="165"/>
      <c r="D2228" s="165"/>
      <c r="E2228" s="165"/>
      <c r="K2228" s="12"/>
      <c r="L2228" s="12"/>
      <c r="M2228" s="12"/>
      <c r="N2228" s="12"/>
    </row>
    <row r="2229" spans="3:14" ht="12.75">
      <c r="C2229" s="165"/>
      <c r="D2229" s="165"/>
      <c r="E2229" s="165"/>
      <c r="K2229" s="12"/>
      <c r="L2229" s="12"/>
      <c r="M2229" s="12"/>
      <c r="N2229" s="12"/>
    </row>
    <row r="2230" spans="3:14" ht="12.75">
      <c r="C2230" s="165"/>
      <c r="D2230" s="165"/>
      <c r="E2230" s="165"/>
      <c r="K2230" s="12"/>
      <c r="L2230" s="12"/>
      <c r="M2230" s="12"/>
      <c r="N2230" s="12"/>
    </row>
    <row r="2231" spans="3:14" ht="12.75">
      <c r="C2231" s="165"/>
      <c r="D2231" s="165"/>
      <c r="E2231" s="165"/>
      <c r="K2231" s="12"/>
      <c r="L2231" s="12"/>
      <c r="M2231" s="12"/>
      <c r="N2231" s="12"/>
    </row>
    <row r="2232" spans="3:14" ht="12.75">
      <c r="C2232" s="165"/>
      <c r="D2232" s="165"/>
      <c r="E2232" s="165"/>
      <c r="K2232" s="12"/>
      <c r="L2232" s="12"/>
      <c r="M2232" s="12"/>
      <c r="N2232" s="12"/>
    </row>
    <row r="2233" spans="3:14" ht="12.75">
      <c r="C2233" s="165"/>
      <c r="D2233" s="165"/>
      <c r="E2233" s="165"/>
      <c r="K2233" s="12"/>
      <c r="L2233" s="12"/>
      <c r="M2233" s="12"/>
      <c r="N2233" s="12"/>
    </row>
    <row r="2234" spans="3:14" ht="12.75">
      <c r="C2234" s="165"/>
      <c r="D2234" s="165"/>
      <c r="E2234" s="165"/>
      <c r="K2234" s="12"/>
      <c r="L2234" s="12"/>
      <c r="M2234" s="12"/>
      <c r="N2234" s="12"/>
    </row>
    <row r="2235" spans="3:14" ht="12.75">
      <c r="C2235" s="165"/>
      <c r="D2235" s="165"/>
      <c r="E2235" s="165"/>
      <c r="K2235" s="12"/>
      <c r="L2235" s="12"/>
      <c r="M2235" s="12"/>
      <c r="N2235" s="12"/>
    </row>
    <row r="2236" spans="3:14" ht="12.75">
      <c r="C2236" s="165"/>
      <c r="D2236" s="165"/>
      <c r="E2236" s="165"/>
      <c r="K2236" s="12"/>
      <c r="L2236" s="12"/>
      <c r="M2236" s="12"/>
      <c r="N2236" s="12"/>
    </row>
    <row r="2237" spans="3:14" ht="12.75">
      <c r="C2237" s="165"/>
      <c r="D2237" s="165"/>
      <c r="E2237" s="165"/>
      <c r="K2237" s="12"/>
      <c r="L2237" s="12"/>
      <c r="M2237" s="12"/>
      <c r="N2237" s="12"/>
    </row>
    <row r="2238" spans="3:14" ht="12.75">
      <c r="C2238" s="165"/>
      <c r="D2238" s="165"/>
      <c r="E2238" s="165"/>
      <c r="K2238" s="12"/>
      <c r="L2238" s="12"/>
      <c r="M2238" s="12"/>
      <c r="N2238" s="12"/>
    </row>
    <row r="2239" spans="3:14" ht="12.75">
      <c r="C2239" s="165"/>
      <c r="D2239" s="165"/>
      <c r="E2239" s="165"/>
      <c r="K2239" s="12"/>
      <c r="L2239" s="12"/>
      <c r="M2239" s="12"/>
      <c r="N2239" s="12"/>
    </row>
    <row r="2240" spans="3:14" ht="12.75">
      <c r="C2240" s="165"/>
      <c r="D2240" s="165"/>
      <c r="E2240" s="165"/>
      <c r="K2240" s="12"/>
      <c r="L2240" s="12"/>
      <c r="M2240" s="12"/>
      <c r="N2240" s="12"/>
    </row>
    <row r="2241" spans="3:14" ht="12.75">
      <c r="C2241" s="165"/>
      <c r="D2241" s="165"/>
      <c r="E2241" s="165"/>
      <c r="K2241" s="12"/>
      <c r="L2241" s="12"/>
      <c r="M2241" s="12"/>
      <c r="N2241" s="12"/>
    </row>
    <row r="2242" spans="3:14" ht="12.75">
      <c r="C2242" s="165"/>
      <c r="D2242" s="165"/>
      <c r="E2242" s="165"/>
      <c r="K2242" s="12"/>
      <c r="L2242" s="12"/>
      <c r="M2242" s="12"/>
      <c r="N2242" s="12"/>
    </row>
    <row r="2243" spans="3:14" ht="12.75">
      <c r="C2243" s="165"/>
      <c r="D2243" s="165"/>
      <c r="E2243" s="165"/>
      <c r="K2243" s="12"/>
      <c r="L2243" s="12"/>
      <c r="M2243" s="12"/>
      <c r="N2243" s="12"/>
    </row>
    <row r="2244" spans="3:14" ht="12.75">
      <c r="C2244" s="165"/>
      <c r="D2244" s="165"/>
      <c r="E2244" s="165"/>
      <c r="K2244" s="12"/>
      <c r="L2244" s="12"/>
      <c r="M2244" s="12"/>
      <c r="N2244" s="12"/>
    </row>
    <row r="2245" spans="3:14" ht="12.75">
      <c r="C2245" s="165"/>
      <c r="D2245" s="165"/>
      <c r="E2245" s="165"/>
      <c r="K2245" s="12"/>
      <c r="L2245" s="12"/>
      <c r="M2245" s="12"/>
      <c r="N2245" s="12"/>
    </row>
    <row r="2246" spans="3:14" ht="12.75">
      <c r="C2246" s="165"/>
      <c r="D2246" s="165"/>
      <c r="E2246" s="165"/>
      <c r="K2246" s="12"/>
      <c r="L2246" s="12"/>
      <c r="M2246" s="12"/>
      <c r="N2246" s="12"/>
    </row>
    <row r="2247" spans="3:14" ht="12.75">
      <c r="C2247" s="165"/>
      <c r="D2247" s="165"/>
      <c r="E2247" s="165"/>
      <c r="K2247" s="12"/>
      <c r="L2247" s="12"/>
      <c r="M2247" s="12"/>
      <c r="N2247" s="12"/>
    </row>
    <row r="2248" spans="3:14" ht="12.75">
      <c r="C2248" s="165"/>
      <c r="D2248" s="165"/>
      <c r="E2248" s="165"/>
      <c r="K2248" s="12"/>
      <c r="L2248" s="12"/>
      <c r="M2248" s="12"/>
      <c r="N2248" s="12"/>
    </row>
    <row r="2249" spans="3:14" ht="12.75">
      <c r="C2249" s="165"/>
      <c r="D2249" s="165"/>
      <c r="E2249" s="165"/>
      <c r="K2249" s="12"/>
      <c r="L2249" s="12"/>
      <c r="M2249" s="12"/>
      <c r="N2249" s="12"/>
    </row>
    <row r="2250" spans="3:14" ht="12.75">
      <c r="C2250" s="165"/>
      <c r="D2250" s="165"/>
      <c r="E2250" s="165"/>
      <c r="K2250" s="12"/>
      <c r="L2250" s="12"/>
      <c r="M2250" s="12"/>
      <c r="N2250" s="12"/>
    </row>
    <row r="2251" spans="3:14" ht="12.75">
      <c r="C2251" s="165"/>
      <c r="D2251" s="165"/>
      <c r="E2251" s="165"/>
      <c r="K2251" s="12"/>
      <c r="L2251" s="12"/>
      <c r="M2251" s="12"/>
      <c r="N2251" s="12"/>
    </row>
    <row r="2252" spans="3:14" ht="12.75">
      <c r="C2252" s="165"/>
      <c r="D2252" s="165"/>
      <c r="E2252" s="165"/>
      <c r="K2252" s="12"/>
      <c r="L2252" s="12"/>
      <c r="M2252" s="12"/>
      <c r="N2252" s="12"/>
    </row>
    <row r="2253" spans="3:14" ht="12.75">
      <c r="C2253" s="165"/>
      <c r="D2253" s="165"/>
      <c r="E2253" s="165"/>
      <c r="K2253" s="12"/>
      <c r="L2253" s="12"/>
      <c r="M2253" s="12"/>
      <c r="N2253" s="12"/>
    </row>
    <row r="2254" spans="3:14" ht="12.75">
      <c r="C2254" s="165"/>
      <c r="D2254" s="165"/>
      <c r="E2254" s="165"/>
      <c r="K2254" s="12"/>
      <c r="L2254" s="12"/>
      <c r="M2254" s="12"/>
      <c r="N2254" s="12"/>
    </row>
    <row r="2255" spans="3:14" ht="12.75">
      <c r="C2255" s="165"/>
      <c r="D2255" s="165"/>
      <c r="E2255" s="165"/>
      <c r="K2255" s="12"/>
      <c r="L2255" s="12"/>
      <c r="M2255" s="12"/>
      <c r="N2255" s="12"/>
    </row>
    <row r="2256" spans="3:14" ht="12.75">
      <c r="C2256" s="165"/>
      <c r="D2256" s="165"/>
      <c r="E2256" s="165"/>
      <c r="K2256" s="12"/>
      <c r="L2256" s="12"/>
      <c r="M2256" s="12"/>
      <c r="N2256" s="12"/>
    </row>
    <row r="2257" spans="3:14" ht="12.75">
      <c r="C2257" s="165"/>
      <c r="D2257" s="165"/>
      <c r="E2257" s="165"/>
      <c r="K2257" s="12"/>
      <c r="L2257" s="12"/>
      <c r="M2257" s="12"/>
      <c r="N2257" s="12"/>
    </row>
    <row r="2258" spans="3:14" ht="12.75">
      <c r="C2258" s="165"/>
      <c r="D2258" s="165"/>
      <c r="E2258" s="165"/>
      <c r="K2258" s="12"/>
      <c r="L2258" s="12"/>
      <c r="M2258" s="12"/>
      <c r="N2258" s="12"/>
    </row>
    <row r="2259" spans="3:14" ht="12.75">
      <c r="C2259" s="165"/>
      <c r="D2259" s="165"/>
      <c r="E2259" s="165"/>
      <c r="K2259" s="12"/>
      <c r="L2259" s="12"/>
      <c r="M2259" s="12"/>
      <c r="N2259" s="12"/>
    </row>
    <row r="2260" spans="3:14" ht="12.75">
      <c r="C2260" s="165"/>
      <c r="D2260" s="165"/>
      <c r="E2260" s="165"/>
      <c r="K2260" s="12"/>
      <c r="L2260" s="12"/>
      <c r="M2260" s="12"/>
      <c r="N2260" s="12"/>
    </row>
    <row r="2261" spans="3:14" ht="12.75">
      <c r="C2261" s="165"/>
      <c r="D2261" s="165"/>
      <c r="E2261" s="165"/>
      <c r="K2261" s="12"/>
      <c r="L2261" s="12"/>
      <c r="M2261" s="12"/>
      <c r="N2261" s="12"/>
    </row>
    <row r="2262" spans="3:14" ht="12.75">
      <c r="C2262" s="165"/>
      <c r="D2262" s="165"/>
      <c r="E2262" s="165"/>
      <c r="K2262" s="12"/>
      <c r="L2262" s="12"/>
      <c r="M2262" s="12"/>
      <c r="N2262" s="12"/>
    </row>
    <row r="2263" spans="3:14" ht="12.75">
      <c r="C2263" s="165"/>
      <c r="D2263" s="165"/>
      <c r="E2263" s="165"/>
      <c r="K2263" s="12"/>
      <c r="L2263" s="12"/>
      <c r="M2263" s="12"/>
      <c r="N2263" s="12"/>
    </row>
    <row r="2264" spans="3:14" ht="12.75">
      <c r="C2264" s="165"/>
      <c r="D2264" s="165"/>
      <c r="E2264" s="165"/>
      <c r="K2264" s="12"/>
      <c r="L2264" s="12"/>
      <c r="M2264" s="12"/>
      <c r="N2264" s="12"/>
    </row>
    <row r="2265" spans="3:14" ht="12.75">
      <c r="C2265" s="165"/>
      <c r="D2265" s="165"/>
      <c r="E2265" s="165"/>
      <c r="K2265" s="12"/>
      <c r="L2265" s="12"/>
      <c r="M2265" s="12"/>
      <c r="N2265" s="12"/>
    </row>
    <row r="2266" spans="3:14" ht="12.75">
      <c r="C2266" s="165"/>
      <c r="D2266" s="165"/>
      <c r="E2266" s="165"/>
      <c r="K2266" s="12"/>
      <c r="L2266" s="12"/>
      <c r="M2266" s="12"/>
      <c r="N2266" s="12"/>
    </row>
    <row r="2267" spans="3:14" ht="12.75">
      <c r="C2267" s="165"/>
      <c r="D2267" s="165"/>
      <c r="E2267" s="165"/>
      <c r="K2267" s="12"/>
      <c r="L2267" s="12"/>
      <c r="M2267" s="12"/>
      <c r="N2267" s="12"/>
    </row>
    <row r="2268" spans="3:14" ht="12.75">
      <c r="C2268" s="165"/>
      <c r="D2268" s="165"/>
      <c r="E2268" s="165"/>
      <c r="K2268" s="12"/>
      <c r="L2268" s="12"/>
      <c r="M2268" s="12"/>
      <c r="N2268" s="12"/>
    </row>
    <row r="2269" spans="3:14" ht="12.75">
      <c r="C2269" s="165"/>
      <c r="D2269" s="165"/>
      <c r="E2269" s="165"/>
      <c r="K2269" s="12"/>
      <c r="L2269" s="12"/>
      <c r="M2269" s="12"/>
      <c r="N2269" s="12"/>
    </row>
    <row r="2270" spans="3:14" ht="12.75">
      <c r="C2270" s="165"/>
      <c r="D2270" s="165"/>
      <c r="E2270" s="165"/>
      <c r="K2270" s="12"/>
      <c r="L2270" s="12"/>
      <c r="M2270" s="12"/>
      <c r="N2270" s="12"/>
    </row>
    <row r="2271" spans="3:14" ht="12.75">
      <c r="C2271" s="165"/>
      <c r="D2271" s="165"/>
      <c r="E2271" s="165"/>
      <c r="K2271" s="12"/>
      <c r="L2271" s="12"/>
      <c r="M2271" s="12"/>
      <c r="N2271" s="12"/>
    </row>
    <row r="2272" spans="3:14" ht="12.75">
      <c r="C2272" s="165"/>
      <c r="D2272" s="165"/>
      <c r="E2272" s="165"/>
      <c r="K2272" s="12"/>
      <c r="L2272" s="12"/>
      <c r="M2272" s="12"/>
      <c r="N2272" s="12"/>
    </row>
    <row r="2273" spans="3:14" ht="12.75">
      <c r="C2273" s="165"/>
      <c r="D2273" s="165"/>
      <c r="E2273" s="165"/>
      <c r="K2273" s="12"/>
      <c r="L2273" s="12"/>
      <c r="M2273" s="12"/>
      <c r="N2273" s="12"/>
    </row>
    <row r="2274" spans="3:14" ht="12.75">
      <c r="C2274" s="165"/>
      <c r="D2274" s="165"/>
      <c r="E2274" s="165"/>
      <c r="K2274" s="12"/>
      <c r="L2274" s="12"/>
      <c r="M2274" s="12"/>
      <c r="N2274" s="12"/>
    </row>
    <row r="2275" spans="3:14" ht="12.75">
      <c r="C2275" s="165"/>
      <c r="D2275" s="165"/>
      <c r="E2275" s="165"/>
      <c r="K2275" s="12"/>
      <c r="L2275" s="12"/>
      <c r="M2275" s="12"/>
      <c r="N2275" s="12"/>
    </row>
    <row r="2276" spans="3:14" ht="12.75">
      <c r="C2276" s="165"/>
      <c r="D2276" s="165"/>
      <c r="E2276" s="165"/>
      <c r="K2276" s="12"/>
      <c r="L2276" s="12"/>
      <c r="M2276" s="12"/>
      <c r="N2276" s="12"/>
    </row>
    <row r="2277" spans="3:14" ht="12.75">
      <c r="C2277" s="165"/>
      <c r="D2277" s="165"/>
      <c r="E2277" s="165"/>
      <c r="K2277" s="12"/>
      <c r="L2277" s="12"/>
      <c r="M2277" s="12"/>
      <c r="N2277" s="12"/>
    </row>
    <row r="2278" spans="3:14" ht="12.75">
      <c r="C2278" s="165"/>
      <c r="D2278" s="165"/>
      <c r="E2278" s="165"/>
      <c r="K2278" s="12"/>
      <c r="L2278" s="12"/>
      <c r="M2278" s="12"/>
      <c r="N2278" s="12"/>
    </row>
    <row r="2279" spans="3:14" ht="12.75">
      <c r="C2279" s="165"/>
      <c r="D2279" s="165"/>
      <c r="E2279" s="165"/>
      <c r="K2279" s="12"/>
      <c r="L2279" s="12"/>
      <c r="M2279" s="12"/>
      <c r="N2279" s="12"/>
    </row>
    <row r="2280" spans="3:14" ht="12.75">
      <c r="C2280" s="165"/>
      <c r="D2280" s="165"/>
      <c r="E2280" s="165"/>
      <c r="K2280" s="12"/>
      <c r="L2280" s="12"/>
      <c r="M2280" s="12"/>
      <c r="N2280" s="12"/>
    </row>
    <row r="2281" spans="3:14" ht="12.75">
      <c r="C2281" s="165"/>
      <c r="D2281" s="165"/>
      <c r="E2281" s="165"/>
      <c r="K2281" s="12"/>
      <c r="L2281" s="12"/>
      <c r="M2281" s="12"/>
      <c r="N2281" s="12"/>
    </row>
    <row r="2282" spans="3:14" ht="12.75">
      <c r="C2282" s="165"/>
      <c r="D2282" s="165"/>
      <c r="E2282" s="165"/>
      <c r="K2282" s="12"/>
      <c r="L2282" s="12"/>
      <c r="M2282" s="12"/>
      <c r="N2282" s="12"/>
    </row>
    <row r="2283" spans="3:14" ht="12.75">
      <c r="C2283" s="165"/>
      <c r="D2283" s="165"/>
      <c r="E2283" s="165"/>
      <c r="K2283" s="12"/>
      <c r="L2283" s="12"/>
      <c r="M2283" s="12"/>
      <c r="N2283" s="12"/>
    </row>
    <row r="2284" spans="3:14" ht="12.75">
      <c r="C2284" s="165"/>
      <c r="D2284" s="165"/>
      <c r="E2284" s="165"/>
      <c r="K2284" s="12"/>
      <c r="L2284" s="12"/>
      <c r="M2284" s="12"/>
      <c r="N2284" s="12"/>
    </row>
    <row r="2285" spans="3:14" ht="12.75">
      <c r="C2285" s="165"/>
      <c r="D2285" s="165"/>
      <c r="E2285" s="165"/>
      <c r="K2285" s="12"/>
      <c r="L2285" s="12"/>
      <c r="M2285" s="12"/>
      <c r="N2285" s="12"/>
    </row>
    <row r="2286" spans="3:14" ht="12.75">
      <c r="C2286" s="165"/>
      <c r="D2286" s="165"/>
      <c r="E2286" s="165"/>
      <c r="K2286" s="12"/>
      <c r="L2286" s="12"/>
      <c r="M2286" s="12"/>
      <c r="N2286" s="12"/>
    </row>
    <row r="2287" spans="3:14" ht="12.75">
      <c r="C2287" s="165"/>
      <c r="D2287" s="165"/>
      <c r="E2287" s="165"/>
      <c r="K2287" s="12"/>
      <c r="L2287" s="12"/>
      <c r="M2287" s="12"/>
      <c r="N2287" s="12"/>
    </row>
    <row r="2288" spans="3:14" ht="12.75">
      <c r="C2288" s="165"/>
      <c r="D2288" s="165"/>
      <c r="E2288" s="165"/>
      <c r="K2288" s="12"/>
      <c r="L2288" s="12"/>
      <c r="M2288" s="12"/>
      <c r="N2288" s="12"/>
    </row>
    <row r="2289" spans="3:14" ht="12.75">
      <c r="C2289" s="165"/>
      <c r="D2289" s="165"/>
      <c r="E2289" s="165"/>
      <c r="K2289" s="12"/>
      <c r="L2289" s="12"/>
      <c r="M2289" s="12"/>
      <c r="N2289" s="12"/>
    </row>
    <row r="2290" spans="3:14" ht="12.75">
      <c r="C2290" s="165"/>
      <c r="D2290" s="165"/>
      <c r="E2290" s="165"/>
      <c r="K2290" s="12"/>
      <c r="L2290" s="12"/>
      <c r="M2290" s="12"/>
      <c r="N2290" s="12"/>
    </row>
    <row r="2291" spans="3:14" ht="12.75">
      <c r="C2291" s="165"/>
      <c r="D2291" s="165"/>
      <c r="E2291" s="165"/>
      <c r="K2291" s="12"/>
      <c r="L2291" s="12"/>
      <c r="M2291" s="12"/>
      <c r="N2291" s="12"/>
    </row>
    <row r="2292" spans="3:14" ht="12.75">
      <c r="C2292" s="165"/>
      <c r="D2292" s="165"/>
      <c r="E2292" s="165"/>
      <c r="K2292" s="12"/>
      <c r="L2292" s="12"/>
      <c r="M2292" s="12"/>
      <c r="N2292" s="12"/>
    </row>
    <row r="2293" spans="3:14" ht="12.75">
      <c r="C2293" s="165"/>
      <c r="D2293" s="165"/>
      <c r="E2293" s="165"/>
      <c r="K2293" s="12"/>
      <c r="L2293" s="12"/>
      <c r="M2293" s="12"/>
      <c r="N2293" s="12"/>
    </row>
    <row r="2294" spans="3:14" ht="12.75">
      <c r="C2294" s="165"/>
      <c r="D2294" s="165"/>
      <c r="E2294" s="165"/>
      <c r="K2294" s="12"/>
      <c r="L2294" s="12"/>
      <c r="M2294" s="12"/>
      <c r="N2294" s="12"/>
    </row>
    <row r="2295" spans="3:14" ht="12.75">
      <c r="C2295" s="165"/>
      <c r="D2295" s="165"/>
      <c r="E2295" s="165"/>
      <c r="K2295" s="12"/>
      <c r="L2295" s="12"/>
      <c r="M2295" s="12"/>
      <c r="N2295" s="12"/>
    </row>
    <row r="2296" spans="3:14" ht="12.75">
      <c r="C2296" s="165"/>
      <c r="D2296" s="165"/>
      <c r="E2296" s="165"/>
      <c r="K2296" s="12"/>
      <c r="L2296" s="12"/>
      <c r="M2296" s="12"/>
      <c r="N2296" s="12"/>
    </row>
    <row r="2297" spans="3:14" ht="12.75">
      <c r="C2297" s="165"/>
      <c r="D2297" s="165"/>
      <c r="E2297" s="165"/>
      <c r="K2297" s="12"/>
      <c r="L2297" s="12"/>
      <c r="M2297" s="12"/>
      <c r="N2297" s="12"/>
    </row>
    <row r="2298" spans="3:14" ht="12.75">
      <c r="C2298" s="165"/>
      <c r="D2298" s="165"/>
      <c r="E2298" s="165"/>
      <c r="K2298" s="12"/>
      <c r="L2298" s="12"/>
      <c r="M2298" s="12"/>
      <c r="N2298" s="12"/>
    </row>
    <row r="2299" spans="3:14" ht="12.75">
      <c r="C2299" s="165"/>
      <c r="D2299" s="165"/>
      <c r="E2299" s="165"/>
      <c r="K2299" s="12"/>
      <c r="L2299" s="12"/>
      <c r="M2299" s="12"/>
      <c r="N2299" s="12"/>
    </row>
    <row r="2300" spans="3:14" ht="12.75">
      <c r="C2300" s="165"/>
      <c r="D2300" s="165"/>
      <c r="E2300" s="165"/>
      <c r="K2300" s="12"/>
      <c r="L2300" s="12"/>
      <c r="M2300" s="12"/>
      <c r="N2300" s="12"/>
    </row>
    <row r="2301" spans="3:14" ht="12.75">
      <c r="C2301" s="165"/>
      <c r="D2301" s="165"/>
      <c r="E2301" s="165"/>
      <c r="K2301" s="12"/>
      <c r="L2301" s="12"/>
      <c r="M2301" s="12"/>
      <c r="N2301" s="12"/>
    </row>
    <row r="2302" spans="3:14" ht="12.75">
      <c r="C2302" s="165"/>
      <c r="D2302" s="165"/>
      <c r="E2302" s="165"/>
      <c r="K2302" s="12"/>
      <c r="L2302" s="12"/>
      <c r="M2302" s="12"/>
      <c r="N2302" s="12"/>
    </row>
    <row r="2303" spans="3:14" ht="12.75">
      <c r="C2303" s="165"/>
      <c r="D2303" s="165"/>
      <c r="E2303" s="165"/>
      <c r="K2303" s="12"/>
      <c r="L2303" s="12"/>
      <c r="M2303" s="12"/>
      <c r="N2303" s="12"/>
    </row>
    <row r="2304" spans="3:14" ht="12.75">
      <c r="C2304" s="165"/>
      <c r="D2304" s="165"/>
      <c r="E2304" s="165"/>
      <c r="K2304" s="12"/>
      <c r="L2304" s="12"/>
      <c r="M2304" s="12"/>
      <c r="N2304" s="12"/>
    </row>
    <row r="2305" spans="3:14" ht="12.75">
      <c r="C2305" s="165"/>
      <c r="D2305" s="165"/>
      <c r="E2305" s="165"/>
      <c r="K2305" s="12"/>
      <c r="L2305" s="12"/>
      <c r="M2305" s="12"/>
      <c r="N2305" s="12"/>
    </row>
    <row r="2306" spans="3:14" ht="12.75">
      <c r="C2306" s="165"/>
      <c r="D2306" s="165"/>
      <c r="E2306" s="165"/>
      <c r="K2306" s="12"/>
      <c r="L2306" s="12"/>
      <c r="M2306" s="12"/>
      <c r="N2306" s="12"/>
    </row>
    <row r="2307" spans="3:14" ht="12.75">
      <c r="C2307" s="165"/>
      <c r="D2307" s="165"/>
      <c r="E2307" s="165"/>
      <c r="K2307" s="12"/>
      <c r="L2307" s="12"/>
      <c r="M2307" s="12"/>
      <c r="N2307" s="12"/>
    </row>
    <row r="2308" spans="3:14" ht="12.75">
      <c r="C2308" s="165"/>
      <c r="D2308" s="165"/>
      <c r="E2308" s="165"/>
      <c r="K2308" s="12"/>
      <c r="L2308" s="12"/>
      <c r="M2308" s="12"/>
      <c r="N2308" s="12"/>
    </row>
    <row r="2309" spans="3:14" ht="12.75">
      <c r="C2309" s="165"/>
      <c r="D2309" s="165"/>
      <c r="E2309" s="165"/>
      <c r="K2309" s="12"/>
      <c r="L2309" s="12"/>
      <c r="M2309" s="12"/>
      <c r="N2309" s="12"/>
    </row>
    <row r="2310" spans="3:14" ht="12.75">
      <c r="C2310" s="165"/>
      <c r="D2310" s="165"/>
      <c r="E2310" s="165"/>
      <c r="K2310" s="12"/>
      <c r="L2310" s="12"/>
      <c r="M2310" s="12"/>
      <c r="N2310" s="12"/>
    </row>
    <row r="2311" spans="3:14" ht="12.75">
      <c r="C2311" s="165"/>
      <c r="D2311" s="165"/>
      <c r="E2311" s="165"/>
      <c r="K2311" s="12"/>
      <c r="L2311" s="12"/>
      <c r="M2311" s="12"/>
      <c r="N2311" s="12"/>
    </row>
    <row r="2312" spans="3:14" ht="12.75">
      <c r="C2312" s="165"/>
      <c r="D2312" s="165"/>
      <c r="E2312" s="165"/>
      <c r="K2312" s="12"/>
      <c r="L2312" s="12"/>
      <c r="M2312" s="12"/>
      <c r="N2312" s="12"/>
    </row>
    <row r="2313" spans="3:14" ht="12.75">
      <c r="C2313" s="165"/>
      <c r="D2313" s="165"/>
      <c r="E2313" s="165"/>
      <c r="K2313" s="12"/>
      <c r="L2313" s="12"/>
      <c r="M2313" s="12"/>
      <c r="N2313" s="12"/>
    </row>
    <row r="2314" spans="3:14" ht="12.75">
      <c r="C2314" s="165"/>
      <c r="D2314" s="165"/>
      <c r="E2314" s="165"/>
      <c r="K2314" s="12"/>
      <c r="L2314" s="12"/>
      <c r="M2314" s="12"/>
      <c r="N2314" s="12"/>
    </row>
    <row r="2315" spans="3:14" ht="12.75">
      <c r="C2315" s="165"/>
      <c r="D2315" s="165"/>
      <c r="E2315" s="165"/>
      <c r="K2315" s="12"/>
      <c r="L2315" s="12"/>
      <c r="M2315" s="12"/>
      <c r="N2315" s="12"/>
    </row>
    <row r="2316" spans="3:14" ht="12.75">
      <c r="C2316" s="165"/>
      <c r="D2316" s="165"/>
      <c r="E2316" s="165"/>
      <c r="K2316" s="12"/>
      <c r="L2316" s="12"/>
      <c r="M2316" s="12"/>
      <c r="N2316" s="12"/>
    </row>
    <row r="2317" spans="3:14" ht="12.75">
      <c r="C2317" s="165"/>
      <c r="D2317" s="165"/>
      <c r="E2317" s="165"/>
      <c r="K2317" s="12"/>
      <c r="L2317" s="12"/>
      <c r="M2317" s="12"/>
      <c r="N2317" s="12"/>
    </row>
    <row r="2318" spans="3:14" ht="12.75">
      <c r="C2318" s="165"/>
      <c r="D2318" s="165"/>
      <c r="E2318" s="165"/>
      <c r="K2318" s="12"/>
      <c r="L2318" s="12"/>
      <c r="M2318" s="12"/>
      <c r="N2318" s="12"/>
    </row>
    <row r="2319" spans="3:14" ht="12.75">
      <c r="C2319" s="165"/>
      <c r="D2319" s="165"/>
      <c r="E2319" s="165"/>
      <c r="K2319" s="12"/>
      <c r="L2319" s="12"/>
      <c r="M2319" s="12"/>
      <c r="N2319" s="12"/>
    </row>
    <row r="2320" spans="3:14" ht="12.75">
      <c r="C2320" s="165"/>
      <c r="D2320" s="165"/>
      <c r="E2320" s="165"/>
      <c r="K2320" s="12"/>
      <c r="L2320" s="12"/>
      <c r="M2320" s="12"/>
      <c r="N2320" s="12"/>
    </row>
    <row r="2321" spans="3:14" ht="12.75">
      <c r="C2321" s="165"/>
      <c r="D2321" s="165"/>
      <c r="E2321" s="165"/>
      <c r="K2321" s="12"/>
      <c r="L2321" s="12"/>
      <c r="M2321" s="12"/>
      <c r="N2321" s="12"/>
    </row>
    <row r="2322" spans="3:14" ht="12.75">
      <c r="C2322" s="165"/>
      <c r="D2322" s="165"/>
      <c r="E2322" s="165"/>
      <c r="K2322" s="12"/>
      <c r="L2322" s="12"/>
      <c r="M2322" s="12"/>
      <c r="N2322" s="12"/>
    </row>
    <row r="2323" spans="3:14" ht="12.75">
      <c r="C2323" s="165"/>
      <c r="D2323" s="165"/>
      <c r="E2323" s="165"/>
      <c r="K2323" s="12"/>
      <c r="L2323" s="12"/>
      <c r="M2323" s="12"/>
      <c r="N2323" s="12"/>
    </row>
    <row r="2324" spans="3:14" ht="12.75">
      <c r="C2324" s="165"/>
      <c r="D2324" s="165"/>
      <c r="E2324" s="165"/>
      <c r="K2324" s="12"/>
      <c r="L2324" s="12"/>
      <c r="M2324" s="12"/>
      <c r="N2324" s="12"/>
    </row>
    <row r="2325" spans="3:14" ht="12.75">
      <c r="C2325" s="165"/>
      <c r="D2325" s="165"/>
      <c r="E2325" s="165"/>
      <c r="K2325" s="12"/>
      <c r="L2325" s="12"/>
      <c r="M2325" s="12"/>
      <c r="N2325" s="12"/>
    </row>
    <row r="2326" spans="3:14" ht="12.75">
      <c r="C2326" s="165"/>
      <c r="D2326" s="165"/>
      <c r="E2326" s="165"/>
      <c r="K2326" s="12"/>
      <c r="L2326" s="12"/>
      <c r="M2326" s="12"/>
      <c r="N2326" s="12"/>
    </row>
    <row r="2327" spans="3:14" ht="12.75">
      <c r="C2327" s="165"/>
      <c r="D2327" s="165"/>
      <c r="E2327" s="165"/>
      <c r="K2327" s="12"/>
      <c r="L2327" s="12"/>
      <c r="M2327" s="12"/>
      <c r="N2327" s="12"/>
    </row>
    <row r="2328" spans="3:14" ht="12.75">
      <c r="C2328" s="165"/>
      <c r="D2328" s="165"/>
      <c r="E2328" s="165"/>
      <c r="K2328" s="12"/>
      <c r="L2328" s="12"/>
      <c r="M2328" s="12"/>
      <c r="N2328" s="12"/>
    </row>
    <row r="2329" spans="3:14" ht="12.75">
      <c r="C2329" s="165"/>
      <c r="D2329" s="165"/>
      <c r="E2329" s="165"/>
      <c r="K2329" s="12"/>
      <c r="L2329" s="12"/>
      <c r="M2329" s="12"/>
      <c r="N2329" s="12"/>
    </row>
    <row r="2330" spans="3:14" ht="12.75">
      <c r="C2330" s="165"/>
      <c r="D2330" s="165"/>
      <c r="E2330" s="165"/>
      <c r="K2330" s="12"/>
      <c r="L2330" s="12"/>
      <c r="M2330" s="12"/>
      <c r="N2330" s="12"/>
    </row>
    <row r="2331" spans="3:14" ht="12.75">
      <c r="C2331" s="165"/>
      <c r="D2331" s="165"/>
      <c r="E2331" s="165"/>
      <c r="K2331" s="12"/>
      <c r="L2331" s="12"/>
      <c r="M2331" s="12"/>
      <c r="N2331" s="12"/>
    </row>
    <row r="2332" spans="3:14" ht="12.75">
      <c r="C2332" s="165"/>
      <c r="D2332" s="165"/>
      <c r="E2332" s="165"/>
      <c r="K2332" s="12"/>
      <c r="L2332" s="12"/>
      <c r="M2332" s="12"/>
      <c r="N2332" s="12"/>
    </row>
    <row r="2333" spans="3:14" ht="12.75">
      <c r="C2333" s="165"/>
      <c r="D2333" s="165"/>
      <c r="E2333" s="165"/>
      <c r="K2333" s="12"/>
      <c r="L2333" s="12"/>
      <c r="M2333" s="12"/>
      <c r="N2333" s="12"/>
    </row>
    <row r="2334" spans="3:14" ht="12.75">
      <c r="C2334" s="165"/>
      <c r="D2334" s="165"/>
      <c r="E2334" s="165"/>
      <c r="K2334" s="12"/>
      <c r="L2334" s="12"/>
      <c r="M2334" s="12"/>
      <c r="N2334" s="12"/>
    </row>
    <row r="2335" spans="3:14" ht="12.75">
      <c r="C2335" s="165"/>
      <c r="D2335" s="165"/>
      <c r="E2335" s="165"/>
      <c r="K2335" s="12"/>
      <c r="L2335" s="12"/>
      <c r="M2335" s="12"/>
      <c r="N2335" s="12"/>
    </row>
    <row r="2336" spans="3:14" ht="12.75">
      <c r="C2336" s="165"/>
      <c r="D2336" s="165"/>
      <c r="E2336" s="165"/>
      <c r="K2336" s="12"/>
      <c r="L2336" s="12"/>
      <c r="M2336" s="12"/>
      <c r="N2336" s="12"/>
    </row>
    <row r="2337" spans="3:14" ht="12.75">
      <c r="C2337" s="165"/>
      <c r="D2337" s="165"/>
      <c r="E2337" s="165"/>
      <c r="K2337" s="12"/>
      <c r="L2337" s="12"/>
      <c r="M2337" s="12"/>
      <c r="N2337" s="12"/>
    </row>
    <row r="2338" spans="3:14" ht="12.75">
      <c r="C2338" s="165"/>
      <c r="D2338" s="165"/>
      <c r="E2338" s="165"/>
      <c r="K2338" s="12"/>
      <c r="L2338" s="12"/>
      <c r="M2338" s="12"/>
      <c r="N2338" s="12"/>
    </row>
    <row r="2339" spans="3:14" ht="12.75">
      <c r="C2339" s="165"/>
      <c r="D2339" s="165"/>
      <c r="E2339" s="165"/>
      <c r="K2339" s="12"/>
      <c r="L2339" s="12"/>
      <c r="M2339" s="12"/>
      <c r="N2339" s="12"/>
    </row>
    <row r="2340" spans="3:14" ht="12.75">
      <c r="C2340" s="165"/>
      <c r="D2340" s="165"/>
      <c r="E2340" s="165"/>
      <c r="K2340" s="12"/>
      <c r="L2340" s="12"/>
      <c r="M2340" s="12"/>
      <c r="N2340" s="12"/>
    </row>
    <row r="2341" spans="3:14" ht="12.75">
      <c r="C2341" s="165"/>
      <c r="D2341" s="165"/>
      <c r="E2341" s="165"/>
      <c r="K2341" s="12"/>
      <c r="L2341" s="12"/>
      <c r="M2341" s="12"/>
      <c r="N2341" s="12"/>
    </row>
    <row r="2342" spans="3:14" ht="12.75">
      <c r="C2342" s="165"/>
      <c r="D2342" s="165"/>
      <c r="E2342" s="165"/>
      <c r="K2342" s="12"/>
      <c r="L2342" s="12"/>
      <c r="M2342" s="12"/>
      <c r="N2342" s="12"/>
    </row>
    <row r="2343" spans="3:14" ht="12.75">
      <c r="C2343" s="165"/>
      <c r="D2343" s="165"/>
      <c r="E2343" s="165"/>
      <c r="K2343" s="12"/>
      <c r="L2343" s="12"/>
      <c r="M2343" s="12"/>
      <c r="N2343" s="12"/>
    </row>
    <row r="2344" spans="3:14" ht="12.75">
      <c r="C2344" s="165"/>
      <c r="D2344" s="165"/>
      <c r="E2344" s="165"/>
      <c r="K2344" s="12"/>
      <c r="L2344" s="12"/>
      <c r="M2344" s="12"/>
      <c r="N2344" s="12"/>
    </row>
    <row r="2345" spans="3:14" ht="12.75">
      <c r="C2345" s="165"/>
      <c r="D2345" s="165"/>
      <c r="E2345" s="165"/>
      <c r="K2345" s="12"/>
      <c r="L2345" s="12"/>
      <c r="M2345" s="12"/>
      <c r="N2345" s="12"/>
    </row>
    <row r="2346" spans="3:14" ht="12.75">
      <c r="C2346" s="165"/>
      <c r="D2346" s="165"/>
      <c r="E2346" s="165"/>
      <c r="K2346" s="12"/>
      <c r="L2346" s="12"/>
      <c r="M2346" s="12"/>
      <c r="N2346" s="12"/>
    </row>
    <row r="2347" spans="3:14" ht="12.75">
      <c r="C2347" s="165"/>
      <c r="D2347" s="165"/>
      <c r="E2347" s="165"/>
      <c r="K2347" s="12"/>
      <c r="L2347" s="12"/>
      <c r="M2347" s="12"/>
      <c r="N2347" s="12"/>
    </row>
    <row r="2348" spans="3:14" ht="12.75">
      <c r="C2348" s="165"/>
      <c r="D2348" s="165"/>
      <c r="E2348" s="165"/>
      <c r="K2348" s="12"/>
      <c r="L2348" s="12"/>
      <c r="M2348" s="12"/>
      <c r="N2348" s="12"/>
    </row>
    <row r="2349" spans="3:14" ht="12.75">
      <c r="C2349" s="165"/>
      <c r="D2349" s="165"/>
      <c r="E2349" s="165"/>
      <c r="K2349" s="12"/>
      <c r="L2349" s="12"/>
      <c r="M2349" s="12"/>
      <c r="N2349" s="12"/>
    </row>
    <row r="2350" spans="3:14" ht="12.75">
      <c r="C2350" s="165"/>
      <c r="D2350" s="165"/>
      <c r="E2350" s="165"/>
      <c r="K2350" s="12"/>
      <c r="L2350" s="12"/>
      <c r="M2350" s="12"/>
      <c r="N2350" s="12"/>
    </row>
    <row r="2351" spans="3:14" ht="12.75">
      <c r="C2351" s="165"/>
      <c r="D2351" s="165"/>
      <c r="E2351" s="165"/>
      <c r="K2351" s="12"/>
      <c r="L2351" s="12"/>
      <c r="M2351" s="12"/>
      <c r="N2351" s="12"/>
    </row>
    <row r="2352" spans="3:14" ht="12.75">
      <c r="C2352" s="165"/>
      <c r="D2352" s="165"/>
      <c r="E2352" s="165"/>
      <c r="K2352" s="12"/>
      <c r="L2352" s="12"/>
      <c r="M2352" s="12"/>
      <c r="N2352" s="12"/>
    </row>
    <row r="2353" spans="3:14" ht="12.75">
      <c r="C2353" s="165"/>
      <c r="D2353" s="165"/>
      <c r="E2353" s="165"/>
      <c r="K2353" s="12"/>
      <c r="L2353" s="12"/>
      <c r="M2353" s="12"/>
      <c r="N2353" s="12"/>
    </row>
    <row r="2354" spans="3:14" ht="12.75">
      <c r="C2354" s="165"/>
      <c r="D2354" s="165"/>
      <c r="E2354" s="165"/>
      <c r="K2354" s="12"/>
      <c r="L2354" s="12"/>
      <c r="M2354" s="12"/>
      <c r="N2354" s="12"/>
    </row>
    <row r="2355" spans="3:14" ht="12.75">
      <c r="C2355" s="165"/>
      <c r="D2355" s="165"/>
      <c r="E2355" s="165"/>
      <c r="K2355" s="12"/>
      <c r="L2355" s="12"/>
      <c r="M2355" s="12"/>
      <c r="N2355" s="12"/>
    </row>
    <row r="2356" spans="3:14" ht="12.75">
      <c r="C2356" s="165"/>
      <c r="D2356" s="165"/>
      <c r="E2356" s="165"/>
      <c r="K2356" s="12"/>
      <c r="L2356" s="12"/>
      <c r="M2356" s="12"/>
      <c r="N2356" s="12"/>
    </row>
    <row r="2357" spans="3:14" ht="12.75">
      <c r="C2357" s="165"/>
      <c r="D2357" s="165"/>
      <c r="E2357" s="165"/>
      <c r="K2357" s="12"/>
      <c r="L2357" s="12"/>
      <c r="M2357" s="12"/>
      <c r="N2357" s="12"/>
    </row>
    <row r="2358" spans="3:14" ht="12.75">
      <c r="C2358" s="165"/>
      <c r="D2358" s="165"/>
      <c r="E2358" s="165"/>
      <c r="K2358" s="12"/>
      <c r="L2358" s="12"/>
      <c r="M2358" s="12"/>
      <c r="N2358" s="12"/>
    </row>
    <row r="2359" spans="3:14" ht="12.75">
      <c r="C2359" s="165"/>
      <c r="D2359" s="165"/>
      <c r="E2359" s="165"/>
      <c r="K2359" s="12"/>
      <c r="L2359" s="12"/>
      <c r="M2359" s="12"/>
      <c r="N2359" s="12"/>
    </row>
    <row r="2360" spans="3:14" ht="12.75">
      <c r="C2360" s="165"/>
      <c r="D2360" s="165"/>
      <c r="E2360" s="165"/>
      <c r="K2360" s="12"/>
      <c r="L2360" s="12"/>
      <c r="M2360" s="12"/>
      <c r="N2360" s="12"/>
    </row>
    <row r="2361" spans="3:14" ht="12.75">
      <c r="C2361" s="165"/>
      <c r="D2361" s="165"/>
      <c r="E2361" s="165"/>
      <c r="K2361" s="12"/>
      <c r="L2361" s="12"/>
      <c r="M2361" s="12"/>
      <c r="N2361" s="12"/>
    </row>
    <row r="2362" spans="3:14" ht="12.75">
      <c r="C2362" s="165"/>
      <c r="D2362" s="165"/>
      <c r="E2362" s="165"/>
      <c r="K2362" s="12"/>
      <c r="L2362" s="12"/>
      <c r="M2362" s="12"/>
      <c r="N2362" s="12"/>
    </row>
    <row r="2363" spans="3:14" ht="12.75">
      <c r="C2363" s="165"/>
      <c r="D2363" s="165"/>
      <c r="E2363" s="165"/>
      <c r="K2363" s="12"/>
      <c r="L2363" s="12"/>
      <c r="M2363" s="12"/>
      <c r="N2363" s="12"/>
    </row>
    <row r="2364" spans="3:14" ht="12.75">
      <c r="C2364" s="165"/>
      <c r="D2364" s="165"/>
      <c r="E2364" s="165"/>
      <c r="K2364" s="12"/>
      <c r="L2364" s="12"/>
      <c r="M2364" s="12"/>
      <c r="N2364" s="12"/>
    </row>
    <row r="2365" spans="3:14" ht="12.75">
      <c r="C2365" s="165"/>
      <c r="D2365" s="165"/>
      <c r="E2365" s="165"/>
      <c r="K2365" s="12"/>
      <c r="L2365" s="12"/>
      <c r="M2365" s="12"/>
      <c r="N2365" s="12"/>
    </row>
    <row r="2366" spans="3:14" ht="12.75">
      <c r="C2366" s="165"/>
      <c r="D2366" s="165"/>
      <c r="E2366" s="165"/>
      <c r="K2366" s="12"/>
      <c r="L2366" s="12"/>
      <c r="M2366" s="12"/>
      <c r="N2366" s="12"/>
    </row>
    <row r="2367" spans="3:14" ht="12.75">
      <c r="C2367" s="165"/>
      <c r="D2367" s="165"/>
      <c r="E2367" s="165"/>
      <c r="K2367" s="12"/>
      <c r="L2367" s="12"/>
      <c r="M2367" s="12"/>
      <c r="N2367" s="12"/>
    </row>
    <row r="2368" spans="3:14" ht="12.75">
      <c r="C2368" s="165"/>
      <c r="D2368" s="165"/>
      <c r="E2368" s="165"/>
      <c r="K2368" s="12"/>
      <c r="L2368" s="12"/>
      <c r="M2368" s="12"/>
      <c r="N2368" s="12"/>
    </row>
    <row r="2369" spans="3:14" ht="12.75">
      <c r="C2369" s="165"/>
      <c r="D2369" s="165"/>
      <c r="E2369" s="165"/>
      <c r="K2369" s="12"/>
      <c r="L2369" s="12"/>
      <c r="M2369" s="12"/>
      <c r="N2369" s="12"/>
    </row>
    <row r="2370" spans="3:14" ht="12.75">
      <c r="C2370" s="165"/>
      <c r="D2370" s="165"/>
      <c r="E2370" s="165"/>
      <c r="K2370" s="12"/>
      <c r="L2370" s="12"/>
      <c r="M2370" s="12"/>
      <c r="N2370" s="12"/>
    </row>
    <row r="2371" spans="3:14" ht="12.75">
      <c r="C2371" s="165"/>
      <c r="D2371" s="165"/>
      <c r="E2371" s="165"/>
      <c r="K2371" s="12"/>
      <c r="L2371" s="12"/>
      <c r="M2371" s="12"/>
      <c r="N2371" s="12"/>
    </row>
    <row r="2372" spans="3:14" ht="12.75">
      <c r="C2372" s="165"/>
      <c r="D2372" s="165"/>
      <c r="E2372" s="165"/>
      <c r="K2372" s="12"/>
      <c r="L2372" s="12"/>
      <c r="M2372" s="12"/>
      <c r="N2372" s="12"/>
    </row>
    <row r="2373" spans="3:14" ht="12.75">
      <c r="C2373" s="165"/>
      <c r="D2373" s="165"/>
      <c r="E2373" s="165"/>
      <c r="K2373" s="12"/>
      <c r="L2373" s="12"/>
      <c r="M2373" s="12"/>
      <c r="N2373" s="12"/>
    </row>
    <row r="2374" spans="3:14" ht="12.75">
      <c r="C2374" s="165"/>
      <c r="D2374" s="165"/>
      <c r="E2374" s="165"/>
      <c r="K2374" s="12"/>
      <c r="L2374" s="12"/>
      <c r="M2374" s="12"/>
      <c r="N2374" s="12"/>
    </row>
    <row r="2375" spans="3:14" ht="12.75">
      <c r="C2375" s="165"/>
      <c r="D2375" s="165"/>
      <c r="E2375" s="165"/>
      <c r="K2375" s="12"/>
      <c r="L2375" s="12"/>
      <c r="M2375" s="12"/>
      <c r="N2375" s="12"/>
    </row>
    <row r="2376" spans="3:14" ht="12.75">
      <c r="C2376" s="165"/>
      <c r="D2376" s="165"/>
      <c r="E2376" s="165"/>
      <c r="K2376" s="12"/>
      <c r="L2376" s="12"/>
      <c r="M2376" s="12"/>
      <c r="N2376" s="12"/>
    </row>
    <row r="2377" spans="3:14" ht="12.75">
      <c r="C2377" s="165"/>
      <c r="D2377" s="165"/>
      <c r="E2377" s="165"/>
      <c r="K2377" s="12"/>
      <c r="L2377" s="12"/>
      <c r="M2377" s="12"/>
      <c r="N2377" s="12"/>
    </row>
    <row r="2378" spans="3:14" ht="12.75">
      <c r="C2378" s="165"/>
      <c r="D2378" s="165"/>
      <c r="E2378" s="165"/>
      <c r="K2378" s="12"/>
      <c r="L2378" s="12"/>
      <c r="M2378" s="12"/>
      <c r="N2378" s="12"/>
    </row>
    <row r="2379" spans="3:14" ht="12.75">
      <c r="C2379" s="165"/>
      <c r="D2379" s="165"/>
      <c r="E2379" s="165"/>
      <c r="K2379" s="12"/>
      <c r="L2379" s="12"/>
      <c r="M2379" s="12"/>
      <c r="N2379" s="12"/>
    </row>
    <row r="2380" spans="3:14" ht="12.75">
      <c r="C2380" s="165"/>
      <c r="D2380" s="165"/>
      <c r="E2380" s="165"/>
      <c r="K2380" s="12"/>
      <c r="L2380" s="12"/>
      <c r="M2380" s="12"/>
      <c r="N2380" s="12"/>
    </row>
    <row r="2381" spans="3:14" ht="12.75">
      <c r="C2381" s="165"/>
      <c r="D2381" s="165"/>
      <c r="E2381" s="165"/>
      <c r="K2381" s="12"/>
      <c r="L2381" s="12"/>
      <c r="M2381" s="12"/>
      <c r="N2381" s="12"/>
    </row>
    <row r="2382" spans="3:14" ht="12.75">
      <c r="C2382" s="165"/>
      <c r="D2382" s="165"/>
      <c r="E2382" s="165"/>
      <c r="K2382" s="12"/>
      <c r="L2382" s="12"/>
      <c r="M2382" s="12"/>
      <c r="N2382" s="12"/>
    </row>
    <row r="2383" spans="3:14" ht="12.75">
      <c r="C2383" s="165"/>
      <c r="D2383" s="165"/>
      <c r="E2383" s="165"/>
      <c r="K2383" s="12"/>
      <c r="L2383" s="12"/>
      <c r="M2383" s="12"/>
      <c r="N2383" s="12"/>
    </row>
    <row r="2384" spans="3:14" ht="12.75">
      <c r="C2384" s="165"/>
      <c r="D2384" s="165"/>
      <c r="E2384" s="165"/>
      <c r="K2384" s="12"/>
      <c r="L2384" s="12"/>
      <c r="M2384" s="12"/>
      <c r="N2384" s="12"/>
    </row>
    <row r="2385" spans="3:14" ht="12.75">
      <c r="C2385" s="165"/>
      <c r="D2385" s="165"/>
      <c r="E2385" s="165"/>
      <c r="K2385" s="12"/>
      <c r="L2385" s="12"/>
      <c r="M2385" s="12"/>
      <c r="N2385" s="12"/>
    </row>
    <row r="2386" spans="3:14" ht="12.75">
      <c r="C2386" s="165"/>
      <c r="D2386" s="165"/>
      <c r="E2386" s="165"/>
      <c r="K2386" s="12"/>
      <c r="L2386" s="12"/>
      <c r="M2386" s="12"/>
      <c r="N2386" s="12"/>
    </row>
    <row r="2387" spans="3:14" ht="12.75">
      <c r="C2387" s="165"/>
      <c r="D2387" s="165"/>
      <c r="E2387" s="165"/>
      <c r="K2387" s="12"/>
      <c r="L2387" s="12"/>
      <c r="M2387" s="12"/>
      <c r="N2387" s="12"/>
    </row>
    <row r="2388" spans="3:14" ht="12.75">
      <c r="C2388" s="165"/>
      <c r="D2388" s="165"/>
      <c r="E2388" s="165"/>
      <c r="K2388" s="12"/>
      <c r="L2388" s="12"/>
      <c r="M2388" s="12"/>
      <c r="N2388" s="12"/>
    </row>
    <row r="2389" spans="3:14" ht="12.75">
      <c r="C2389" s="165"/>
      <c r="D2389" s="165"/>
      <c r="E2389" s="165"/>
      <c r="K2389" s="12"/>
      <c r="L2389" s="12"/>
      <c r="M2389" s="12"/>
      <c r="N2389" s="12"/>
    </row>
    <row r="2390" spans="3:14" ht="12.75">
      <c r="C2390" s="165"/>
      <c r="D2390" s="165"/>
      <c r="E2390" s="165"/>
      <c r="K2390" s="12"/>
      <c r="L2390" s="12"/>
      <c r="M2390" s="12"/>
      <c r="N2390" s="12"/>
    </row>
    <row r="2391" spans="3:14" ht="12.75">
      <c r="C2391" s="165"/>
      <c r="D2391" s="165"/>
      <c r="E2391" s="165"/>
      <c r="K2391" s="12"/>
      <c r="L2391" s="12"/>
      <c r="M2391" s="12"/>
      <c r="N2391" s="12"/>
    </row>
    <row r="2392" spans="3:14" ht="12.75">
      <c r="C2392" s="165"/>
      <c r="D2392" s="165"/>
      <c r="E2392" s="165"/>
      <c r="K2392" s="12"/>
      <c r="L2392" s="12"/>
      <c r="M2392" s="12"/>
      <c r="N2392" s="12"/>
    </row>
    <row r="2393" spans="3:14" ht="12.75">
      <c r="C2393" s="165"/>
      <c r="D2393" s="165"/>
      <c r="E2393" s="165"/>
      <c r="K2393" s="12"/>
      <c r="L2393" s="12"/>
      <c r="M2393" s="12"/>
      <c r="N2393" s="12"/>
    </row>
    <row r="2394" spans="3:14" ht="12.75">
      <c r="C2394" s="165"/>
      <c r="D2394" s="165"/>
      <c r="E2394" s="165"/>
      <c r="K2394" s="12"/>
      <c r="L2394" s="12"/>
      <c r="M2394" s="12"/>
      <c r="N2394" s="12"/>
    </row>
    <row r="2395" spans="3:14" ht="12.75">
      <c r="C2395" s="165"/>
      <c r="D2395" s="165"/>
      <c r="E2395" s="165"/>
      <c r="K2395" s="12"/>
      <c r="L2395" s="12"/>
      <c r="M2395" s="12"/>
      <c r="N2395" s="12"/>
    </row>
    <row r="2396" spans="3:14" ht="12.75">
      <c r="C2396" s="165"/>
      <c r="D2396" s="165"/>
      <c r="E2396" s="165"/>
      <c r="K2396" s="12"/>
      <c r="L2396" s="12"/>
      <c r="M2396" s="12"/>
      <c r="N2396" s="12"/>
    </row>
    <row r="2397" spans="3:14" ht="12.75">
      <c r="C2397" s="165"/>
      <c r="D2397" s="165"/>
      <c r="E2397" s="165"/>
      <c r="K2397" s="12"/>
      <c r="L2397" s="12"/>
      <c r="M2397" s="12"/>
      <c r="N2397" s="12"/>
    </row>
    <row r="2398" spans="3:14" ht="12.75">
      <c r="C2398" s="165"/>
      <c r="D2398" s="165"/>
      <c r="E2398" s="165"/>
      <c r="K2398" s="12"/>
      <c r="L2398" s="12"/>
      <c r="M2398" s="12"/>
      <c r="N2398" s="12"/>
    </row>
    <row r="2399" spans="3:14" ht="12.75">
      <c r="C2399" s="165"/>
      <c r="D2399" s="165"/>
      <c r="E2399" s="165"/>
      <c r="K2399" s="12"/>
      <c r="L2399" s="12"/>
      <c r="M2399" s="12"/>
      <c r="N2399" s="12"/>
    </row>
    <row r="2400" spans="3:14" ht="12.75">
      <c r="C2400" s="165"/>
      <c r="D2400" s="165"/>
      <c r="E2400" s="165"/>
      <c r="K2400" s="12"/>
      <c r="L2400" s="12"/>
      <c r="M2400" s="12"/>
      <c r="N2400" s="12"/>
    </row>
    <row r="2401" spans="3:14" ht="12.75">
      <c r="C2401" s="165"/>
      <c r="D2401" s="165"/>
      <c r="E2401" s="165"/>
      <c r="K2401" s="12"/>
      <c r="L2401" s="12"/>
      <c r="M2401" s="12"/>
      <c r="N2401" s="12"/>
    </row>
    <row r="2402" spans="3:14" ht="12.75">
      <c r="C2402" s="165"/>
      <c r="D2402" s="165"/>
      <c r="E2402" s="165"/>
      <c r="K2402" s="12"/>
      <c r="L2402" s="12"/>
      <c r="M2402" s="12"/>
      <c r="N2402" s="12"/>
    </row>
    <row r="2403" spans="3:14" ht="12.75">
      <c r="C2403" s="165"/>
      <c r="D2403" s="165"/>
      <c r="E2403" s="165"/>
      <c r="K2403" s="12"/>
      <c r="L2403" s="12"/>
      <c r="M2403" s="12"/>
      <c r="N2403" s="12"/>
    </row>
    <row r="2404" spans="3:14" ht="12.75">
      <c r="C2404" s="165"/>
      <c r="D2404" s="165"/>
      <c r="E2404" s="165"/>
      <c r="K2404" s="12"/>
      <c r="L2404" s="12"/>
      <c r="M2404" s="12"/>
      <c r="N2404" s="12"/>
    </row>
    <row r="2405" spans="3:14" ht="12.75">
      <c r="C2405" s="165"/>
      <c r="D2405" s="165"/>
      <c r="E2405" s="165"/>
      <c r="K2405" s="12"/>
      <c r="L2405" s="12"/>
      <c r="M2405" s="12"/>
      <c r="N2405" s="12"/>
    </row>
    <row r="2406" spans="3:14" ht="12.75">
      <c r="C2406" s="165"/>
      <c r="D2406" s="165"/>
      <c r="E2406" s="165"/>
      <c r="K2406" s="12"/>
      <c r="L2406" s="12"/>
      <c r="M2406" s="12"/>
      <c r="N2406" s="12"/>
    </row>
    <row r="2407" spans="3:14" ht="12.75">
      <c r="C2407" s="165"/>
      <c r="D2407" s="165"/>
      <c r="E2407" s="165"/>
      <c r="K2407" s="12"/>
      <c r="L2407" s="12"/>
      <c r="M2407" s="12"/>
      <c r="N2407" s="12"/>
    </row>
    <row r="2408" spans="3:14" ht="12.75">
      <c r="C2408" s="165"/>
      <c r="D2408" s="165"/>
      <c r="E2408" s="165"/>
      <c r="K2408" s="12"/>
      <c r="L2408" s="12"/>
      <c r="M2408" s="12"/>
      <c r="N2408" s="12"/>
    </row>
    <row r="2409" spans="3:14" ht="12.75">
      <c r="C2409" s="165"/>
      <c r="D2409" s="165"/>
      <c r="E2409" s="165"/>
      <c r="K2409" s="12"/>
      <c r="L2409" s="12"/>
      <c r="M2409" s="12"/>
      <c r="N2409" s="12"/>
    </row>
    <row r="2410" spans="3:14" ht="12.75">
      <c r="C2410" s="165"/>
      <c r="D2410" s="165"/>
      <c r="E2410" s="165"/>
      <c r="K2410" s="12"/>
      <c r="L2410" s="12"/>
      <c r="M2410" s="12"/>
      <c r="N2410" s="12"/>
    </row>
    <row r="2411" spans="3:14" ht="12.75">
      <c r="C2411" s="165"/>
      <c r="D2411" s="165"/>
      <c r="E2411" s="165"/>
      <c r="K2411" s="12"/>
      <c r="L2411" s="12"/>
      <c r="M2411" s="12"/>
      <c r="N2411" s="12"/>
    </row>
    <row r="2412" spans="3:14" ht="12.75">
      <c r="C2412" s="165"/>
      <c r="D2412" s="165"/>
      <c r="E2412" s="165"/>
      <c r="K2412" s="12"/>
      <c r="L2412" s="12"/>
      <c r="M2412" s="12"/>
      <c r="N2412" s="12"/>
    </row>
    <row r="2413" spans="3:14" ht="12.75">
      <c r="C2413" s="165"/>
      <c r="D2413" s="165"/>
      <c r="E2413" s="165"/>
      <c r="K2413" s="12"/>
      <c r="L2413" s="12"/>
      <c r="M2413" s="12"/>
      <c r="N2413" s="12"/>
    </row>
    <row r="2414" spans="3:14" ht="12.75">
      <c r="C2414" s="165"/>
      <c r="D2414" s="165"/>
      <c r="E2414" s="165"/>
      <c r="K2414" s="12"/>
      <c r="L2414" s="12"/>
      <c r="M2414" s="12"/>
      <c r="N2414" s="12"/>
    </row>
    <row r="2415" spans="3:14" ht="12.75">
      <c r="C2415" s="165"/>
      <c r="D2415" s="165"/>
      <c r="E2415" s="165"/>
      <c r="K2415" s="12"/>
      <c r="L2415" s="12"/>
      <c r="M2415" s="12"/>
      <c r="N2415" s="12"/>
    </row>
    <row r="2416" spans="3:14" ht="12.75">
      <c r="C2416" s="165"/>
      <c r="D2416" s="165"/>
      <c r="E2416" s="165"/>
      <c r="K2416" s="12"/>
      <c r="L2416" s="12"/>
      <c r="M2416" s="12"/>
      <c r="N2416" s="12"/>
    </row>
    <row r="2417" spans="3:14" ht="12.75">
      <c r="C2417" s="165"/>
      <c r="D2417" s="165"/>
      <c r="E2417" s="165"/>
      <c r="K2417" s="12"/>
      <c r="L2417" s="12"/>
      <c r="M2417" s="12"/>
      <c r="N2417" s="12"/>
    </row>
    <row r="2418" spans="3:14" ht="12.75">
      <c r="C2418" s="165"/>
      <c r="D2418" s="165"/>
      <c r="E2418" s="165"/>
      <c r="K2418" s="12"/>
      <c r="L2418" s="12"/>
      <c r="M2418" s="12"/>
      <c r="N2418" s="12"/>
    </row>
    <row r="2419" spans="3:14" ht="12.75">
      <c r="C2419" s="165"/>
      <c r="D2419" s="165"/>
      <c r="E2419" s="165"/>
      <c r="K2419" s="12"/>
      <c r="L2419" s="12"/>
      <c r="M2419" s="12"/>
      <c r="N2419" s="12"/>
    </row>
    <row r="2420" spans="3:14" ht="12.75">
      <c r="C2420" s="165"/>
      <c r="D2420" s="165"/>
      <c r="E2420" s="165"/>
      <c r="K2420" s="12"/>
      <c r="L2420" s="12"/>
      <c r="M2420" s="12"/>
      <c r="N2420" s="12"/>
    </row>
    <row r="2421" spans="3:14" ht="12.75">
      <c r="C2421" s="165"/>
      <c r="D2421" s="165"/>
      <c r="E2421" s="165"/>
      <c r="K2421" s="12"/>
      <c r="L2421" s="12"/>
      <c r="M2421" s="12"/>
      <c r="N2421" s="12"/>
    </row>
    <row r="2422" spans="3:14" ht="12.75">
      <c r="C2422" s="165"/>
      <c r="D2422" s="165"/>
      <c r="E2422" s="165"/>
      <c r="K2422" s="12"/>
      <c r="L2422" s="12"/>
      <c r="M2422" s="12"/>
      <c r="N2422" s="12"/>
    </row>
    <row r="2423" spans="3:14" ht="12.75">
      <c r="C2423" s="165"/>
      <c r="D2423" s="165"/>
      <c r="E2423" s="165"/>
      <c r="K2423" s="12"/>
      <c r="L2423" s="12"/>
      <c r="M2423" s="12"/>
      <c r="N2423" s="12"/>
    </row>
    <row r="2424" spans="3:14" ht="12.75">
      <c r="C2424" s="165"/>
      <c r="D2424" s="165"/>
      <c r="E2424" s="165"/>
      <c r="K2424" s="12"/>
      <c r="L2424" s="12"/>
      <c r="M2424" s="12"/>
      <c r="N2424" s="12"/>
    </row>
    <row r="2425" spans="3:14" ht="12.75">
      <c r="C2425" s="165"/>
      <c r="D2425" s="165"/>
      <c r="E2425" s="165"/>
      <c r="K2425" s="12"/>
      <c r="L2425" s="12"/>
      <c r="M2425" s="12"/>
      <c r="N2425" s="12"/>
    </row>
    <row r="2426" spans="3:14" ht="12.75">
      <c r="C2426" s="165"/>
      <c r="D2426" s="165"/>
      <c r="E2426" s="165"/>
      <c r="K2426" s="12"/>
      <c r="L2426" s="12"/>
      <c r="M2426" s="12"/>
      <c r="N2426" s="12"/>
    </row>
    <row r="2427" spans="3:14" ht="12.75">
      <c r="C2427" s="165"/>
      <c r="D2427" s="165"/>
      <c r="E2427" s="165"/>
      <c r="K2427" s="12"/>
      <c r="L2427" s="12"/>
      <c r="M2427" s="12"/>
      <c r="N2427" s="12"/>
    </row>
    <row r="2428" spans="3:14" ht="12.75">
      <c r="C2428" s="165"/>
      <c r="D2428" s="165"/>
      <c r="E2428" s="165"/>
      <c r="K2428" s="12"/>
      <c r="L2428" s="12"/>
      <c r="M2428" s="12"/>
      <c r="N2428" s="12"/>
    </row>
    <row r="2429" spans="3:14" ht="12.75">
      <c r="C2429" s="165"/>
      <c r="D2429" s="165"/>
      <c r="E2429" s="165"/>
      <c r="K2429" s="12"/>
      <c r="L2429" s="12"/>
      <c r="M2429" s="12"/>
      <c r="N2429" s="12"/>
    </row>
    <row r="2430" spans="3:14" ht="12.75">
      <c r="C2430" s="165"/>
      <c r="D2430" s="165"/>
      <c r="E2430" s="165"/>
      <c r="K2430" s="12"/>
      <c r="L2430" s="12"/>
      <c r="M2430" s="12"/>
      <c r="N2430" s="12"/>
    </row>
    <row r="2431" spans="3:14" ht="12.75">
      <c r="C2431" s="165"/>
      <c r="D2431" s="165"/>
      <c r="E2431" s="165"/>
      <c r="K2431" s="12"/>
      <c r="L2431" s="12"/>
      <c r="M2431" s="12"/>
      <c r="N2431" s="12"/>
    </row>
    <row r="2432" spans="3:14" ht="12.75">
      <c r="C2432" s="165"/>
      <c r="D2432" s="165"/>
      <c r="E2432" s="165"/>
      <c r="K2432" s="12"/>
      <c r="L2432" s="12"/>
      <c r="M2432" s="12"/>
      <c r="N2432" s="12"/>
    </row>
    <row r="2433" spans="3:14" ht="12.75">
      <c r="C2433" s="165"/>
      <c r="D2433" s="165"/>
      <c r="E2433" s="165"/>
      <c r="K2433" s="12"/>
      <c r="L2433" s="12"/>
      <c r="M2433" s="12"/>
      <c r="N2433" s="12"/>
    </row>
    <row r="2434" spans="3:14" ht="12.75">
      <c r="C2434" s="165"/>
      <c r="D2434" s="165"/>
      <c r="E2434" s="165"/>
      <c r="K2434" s="12"/>
      <c r="L2434" s="12"/>
      <c r="M2434" s="12"/>
      <c r="N2434" s="12"/>
    </row>
    <row r="2435" spans="3:14" ht="12.75">
      <c r="C2435" s="165"/>
      <c r="D2435" s="165"/>
      <c r="E2435" s="165"/>
      <c r="K2435" s="12"/>
      <c r="L2435" s="12"/>
      <c r="M2435" s="12"/>
      <c r="N2435" s="12"/>
    </row>
    <row r="2436" spans="3:14" ht="12.75">
      <c r="C2436" s="165"/>
      <c r="D2436" s="165"/>
      <c r="E2436" s="165"/>
      <c r="K2436" s="12"/>
      <c r="L2436" s="12"/>
      <c r="M2436" s="12"/>
      <c r="N2436" s="12"/>
    </row>
    <row r="2437" spans="3:14" ht="12.75">
      <c r="C2437" s="165"/>
      <c r="D2437" s="165"/>
      <c r="E2437" s="165"/>
      <c r="K2437" s="12"/>
      <c r="L2437" s="12"/>
      <c r="M2437" s="12"/>
      <c r="N2437" s="12"/>
    </row>
    <row r="2438" spans="3:14" ht="12.75">
      <c r="C2438" s="165"/>
      <c r="D2438" s="165"/>
      <c r="E2438" s="165"/>
      <c r="K2438" s="12"/>
      <c r="L2438" s="12"/>
      <c r="M2438" s="12"/>
      <c r="N2438" s="12"/>
    </row>
    <row r="2439" spans="3:14" ht="12.75">
      <c r="C2439" s="165"/>
      <c r="D2439" s="165"/>
      <c r="E2439" s="165"/>
      <c r="K2439" s="12"/>
      <c r="L2439" s="12"/>
      <c r="M2439" s="12"/>
      <c r="N2439" s="12"/>
    </row>
    <row r="2440" spans="3:14" ht="12.75">
      <c r="C2440" s="165"/>
      <c r="D2440" s="165"/>
      <c r="E2440" s="165"/>
      <c r="K2440" s="12"/>
      <c r="L2440" s="12"/>
      <c r="M2440" s="12"/>
      <c r="N2440" s="12"/>
    </row>
    <row r="2441" spans="3:14" ht="12.75">
      <c r="C2441" s="165"/>
      <c r="D2441" s="165"/>
      <c r="E2441" s="165"/>
      <c r="K2441" s="12"/>
      <c r="L2441" s="12"/>
      <c r="M2441" s="12"/>
      <c r="N2441" s="12"/>
    </row>
    <row r="2442" spans="3:14" ht="12.75">
      <c r="C2442" s="165"/>
      <c r="D2442" s="165"/>
      <c r="E2442" s="165"/>
      <c r="K2442" s="12"/>
      <c r="L2442" s="12"/>
      <c r="M2442" s="12"/>
      <c r="N2442" s="12"/>
    </row>
    <row r="2443" spans="3:14" ht="12.75">
      <c r="C2443" s="165"/>
      <c r="D2443" s="165"/>
      <c r="E2443" s="165"/>
      <c r="K2443" s="12"/>
      <c r="L2443" s="12"/>
      <c r="M2443" s="12"/>
      <c r="N2443" s="12"/>
    </row>
    <row r="2444" spans="3:14" ht="12.75">
      <c r="C2444" s="165"/>
      <c r="D2444" s="165"/>
      <c r="E2444" s="165"/>
      <c r="K2444" s="12"/>
      <c r="L2444" s="12"/>
      <c r="M2444" s="12"/>
      <c r="N2444" s="12"/>
    </row>
    <row r="2445" spans="3:14" ht="12.75">
      <c r="C2445" s="165"/>
      <c r="D2445" s="165"/>
      <c r="E2445" s="165"/>
      <c r="K2445" s="12"/>
      <c r="L2445" s="12"/>
      <c r="M2445" s="12"/>
      <c r="N2445" s="12"/>
    </row>
    <row r="2446" spans="3:14" ht="12.75">
      <c r="C2446" s="165"/>
      <c r="D2446" s="165"/>
      <c r="E2446" s="165"/>
      <c r="K2446" s="12"/>
      <c r="L2446" s="12"/>
      <c r="M2446" s="12"/>
      <c r="N2446" s="12"/>
    </row>
    <row r="2447" spans="3:14" ht="12.75">
      <c r="C2447" s="165"/>
      <c r="D2447" s="165"/>
      <c r="E2447" s="165"/>
      <c r="K2447" s="12"/>
      <c r="L2447" s="12"/>
      <c r="M2447" s="12"/>
      <c r="N2447" s="12"/>
    </row>
    <row r="2448" spans="3:14" ht="12.75">
      <c r="C2448" s="165"/>
      <c r="D2448" s="165"/>
      <c r="E2448" s="165"/>
      <c r="K2448" s="12"/>
      <c r="L2448" s="12"/>
      <c r="M2448" s="12"/>
      <c r="N2448" s="12"/>
    </row>
    <row r="2449" spans="3:14" ht="12.75">
      <c r="C2449" s="165"/>
      <c r="D2449" s="165"/>
      <c r="E2449" s="165"/>
      <c r="K2449" s="12"/>
      <c r="L2449" s="12"/>
      <c r="M2449" s="12"/>
      <c r="N2449" s="12"/>
    </row>
    <row r="2450" spans="3:14" ht="12.75">
      <c r="C2450" s="165"/>
      <c r="D2450" s="165"/>
      <c r="E2450" s="165"/>
      <c r="K2450" s="12"/>
      <c r="L2450" s="12"/>
      <c r="M2450" s="12"/>
      <c r="N2450" s="12"/>
    </row>
    <row r="2451" spans="3:14" ht="12.75">
      <c r="C2451" s="165"/>
      <c r="D2451" s="165"/>
      <c r="E2451" s="165"/>
      <c r="K2451" s="12"/>
      <c r="L2451" s="12"/>
      <c r="M2451" s="12"/>
      <c r="N2451" s="12"/>
    </row>
    <row r="2452" spans="3:14" ht="12.75">
      <c r="C2452" s="165"/>
      <c r="D2452" s="165"/>
      <c r="E2452" s="165"/>
      <c r="K2452" s="12"/>
      <c r="L2452" s="12"/>
      <c r="M2452" s="12"/>
      <c r="N2452" s="12"/>
    </row>
    <row r="2453" spans="3:14" ht="12.75">
      <c r="C2453" s="165"/>
      <c r="D2453" s="165"/>
      <c r="E2453" s="165"/>
      <c r="K2453" s="12"/>
      <c r="L2453" s="12"/>
      <c r="M2453" s="12"/>
      <c r="N2453" s="12"/>
    </row>
    <row r="2454" spans="3:14" ht="12.75">
      <c r="C2454" s="165"/>
      <c r="D2454" s="165"/>
      <c r="E2454" s="165"/>
      <c r="K2454" s="12"/>
      <c r="L2454" s="12"/>
      <c r="M2454" s="12"/>
      <c r="N2454" s="12"/>
    </row>
    <row r="2455" spans="3:14" ht="12.75">
      <c r="C2455" s="165"/>
      <c r="D2455" s="165"/>
      <c r="E2455" s="165"/>
      <c r="K2455" s="12"/>
      <c r="L2455" s="12"/>
      <c r="M2455" s="12"/>
      <c r="N2455" s="12"/>
    </row>
    <row r="2456" spans="3:14" ht="12.75">
      <c r="C2456" s="165"/>
      <c r="D2456" s="165"/>
      <c r="E2456" s="165"/>
      <c r="K2456" s="12"/>
      <c r="L2456" s="12"/>
      <c r="M2456" s="12"/>
      <c r="N2456" s="12"/>
    </row>
    <row r="2457" spans="3:14" ht="12.75">
      <c r="C2457" s="165"/>
      <c r="D2457" s="165"/>
      <c r="E2457" s="165"/>
      <c r="K2457" s="12"/>
      <c r="L2457" s="12"/>
      <c r="M2457" s="12"/>
      <c r="N2457" s="12"/>
    </row>
    <row r="2458" spans="3:14" ht="12.75">
      <c r="C2458" s="165"/>
      <c r="D2458" s="165"/>
      <c r="E2458" s="165"/>
      <c r="K2458" s="12"/>
      <c r="L2458" s="12"/>
      <c r="M2458" s="12"/>
      <c r="N2458" s="12"/>
    </row>
    <row r="2459" spans="3:14" ht="12.75">
      <c r="C2459" s="165"/>
      <c r="D2459" s="165"/>
      <c r="E2459" s="165"/>
      <c r="K2459" s="12"/>
      <c r="L2459" s="12"/>
      <c r="M2459" s="12"/>
      <c r="N2459" s="12"/>
    </row>
    <row r="2460" spans="3:14" ht="12.75">
      <c r="C2460" s="165"/>
      <c r="D2460" s="165"/>
      <c r="E2460" s="165"/>
      <c r="K2460" s="12"/>
      <c r="L2460" s="12"/>
      <c r="M2460" s="12"/>
      <c r="N2460" s="12"/>
    </row>
    <row r="2461" spans="3:14" ht="12.75">
      <c r="C2461" s="165"/>
      <c r="D2461" s="165"/>
      <c r="E2461" s="165"/>
      <c r="K2461" s="12"/>
      <c r="L2461" s="12"/>
      <c r="M2461" s="12"/>
      <c r="N2461" s="12"/>
    </row>
    <row r="2462" spans="3:14" ht="12.75">
      <c r="C2462" s="165"/>
      <c r="D2462" s="165"/>
      <c r="E2462" s="165"/>
      <c r="K2462" s="12"/>
      <c r="L2462" s="12"/>
      <c r="M2462" s="12"/>
      <c r="N2462" s="12"/>
    </row>
    <row r="2463" spans="3:14" ht="12.75">
      <c r="C2463" s="165"/>
      <c r="D2463" s="165"/>
      <c r="E2463" s="165"/>
      <c r="K2463" s="12"/>
      <c r="L2463" s="12"/>
      <c r="M2463" s="12"/>
      <c r="N2463" s="12"/>
    </row>
    <row r="2464" spans="3:14" ht="12.75">
      <c r="C2464" s="165"/>
      <c r="D2464" s="165"/>
      <c r="E2464" s="165"/>
      <c r="K2464" s="12"/>
      <c r="L2464" s="12"/>
      <c r="M2464" s="12"/>
      <c r="N2464" s="12"/>
    </row>
    <row r="2465" spans="3:14" ht="12.75">
      <c r="C2465" s="165"/>
      <c r="D2465" s="165"/>
      <c r="E2465" s="165"/>
      <c r="K2465" s="12"/>
      <c r="L2465" s="12"/>
      <c r="M2465" s="12"/>
      <c r="N2465" s="12"/>
    </row>
    <row r="2466" spans="3:14" ht="12.75">
      <c r="C2466" s="165"/>
      <c r="D2466" s="165"/>
      <c r="E2466" s="165"/>
      <c r="K2466" s="12"/>
      <c r="L2466" s="12"/>
      <c r="M2466" s="12"/>
      <c r="N2466" s="12"/>
    </row>
    <row r="2467" spans="3:14" ht="12.75">
      <c r="C2467" s="165"/>
      <c r="D2467" s="165"/>
      <c r="E2467" s="165"/>
      <c r="K2467" s="12"/>
      <c r="L2467" s="12"/>
      <c r="M2467" s="12"/>
      <c r="N2467" s="12"/>
    </row>
    <row r="2468" spans="3:14" ht="12.75">
      <c r="C2468" s="165"/>
      <c r="D2468" s="165"/>
      <c r="E2468" s="165"/>
      <c r="K2468" s="12"/>
      <c r="L2468" s="12"/>
      <c r="M2468" s="12"/>
      <c r="N2468" s="12"/>
    </row>
    <row r="2469" spans="3:14" ht="12.75">
      <c r="C2469" s="165"/>
      <c r="D2469" s="165"/>
      <c r="E2469" s="165"/>
      <c r="K2469" s="12"/>
      <c r="L2469" s="12"/>
      <c r="M2469" s="12"/>
      <c r="N2469" s="12"/>
    </row>
    <row r="2470" spans="3:14" ht="12.75">
      <c r="C2470" s="165"/>
      <c r="D2470" s="165"/>
      <c r="E2470" s="165"/>
      <c r="K2470" s="12"/>
      <c r="L2470" s="12"/>
      <c r="M2470" s="12"/>
      <c r="N2470" s="12"/>
    </row>
    <row r="2471" spans="3:14" ht="12.75">
      <c r="C2471" s="165"/>
      <c r="D2471" s="165"/>
      <c r="E2471" s="165"/>
      <c r="K2471" s="12"/>
      <c r="L2471" s="12"/>
      <c r="M2471" s="12"/>
      <c r="N2471" s="12"/>
    </row>
    <row r="2472" spans="3:14" ht="12.75">
      <c r="C2472" s="165"/>
      <c r="D2472" s="165"/>
      <c r="E2472" s="165"/>
      <c r="K2472" s="12"/>
      <c r="L2472" s="12"/>
      <c r="M2472" s="12"/>
      <c r="N2472" s="12"/>
    </row>
    <row r="2473" spans="3:14" ht="12.75">
      <c r="C2473" s="165"/>
      <c r="D2473" s="165"/>
      <c r="E2473" s="165"/>
      <c r="K2473" s="12"/>
      <c r="L2473" s="12"/>
      <c r="M2473" s="12"/>
      <c r="N2473" s="12"/>
    </row>
    <row r="2474" spans="3:14" ht="12.75">
      <c r="C2474" s="165"/>
      <c r="D2474" s="165"/>
      <c r="E2474" s="165"/>
      <c r="K2474" s="12"/>
      <c r="L2474" s="12"/>
      <c r="M2474" s="12"/>
      <c r="N2474" s="12"/>
    </row>
    <row r="2475" spans="3:14" ht="12.75">
      <c r="C2475" s="165"/>
      <c r="D2475" s="165"/>
      <c r="E2475" s="165"/>
      <c r="K2475" s="12"/>
      <c r="L2475" s="12"/>
      <c r="M2475" s="12"/>
      <c r="N2475" s="12"/>
    </row>
    <row r="2476" spans="3:14" ht="12.75">
      <c r="C2476" s="165"/>
      <c r="D2476" s="165"/>
      <c r="E2476" s="165"/>
      <c r="K2476" s="12"/>
      <c r="L2476" s="12"/>
      <c r="M2476" s="12"/>
      <c r="N2476" s="12"/>
    </row>
    <row r="2477" spans="3:14" ht="12.75">
      <c r="C2477" s="165"/>
      <c r="D2477" s="165"/>
      <c r="E2477" s="165"/>
      <c r="K2477" s="12"/>
      <c r="L2477" s="12"/>
      <c r="M2477" s="12"/>
      <c r="N2477" s="12"/>
    </row>
    <row r="2478" spans="3:14" ht="12.75">
      <c r="C2478" s="165"/>
      <c r="D2478" s="165"/>
      <c r="E2478" s="165"/>
      <c r="K2478" s="12"/>
      <c r="L2478" s="12"/>
      <c r="M2478" s="12"/>
      <c r="N2478" s="12"/>
    </row>
    <row r="2479" spans="3:14" ht="12.75">
      <c r="C2479" s="165"/>
      <c r="D2479" s="165"/>
      <c r="E2479" s="165"/>
      <c r="K2479" s="12"/>
      <c r="L2479" s="12"/>
      <c r="M2479" s="12"/>
      <c r="N2479" s="12"/>
    </row>
    <row r="2480" spans="3:14" ht="12.75">
      <c r="C2480" s="165"/>
      <c r="D2480" s="165"/>
      <c r="E2480" s="165"/>
      <c r="K2480" s="12"/>
      <c r="L2480" s="12"/>
      <c r="M2480" s="12"/>
      <c r="N2480" s="12"/>
    </row>
    <row r="2481" spans="3:14" ht="12.75">
      <c r="C2481" s="165"/>
      <c r="D2481" s="165"/>
      <c r="E2481" s="165"/>
      <c r="K2481" s="12"/>
      <c r="L2481" s="12"/>
      <c r="M2481" s="12"/>
      <c r="N2481" s="12"/>
    </row>
    <row r="2482" spans="3:14" ht="12.75">
      <c r="C2482" s="165"/>
      <c r="D2482" s="165"/>
      <c r="E2482" s="165"/>
      <c r="K2482" s="12"/>
      <c r="L2482" s="12"/>
      <c r="M2482" s="12"/>
      <c r="N2482" s="12"/>
    </row>
    <row r="2483" spans="3:14" ht="12.75">
      <c r="C2483" s="165"/>
      <c r="D2483" s="165"/>
      <c r="E2483" s="165"/>
      <c r="K2483" s="12"/>
      <c r="L2483" s="12"/>
      <c r="M2483" s="12"/>
      <c r="N2483" s="12"/>
    </row>
    <row r="2484" spans="3:14" ht="12.75">
      <c r="C2484" s="165"/>
      <c r="D2484" s="165"/>
      <c r="E2484" s="165"/>
      <c r="K2484" s="12"/>
      <c r="L2484" s="12"/>
      <c r="M2484" s="12"/>
      <c r="N2484" s="12"/>
    </row>
    <row r="2485" spans="3:14" ht="12.75">
      <c r="C2485" s="165"/>
      <c r="D2485" s="165"/>
      <c r="E2485" s="165"/>
      <c r="K2485" s="12"/>
      <c r="L2485" s="12"/>
      <c r="M2485" s="12"/>
      <c r="N2485" s="12"/>
    </row>
    <row r="2486" spans="3:14" ht="12.75">
      <c r="C2486" s="165"/>
      <c r="D2486" s="165"/>
      <c r="E2486" s="165"/>
      <c r="K2486" s="12"/>
      <c r="L2486" s="12"/>
      <c r="M2486" s="12"/>
      <c r="N2486" s="12"/>
    </row>
    <row r="2487" spans="3:14" ht="12.75">
      <c r="C2487" s="165"/>
      <c r="D2487" s="165"/>
      <c r="E2487" s="165"/>
      <c r="K2487" s="12"/>
      <c r="L2487" s="12"/>
      <c r="M2487" s="12"/>
      <c r="N2487" s="12"/>
    </row>
    <row r="2488" spans="3:14" ht="12.75">
      <c r="C2488" s="165"/>
      <c r="D2488" s="165"/>
      <c r="E2488" s="165"/>
      <c r="K2488" s="12"/>
      <c r="L2488" s="12"/>
      <c r="M2488" s="12"/>
      <c r="N2488" s="12"/>
    </row>
    <row r="2489" spans="3:14" ht="12.75">
      <c r="C2489" s="165"/>
      <c r="D2489" s="165"/>
      <c r="E2489" s="165"/>
      <c r="K2489" s="12"/>
      <c r="L2489" s="12"/>
      <c r="M2489" s="12"/>
      <c r="N2489" s="12"/>
    </row>
    <row r="2490" spans="3:14" ht="12.75">
      <c r="C2490" s="165"/>
      <c r="D2490" s="165"/>
      <c r="E2490" s="165"/>
      <c r="K2490" s="12"/>
      <c r="L2490" s="12"/>
      <c r="M2490" s="12"/>
      <c r="N2490" s="12"/>
    </row>
    <row r="2491" spans="3:14" ht="12.75">
      <c r="C2491" s="165"/>
      <c r="D2491" s="165"/>
      <c r="E2491" s="165"/>
      <c r="K2491" s="12"/>
      <c r="L2491" s="12"/>
      <c r="M2491" s="12"/>
      <c r="N2491" s="12"/>
    </row>
    <row r="2492" spans="3:14" ht="12.75">
      <c r="C2492" s="165"/>
      <c r="D2492" s="165"/>
      <c r="E2492" s="165"/>
      <c r="K2492" s="12"/>
      <c r="L2492" s="12"/>
      <c r="M2492" s="12"/>
      <c r="N2492" s="12"/>
    </row>
    <row r="2493" spans="3:14" ht="12.75">
      <c r="C2493" s="165"/>
      <c r="D2493" s="165"/>
      <c r="E2493" s="165"/>
      <c r="K2493" s="12"/>
      <c r="L2493" s="12"/>
      <c r="M2493" s="12"/>
      <c r="N2493" s="12"/>
    </row>
    <row r="2494" spans="3:14" ht="12.75">
      <c r="C2494" s="165"/>
      <c r="D2494" s="165"/>
      <c r="E2494" s="165"/>
      <c r="K2494" s="12"/>
      <c r="L2494" s="12"/>
      <c r="M2494" s="12"/>
      <c r="N2494" s="12"/>
    </row>
    <row r="2495" spans="3:14" ht="12.75">
      <c r="C2495" s="165"/>
      <c r="D2495" s="165"/>
      <c r="E2495" s="165"/>
      <c r="K2495" s="12"/>
      <c r="L2495" s="12"/>
      <c r="M2495" s="12"/>
      <c r="N2495" s="12"/>
    </row>
    <row r="2496" spans="3:14" ht="12.75">
      <c r="C2496" s="165"/>
      <c r="D2496" s="165"/>
      <c r="E2496" s="165"/>
      <c r="K2496" s="12"/>
      <c r="L2496" s="12"/>
      <c r="M2496" s="12"/>
      <c r="N2496" s="12"/>
    </row>
    <row r="2497" spans="3:14" ht="12.75">
      <c r="C2497" s="165"/>
      <c r="D2497" s="165"/>
      <c r="E2497" s="165"/>
      <c r="K2497" s="12"/>
      <c r="L2497" s="12"/>
      <c r="M2497" s="12"/>
      <c r="N2497" s="12"/>
    </row>
    <row r="2498" spans="3:14" ht="12.75">
      <c r="C2498" s="165"/>
      <c r="D2498" s="165"/>
      <c r="E2498" s="165"/>
      <c r="K2498" s="12"/>
      <c r="L2498" s="12"/>
      <c r="M2498" s="12"/>
      <c r="N2498" s="12"/>
    </row>
    <row r="2499" spans="3:14" ht="12.75">
      <c r="C2499" s="165"/>
      <c r="D2499" s="165"/>
      <c r="E2499" s="165"/>
      <c r="K2499" s="12"/>
      <c r="L2499" s="12"/>
      <c r="M2499" s="12"/>
      <c r="N2499" s="12"/>
    </row>
    <row r="2500" spans="3:14" ht="12.75">
      <c r="C2500" s="165"/>
      <c r="D2500" s="165"/>
      <c r="E2500" s="165"/>
      <c r="K2500" s="12"/>
      <c r="L2500" s="12"/>
      <c r="M2500" s="12"/>
      <c r="N2500" s="12"/>
    </row>
    <row r="2501" spans="3:14" ht="12.75">
      <c r="C2501" s="165"/>
      <c r="D2501" s="165"/>
      <c r="E2501" s="165"/>
      <c r="K2501" s="12"/>
      <c r="L2501" s="12"/>
      <c r="M2501" s="12"/>
      <c r="N2501" s="12"/>
    </row>
    <row r="2502" spans="3:14" ht="12.75">
      <c r="C2502" s="165"/>
      <c r="D2502" s="165"/>
      <c r="E2502" s="165"/>
      <c r="K2502" s="12"/>
      <c r="L2502" s="12"/>
      <c r="M2502" s="12"/>
      <c r="N2502" s="12"/>
    </row>
    <row r="2503" spans="3:14" ht="12.75">
      <c r="C2503" s="165"/>
      <c r="D2503" s="165"/>
      <c r="E2503" s="165"/>
      <c r="K2503" s="12"/>
      <c r="L2503" s="12"/>
      <c r="M2503" s="12"/>
      <c r="N2503" s="12"/>
    </row>
    <row r="2504" spans="3:14" ht="12.75">
      <c r="C2504" s="165"/>
      <c r="D2504" s="165"/>
      <c r="E2504" s="165"/>
      <c r="K2504" s="12"/>
      <c r="L2504" s="12"/>
      <c r="M2504" s="12"/>
      <c r="N2504" s="12"/>
    </row>
    <row r="2505" spans="3:14" ht="12.75">
      <c r="C2505" s="165"/>
      <c r="D2505" s="165"/>
      <c r="E2505" s="165"/>
      <c r="K2505" s="12"/>
      <c r="L2505" s="12"/>
      <c r="M2505" s="12"/>
      <c r="N2505" s="12"/>
    </row>
    <row r="2506" spans="3:14" ht="12.75">
      <c r="C2506" s="165"/>
      <c r="D2506" s="165"/>
      <c r="E2506" s="165"/>
      <c r="K2506" s="12"/>
      <c r="L2506" s="12"/>
      <c r="M2506" s="12"/>
      <c r="N2506" s="12"/>
    </row>
    <row r="2507" spans="3:14" ht="12.75">
      <c r="C2507" s="165"/>
      <c r="D2507" s="165"/>
      <c r="E2507" s="165"/>
      <c r="K2507" s="12"/>
      <c r="L2507" s="12"/>
      <c r="M2507" s="12"/>
      <c r="N2507" s="12"/>
    </row>
    <row r="2508" spans="3:14" ht="12.75">
      <c r="C2508" s="165"/>
      <c r="D2508" s="165"/>
      <c r="E2508" s="165"/>
      <c r="K2508" s="12"/>
      <c r="L2508" s="12"/>
      <c r="M2508" s="12"/>
      <c r="N2508" s="12"/>
    </row>
    <row r="2509" spans="3:14" ht="12.75">
      <c r="C2509" s="165"/>
      <c r="D2509" s="165"/>
      <c r="E2509" s="165"/>
      <c r="K2509" s="12"/>
      <c r="L2509" s="12"/>
      <c r="M2509" s="12"/>
      <c r="N2509" s="12"/>
    </row>
    <row r="2510" spans="3:14" ht="12.75">
      <c r="C2510" s="165"/>
      <c r="D2510" s="165"/>
      <c r="E2510" s="165"/>
      <c r="K2510" s="12"/>
      <c r="L2510" s="12"/>
      <c r="M2510" s="12"/>
      <c r="N2510" s="12"/>
    </row>
    <row r="2511" spans="3:14" ht="12.75">
      <c r="C2511" s="165"/>
      <c r="D2511" s="165"/>
      <c r="E2511" s="165"/>
      <c r="K2511" s="12"/>
      <c r="L2511" s="12"/>
      <c r="M2511" s="12"/>
      <c r="N2511" s="12"/>
    </row>
    <row r="2512" spans="3:14" ht="12.75">
      <c r="C2512" s="165"/>
      <c r="D2512" s="165"/>
      <c r="E2512" s="165"/>
      <c r="K2512" s="12"/>
      <c r="L2512" s="12"/>
      <c r="M2512" s="12"/>
      <c r="N2512" s="12"/>
    </row>
    <row r="2513" spans="3:14" ht="12.75">
      <c r="C2513" s="165"/>
      <c r="D2513" s="165"/>
      <c r="E2513" s="165"/>
      <c r="K2513" s="12"/>
      <c r="L2513" s="12"/>
      <c r="M2513" s="12"/>
      <c r="N2513" s="12"/>
    </row>
    <row r="2514" spans="3:14" ht="12.75">
      <c r="C2514" s="165"/>
      <c r="D2514" s="165"/>
      <c r="E2514" s="165"/>
      <c r="K2514" s="12"/>
      <c r="L2514" s="12"/>
      <c r="M2514" s="12"/>
      <c r="N2514" s="12"/>
    </row>
    <row r="2515" spans="3:14" ht="12.75">
      <c r="C2515" s="165"/>
      <c r="D2515" s="165"/>
      <c r="E2515" s="165"/>
      <c r="K2515" s="12"/>
      <c r="L2515" s="12"/>
      <c r="M2515" s="12"/>
      <c r="N2515" s="12"/>
    </row>
    <row r="2516" spans="3:14" ht="12.75">
      <c r="C2516" s="165"/>
      <c r="D2516" s="165"/>
      <c r="E2516" s="165"/>
      <c r="K2516" s="12"/>
      <c r="L2516" s="12"/>
      <c r="M2516" s="12"/>
      <c r="N2516" s="12"/>
    </row>
    <row r="2517" spans="3:14" ht="12.75">
      <c r="C2517" s="165"/>
      <c r="D2517" s="165"/>
      <c r="E2517" s="165"/>
      <c r="K2517" s="12"/>
      <c r="L2517" s="12"/>
      <c r="M2517" s="12"/>
      <c r="N2517" s="12"/>
    </row>
    <row r="2518" spans="3:14" ht="12.75">
      <c r="C2518" s="165"/>
      <c r="D2518" s="165"/>
      <c r="E2518" s="165"/>
      <c r="K2518" s="12"/>
      <c r="L2518" s="12"/>
      <c r="M2518" s="12"/>
      <c r="N2518" s="12"/>
    </row>
    <row r="2519" spans="3:14" ht="12.75">
      <c r="C2519" s="165"/>
      <c r="D2519" s="165"/>
      <c r="E2519" s="165"/>
      <c r="K2519" s="12"/>
      <c r="L2519" s="12"/>
      <c r="M2519" s="12"/>
      <c r="N2519" s="12"/>
    </row>
    <row r="2520" spans="3:14" ht="12.75">
      <c r="C2520" s="165"/>
      <c r="D2520" s="165"/>
      <c r="E2520" s="165"/>
      <c r="K2520" s="12"/>
      <c r="L2520" s="12"/>
      <c r="M2520" s="12"/>
      <c r="N2520" s="12"/>
    </row>
    <row r="2521" spans="3:14" ht="12.75">
      <c r="C2521" s="165"/>
      <c r="D2521" s="165"/>
      <c r="E2521" s="165"/>
      <c r="K2521" s="12"/>
      <c r="L2521" s="12"/>
      <c r="M2521" s="12"/>
      <c r="N2521" s="12"/>
    </row>
    <row r="2522" spans="3:14" ht="12.75">
      <c r="C2522" s="165"/>
      <c r="D2522" s="165"/>
      <c r="E2522" s="165"/>
      <c r="K2522" s="12"/>
      <c r="L2522" s="12"/>
      <c r="M2522" s="12"/>
      <c r="N2522" s="12"/>
    </row>
    <row r="2523" spans="3:14" ht="12.75">
      <c r="C2523" s="165"/>
      <c r="D2523" s="165"/>
      <c r="E2523" s="165"/>
      <c r="K2523" s="12"/>
      <c r="L2523" s="12"/>
      <c r="M2523" s="12"/>
      <c r="N2523" s="12"/>
    </row>
    <row r="2524" spans="3:14" ht="12.75">
      <c r="C2524" s="165"/>
      <c r="D2524" s="165"/>
      <c r="E2524" s="165"/>
      <c r="K2524" s="12"/>
      <c r="L2524" s="12"/>
      <c r="M2524" s="12"/>
      <c r="N2524" s="12"/>
    </row>
    <row r="2525" spans="3:14" ht="12.75">
      <c r="C2525" s="165"/>
      <c r="D2525" s="165"/>
      <c r="E2525" s="165"/>
      <c r="K2525" s="12"/>
      <c r="L2525" s="12"/>
      <c r="M2525" s="12"/>
      <c r="N2525" s="12"/>
    </row>
    <row r="2526" spans="3:14" ht="12.75">
      <c r="C2526" s="165"/>
      <c r="D2526" s="165"/>
      <c r="E2526" s="165"/>
      <c r="K2526" s="12"/>
      <c r="L2526" s="12"/>
      <c r="M2526" s="12"/>
      <c r="N2526" s="12"/>
    </row>
    <row r="2527" spans="3:14" ht="12.75">
      <c r="C2527" s="165"/>
      <c r="D2527" s="165"/>
      <c r="E2527" s="165"/>
      <c r="K2527" s="12"/>
      <c r="L2527" s="12"/>
      <c r="M2527" s="12"/>
      <c r="N2527" s="12"/>
    </row>
    <row r="2528" spans="3:14" ht="12.75">
      <c r="C2528" s="165"/>
      <c r="D2528" s="165"/>
      <c r="E2528" s="165"/>
      <c r="K2528" s="12"/>
      <c r="L2528" s="12"/>
      <c r="M2528" s="12"/>
      <c r="N2528" s="12"/>
    </row>
    <row r="2529" spans="3:14" ht="12.75">
      <c r="C2529" s="165"/>
      <c r="D2529" s="165"/>
      <c r="E2529" s="165"/>
      <c r="K2529" s="12"/>
      <c r="L2529" s="12"/>
      <c r="M2529" s="12"/>
      <c r="N2529" s="12"/>
    </row>
    <row r="2530" spans="3:14" ht="12.75">
      <c r="C2530" s="165"/>
      <c r="D2530" s="165"/>
      <c r="E2530" s="165"/>
      <c r="K2530" s="12"/>
      <c r="L2530" s="12"/>
      <c r="M2530" s="12"/>
      <c r="N2530" s="12"/>
    </row>
    <row r="2531" spans="3:14" ht="12.75">
      <c r="C2531" s="165"/>
      <c r="D2531" s="165"/>
      <c r="E2531" s="165"/>
      <c r="K2531" s="12"/>
      <c r="L2531" s="12"/>
      <c r="M2531" s="12"/>
      <c r="N2531" s="12"/>
    </row>
    <row r="2532" spans="3:14" ht="12.75">
      <c r="C2532" s="165"/>
      <c r="D2532" s="165"/>
      <c r="E2532" s="165"/>
      <c r="K2532" s="12"/>
      <c r="L2532" s="12"/>
      <c r="M2532" s="12"/>
      <c r="N2532" s="12"/>
    </row>
    <row r="2533" spans="3:14" ht="12.75">
      <c r="C2533" s="165"/>
      <c r="D2533" s="165"/>
      <c r="E2533" s="165"/>
      <c r="K2533" s="12"/>
      <c r="L2533" s="12"/>
      <c r="M2533" s="12"/>
      <c r="N2533" s="12"/>
    </row>
    <row r="2534" spans="3:14" ht="12.75">
      <c r="C2534" s="165"/>
      <c r="D2534" s="165"/>
      <c r="E2534" s="165"/>
      <c r="K2534" s="12"/>
      <c r="L2534" s="12"/>
      <c r="M2534" s="12"/>
      <c r="N2534" s="12"/>
    </row>
    <row r="2535" spans="3:14" ht="12.75">
      <c r="C2535" s="165"/>
      <c r="D2535" s="165"/>
      <c r="E2535" s="165"/>
      <c r="K2535" s="12"/>
      <c r="L2535" s="12"/>
      <c r="M2535" s="12"/>
      <c r="N2535" s="12"/>
    </row>
    <row r="2536" spans="3:14" ht="12.75">
      <c r="C2536" s="165"/>
      <c r="D2536" s="165"/>
      <c r="E2536" s="165"/>
      <c r="K2536" s="12"/>
      <c r="L2536" s="12"/>
      <c r="M2536" s="12"/>
      <c r="N2536" s="12"/>
    </row>
    <row r="2537" spans="3:14" ht="12.75">
      <c r="C2537" s="165"/>
      <c r="D2537" s="165"/>
      <c r="E2537" s="165"/>
      <c r="K2537" s="12"/>
      <c r="L2537" s="12"/>
      <c r="M2537" s="12"/>
      <c r="N2537" s="12"/>
    </row>
    <row r="2538" spans="3:14" ht="12.75">
      <c r="C2538" s="165"/>
      <c r="D2538" s="165"/>
      <c r="E2538" s="165"/>
      <c r="K2538" s="12"/>
      <c r="L2538" s="12"/>
      <c r="M2538" s="12"/>
      <c r="N2538" s="12"/>
    </row>
    <row r="2539" spans="3:14" ht="12.75">
      <c r="C2539" s="165"/>
      <c r="D2539" s="165"/>
      <c r="E2539" s="165"/>
      <c r="K2539" s="12"/>
      <c r="L2539" s="12"/>
      <c r="M2539" s="12"/>
      <c r="N2539" s="12"/>
    </row>
    <row r="2540" spans="3:14" ht="12.75">
      <c r="C2540" s="165"/>
      <c r="D2540" s="165"/>
      <c r="E2540" s="165"/>
      <c r="K2540" s="12"/>
      <c r="L2540" s="12"/>
      <c r="M2540" s="12"/>
      <c r="N2540" s="12"/>
    </row>
    <row r="2541" spans="3:14" ht="12.75">
      <c r="C2541" s="165"/>
      <c r="D2541" s="165"/>
      <c r="E2541" s="165"/>
      <c r="K2541" s="12"/>
      <c r="L2541" s="12"/>
      <c r="M2541" s="12"/>
      <c r="N2541" s="12"/>
    </row>
    <row r="2542" spans="3:14" ht="12.75">
      <c r="C2542" s="165"/>
      <c r="D2542" s="165"/>
      <c r="E2542" s="165"/>
      <c r="K2542" s="12"/>
      <c r="L2542" s="12"/>
      <c r="M2542" s="12"/>
      <c r="N2542" s="12"/>
    </row>
    <row r="2543" spans="3:14" ht="12.75">
      <c r="C2543" s="165"/>
      <c r="D2543" s="165"/>
      <c r="E2543" s="165"/>
      <c r="K2543" s="12"/>
      <c r="L2543" s="12"/>
      <c r="M2543" s="12"/>
      <c r="N2543" s="12"/>
    </row>
    <row r="2544" spans="3:14" ht="12.75">
      <c r="C2544" s="165"/>
      <c r="D2544" s="165"/>
      <c r="E2544" s="165"/>
      <c r="K2544" s="12"/>
      <c r="L2544" s="12"/>
      <c r="M2544" s="12"/>
      <c r="N2544" s="12"/>
    </row>
    <row r="2545" spans="3:14" ht="12.75">
      <c r="C2545" s="165"/>
      <c r="D2545" s="165"/>
      <c r="E2545" s="165"/>
      <c r="K2545" s="12"/>
      <c r="L2545" s="12"/>
      <c r="M2545" s="12"/>
      <c r="N2545" s="12"/>
    </row>
    <row r="2546" spans="3:14" ht="12.75">
      <c r="C2546" s="165"/>
      <c r="D2546" s="165"/>
      <c r="E2546" s="165"/>
      <c r="K2546" s="12"/>
      <c r="L2546" s="12"/>
      <c r="M2546" s="12"/>
      <c r="N2546" s="12"/>
    </row>
    <row r="2547" spans="3:14" ht="12.75">
      <c r="C2547" s="165"/>
      <c r="D2547" s="165"/>
      <c r="E2547" s="165"/>
      <c r="K2547" s="12"/>
      <c r="L2547" s="12"/>
      <c r="M2547" s="12"/>
      <c r="N2547" s="12"/>
    </row>
    <row r="2548" spans="3:14" ht="12.75">
      <c r="C2548" s="165"/>
      <c r="D2548" s="165"/>
      <c r="E2548" s="165"/>
      <c r="K2548" s="12"/>
      <c r="L2548" s="12"/>
      <c r="M2548" s="12"/>
      <c r="N2548" s="12"/>
    </row>
    <row r="2549" spans="3:14" ht="12.75">
      <c r="C2549" s="165"/>
      <c r="D2549" s="165"/>
      <c r="E2549" s="165"/>
      <c r="K2549" s="12"/>
      <c r="L2549" s="12"/>
      <c r="M2549" s="12"/>
      <c r="N2549" s="12"/>
    </row>
    <row r="2550" spans="3:14" ht="12.75">
      <c r="C2550" s="165"/>
      <c r="D2550" s="165"/>
      <c r="E2550" s="165"/>
      <c r="K2550" s="12"/>
      <c r="L2550" s="12"/>
      <c r="M2550" s="12"/>
      <c r="N2550" s="12"/>
    </row>
    <row r="2551" spans="3:14" ht="12.75">
      <c r="C2551" s="165"/>
      <c r="D2551" s="165"/>
      <c r="E2551" s="165"/>
      <c r="K2551" s="12"/>
      <c r="L2551" s="12"/>
      <c r="M2551" s="12"/>
      <c r="N2551" s="12"/>
    </row>
    <row r="2552" spans="3:14" ht="12.75">
      <c r="C2552" s="165"/>
      <c r="D2552" s="165"/>
      <c r="E2552" s="165"/>
      <c r="K2552" s="12"/>
      <c r="L2552" s="12"/>
      <c r="M2552" s="12"/>
      <c r="N2552" s="12"/>
    </row>
    <row r="2553" spans="3:14" ht="12.75">
      <c r="C2553" s="165"/>
      <c r="D2553" s="165"/>
      <c r="E2553" s="165"/>
      <c r="K2553" s="12"/>
      <c r="L2553" s="12"/>
      <c r="M2553" s="12"/>
      <c r="N2553" s="12"/>
    </row>
    <row r="2554" spans="3:14" ht="12.75">
      <c r="C2554" s="165"/>
      <c r="D2554" s="165"/>
      <c r="E2554" s="165"/>
      <c r="K2554" s="12"/>
      <c r="L2554" s="12"/>
      <c r="M2554" s="12"/>
      <c r="N2554" s="12"/>
    </row>
    <row r="2555" spans="3:14" ht="12.75">
      <c r="C2555" s="165"/>
      <c r="D2555" s="165"/>
      <c r="E2555" s="165"/>
      <c r="K2555" s="12"/>
      <c r="L2555" s="12"/>
      <c r="M2555" s="12"/>
      <c r="N2555" s="12"/>
    </row>
    <row r="2556" spans="3:14" ht="12.75">
      <c r="C2556" s="165"/>
      <c r="D2556" s="165"/>
      <c r="E2556" s="165"/>
      <c r="K2556" s="12"/>
      <c r="L2556" s="12"/>
      <c r="M2556" s="12"/>
      <c r="N2556" s="12"/>
    </row>
    <row r="2557" spans="3:14" ht="12.75">
      <c r="C2557" s="165"/>
      <c r="D2557" s="165"/>
      <c r="E2557" s="165"/>
      <c r="K2557" s="12"/>
      <c r="L2557" s="12"/>
      <c r="M2557" s="12"/>
      <c r="N2557" s="12"/>
    </row>
    <row r="2558" spans="3:14" ht="12.75">
      <c r="C2558" s="165"/>
      <c r="D2558" s="165"/>
      <c r="E2558" s="165"/>
      <c r="K2558" s="12"/>
      <c r="L2558" s="12"/>
      <c r="M2558" s="12"/>
      <c r="N2558" s="12"/>
    </row>
    <row r="2559" spans="3:14" ht="12.75">
      <c r="C2559" s="165"/>
      <c r="D2559" s="165"/>
      <c r="E2559" s="165"/>
      <c r="K2559" s="12"/>
      <c r="L2559" s="12"/>
      <c r="M2559" s="12"/>
      <c r="N2559" s="12"/>
    </row>
    <row r="2560" spans="3:14" ht="12.75">
      <c r="C2560" s="165"/>
      <c r="D2560" s="165"/>
      <c r="E2560" s="165"/>
      <c r="K2560" s="12"/>
      <c r="L2560" s="12"/>
      <c r="M2560" s="12"/>
      <c r="N2560" s="12"/>
    </row>
    <row r="2561" spans="3:14" ht="12.75">
      <c r="C2561" s="165"/>
      <c r="D2561" s="165"/>
      <c r="E2561" s="165"/>
      <c r="K2561" s="12"/>
      <c r="L2561" s="12"/>
      <c r="M2561" s="12"/>
      <c r="N2561" s="12"/>
    </row>
    <row r="2562" spans="3:14" ht="12.75">
      <c r="C2562" s="165"/>
      <c r="D2562" s="165"/>
      <c r="E2562" s="165"/>
      <c r="K2562" s="12"/>
      <c r="L2562" s="12"/>
      <c r="M2562" s="12"/>
      <c r="N2562" s="12"/>
    </row>
    <row r="2563" spans="3:14" ht="12.75">
      <c r="C2563" s="165"/>
      <c r="D2563" s="165"/>
      <c r="E2563" s="165"/>
      <c r="K2563" s="12"/>
      <c r="L2563" s="12"/>
      <c r="M2563" s="12"/>
      <c r="N2563" s="12"/>
    </row>
    <row r="2564" spans="3:14" ht="12.75">
      <c r="C2564" s="165"/>
      <c r="D2564" s="165"/>
      <c r="E2564" s="165"/>
      <c r="K2564" s="12"/>
      <c r="L2564" s="12"/>
      <c r="M2564" s="12"/>
      <c r="N2564" s="12"/>
    </row>
    <row r="2565" spans="3:14" ht="12.75">
      <c r="C2565" s="165"/>
      <c r="D2565" s="165"/>
      <c r="E2565" s="165"/>
      <c r="K2565" s="12"/>
      <c r="L2565" s="12"/>
      <c r="M2565" s="12"/>
      <c r="N2565" s="12"/>
    </row>
    <row r="2566" spans="3:14" ht="12.75">
      <c r="C2566" s="165"/>
      <c r="D2566" s="165"/>
      <c r="E2566" s="165"/>
      <c r="K2566" s="12"/>
      <c r="L2566" s="12"/>
      <c r="M2566" s="12"/>
      <c r="N2566" s="12"/>
    </row>
    <row r="2567" spans="3:14" ht="12.75">
      <c r="C2567" s="165"/>
      <c r="D2567" s="165"/>
      <c r="E2567" s="165"/>
      <c r="K2567" s="12"/>
      <c r="L2567" s="12"/>
      <c r="M2567" s="12"/>
      <c r="N2567" s="12"/>
    </row>
    <row r="2568" spans="3:14" ht="12.75">
      <c r="C2568" s="165"/>
      <c r="D2568" s="165"/>
      <c r="E2568" s="165"/>
      <c r="K2568" s="12"/>
      <c r="L2568" s="12"/>
      <c r="M2568" s="12"/>
      <c r="N2568" s="12"/>
    </row>
    <row r="2569" spans="3:14" ht="12.75">
      <c r="C2569" s="165"/>
      <c r="D2569" s="165"/>
      <c r="E2569" s="165"/>
      <c r="K2569" s="12"/>
      <c r="L2569" s="12"/>
      <c r="M2569" s="12"/>
      <c r="N2569" s="12"/>
    </row>
    <row r="2570" spans="3:14" ht="12.75">
      <c r="C2570" s="165"/>
      <c r="D2570" s="165"/>
      <c r="E2570" s="165"/>
      <c r="K2570" s="12"/>
      <c r="L2570" s="12"/>
      <c r="M2570" s="12"/>
      <c r="N2570" s="12"/>
    </row>
    <row r="2571" spans="3:14" ht="12.75">
      <c r="C2571" s="165"/>
      <c r="D2571" s="165"/>
      <c r="E2571" s="165"/>
      <c r="K2571" s="12"/>
      <c r="L2571" s="12"/>
      <c r="M2571" s="12"/>
      <c r="N2571" s="12"/>
    </row>
    <row r="2572" spans="3:14" ht="12.75">
      <c r="C2572" s="165"/>
      <c r="D2572" s="165"/>
      <c r="E2572" s="165"/>
      <c r="K2572" s="12"/>
      <c r="L2572" s="12"/>
      <c r="M2572" s="12"/>
      <c r="N2572" s="12"/>
    </row>
    <row r="2573" spans="3:14" ht="12.75">
      <c r="C2573" s="165"/>
      <c r="D2573" s="165"/>
      <c r="E2573" s="165"/>
      <c r="K2573" s="12"/>
      <c r="L2573" s="12"/>
      <c r="M2573" s="12"/>
      <c r="N2573" s="12"/>
    </row>
    <row r="2574" spans="3:14" ht="12.75">
      <c r="C2574" s="165"/>
      <c r="D2574" s="165"/>
      <c r="E2574" s="165"/>
      <c r="K2574" s="12"/>
      <c r="L2574" s="12"/>
      <c r="M2574" s="12"/>
      <c r="N2574" s="12"/>
    </row>
    <row r="2575" spans="3:14" ht="12.75">
      <c r="C2575" s="165"/>
      <c r="D2575" s="165"/>
      <c r="E2575" s="165"/>
      <c r="K2575" s="12"/>
      <c r="L2575" s="12"/>
      <c r="M2575" s="12"/>
      <c r="N2575" s="12"/>
    </row>
    <row r="2576" spans="3:14" ht="12.75">
      <c r="C2576" s="165"/>
      <c r="D2576" s="165"/>
      <c r="E2576" s="165"/>
      <c r="K2576" s="12"/>
      <c r="L2576" s="12"/>
      <c r="M2576" s="12"/>
      <c r="N2576" s="12"/>
    </row>
    <row r="2577" spans="3:14" ht="12.75">
      <c r="C2577" s="165"/>
      <c r="D2577" s="165"/>
      <c r="E2577" s="165"/>
      <c r="K2577" s="12"/>
      <c r="L2577" s="12"/>
      <c r="M2577" s="12"/>
      <c r="N2577" s="12"/>
    </row>
    <row r="2578" spans="3:14" ht="12.75">
      <c r="C2578" s="165"/>
      <c r="D2578" s="165"/>
      <c r="E2578" s="165"/>
      <c r="K2578" s="12"/>
      <c r="L2578" s="12"/>
      <c r="M2578" s="12"/>
      <c r="N2578" s="12"/>
    </row>
    <row r="2579" spans="3:14" ht="12.75">
      <c r="C2579" s="165"/>
      <c r="D2579" s="165"/>
      <c r="E2579" s="165"/>
      <c r="K2579" s="12"/>
      <c r="L2579" s="12"/>
      <c r="M2579" s="12"/>
      <c r="N2579" s="12"/>
    </row>
    <row r="2580" spans="3:14" ht="12.75">
      <c r="C2580" s="165"/>
      <c r="D2580" s="165"/>
      <c r="E2580" s="165"/>
      <c r="K2580" s="12"/>
      <c r="L2580" s="12"/>
      <c r="M2580" s="12"/>
      <c r="N2580" s="12"/>
    </row>
    <row r="2581" spans="3:14" ht="12.75">
      <c r="C2581" s="165"/>
      <c r="D2581" s="165"/>
      <c r="E2581" s="165"/>
      <c r="K2581" s="12"/>
      <c r="L2581" s="12"/>
      <c r="M2581" s="12"/>
      <c r="N2581" s="12"/>
    </row>
    <row r="2582" spans="3:14" ht="12.75">
      <c r="C2582" s="165"/>
      <c r="D2582" s="165"/>
      <c r="E2582" s="165"/>
      <c r="K2582" s="12"/>
      <c r="L2582" s="12"/>
      <c r="M2582" s="12"/>
      <c r="N2582" s="12"/>
    </row>
    <row r="2583" spans="3:14" ht="12.75">
      <c r="C2583" s="165"/>
      <c r="D2583" s="165"/>
      <c r="E2583" s="165"/>
      <c r="K2583" s="12"/>
      <c r="L2583" s="12"/>
      <c r="M2583" s="12"/>
      <c r="N2583" s="12"/>
    </row>
    <row r="2584" spans="3:14" ht="12.75">
      <c r="C2584" s="165"/>
      <c r="D2584" s="165"/>
      <c r="E2584" s="165"/>
      <c r="K2584" s="12"/>
      <c r="L2584" s="12"/>
      <c r="M2584" s="12"/>
      <c r="N2584" s="12"/>
    </row>
    <row r="2585" spans="3:14" ht="12.75">
      <c r="C2585" s="165"/>
      <c r="D2585" s="165"/>
      <c r="E2585" s="165"/>
      <c r="K2585" s="12"/>
      <c r="L2585" s="12"/>
      <c r="M2585" s="12"/>
      <c r="N2585" s="12"/>
    </row>
    <row r="2586" spans="3:14" ht="12.75">
      <c r="C2586" s="165"/>
      <c r="D2586" s="165"/>
      <c r="E2586" s="165"/>
      <c r="K2586" s="12"/>
      <c r="L2586" s="12"/>
      <c r="M2586" s="12"/>
      <c r="N2586" s="12"/>
    </row>
    <row r="2587" spans="3:14" ht="12.75">
      <c r="C2587" s="165"/>
      <c r="D2587" s="165"/>
      <c r="E2587" s="165"/>
      <c r="K2587" s="12"/>
      <c r="L2587" s="12"/>
      <c r="M2587" s="12"/>
      <c r="N2587" s="12"/>
    </row>
    <row r="2588" spans="3:14" ht="12.75">
      <c r="C2588" s="165"/>
      <c r="D2588" s="165"/>
      <c r="E2588" s="165"/>
      <c r="K2588" s="12"/>
      <c r="L2588" s="12"/>
      <c r="M2588" s="12"/>
      <c r="N2588" s="12"/>
    </row>
    <row r="2589" spans="3:14" ht="12.75">
      <c r="C2589" s="165"/>
      <c r="D2589" s="165"/>
      <c r="E2589" s="165"/>
      <c r="K2589" s="12"/>
      <c r="L2589" s="12"/>
      <c r="M2589" s="12"/>
      <c r="N2589" s="12"/>
    </row>
    <row r="2590" spans="3:14" ht="12.75">
      <c r="C2590" s="165"/>
      <c r="D2590" s="165"/>
      <c r="E2590" s="165"/>
      <c r="K2590" s="12"/>
      <c r="L2590" s="12"/>
      <c r="M2590" s="12"/>
      <c r="N2590" s="12"/>
    </row>
    <row r="2591" spans="3:14" ht="12.75">
      <c r="C2591" s="165"/>
      <c r="D2591" s="165"/>
      <c r="E2591" s="165"/>
      <c r="K2591" s="12"/>
      <c r="L2591" s="12"/>
      <c r="M2591" s="12"/>
      <c r="N2591" s="12"/>
    </row>
    <row r="2592" spans="3:14" ht="12.75">
      <c r="C2592" s="165"/>
      <c r="D2592" s="165"/>
      <c r="E2592" s="165"/>
      <c r="K2592" s="12"/>
      <c r="L2592" s="12"/>
      <c r="M2592" s="12"/>
      <c r="N2592" s="12"/>
    </row>
    <row r="2593" spans="3:14" ht="12.75">
      <c r="C2593" s="165"/>
      <c r="D2593" s="165"/>
      <c r="E2593" s="165"/>
      <c r="K2593" s="12"/>
      <c r="L2593" s="12"/>
      <c r="M2593" s="12"/>
      <c r="N2593" s="12"/>
    </row>
    <row r="2594" spans="3:14" ht="12.75">
      <c r="C2594" s="165"/>
      <c r="D2594" s="165"/>
      <c r="E2594" s="165"/>
      <c r="K2594" s="12"/>
      <c r="L2594" s="12"/>
      <c r="M2594" s="12"/>
      <c r="N2594" s="12"/>
    </row>
    <row r="2595" spans="3:14" ht="12.75">
      <c r="C2595" s="165"/>
      <c r="D2595" s="165"/>
      <c r="E2595" s="165"/>
      <c r="K2595" s="12"/>
      <c r="L2595" s="12"/>
      <c r="M2595" s="12"/>
      <c r="N2595" s="12"/>
    </row>
    <row r="2596" spans="3:14" ht="12.75">
      <c r="C2596" s="165"/>
      <c r="D2596" s="165"/>
      <c r="E2596" s="165"/>
      <c r="K2596" s="12"/>
      <c r="L2596" s="12"/>
      <c r="M2596" s="12"/>
      <c r="N2596" s="12"/>
    </row>
    <row r="2597" spans="3:14" ht="12.75">
      <c r="C2597" s="165"/>
      <c r="D2597" s="165"/>
      <c r="E2597" s="165"/>
      <c r="K2597" s="12"/>
      <c r="L2597" s="12"/>
      <c r="M2597" s="12"/>
      <c r="N2597" s="12"/>
    </row>
    <row r="2598" spans="3:14" ht="12.75">
      <c r="C2598" s="165"/>
      <c r="D2598" s="165"/>
      <c r="E2598" s="165"/>
      <c r="K2598" s="12"/>
      <c r="L2598" s="12"/>
      <c r="M2598" s="12"/>
      <c r="N2598" s="12"/>
    </row>
    <row r="2599" spans="3:14" ht="12.75">
      <c r="C2599" s="165"/>
      <c r="D2599" s="165"/>
      <c r="E2599" s="165"/>
      <c r="K2599" s="12"/>
      <c r="L2599" s="12"/>
      <c r="M2599" s="12"/>
      <c r="N2599" s="12"/>
    </row>
    <row r="2600" spans="3:14" ht="12.75">
      <c r="C2600" s="165"/>
      <c r="D2600" s="165"/>
      <c r="E2600" s="165"/>
      <c r="K2600" s="12"/>
      <c r="L2600" s="12"/>
      <c r="M2600" s="12"/>
      <c r="N2600" s="12"/>
    </row>
    <row r="2601" spans="3:14" ht="12.75">
      <c r="C2601" s="165"/>
      <c r="D2601" s="165"/>
      <c r="E2601" s="165"/>
      <c r="K2601" s="12"/>
      <c r="L2601" s="12"/>
      <c r="M2601" s="12"/>
      <c r="N2601" s="12"/>
    </row>
    <row r="2602" spans="3:14" ht="12.75">
      <c r="C2602" s="165"/>
      <c r="D2602" s="165"/>
      <c r="E2602" s="165"/>
      <c r="K2602" s="12"/>
      <c r="L2602" s="12"/>
      <c r="M2602" s="12"/>
      <c r="N2602" s="12"/>
    </row>
    <row r="2603" spans="3:14" ht="12.75">
      <c r="C2603" s="165"/>
      <c r="D2603" s="165"/>
      <c r="E2603" s="165"/>
      <c r="K2603" s="12"/>
      <c r="L2603" s="12"/>
      <c r="M2603" s="12"/>
      <c r="N2603" s="12"/>
    </row>
    <row r="2604" spans="3:14" ht="12.75">
      <c r="C2604" s="165"/>
      <c r="D2604" s="165"/>
      <c r="E2604" s="165"/>
      <c r="K2604" s="12"/>
      <c r="L2604" s="12"/>
      <c r="M2604" s="12"/>
      <c r="N2604" s="12"/>
    </row>
    <row r="2605" spans="3:14" ht="12.75">
      <c r="C2605" s="165"/>
      <c r="D2605" s="165"/>
      <c r="E2605" s="165"/>
      <c r="K2605" s="12"/>
      <c r="L2605" s="12"/>
      <c r="M2605" s="12"/>
      <c r="N2605" s="12"/>
    </row>
    <row r="2606" spans="3:14" ht="12.75">
      <c r="C2606" s="165"/>
      <c r="D2606" s="165"/>
      <c r="E2606" s="165"/>
      <c r="K2606" s="12"/>
      <c r="L2606" s="12"/>
      <c r="M2606" s="12"/>
      <c r="N2606" s="12"/>
    </row>
    <row r="2607" spans="3:14" ht="12.75">
      <c r="C2607" s="165"/>
      <c r="D2607" s="165"/>
      <c r="E2607" s="165"/>
      <c r="K2607" s="12"/>
      <c r="L2607" s="12"/>
      <c r="M2607" s="12"/>
      <c r="N2607" s="12"/>
    </row>
    <row r="2608" spans="3:14" ht="12.75">
      <c r="C2608" s="165"/>
      <c r="D2608" s="165"/>
      <c r="E2608" s="165"/>
      <c r="K2608" s="12"/>
      <c r="L2608" s="12"/>
      <c r="M2608" s="12"/>
      <c r="N2608" s="12"/>
    </row>
    <row r="2609" spans="3:14" ht="12.75">
      <c r="C2609" s="165"/>
      <c r="D2609" s="165"/>
      <c r="E2609" s="165"/>
      <c r="K2609" s="12"/>
      <c r="L2609" s="12"/>
      <c r="M2609" s="12"/>
      <c r="N2609" s="12"/>
    </row>
    <row r="2610" spans="3:14" ht="12.75">
      <c r="C2610" s="165"/>
      <c r="D2610" s="165"/>
      <c r="E2610" s="165"/>
      <c r="K2610" s="12"/>
      <c r="L2610" s="12"/>
      <c r="M2610" s="12"/>
      <c r="N2610" s="12"/>
    </row>
    <row r="2611" spans="3:14" ht="12.75">
      <c r="C2611" s="165"/>
      <c r="D2611" s="165"/>
      <c r="E2611" s="165"/>
      <c r="K2611" s="12"/>
      <c r="L2611" s="12"/>
      <c r="M2611" s="12"/>
      <c r="N2611" s="12"/>
    </row>
    <row r="2612" spans="3:14" ht="12.75">
      <c r="C2612" s="165"/>
      <c r="D2612" s="165"/>
      <c r="E2612" s="165"/>
      <c r="K2612" s="12"/>
      <c r="L2612" s="12"/>
      <c r="M2612" s="12"/>
      <c r="N2612" s="12"/>
    </row>
    <row r="2613" spans="3:14" ht="12.75">
      <c r="C2613" s="165"/>
      <c r="D2613" s="165"/>
      <c r="E2613" s="165"/>
      <c r="K2613" s="12"/>
      <c r="L2613" s="12"/>
      <c r="M2613" s="12"/>
      <c r="N2613" s="12"/>
    </row>
    <row r="2614" spans="3:14" ht="12.75">
      <c r="C2614" s="165"/>
      <c r="D2614" s="165"/>
      <c r="E2614" s="165"/>
      <c r="K2614" s="12"/>
      <c r="L2614" s="12"/>
      <c r="M2614" s="12"/>
      <c r="N2614" s="12"/>
    </row>
    <row r="2615" spans="3:14" ht="12.75">
      <c r="C2615" s="165"/>
      <c r="D2615" s="165"/>
      <c r="E2615" s="165"/>
      <c r="K2615" s="12"/>
      <c r="L2615" s="12"/>
      <c r="M2615" s="12"/>
      <c r="N2615" s="12"/>
    </row>
    <row r="2616" spans="3:14" ht="12.75">
      <c r="C2616" s="165"/>
      <c r="D2616" s="165"/>
      <c r="E2616" s="165"/>
      <c r="K2616" s="12"/>
      <c r="L2616" s="12"/>
      <c r="M2616" s="12"/>
      <c r="N2616" s="12"/>
    </row>
    <row r="2617" spans="3:14" ht="12.75">
      <c r="C2617" s="165"/>
      <c r="D2617" s="165"/>
      <c r="E2617" s="165"/>
      <c r="K2617" s="12"/>
      <c r="L2617" s="12"/>
      <c r="M2617" s="12"/>
      <c r="N2617" s="12"/>
    </row>
    <row r="2618" spans="3:14" ht="12.75">
      <c r="C2618" s="165"/>
      <c r="D2618" s="165"/>
      <c r="E2618" s="165"/>
      <c r="K2618" s="12"/>
      <c r="L2618" s="12"/>
      <c r="M2618" s="12"/>
      <c r="N2618" s="12"/>
    </row>
    <row r="2619" spans="3:14" ht="12.75">
      <c r="C2619" s="165"/>
      <c r="D2619" s="165"/>
      <c r="E2619" s="165"/>
      <c r="K2619" s="12"/>
      <c r="L2619" s="12"/>
      <c r="M2619" s="12"/>
      <c r="N2619" s="12"/>
    </row>
    <row r="2620" spans="3:14" ht="12.75">
      <c r="C2620" s="165"/>
      <c r="D2620" s="165"/>
      <c r="E2620" s="165"/>
      <c r="K2620" s="12"/>
      <c r="L2620" s="12"/>
      <c r="M2620" s="12"/>
      <c r="N2620" s="12"/>
    </row>
    <row r="2621" spans="3:14" ht="12.75">
      <c r="C2621" s="165"/>
      <c r="D2621" s="165"/>
      <c r="E2621" s="165"/>
      <c r="K2621" s="12"/>
      <c r="L2621" s="12"/>
      <c r="M2621" s="12"/>
      <c r="N2621" s="12"/>
    </row>
    <row r="2622" spans="3:14" ht="12.75">
      <c r="C2622" s="165"/>
      <c r="D2622" s="165"/>
      <c r="E2622" s="165"/>
      <c r="K2622" s="12"/>
      <c r="L2622" s="12"/>
      <c r="M2622" s="12"/>
      <c r="N2622" s="12"/>
    </row>
    <row r="2623" spans="3:14" ht="12.75">
      <c r="C2623" s="165"/>
      <c r="D2623" s="165"/>
      <c r="E2623" s="165"/>
      <c r="K2623" s="12"/>
      <c r="L2623" s="12"/>
      <c r="M2623" s="12"/>
      <c r="N2623" s="12"/>
    </row>
    <row r="2624" spans="3:14" ht="12.75">
      <c r="C2624" s="165"/>
      <c r="D2624" s="165"/>
      <c r="E2624" s="165"/>
      <c r="K2624" s="12"/>
      <c r="L2624" s="12"/>
      <c r="M2624" s="12"/>
      <c r="N2624" s="12"/>
    </row>
    <row r="2625" spans="3:14" ht="12.75">
      <c r="C2625" s="165"/>
      <c r="D2625" s="165"/>
      <c r="E2625" s="165"/>
      <c r="K2625" s="12"/>
      <c r="L2625" s="12"/>
      <c r="M2625" s="12"/>
      <c r="N2625" s="12"/>
    </row>
    <row r="2626" spans="3:14" ht="12.75">
      <c r="C2626" s="165"/>
      <c r="D2626" s="165"/>
      <c r="E2626" s="165"/>
      <c r="K2626" s="12"/>
      <c r="L2626" s="12"/>
      <c r="M2626" s="12"/>
      <c r="N2626" s="12"/>
    </row>
    <row r="2627" spans="3:14" ht="12.75">
      <c r="C2627" s="165"/>
      <c r="D2627" s="165"/>
      <c r="E2627" s="165"/>
      <c r="K2627" s="12"/>
      <c r="L2627" s="12"/>
      <c r="M2627" s="12"/>
      <c r="N2627" s="12"/>
    </row>
    <row r="2628" spans="3:14" ht="12.75">
      <c r="C2628" s="165"/>
      <c r="D2628" s="165"/>
      <c r="E2628" s="165"/>
      <c r="K2628" s="12"/>
      <c r="L2628" s="12"/>
      <c r="M2628" s="12"/>
      <c r="N2628" s="12"/>
    </row>
    <row r="2629" spans="3:14" ht="12.75">
      <c r="C2629" s="165"/>
      <c r="D2629" s="165"/>
      <c r="E2629" s="165"/>
      <c r="K2629" s="12"/>
      <c r="L2629" s="12"/>
      <c r="M2629" s="12"/>
      <c r="N2629" s="12"/>
    </row>
    <row r="2630" spans="3:14" ht="12.75">
      <c r="C2630" s="165"/>
      <c r="D2630" s="165"/>
      <c r="E2630" s="165"/>
      <c r="K2630" s="12"/>
      <c r="L2630" s="12"/>
      <c r="M2630" s="12"/>
      <c r="N2630" s="12"/>
    </row>
    <row r="2631" spans="3:14" ht="12.75">
      <c r="C2631" s="165"/>
      <c r="D2631" s="165"/>
      <c r="E2631" s="165"/>
      <c r="K2631" s="12"/>
      <c r="L2631" s="12"/>
      <c r="M2631" s="12"/>
      <c r="N2631" s="12"/>
    </row>
    <row r="2632" spans="3:14" ht="12.75">
      <c r="C2632" s="165"/>
      <c r="D2632" s="165"/>
      <c r="E2632" s="165"/>
      <c r="K2632" s="12"/>
      <c r="L2632" s="12"/>
      <c r="M2632" s="12"/>
      <c r="N2632" s="12"/>
    </row>
    <row r="2633" spans="3:14" ht="12.75">
      <c r="C2633" s="165"/>
      <c r="D2633" s="165"/>
      <c r="E2633" s="165"/>
      <c r="K2633" s="12"/>
      <c r="L2633" s="12"/>
      <c r="M2633" s="12"/>
      <c r="N2633" s="12"/>
    </row>
    <row r="2634" spans="3:14" ht="12.75">
      <c r="C2634" s="165"/>
      <c r="D2634" s="165"/>
      <c r="E2634" s="165"/>
      <c r="K2634" s="12"/>
      <c r="L2634" s="12"/>
      <c r="M2634" s="12"/>
      <c r="N2634" s="12"/>
    </row>
    <row r="2635" spans="3:14" ht="12.75">
      <c r="C2635" s="165"/>
      <c r="D2635" s="165"/>
      <c r="E2635" s="165"/>
      <c r="K2635" s="12"/>
      <c r="L2635" s="12"/>
      <c r="M2635" s="12"/>
      <c r="N2635" s="12"/>
    </row>
    <row r="2636" spans="3:14" ht="12.75">
      <c r="C2636" s="165"/>
      <c r="D2636" s="165"/>
      <c r="E2636" s="165"/>
      <c r="K2636" s="12"/>
      <c r="L2636" s="12"/>
      <c r="M2636" s="12"/>
      <c r="N2636" s="12"/>
    </row>
    <row r="2637" spans="3:14" ht="12.75">
      <c r="C2637" s="165"/>
      <c r="D2637" s="165"/>
      <c r="E2637" s="165"/>
      <c r="K2637" s="12"/>
      <c r="L2637" s="12"/>
      <c r="M2637" s="12"/>
      <c r="N2637" s="12"/>
    </row>
    <row r="2638" spans="3:14" ht="12.75">
      <c r="C2638" s="165"/>
      <c r="D2638" s="165"/>
      <c r="E2638" s="165"/>
      <c r="K2638" s="12"/>
      <c r="L2638" s="12"/>
      <c r="M2638" s="12"/>
      <c r="N2638" s="12"/>
    </row>
    <row r="2639" spans="3:14" ht="12.75">
      <c r="C2639" s="165"/>
      <c r="D2639" s="165"/>
      <c r="E2639" s="165"/>
      <c r="K2639" s="12"/>
      <c r="L2639" s="12"/>
      <c r="M2639" s="12"/>
      <c r="N2639" s="12"/>
    </row>
    <row r="2640" spans="3:14" ht="12.75">
      <c r="C2640" s="165"/>
      <c r="D2640" s="165"/>
      <c r="E2640" s="165"/>
      <c r="K2640" s="12"/>
      <c r="L2640" s="12"/>
      <c r="M2640" s="12"/>
      <c r="N2640" s="12"/>
    </row>
    <row r="2641" spans="3:14" ht="12.75">
      <c r="C2641" s="165"/>
      <c r="D2641" s="165"/>
      <c r="E2641" s="165"/>
      <c r="K2641" s="12"/>
      <c r="L2641" s="12"/>
      <c r="M2641" s="12"/>
      <c r="N2641" s="12"/>
    </row>
    <row r="2642" spans="3:14" ht="12.75">
      <c r="C2642" s="165"/>
      <c r="D2642" s="165"/>
      <c r="E2642" s="165"/>
      <c r="K2642" s="12"/>
      <c r="L2642" s="12"/>
      <c r="M2642" s="12"/>
      <c r="N2642" s="12"/>
    </row>
    <row r="2643" spans="3:14" ht="12.75">
      <c r="C2643" s="165"/>
      <c r="D2643" s="165"/>
      <c r="E2643" s="165"/>
      <c r="K2643" s="12"/>
      <c r="L2643" s="12"/>
      <c r="M2643" s="12"/>
      <c r="N2643" s="12"/>
    </row>
    <row r="2644" spans="3:14" ht="12.75">
      <c r="C2644" s="165"/>
      <c r="D2644" s="165"/>
      <c r="E2644" s="165"/>
      <c r="K2644" s="12"/>
      <c r="L2644" s="12"/>
      <c r="M2644" s="12"/>
      <c r="N2644" s="12"/>
    </row>
    <row r="2645" spans="3:14" ht="12.75">
      <c r="C2645" s="165"/>
      <c r="D2645" s="165"/>
      <c r="E2645" s="165"/>
      <c r="K2645" s="12"/>
      <c r="L2645" s="12"/>
      <c r="M2645" s="12"/>
      <c r="N2645" s="12"/>
    </row>
    <row r="2646" spans="3:14" ht="12.75">
      <c r="C2646" s="165"/>
      <c r="D2646" s="165"/>
      <c r="E2646" s="165"/>
      <c r="K2646" s="12"/>
      <c r="L2646" s="12"/>
      <c r="M2646" s="12"/>
      <c r="N2646" s="12"/>
    </row>
    <row r="2647" spans="3:14" ht="12.75">
      <c r="C2647" s="165"/>
      <c r="D2647" s="165"/>
      <c r="E2647" s="165"/>
      <c r="K2647" s="12"/>
      <c r="L2647" s="12"/>
      <c r="M2647" s="12"/>
      <c r="N2647" s="12"/>
    </row>
    <row r="2648" spans="3:14" ht="12.75">
      <c r="C2648" s="165"/>
      <c r="D2648" s="165"/>
      <c r="E2648" s="165"/>
      <c r="K2648" s="12"/>
      <c r="L2648" s="12"/>
      <c r="M2648" s="12"/>
      <c r="N2648" s="12"/>
    </row>
    <row r="2649" spans="3:14" ht="12.75">
      <c r="C2649" s="165"/>
      <c r="D2649" s="165"/>
      <c r="E2649" s="165"/>
      <c r="K2649" s="12"/>
      <c r="L2649" s="12"/>
      <c r="M2649" s="12"/>
      <c r="N2649" s="12"/>
    </row>
    <row r="2650" spans="3:14" ht="12.75">
      <c r="C2650" s="165"/>
      <c r="D2650" s="165"/>
      <c r="E2650" s="165"/>
      <c r="K2650" s="12"/>
      <c r="L2650" s="12"/>
      <c r="M2650" s="12"/>
      <c r="N2650" s="12"/>
    </row>
    <row r="2651" spans="3:14" ht="12.75">
      <c r="C2651" s="165"/>
      <c r="D2651" s="165"/>
      <c r="E2651" s="165"/>
      <c r="K2651" s="12"/>
      <c r="L2651" s="12"/>
      <c r="M2651" s="12"/>
      <c r="N2651" s="12"/>
    </row>
    <row r="2652" spans="3:14" ht="12.75">
      <c r="C2652" s="165"/>
      <c r="D2652" s="165"/>
      <c r="E2652" s="165"/>
      <c r="K2652" s="12"/>
      <c r="L2652" s="12"/>
      <c r="M2652" s="12"/>
      <c r="N2652" s="12"/>
    </row>
    <row r="2653" spans="3:14" ht="12.75">
      <c r="C2653" s="165"/>
      <c r="D2653" s="165"/>
      <c r="E2653" s="165"/>
      <c r="K2653" s="12"/>
      <c r="L2653" s="12"/>
      <c r="M2653" s="12"/>
      <c r="N2653" s="12"/>
    </row>
    <row r="2654" spans="3:14" ht="12.75">
      <c r="C2654" s="165"/>
      <c r="D2654" s="165"/>
      <c r="E2654" s="165"/>
      <c r="K2654" s="12"/>
      <c r="L2654" s="12"/>
      <c r="M2654" s="12"/>
      <c r="N2654" s="12"/>
    </row>
    <row r="2655" spans="3:14" ht="12.75">
      <c r="C2655" s="165"/>
      <c r="D2655" s="165"/>
      <c r="E2655" s="165"/>
      <c r="K2655" s="12"/>
      <c r="L2655" s="12"/>
      <c r="M2655" s="12"/>
      <c r="N2655" s="12"/>
    </row>
    <row r="2656" spans="3:14" ht="12.75">
      <c r="C2656" s="165"/>
      <c r="D2656" s="165"/>
      <c r="E2656" s="165"/>
      <c r="K2656" s="12"/>
      <c r="L2656" s="12"/>
      <c r="M2656" s="12"/>
      <c r="N2656" s="12"/>
    </row>
    <row r="2657" spans="3:14" ht="12.75">
      <c r="C2657" s="165"/>
      <c r="D2657" s="165"/>
      <c r="E2657" s="165"/>
      <c r="K2657" s="12"/>
      <c r="L2657" s="12"/>
      <c r="M2657" s="12"/>
      <c r="N2657" s="12"/>
    </row>
    <row r="2658" spans="3:14" ht="12.75">
      <c r="C2658" s="165"/>
      <c r="D2658" s="165"/>
      <c r="E2658" s="165"/>
      <c r="K2658" s="12"/>
      <c r="L2658" s="12"/>
      <c r="M2658" s="12"/>
      <c r="N2658" s="12"/>
    </row>
    <row r="2659" spans="3:14" ht="12.75">
      <c r="C2659" s="165"/>
      <c r="D2659" s="165"/>
      <c r="E2659" s="165"/>
      <c r="K2659" s="12"/>
      <c r="L2659" s="12"/>
      <c r="M2659" s="12"/>
      <c r="N2659" s="12"/>
    </row>
    <row r="2660" spans="3:14" ht="12.75">
      <c r="C2660" s="165"/>
      <c r="D2660" s="165"/>
      <c r="E2660" s="165"/>
      <c r="K2660" s="12"/>
      <c r="L2660" s="12"/>
      <c r="M2660" s="12"/>
      <c r="N2660" s="12"/>
    </row>
    <row r="2661" spans="3:14" ht="12.75">
      <c r="C2661" s="165"/>
      <c r="D2661" s="165"/>
      <c r="E2661" s="165"/>
      <c r="K2661" s="12"/>
      <c r="L2661" s="12"/>
      <c r="M2661" s="12"/>
      <c r="N2661" s="12"/>
    </row>
    <row r="2662" spans="3:14" ht="12.75">
      <c r="C2662" s="165"/>
      <c r="D2662" s="165"/>
      <c r="E2662" s="165"/>
      <c r="K2662" s="12"/>
      <c r="L2662" s="12"/>
      <c r="M2662" s="12"/>
      <c r="N2662" s="12"/>
    </row>
    <row r="2663" spans="3:14" ht="12.75">
      <c r="C2663" s="165"/>
      <c r="D2663" s="165"/>
      <c r="E2663" s="165"/>
      <c r="K2663" s="12"/>
      <c r="L2663" s="12"/>
      <c r="M2663" s="12"/>
      <c r="N2663" s="12"/>
    </row>
    <row r="2664" spans="3:14" ht="12.75">
      <c r="C2664" s="165"/>
      <c r="D2664" s="165"/>
      <c r="E2664" s="165"/>
      <c r="K2664" s="12"/>
      <c r="L2664" s="12"/>
      <c r="M2664" s="12"/>
      <c r="N2664" s="12"/>
    </row>
    <row r="2665" spans="3:14" ht="12.75">
      <c r="C2665" s="165"/>
      <c r="D2665" s="165"/>
      <c r="E2665" s="165"/>
      <c r="K2665" s="12"/>
      <c r="L2665" s="12"/>
      <c r="M2665" s="12"/>
      <c r="N2665" s="12"/>
    </row>
    <row r="2666" spans="3:14" ht="12.75">
      <c r="C2666" s="165"/>
      <c r="D2666" s="165"/>
      <c r="E2666" s="165"/>
      <c r="K2666" s="12"/>
      <c r="L2666" s="12"/>
      <c r="M2666" s="12"/>
      <c r="N2666" s="12"/>
    </row>
    <row r="2667" spans="3:14" ht="12.75">
      <c r="C2667" s="165"/>
      <c r="D2667" s="165"/>
      <c r="E2667" s="165"/>
      <c r="K2667" s="12"/>
      <c r="L2667" s="12"/>
      <c r="M2667" s="12"/>
      <c r="N2667" s="12"/>
    </row>
    <row r="2668" spans="3:14" ht="12.75">
      <c r="C2668" s="165"/>
      <c r="D2668" s="165"/>
      <c r="E2668" s="165"/>
      <c r="K2668" s="12"/>
      <c r="L2668" s="12"/>
      <c r="M2668" s="12"/>
      <c r="N2668" s="12"/>
    </row>
    <row r="2669" spans="3:14" ht="12.75">
      <c r="C2669" s="165"/>
      <c r="D2669" s="165"/>
      <c r="E2669" s="165"/>
      <c r="K2669" s="12"/>
      <c r="L2669" s="12"/>
      <c r="M2669" s="12"/>
      <c r="N2669" s="12"/>
    </row>
    <row r="2670" spans="3:14" ht="12.75">
      <c r="C2670" s="165"/>
      <c r="D2670" s="165"/>
      <c r="E2670" s="165"/>
      <c r="K2670" s="12"/>
      <c r="L2670" s="12"/>
      <c r="M2670" s="12"/>
      <c r="N2670" s="12"/>
    </row>
    <row r="2671" spans="3:14" ht="12.75">
      <c r="C2671" s="165"/>
      <c r="D2671" s="165"/>
      <c r="E2671" s="165"/>
      <c r="K2671" s="12"/>
      <c r="L2671" s="12"/>
      <c r="M2671" s="12"/>
      <c r="N2671" s="12"/>
    </row>
    <row r="2672" spans="3:14" ht="12.75">
      <c r="C2672" s="165"/>
      <c r="D2672" s="165"/>
      <c r="E2672" s="165"/>
      <c r="K2672" s="12"/>
      <c r="L2672" s="12"/>
      <c r="M2672" s="12"/>
      <c r="N2672" s="12"/>
    </row>
    <row r="2673" spans="3:14" ht="12.75">
      <c r="C2673" s="165"/>
      <c r="D2673" s="165"/>
      <c r="E2673" s="165"/>
      <c r="K2673" s="12"/>
      <c r="L2673" s="12"/>
      <c r="M2673" s="12"/>
      <c r="N2673" s="12"/>
    </row>
    <row r="2674" spans="3:14" ht="12.75">
      <c r="C2674" s="165"/>
      <c r="D2674" s="165"/>
      <c r="E2674" s="165"/>
      <c r="K2674" s="12"/>
      <c r="L2674" s="12"/>
      <c r="M2674" s="12"/>
      <c r="N2674" s="12"/>
    </row>
    <row r="2675" spans="3:14" ht="12.75">
      <c r="C2675" s="165"/>
      <c r="D2675" s="165"/>
      <c r="E2675" s="165"/>
      <c r="K2675" s="12"/>
      <c r="L2675" s="12"/>
      <c r="M2675" s="12"/>
      <c r="N2675" s="12"/>
    </row>
    <row r="2676" spans="3:14" ht="12.75">
      <c r="C2676" s="165"/>
      <c r="D2676" s="165"/>
      <c r="E2676" s="165"/>
      <c r="K2676" s="12"/>
      <c r="L2676" s="12"/>
      <c r="M2676" s="12"/>
      <c r="N2676" s="12"/>
    </row>
    <row r="2677" spans="3:14" ht="12.75">
      <c r="C2677" s="165"/>
      <c r="D2677" s="165"/>
      <c r="E2677" s="165"/>
      <c r="K2677" s="12"/>
      <c r="L2677" s="12"/>
      <c r="M2677" s="12"/>
      <c r="N2677" s="12"/>
    </row>
    <row r="2678" spans="3:14" ht="12.75">
      <c r="C2678" s="165"/>
      <c r="D2678" s="165"/>
      <c r="E2678" s="165"/>
      <c r="K2678" s="12"/>
      <c r="L2678" s="12"/>
      <c r="M2678" s="12"/>
      <c r="N2678" s="12"/>
    </row>
    <row r="2679" spans="3:14" ht="12.75">
      <c r="C2679" s="165"/>
      <c r="D2679" s="165"/>
      <c r="E2679" s="165"/>
      <c r="K2679" s="12"/>
      <c r="L2679" s="12"/>
      <c r="M2679" s="12"/>
      <c r="N2679" s="12"/>
    </row>
    <row r="2680" spans="3:14" ht="12.75">
      <c r="C2680" s="165"/>
      <c r="D2680" s="165"/>
      <c r="E2680" s="165"/>
      <c r="K2680" s="12"/>
      <c r="L2680" s="12"/>
      <c r="M2680" s="12"/>
      <c r="N2680" s="12"/>
    </row>
    <row r="2681" spans="3:14" ht="12.75">
      <c r="C2681" s="165"/>
      <c r="D2681" s="165"/>
      <c r="E2681" s="165"/>
      <c r="K2681" s="12"/>
      <c r="L2681" s="12"/>
      <c r="M2681" s="12"/>
      <c r="N2681" s="12"/>
    </row>
    <row r="2682" spans="3:14" ht="12.75">
      <c r="C2682" s="165"/>
      <c r="D2682" s="165"/>
      <c r="E2682" s="165"/>
      <c r="K2682" s="12"/>
      <c r="L2682" s="12"/>
      <c r="M2682" s="12"/>
      <c r="N2682" s="12"/>
    </row>
    <row r="2683" spans="3:14" ht="12.75">
      <c r="C2683" s="165"/>
      <c r="D2683" s="165"/>
      <c r="E2683" s="165"/>
      <c r="K2683" s="12"/>
      <c r="L2683" s="12"/>
      <c r="M2683" s="12"/>
      <c r="N2683" s="12"/>
    </row>
    <row r="2684" spans="3:14" ht="12.75">
      <c r="C2684" s="165"/>
      <c r="D2684" s="165"/>
      <c r="E2684" s="165"/>
      <c r="K2684" s="12"/>
      <c r="L2684" s="12"/>
      <c r="M2684" s="12"/>
      <c r="N2684" s="12"/>
    </row>
    <row r="2685" spans="3:14" ht="12.75">
      <c r="C2685" s="165"/>
      <c r="D2685" s="165"/>
      <c r="E2685" s="165"/>
      <c r="K2685" s="12"/>
      <c r="L2685" s="12"/>
      <c r="M2685" s="12"/>
      <c r="N2685" s="12"/>
    </row>
    <row r="2686" spans="3:14" ht="12.75">
      <c r="C2686" s="165"/>
      <c r="D2686" s="165"/>
      <c r="E2686" s="165"/>
      <c r="K2686" s="12"/>
      <c r="L2686" s="12"/>
      <c r="M2686" s="12"/>
      <c r="N2686" s="12"/>
    </row>
    <row r="2687" spans="3:14" ht="12.75">
      <c r="C2687" s="165"/>
      <c r="D2687" s="165"/>
      <c r="E2687" s="165"/>
      <c r="K2687" s="12"/>
      <c r="L2687" s="12"/>
      <c r="M2687" s="12"/>
      <c r="N2687" s="12"/>
    </row>
    <row r="2688" spans="3:14" ht="12.75">
      <c r="C2688" s="165"/>
      <c r="D2688" s="165"/>
      <c r="E2688" s="165"/>
      <c r="K2688" s="12"/>
      <c r="L2688" s="12"/>
      <c r="M2688" s="12"/>
      <c r="N2688" s="12"/>
    </row>
    <row r="2689" spans="3:14" ht="12.75">
      <c r="C2689" s="165"/>
      <c r="D2689" s="165"/>
      <c r="E2689" s="165"/>
      <c r="K2689" s="12"/>
      <c r="L2689" s="12"/>
      <c r="M2689" s="12"/>
      <c r="N2689" s="12"/>
    </row>
    <row r="2690" spans="3:14" ht="12.75">
      <c r="C2690" s="165"/>
      <c r="D2690" s="165"/>
      <c r="E2690" s="165"/>
      <c r="K2690" s="12"/>
      <c r="L2690" s="12"/>
      <c r="M2690" s="12"/>
      <c r="N2690" s="12"/>
    </row>
    <row r="2691" spans="3:14" ht="12.75">
      <c r="C2691" s="165"/>
      <c r="D2691" s="165"/>
      <c r="E2691" s="165"/>
      <c r="K2691" s="12"/>
      <c r="L2691" s="12"/>
      <c r="M2691" s="12"/>
      <c r="N2691" s="12"/>
    </row>
    <row r="2692" spans="3:14" ht="12.75">
      <c r="C2692" s="165"/>
      <c r="D2692" s="165"/>
      <c r="E2692" s="165"/>
      <c r="K2692" s="12"/>
      <c r="L2692" s="12"/>
      <c r="M2692" s="12"/>
      <c r="N2692" s="12"/>
    </row>
    <row r="2693" spans="3:14" ht="12.75">
      <c r="C2693" s="165"/>
      <c r="D2693" s="165"/>
      <c r="E2693" s="165"/>
      <c r="K2693" s="12"/>
      <c r="L2693" s="12"/>
      <c r="M2693" s="12"/>
      <c r="N2693" s="12"/>
    </row>
    <row r="2694" spans="3:14" ht="12.75">
      <c r="C2694" s="165"/>
      <c r="D2694" s="165"/>
      <c r="E2694" s="165"/>
      <c r="K2694" s="12"/>
      <c r="L2694" s="12"/>
      <c r="M2694" s="12"/>
      <c r="N2694" s="12"/>
    </row>
    <row r="2695" spans="3:14" ht="12.75">
      <c r="C2695" s="165"/>
      <c r="D2695" s="165"/>
      <c r="E2695" s="165"/>
      <c r="K2695" s="12"/>
      <c r="L2695" s="12"/>
      <c r="M2695" s="12"/>
      <c r="N2695" s="12"/>
    </row>
    <row r="2696" spans="3:14" ht="12.75">
      <c r="C2696" s="165"/>
      <c r="D2696" s="165"/>
      <c r="E2696" s="165"/>
      <c r="K2696" s="12"/>
      <c r="L2696" s="12"/>
      <c r="M2696" s="12"/>
      <c r="N2696" s="12"/>
    </row>
    <row r="2697" spans="3:14" ht="12.75">
      <c r="C2697" s="165"/>
      <c r="D2697" s="165"/>
      <c r="E2697" s="165"/>
      <c r="K2697" s="12"/>
      <c r="L2697" s="12"/>
      <c r="M2697" s="12"/>
      <c r="N2697" s="12"/>
    </row>
    <row r="2698" spans="3:14" ht="12.75">
      <c r="C2698" s="165"/>
      <c r="D2698" s="165"/>
      <c r="E2698" s="165"/>
      <c r="K2698" s="12"/>
      <c r="L2698" s="12"/>
      <c r="M2698" s="12"/>
      <c r="N2698" s="12"/>
    </row>
    <row r="2699" spans="3:14" ht="12.75">
      <c r="C2699" s="165"/>
      <c r="D2699" s="165"/>
      <c r="E2699" s="165"/>
      <c r="K2699" s="12"/>
      <c r="L2699" s="12"/>
      <c r="M2699" s="12"/>
      <c r="N2699" s="12"/>
    </row>
    <row r="2700" spans="3:14" ht="12.75">
      <c r="C2700" s="165"/>
      <c r="D2700" s="165"/>
      <c r="E2700" s="165"/>
      <c r="K2700" s="12"/>
      <c r="L2700" s="12"/>
      <c r="M2700" s="12"/>
      <c r="N2700" s="12"/>
    </row>
    <row r="2701" spans="3:14" ht="12.75">
      <c r="C2701" s="165"/>
      <c r="D2701" s="165"/>
      <c r="E2701" s="165"/>
      <c r="K2701" s="12"/>
      <c r="L2701" s="12"/>
      <c r="M2701" s="12"/>
      <c r="N2701" s="12"/>
    </row>
    <row r="2702" spans="3:14" ht="12.75">
      <c r="C2702" s="165"/>
      <c r="D2702" s="165"/>
      <c r="E2702" s="165"/>
      <c r="K2702" s="12"/>
      <c r="L2702" s="12"/>
      <c r="M2702" s="12"/>
      <c r="N2702" s="12"/>
    </row>
    <row r="2703" spans="3:14" ht="12.75">
      <c r="C2703" s="165"/>
      <c r="D2703" s="165"/>
      <c r="E2703" s="165"/>
      <c r="K2703" s="12"/>
      <c r="L2703" s="12"/>
      <c r="M2703" s="12"/>
      <c r="N2703" s="12"/>
    </row>
    <row r="2704" spans="3:14" ht="12.75">
      <c r="C2704" s="165"/>
      <c r="D2704" s="165"/>
      <c r="E2704" s="165"/>
      <c r="K2704" s="12"/>
      <c r="L2704" s="12"/>
      <c r="M2704" s="12"/>
      <c r="N2704" s="12"/>
    </row>
    <row r="2705" spans="3:14" ht="12.75">
      <c r="C2705" s="165"/>
      <c r="D2705" s="165"/>
      <c r="E2705" s="165"/>
      <c r="K2705" s="12"/>
      <c r="L2705" s="12"/>
      <c r="M2705" s="12"/>
      <c r="N2705" s="12"/>
    </row>
    <row r="2706" spans="3:14" ht="12.75">
      <c r="C2706" s="165"/>
      <c r="D2706" s="165"/>
      <c r="E2706" s="165"/>
      <c r="K2706" s="12"/>
      <c r="L2706" s="12"/>
      <c r="M2706" s="12"/>
      <c r="N2706" s="12"/>
    </row>
    <row r="2707" spans="3:14" ht="12.75">
      <c r="C2707" s="165"/>
      <c r="D2707" s="165"/>
      <c r="E2707" s="165"/>
      <c r="K2707" s="12"/>
      <c r="L2707" s="12"/>
      <c r="M2707" s="12"/>
      <c r="N2707" s="12"/>
    </row>
    <row r="2708" spans="3:14" ht="12.75">
      <c r="C2708" s="165"/>
      <c r="D2708" s="165"/>
      <c r="E2708" s="165"/>
      <c r="K2708" s="12"/>
      <c r="L2708" s="12"/>
      <c r="M2708" s="12"/>
      <c r="N2708" s="12"/>
    </row>
    <row r="2709" spans="3:14" ht="12.75">
      <c r="C2709" s="165"/>
      <c r="D2709" s="165"/>
      <c r="E2709" s="165"/>
      <c r="K2709" s="12"/>
      <c r="L2709" s="12"/>
      <c r="M2709" s="12"/>
      <c r="N2709" s="12"/>
    </row>
    <row r="2710" spans="3:14" ht="12.75">
      <c r="C2710" s="165"/>
      <c r="D2710" s="165"/>
      <c r="E2710" s="165"/>
      <c r="K2710" s="12"/>
      <c r="L2710" s="12"/>
      <c r="M2710" s="12"/>
      <c r="N2710" s="12"/>
    </row>
    <row r="2711" spans="3:14" ht="12.75">
      <c r="C2711" s="165"/>
      <c r="D2711" s="165"/>
      <c r="E2711" s="165"/>
      <c r="K2711" s="12"/>
      <c r="L2711" s="12"/>
      <c r="M2711" s="12"/>
      <c r="N2711" s="12"/>
    </row>
    <row r="2712" spans="3:14" ht="12.75">
      <c r="C2712" s="165"/>
      <c r="D2712" s="165"/>
      <c r="E2712" s="165"/>
      <c r="K2712" s="12"/>
      <c r="L2712" s="12"/>
      <c r="M2712" s="12"/>
      <c r="N2712" s="12"/>
    </row>
    <row r="2713" spans="3:14" ht="12.75">
      <c r="C2713" s="165"/>
      <c r="D2713" s="165"/>
      <c r="E2713" s="165"/>
      <c r="K2713" s="12"/>
      <c r="L2713" s="12"/>
      <c r="M2713" s="12"/>
      <c r="N2713" s="12"/>
    </row>
    <row r="2714" spans="3:14" ht="12.75">
      <c r="C2714" s="165"/>
      <c r="D2714" s="165"/>
      <c r="E2714" s="165"/>
      <c r="K2714" s="12"/>
      <c r="L2714" s="12"/>
      <c r="M2714" s="12"/>
      <c r="N2714" s="12"/>
    </row>
    <row r="2715" spans="3:14" ht="12.75">
      <c r="C2715" s="165"/>
      <c r="D2715" s="165"/>
      <c r="E2715" s="165"/>
      <c r="K2715" s="12"/>
      <c r="L2715" s="12"/>
      <c r="M2715" s="12"/>
      <c r="N2715" s="12"/>
    </row>
    <row r="2716" spans="3:14" ht="12.75">
      <c r="C2716" s="165"/>
      <c r="D2716" s="165"/>
      <c r="E2716" s="165"/>
      <c r="K2716" s="12"/>
      <c r="L2716" s="12"/>
      <c r="M2716" s="12"/>
      <c r="N2716" s="12"/>
    </row>
    <row r="2717" spans="3:14" ht="12.75">
      <c r="C2717" s="165"/>
      <c r="D2717" s="165"/>
      <c r="E2717" s="165"/>
      <c r="K2717" s="12"/>
      <c r="L2717" s="12"/>
      <c r="M2717" s="12"/>
      <c r="N2717" s="12"/>
    </row>
    <row r="2718" spans="3:14" ht="12.75">
      <c r="C2718" s="165"/>
      <c r="D2718" s="165"/>
      <c r="E2718" s="165"/>
      <c r="K2718" s="12"/>
      <c r="L2718" s="12"/>
      <c r="M2718" s="12"/>
      <c r="N2718" s="12"/>
    </row>
    <row r="2719" spans="3:14" ht="12.75">
      <c r="C2719" s="165"/>
      <c r="D2719" s="165"/>
      <c r="E2719" s="165"/>
      <c r="K2719" s="12"/>
      <c r="L2719" s="12"/>
      <c r="M2719" s="12"/>
      <c r="N2719" s="12"/>
    </row>
    <row r="2720" spans="3:14" ht="12.75">
      <c r="C2720" s="165"/>
      <c r="D2720" s="165"/>
      <c r="E2720" s="165"/>
      <c r="K2720" s="12"/>
      <c r="L2720" s="12"/>
      <c r="M2720" s="12"/>
      <c r="N2720" s="12"/>
    </row>
    <row r="2721" spans="3:14" ht="12.75">
      <c r="C2721" s="165"/>
      <c r="D2721" s="165"/>
      <c r="E2721" s="165"/>
      <c r="K2721" s="12"/>
      <c r="L2721" s="12"/>
      <c r="M2721" s="12"/>
      <c r="N2721" s="12"/>
    </row>
    <row r="2722" spans="3:14" ht="12.75">
      <c r="C2722" s="165"/>
      <c r="D2722" s="165"/>
      <c r="E2722" s="165"/>
      <c r="K2722" s="12"/>
      <c r="L2722" s="12"/>
      <c r="M2722" s="12"/>
      <c r="N2722" s="12"/>
    </row>
    <row r="2723" spans="3:14" ht="12.75">
      <c r="C2723" s="165"/>
      <c r="D2723" s="165"/>
      <c r="E2723" s="165"/>
      <c r="K2723" s="12"/>
      <c r="L2723" s="12"/>
      <c r="M2723" s="12"/>
      <c r="N2723" s="12"/>
    </row>
    <row r="2724" spans="3:14" ht="12.75">
      <c r="C2724" s="165"/>
      <c r="D2724" s="165"/>
      <c r="E2724" s="165"/>
      <c r="K2724" s="12"/>
      <c r="L2724" s="12"/>
      <c r="M2724" s="12"/>
      <c r="N2724" s="12"/>
    </row>
    <row r="2725" spans="3:14" ht="12.75">
      <c r="C2725" s="165"/>
      <c r="D2725" s="165"/>
      <c r="E2725" s="165"/>
      <c r="K2725" s="12"/>
      <c r="L2725" s="12"/>
      <c r="M2725" s="12"/>
      <c r="N2725" s="12"/>
    </row>
    <row r="2726" spans="3:14" ht="12.75">
      <c r="C2726" s="165"/>
      <c r="D2726" s="165"/>
      <c r="E2726" s="165"/>
      <c r="K2726" s="12"/>
      <c r="L2726" s="12"/>
      <c r="M2726" s="12"/>
      <c r="N2726" s="12"/>
    </row>
    <row r="2727" spans="3:14" ht="12.75">
      <c r="C2727" s="165"/>
      <c r="D2727" s="165"/>
      <c r="E2727" s="165"/>
      <c r="K2727" s="12"/>
      <c r="L2727" s="12"/>
      <c r="M2727" s="12"/>
      <c r="N2727" s="12"/>
    </row>
    <row r="2728" spans="3:14" ht="12.75">
      <c r="C2728" s="165"/>
      <c r="D2728" s="165"/>
      <c r="E2728" s="165"/>
      <c r="K2728" s="12"/>
      <c r="L2728" s="12"/>
      <c r="M2728" s="12"/>
      <c r="N2728" s="12"/>
    </row>
    <row r="2729" spans="3:14" ht="12.75">
      <c r="C2729" s="165"/>
      <c r="D2729" s="165"/>
      <c r="E2729" s="165"/>
      <c r="K2729" s="12"/>
      <c r="L2729" s="12"/>
      <c r="M2729" s="12"/>
      <c r="N2729" s="12"/>
    </row>
    <row r="2730" spans="3:14" ht="12.75">
      <c r="C2730" s="165"/>
      <c r="D2730" s="165"/>
      <c r="E2730" s="165"/>
      <c r="K2730" s="12"/>
      <c r="L2730" s="12"/>
      <c r="M2730" s="12"/>
      <c r="N2730" s="12"/>
    </row>
    <row r="2731" spans="3:14" ht="12.75">
      <c r="C2731" s="165"/>
      <c r="D2731" s="165"/>
      <c r="E2731" s="165"/>
      <c r="K2731" s="12"/>
      <c r="L2731" s="12"/>
      <c r="M2731" s="12"/>
      <c r="N2731" s="12"/>
    </row>
    <row r="2732" spans="3:14" ht="12.75">
      <c r="C2732" s="165"/>
      <c r="D2732" s="165"/>
      <c r="E2732" s="165"/>
      <c r="K2732" s="12"/>
      <c r="L2732" s="12"/>
      <c r="M2732" s="12"/>
      <c r="N2732" s="12"/>
    </row>
    <row r="2733" spans="3:14" ht="12.75">
      <c r="C2733" s="165"/>
      <c r="D2733" s="165"/>
      <c r="E2733" s="165"/>
      <c r="K2733" s="12"/>
      <c r="L2733" s="12"/>
      <c r="M2733" s="12"/>
      <c r="N2733" s="12"/>
    </row>
    <row r="2734" spans="3:14" ht="12.75">
      <c r="C2734" s="165"/>
      <c r="D2734" s="165"/>
      <c r="E2734" s="165"/>
      <c r="K2734" s="12"/>
      <c r="L2734" s="12"/>
      <c r="M2734" s="12"/>
      <c r="N2734" s="12"/>
    </row>
    <row r="2735" spans="3:14" ht="12.75">
      <c r="C2735" s="165"/>
      <c r="D2735" s="165"/>
      <c r="E2735" s="165"/>
      <c r="K2735" s="12"/>
      <c r="L2735" s="12"/>
      <c r="M2735" s="12"/>
      <c r="N2735" s="12"/>
    </row>
    <row r="2736" spans="3:14" ht="12.75">
      <c r="C2736" s="165"/>
      <c r="D2736" s="165"/>
      <c r="E2736" s="165"/>
      <c r="K2736" s="12"/>
      <c r="L2736" s="12"/>
      <c r="M2736" s="12"/>
      <c r="N2736" s="12"/>
    </row>
    <row r="2737" spans="3:14" ht="12.75">
      <c r="C2737" s="165"/>
      <c r="D2737" s="165"/>
      <c r="E2737" s="165"/>
      <c r="K2737" s="12"/>
      <c r="L2737" s="12"/>
      <c r="M2737" s="12"/>
      <c r="N2737" s="12"/>
    </row>
    <row r="2738" spans="3:14" ht="12.75">
      <c r="C2738" s="165"/>
      <c r="D2738" s="165"/>
      <c r="E2738" s="165"/>
      <c r="K2738" s="12"/>
      <c r="L2738" s="12"/>
      <c r="M2738" s="12"/>
      <c r="N2738" s="12"/>
    </row>
    <row r="2739" spans="3:14" ht="12.75">
      <c r="C2739" s="165"/>
      <c r="D2739" s="165"/>
      <c r="E2739" s="165"/>
      <c r="K2739" s="12"/>
      <c r="L2739" s="12"/>
      <c r="M2739" s="12"/>
      <c r="N2739" s="12"/>
    </row>
    <row r="2740" spans="3:14" ht="12.75">
      <c r="C2740" s="165"/>
      <c r="D2740" s="165"/>
      <c r="E2740" s="165"/>
      <c r="K2740" s="12"/>
      <c r="L2740" s="12"/>
      <c r="M2740" s="12"/>
      <c r="N2740" s="12"/>
    </row>
    <row r="2741" spans="3:14" ht="12.75">
      <c r="C2741" s="165"/>
      <c r="D2741" s="165"/>
      <c r="E2741" s="165"/>
      <c r="K2741" s="12"/>
      <c r="L2741" s="12"/>
      <c r="M2741" s="12"/>
      <c r="N2741" s="12"/>
    </row>
    <row r="2742" spans="3:14" ht="12.75">
      <c r="C2742" s="165"/>
      <c r="D2742" s="165"/>
      <c r="E2742" s="165"/>
      <c r="K2742" s="12"/>
      <c r="L2742" s="12"/>
      <c r="M2742" s="12"/>
      <c r="N2742" s="12"/>
    </row>
    <row r="2743" spans="3:14" ht="12.75">
      <c r="C2743" s="165"/>
      <c r="D2743" s="165"/>
      <c r="E2743" s="165"/>
      <c r="K2743" s="12"/>
      <c r="L2743" s="12"/>
      <c r="M2743" s="12"/>
      <c r="N2743" s="12"/>
    </row>
    <row r="2744" spans="3:14" ht="12.75">
      <c r="C2744" s="165"/>
      <c r="D2744" s="165"/>
      <c r="E2744" s="165"/>
      <c r="K2744" s="12"/>
      <c r="L2744" s="12"/>
      <c r="M2744" s="12"/>
      <c r="N2744" s="12"/>
    </row>
    <row r="2745" spans="3:14" ht="12.75">
      <c r="C2745" s="165"/>
      <c r="D2745" s="165"/>
      <c r="E2745" s="165"/>
      <c r="K2745" s="12"/>
      <c r="L2745" s="12"/>
      <c r="M2745" s="12"/>
      <c r="N2745" s="12"/>
    </row>
    <row r="2746" spans="3:14" ht="12.75">
      <c r="C2746" s="165"/>
      <c r="D2746" s="165"/>
      <c r="E2746" s="165"/>
      <c r="K2746" s="12"/>
      <c r="L2746" s="12"/>
      <c r="M2746" s="12"/>
      <c r="N2746" s="12"/>
    </row>
    <row r="2747" spans="3:14" ht="12.75">
      <c r="C2747" s="165"/>
      <c r="D2747" s="165"/>
      <c r="E2747" s="165"/>
      <c r="K2747" s="12"/>
      <c r="L2747" s="12"/>
      <c r="M2747" s="12"/>
      <c r="N2747" s="12"/>
    </row>
    <row r="2748" spans="3:14" ht="12.75">
      <c r="C2748" s="165"/>
      <c r="D2748" s="165"/>
      <c r="E2748" s="165"/>
      <c r="K2748" s="12"/>
      <c r="L2748" s="12"/>
      <c r="M2748" s="12"/>
      <c r="N2748" s="12"/>
    </row>
    <row r="2749" spans="3:14" ht="12.75">
      <c r="C2749" s="165"/>
      <c r="D2749" s="165"/>
      <c r="E2749" s="165"/>
      <c r="K2749" s="12"/>
      <c r="L2749" s="12"/>
      <c r="M2749" s="12"/>
      <c r="N2749" s="12"/>
    </row>
    <row r="2750" spans="3:14" ht="12.75">
      <c r="C2750" s="165"/>
      <c r="D2750" s="165"/>
      <c r="E2750" s="165"/>
      <c r="K2750" s="12"/>
      <c r="L2750" s="12"/>
      <c r="M2750" s="12"/>
      <c r="N2750" s="12"/>
    </row>
    <row r="2751" spans="3:14" ht="12.75">
      <c r="C2751" s="165"/>
      <c r="D2751" s="165"/>
      <c r="E2751" s="165"/>
      <c r="K2751" s="12"/>
      <c r="L2751" s="12"/>
      <c r="M2751" s="12"/>
      <c r="N2751" s="12"/>
    </row>
    <row r="2752" spans="3:14" ht="12.75">
      <c r="C2752" s="165"/>
      <c r="D2752" s="165"/>
      <c r="E2752" s="165"/>
      <c r="K2752" s="12"/>
      <c r="L2752" s="12"/>
      <c r="M2752" s="12"/>
      <c r="N2752" s="12"/>
    </row>
    <row r="2753" spans="3:14" ht="12.75">
      <c r="C2753" s="165"/>
      <c r="D2753" s="165"/>
      <c r="E2753" s="165"/>
      <c r="K2753" s="12"/>
      <c r="L2753" s="12"/>
      <c r="M2753" s="12"/>
      <c r="N2753" s="12"/>
    </row>
    <row r="2754" spans="3:14" ht="12.75">
      <c r="C2754" s="165"/>
      <c r="D2754" s="165"/>
      <c r="E2754" s="165"/>
      <c r="K2754" s="12"/>
      <c r="L2754" s="12"/>
      <c r="M2754" s="12"/>
      <c r="N2754" s="12"/>
    </row>
    <row r="2755" spans="3:14" ht="12.75">
      <c r="C2755" s="165"/>
      <c r="D2755" s="165"/>
      <c r="E2755" s="165"/>
      <c r="K2755" s="12"/>
      <c r="L2755" s="12"/>
      <c r="M2755" s="12"/>
      <c r="N2755" s="12"/>
    </row>
    <row r="2756" spans="3:14" ht="12.75">
      <c r="C2756" s="165"/>
      <c r="D2756" s="165"/>
      <c r="E2756" s="165"/>
      <c r="K2756" s="12"/>
      <c r="L2756" s="12"/>
      <c r="M2756" s="12"/>
      <c r="N2756" s="12"/>
    </row>
    <row r="2757" spans="3:14" ht="12.75">
      <c r="C2757" s="165"/>
      <c r="D2757" s="165"/>
      <c r="E2757" s="165"/>
      <c r="K2757" s="12"/>
      <c r="L2757" s="12"/>
      <c r="M2757" s="12"/>
      <c r="N2757" s="12"/>
    </row>
    <row r="2758" spans="3:14" ht="12.75">
      <c r="C2758" s="165"/>
      <c r="D2758" s="165"/>
      <c r="E2758" s="165"/>
      <c r="K2758" s="12"/>
      <c r="L2758" s="12"/>
      <c r="M2758" s="12"/>
      <c r="N2758" s="12"/>
    </row>
    <row r="2759" spans="3:14" ht="12.75">
      <c r="C2759" s="165"/>
      <c r="D2759" s="165"/>
      <c r="E2759" s="165"/>
      <c r="K2759" s="12"/>
      <c r="L2759" s="12"/>
      <c r="M2759" s="12"/>
      <c r="N2759" s="12"/>
    </row>
    <row r="2760" spans="3:14" ht="12.75">
      <c r="C2760" s="165"/>
      <c r="D2760" s="165"/>
      <c r="E2760" s="165"/>
      <c r="K2760" s="12"/>
      <c r="L2760" s="12"/>
      <c r="M2760" s="12"/>
      <c r="N2760" s="12"/>
    </row>
    <row r="2761" spans="3:14" ht="12.75">
      <c r="C2761" s="165"/>
      <c r="D2761" s="165"/>
      <c r="E2761" s="165"/>
      <c r="K2761" s="12"/>
      <c r="L2761" s="12"/>
      <c r="M2761" s="12"/>
      <c r="N2761" s="12"/>
    </row>
    <row r="2762" spans="3:14" ht="12.75">
      <c r="C2762" s="165"/>
      <c r="D2762" s="165"/>
      <c r="E2762" s="165"/>
      <c r="K2762" s="12"/>
      <c r="L2762" s="12"/>
      <c r="M2762" s="12"/>
      <c r="N2762" s="12"/>
    </row>
    <row r="2763" spans="3:14" ht="12.75">
      <c r="C2763" s="165"/>
      <c r="D2763" s="165"/>
      <c r="E2763" s="165"/>
      <c r="K2763" s="12"/>
      <c r="L2763" s="12"/>
      <c r="M2763" s="12"/>
      <c r="N2763" s="12"/>
    </row>
    <row r="2764" spans="3:14" ht="12.75">
      <c r="C2764" s="165"/>
      <c r="D2764" s="165"/>
      <c r="E2764" s="165"/>
      <c r="K2764" s="12"/>
      <c r="L2764" s="12"/>
      <c r="M2764" s="12"/>
      <c r="N2764" s="12"/>
    </row>
    <row r="2765" spans="3:14" ht="12.75">
      <c r="C2765" s="165"/>
      <c r="D2765" s="165"/>
      <c r="E2765" s="165"/>
      <c r="K2765" s="12"/>
      <c r="L2765" s="12"/>
      <c r="M2765" s="12"/>
      <c r="N2765" s="12"/>
    </row>
    <row r="2766" spans="3:14" ht="12.75">
      <c r="C2766" s="165"/>
      <c r="D2766" s="165"/>
      <c r="E2766" s="165"/>
      <c r="K2766" s="12"/>
      <c r="L2766" s="12"/>
      <c r="M2766" s="12"/>
      <c r="N2766" s="12"/>
    </row>
    <row r="2767" spans="3:14" ht="12.75">
      <c r="C2767" s="165"/>
      <c r="D2767" s="165"/>
      <c r="E2767" s="165"/>
      <c r="K2767" s="12"/>
      <c r="L2767" s="12"/>
      <c r="M2767" s="12"/>
      <c r="N2767" s="12"/>
    </row>
    <row r="2768" spans="3:14" ht="12.75">
      <c r="C2768" s="165"/>
      <c r="D2768" s="165"/>
      <c r="E2768" s="165"/>
      <c r="K2768" s="12"/>
      <c r="L2768" s="12"/>
      <c r="M2768" s="12"/>
      <c r="N2768" s="12"/>
    </row>
    <row r="2769" spans="3:14" ht="12.75">
      <c r="C2769" s="165"/>
      <c r="D2769" s="165"/>
      <c r="E2769" s="165"/>
      <c r="K2769" s="12"/>
      <c r="L2769" s="12"/>
      <c r="M2769" s="12"/>
      <c r="N2769" s="12"/>
    </row>
    <row r="2770" spans="3:14" ht="12.75">
      <c r="C2770" s="165"/>
      <c r="D2770" s="165"/>
      <c r="E2770" s="165"/>
      <c r="K2770" s="12"/>
      <c r="L2770" s="12"/>
      <c r="M2770" s="12"/>
      <c r="N2770" s="12"/>
    </row>
    <row r="2771" spans="3:14" ht="12.75">
      <c r="C2771" s="165"/>
      <c r="D2771" s="165"/>
      <c r="E2771" s="165"/>
      <c r="K2771" s="12"/>
      <c r="L2771" s="12"/>
      <c r="M2771" s="12"/>
      <c r="N2771" s="12"/>
    </row>
    <row r="2772" spans="3:14" ht="12.75">
      <c r="C2772" s="165"/>
      <c r="D2772" s="165"/>
      <c r="E2772" s="165"/>
      <c r="K2772" s="12"/>
      <c r="L2772" s="12"/>
      <c r="M2772" s="12"/>
      <c r="N2772" s="12"/>
    </row>
    <row r="2773" spans="3:14" ht="12.75">
      <c r="C2773" s="165"/>
      <c r="D2773" s="165"/>
      <c r="E2773" s="165"/>
      <c r="K2773" s="12"/>
      <c r="L2773" s="12"/>
      <c r="M2773" s="12"/>
      <c r="N2773" s="12"/>
    </row>
    <row r="2774" spans="3:14" ht="12.75">
      <c r="C2774" s="165"/>
      <c r="D2774" s="165"/>
      <c r="E2774" s="165"/>
      <c r="K2774" s="12"/>
      <c r="L2774" s="12"/>
      <c r="M2774" s="12"/>
      <c r="N2774" s="12"/>
    </row>
    <row r="2775" spans="3:14" ht="12.75">
      <c r="C2775" s="165"/>
      <c r="D2775" s="165"/>
      <c r="E2775" s="165"/>
      <c r="K2775" s="12"/>
      <c r="L2775" s="12"/>
      <c r="M2775" s="12"/>
      <c r="N2775" s="12"/>
    </row>
    <row r="2776" spans="3:14" ht="12.75">
      <c r="C2776" s="165"/>
      <c r="D2776" s="165"/>
      <c r="E2776" s="165"/>
      <c r="K2776" s="12"/>
      <c r="L2776" s="12"/>
      <c r="M2776" s="12"/>
      <c r="N2776" s="12"/>
    </row>
    <row r="2777" spans="3:14" ht="12.75">
      <c r="C2777" s="165"/>
      <c r="D2777" s="165"/>
      <c r="E2777" s="165"/>
      <c r="K2777" s="12"/>
      <c r="L2777" s="12"/>
      <c r="M2777" s="12"/>
      <c r="N2777" s="12"/>
    </row>
    <row r="2778" spans="3:14" ht="12.75">
      <c r="C2778" s="165"/>
      <c r="D2778" s="165"/>
      <c r="E2778" s="165"/>
      <c r="K2778" s="12"/>
      <c r="L2778" s="12"/>
      <c r="M2778" s="12"/>
      <c r="N2778" s="12"/>
    </row>
    <row r="2779" spans="3:14" ht="12.75">
      <c r="C2779" s="165"/>
      <c r="D2779" s="165"/>
      <c r="E2779" s="165"/>
      <c r="K2779" s="12"/>
      <c r="L2779" s="12"/>
      <c r="M2779" s="12"/>
      <c r="N2779" s="12"/>
    </row>
    <row r="2780" spans="3:14" ht="12.75">
      <c r="C2780" s="165"/>
      <c r="D2780" s="165"/>
      <c r="E2780" s="165"/>
      <c r="K2780" s="12"/>
      <c r="L2780" s="12"/>
      <c r="M2780" s="12"/>
      <c r="N2780" s="12"/>
    </row>
    <row r="2781" spans="3:14" ht="12.75">
      <c r="C2781" s="165"/>
      <c r="D2781" s="165"/>
      <c r="E2781" s="165"/>
      <c r="K2781" s="12"/>
      <c r="L2781" s="12"/>
      <c r="M2781" s="12"/>
      <c r="N2781" s="12"/>
    </row>
    <row r="2782" spans="3:14" ht="12.75">
      <c r="C2782" s="165"/>
      <c r="D2782" s="165"/>
      <c r="E2782" s="165"/>
      <c r="K2782" s="12"/>
      <c r="L2782" s="12"/>
      <c r="M2782" s="12"/>
      <c r="N2782" s="12"/>
    </row>
    <row r="2783" spans="3:14" ht="12.75">
      <c r="C2783" s="165"/>
      <c r="D2783" s="165"/>
      <c r="E2783" s="165"/>
      <c r="K2783" s="12"/>
      <c r="L2783" s="12"/>
      <c r="M2783" s="12"/>
      <c r="N2783" s="12"/>
    </row>
    <row r="2784" spans="3:14" ht="12.75">
      <c r="C2784" s="165"/>
      <c r="D2784" s="165"/>
      <c r="E2784" s="165"/>
      <c r="K2784" s="12"/>
      <c r="L2784" s="12"/>
      <c r="M2784" s="12"/>
      <c r="N2784" s="12"/>
    </row>
    <row r="2785" spans="3:14" ht="12.75">
      <c r="C2785" s="165"/>
      <c r="D2785" s="165"/>
      <c r="E2785" s="165"/>
      <c r="K2785" s="12"/>
      <c r="L2785" s="12"/>
      <c r="M2785" s="12"/>
      <c r="N2785" s="12"/>
    </row>
    <row r="2786" spans="3:14" ht="12.75">
      <c r="C2786" s="165"/>
      <c r="D2786" s="165"/>
      <c r="E2786" s="165"/>
      <c r="K2786" s="12"/>
      <c r="L2786" s="12"/>
      <c r="M2786" s="12"/>
      <c r="N2786" s="12"/>
    </row>
    <row r="2787" spans="3:14" ht="12.75">
      <c r="C2787" s="165"/>
      <c r="D2787" s="165"/>
      <c r="E2787" s="165"/>
      <c r="K2787" s="12"/>
      <c r="L2787" s="12"/>
      <c r="M2787" s="12"/>
      <c r="N2787" s="12"/>
    </row>
    <row r="2788" spans="3:14" ht="12.75">
      <c r="C2788" s="165"/>
      <c r="D2788" s="165"/>
      <c r="E2788" s="165"/>
      <c r="K2788" s="12"/>
      <c r="L2788" s="12"/>
      <c r="M2788" s="12"/>
      <c r="N2788" s="12"/>
    </row>
    <row r="2789" spans="3:14" ht="12.75">
      <c r="C2789" s="165"/>
      <c r="D2789" s="165"/>
      <c r="E2789" s="165"/>
      <c r="K2789" s="12"/>
      <c r="L2789" s="12"/>
      <c r="M2789" s="12"/>
      <c r="N2789" s="12"/>
    </row>
    <row r="2790" spans="3:14" ht="12.75">
      <c r="C2790" s="165"/>
      <c r="D2790" s="165"/>
      <c r="E2790" s="165"/>
      <c r="K2790" s="12"/>
      <c r="L2790" s="12"/>
      <c r="M2790" s="12"/>
      <c r="N2790" s="12"/>
    </row>
    <row r="2791" spans="3:14" ht="12.75">
      <c r="C2791" s="165"/>
      <c r="D2791" s="165"/>
      <c r="E2791" s="165"/>
      <c r="K2791" s="12"/>
      <c r="L2791" s="12"/>
      <c r="M2791" s="12"/>
      <c r="N2791" s="12"/>
    </row>
    <row r="2792" spans="3:14" ht="12.75">
      <c r="C2792" s="165"/>
      <c r="D2792" s="165"/>
      <c r="E2792" s="165"/>
      <c r="K2792" s="12"/>
      <c r="L2792" s="12"/>
      <c r="M2792" s="12"/>
      <c r="N2792" s="12"/>
    </row>
    <row r="2793" spans="3:14" ht="12.75">
      <c r="C2793" s="165"/>
      <c r="D2793" s="165"/>
      <c r="E2793" s="165"/>
      <c r="K2793" s="12"/>
      <c r="L2793" s="12"/>
      <c r="M2793" s="12"/>
      <c r="N2793" s="12"/>
    </row>
    <row r="2794" spans="3:14" ht="12.75">
      <c r="C2794" s="165"/>
      <c r="D2794" s="165"/>
      <c r="E2794" s="165"/>
      <c r="K2794" s="12"/>
      <c r="L2794" s="12"/>
      <c r="M2794" s="12"/>
      <c r="N2794" s="12"/>
    </row>
    <row r="2795" spans="3:14" ht="12.75">
      <c r="C2795" s="165"/>
      <c r="D2795" s="165"/>
      <c r="E2795" s="165"/>
      <c r="K2795" s="12"/>
      <c r="L2795" s="12"/>
      <c r="M2795" s="12"/>
      <c r="N2795" s="12"/>
    </row>
    <row r="2796" spans="3:14" ht="12.75">
      <c r="C2796" s="165"/>
      <c r="D2796" s="165"/>
      <c r="E2796" s="165"/>
      <c r="K2796" s="12"/>
      <c r="L2796" s="12"/>
      <c r="M2796" s="12"/>
      <c r="N2796" s="12"/>
    </row>
    <row r="2797" spans="3:14" ht="12.75">
      <c r="C2797" s="165"/>
      <c r="D2797" s="165"/>
      <c r="E2797" s="165"/>
      <c r="K2797" s="12"/>
      <c r="L2797" s="12"/>
      <c r="M2797" s="12"/>
      <c r="N2797" s="12"/>
    </row>
    <row r="2798" spans="3:14" ht="12.75">
      <c r="C2798" s="165"/>
      <c r="D2798" s="165"/>
      <c r="E2798" s="165"/>
      <c r="K2798" s="12"/>
      <c r="L2798" s="12"/>
      <c r="M2798" s="12"/>
      <c r="N2798" s="12"/>
    </row>
    <row r="2799" spans="3:14" ht="12.75">
      <c r="C2799" s="165"/>
      <c r="D2799" s="165"/>
      <c r="E2799" s="165"/>
      <c r="K2799" s="12"/>
      <c r="L2799" s="12"/>
      <c r="M2799" s="12"/>
      <c r="N2799" s="12"/>
    </row>
    <row r="2800" spans="3:14" ht="12.75">
      <c r="C2800" s="165"/>
      <c r="D2800" s="165"/>
      <c r="E2800" s="165"/>
      <c r="K2800" s="12"/>
      <c r="L2800" s="12"/>
      <c r="M2800" s="12"/>
      <c r="N2800" s="12"/>
    </row>
    <row r="2801" spans="3:14" ht="12.75">
      <c r="C2801" s="165"/>
      <c r="D2801" s="165"/>
      <c r="E2801" s="165"/>
      <c r="K2801" s="12"/>
      <c r="L2801" s="12"/>
      <c r="M2801" s="12"/>
      <c r="N2801" s="12"/>
    </row>
    <row r="2802" spans="3:14" ht="12.75">
      <c r="C2802" s="165"/>
      <c r="D2802" s="165"/>
      <c r="E2802" s="165"/>
      <c r="K2802" s="12"/>
      <c r="L2802" s="12"/>
      <c r="M2802" s="12"/>
      <c r="N2802" s="12"/>
    </row>
    <row r="2803" spans="3:14" ht="12.75">
      <c r="C2803" s="165"/>
      <c r="D2803" s="165"/>
      <c r="E2803" s="165"/>
      <c r="K2803" s="12"/>
      <c r="L2803" s="12"/>
      <c r="M2803" s="12"/>
      <c r="N2803" s="12"/>
    </row>
    <row r="2804" spans="3:14" ht="12.75">
      <c r="C2804" s="165"/>
      <c r="D2804" s="165"/>
      <c r="E2804" s="165"/>
      <c r="K2804" s="12"/>
      <c r="L2804" s="12"/>
      <c r="M2804" s="12"/>
      <c r="N2804" s="12"/>
    </row>
    <row r="2805" spans="3:14" ht="12.75">
      <c r="C2805" s="165"/>
      <c r="D2805" s="165"/>
      <c r="E2805" s="165"/>
      <c r="K2805" s="12"/>
      <c r="L2805" s="12"/>
      <c r="M2805" s="12"/>
      <c r="N2805" s="12"/>
    </row>
    <row r="2806" spans="3:14" ht="12.75">
      <c r="C2806" s="165"/>
      <c r="D2806" s="165"/>
      <c r="E2806" s="165"/>
      <c r="K2806" s="12"/>
      <c r="L2806" s="12"/>
      <c r="M2806" s="12"/>
      <c r="N2806" s="12"/>
    </row>
    <row r="2807" spans="3:14" ht="12.75">
      <c r="C2807" s="165"/>
      <c r="D2807" s="165"/>
      <c r="E2807" s="165"/>
      <c r="K2807" s="12"/>
      <c r="L2807" s="12"/>
      <c r="M2807" s="12"/>
      <c r="N2807" s="12"/>
    </row>
    <row r="2808" spans="3:14" ht="12.75">
      <c r="C2808" s="165"/>
      <c r="D2808" s="165"/>
      <c r="E2808" s="165"/>
      <c r="K2808" s="12"/>
      <c r="L2808" s="12"/>
      <c r="M2808" s="12"/>
      <c r="N2808" s="12"/>
    </row>
    <row r="2809" spans="3:14" ht="12.75">
      <c r="C2809" s="165"/>
      <c r="D2809" s="165"/>
      <c r="E2809" s="165"/>
      <c r="K2809" s="12"/>
      <c r="L2809" s="12"/>
      <c r="M2809" s="12"/>
      <c r="N2809" s="12"/>
    </row>
    <row r="2810" spans="3:14" ht="12.75">
      <c r="C2810" s="165"/>
      <c r="D2810" s="165"/>
      <c r="E2810" s="165"/>
      <c r="K2810" s="12"/>
      <c r="L2810" s="12"/>
      <c r="M2810" s="12"/>
      <c r="N2810" s="12"/>
    </row>
    <row r="2811" spans="3:14" ht="12.75">
      <c r="C2811" s="165"/>
      <c r="D2811" s="165"/>
      <c r="E2811" s="165"/>
      <c r="K2811" s="12"/>
      <c r="L2811" s="12"/>
      <c r="M2811" s="12"/>
      <c r="N2811" s="12"/>
    </row>
    <row r="2812" spans="3:14" ht="12.75">
      <c r="C2812" s="165"/>
      <c r="D2812" s="165"/>
      <c r="E2812" s="165"/>
      <c r="K2812" s="12"/>
      <c r="L2812" s="12"/>
      <c r="M2812" s="12"/>
      <c r="N2812" s="12"/>
    </row>
    <row r="2813" spans="3:14" ht="12.75">
      <c r="C2813" s="165"/>
      <c r="D2813" s="165"/>
      <c r="E2813" s="165"/>
      <c r="K2813" s="12"/>
      <c r="L2813" s="12"/>
      <c r="M2813" s="12"/>
      <c r="N2813" s="12"/>
    </row>
    <row r="2814" spans="3:14" ht="12.75">
      <c r="C2814" s="165"/>
      <c r="D2814" s="165"/>
      <c r="E2814" s="165"/>
      <c r="K2814" s="12"/>
      <c r="L2814" s="12"/>
      <c r="M2814" s="12"/>
      <c r="N2814" s="12"/>
    </row>
    <row r="2815" spans="3:14" ht="12.75">
      <c r="C2815" s="165"/>
      <c r="D2815" s="165"/>
      <c r="E2815" s="165"/>
      <c r="K2815" s="12"/>
      <c r="L2815" s="12"/>
      <c r="M2815" s="12"/>
      <c r="N2815" s="12"/>
    </row>
    <row r="2816" spans="3:14" ht="12.75">
      <c r="C2816" s="165"/>
      <c r="D2816" s="165"/>
      <c r="E2816" s="165"/>
      <c r="K2816" s="12"/>
      <c r="L2816" s="12"/>
      <c r="M2816" s="12"/>
      <c r="N2816" s="12"/>
    </row>
    <row r="2817" spans="3:14" ht="12.75">
      <c r="C2817" s="165"/>
      <c r="D2817" s="165"/>
      <c r="E2817" s="165"/>
      <c r="K2817" s="12"/>
      <c r="L2817" s="12"/>
      <c r="M2817" s="12"/>
      <c r="N2817" s="12"/>
    </row>
    <row r="2818" spans="3:14" ht="12.75">
      <c r="C2818" s="165"/>
      <c r="D2818" s="165"/>
      <c r="E2818" s="165"/>
      <c r="K2818" s="12"/>
      <c r="L2818" s="12"/>
      <c r="M2818" s="12"/>
      <c r="N2818" s="12"/>
    </row>
    <row r="2819" spans="3:14" ht="12.75">
      <c r="C2819" s="165"/>
      <c r="D2819" s="165"/>
      <c r="E2819" s="165"/>
      <c r="K2819" s="12"/>
      <c r="L2819" s="12"/>
      <c r="M2819" s="12"/>
      <c r="N2819" s="12"/>
    </row>
    <row r="2820" spans="3:14" ht="12.75">
      <c r="C2820" s="165"/>
      <c r="D2820" s="165"/>
      <c r="E2820" s="165"/>
      <c r="K2820" s="12"/>
      <c r="L2820" s="12"/>
      <c r="M2820" s="12"/>
      <c r="N2820" s="12"/>
    </row>
    <row r="2821" spans="3:14" ht="12.75">
      <c r="C2821" s="165"/>
      <c r="D2821" s="165"/>
      <c r="E2821" s="165"/>
      <c r="K2821" s="12"/>
      <c r="L2821" s="12"/>
      <c r="M2821" s="12"/>
      <c r="N2821" s="12"/>
    </row>
    <row r="2822" spans="3:14" ht="12.75">
      <c r="C2822" s="165"/>
      <c r="D2822" s="165"/>
      <c r="E2822" s="165"/>
      <c r="K2822" s="12"/>
      <c r="L2822" s="12"/>
      <c r="M2822" s="12"/>
      <c r="N2822" s="12"/>
    </row>
    <row r="2823" spans="3:14" ht="12.75">
      <c r="C2823" s="165"/>
      <c r="D2823" s="165"/>
      <c r="E2823" s="165"/>
      <c r="K2823" s="12"/>
      <c r="L2823" s="12"/>
      <c r="M2823" s="12"/>
      <c r="N2823" s="12"/>
    </row>
    <row r="2824" spans="3:14" ht="12.75">
      <c r="C2824" s="165"/>
      <c r="D2824" s="165"/>
      <c r="E2824" s="165"/>
      <c r="K2824" s="12"/>
      <c r="L2824" s="12"/>
      <c r="M2824" s="12"/>
      <c r="N2824" s="12"/>
    </row>
    <row r="2825" spans="3:14" ht="12.75">
      <c r="C2825" s="165"/>
      <c r="D2825" s="165"/>
      <c r="E2825" s="165"/>
      <c r="K2825" s="12"/>
      <c r="L2825" s="12"/>
      <c r="M2825" s="12"/>
      <c r="N2825" s="12"/>
    </row>
    <row r="2826" spans="3:14" ht="12.75">
      <c r="C2826" s="165"/>
      <c r="D2826" s="165"/>
      <c r="E2826" s="165"/>
      <c r="K2826" s="12"/>
      <c r="L2826" s="12"/>
      <c r="M2826" s="12"/>
      <c r="N2826" s="12"/>
    </row>
    <row r="2827" spans="3:14" ht="12.75">
      <c r="C2827" s="165"/>
      <c r="D2827" s="165"/>
      <c r="E2827" s="165"/>
      <c r="K2827" s="12"/>
      <c r="L2827" s="12"/>
      <c r="M2827" s="12"/>
      <c r="N2827" s="12"/>
    </row>
    <row r="2828" spans="3:14" ht="12.75">
      <c r="C2828" s="165"/>
      <c r="D2828" s="165"/>
      <c r="E2828" s="165"/>
      <c r="K2828" s="12"/>
      <c r="L2828" s="12"/>
      <c r="M2828" s="12"/>
      <c r="N2828" s="12"/>
    </row>
    <row r="2829" spans="3:14" ht="12.75">
      <c r="C2829" s="165"/>
      <c r="D2829" s="165"/>
      <c r="E2829" s="165"/>
      <c r="K2829" s="12"/>
      <c r="L2829" s="12"/>
      <c r="M2829" s="12"/>
      <c r="N2829" s="12"/>
    </row>
    <row r="2830" spans="3:14" ht="12.75">
      <c r="C2830" s="165"/>
      <c r="D2830" s="165"/>
      <c r="E2830" s="165"/>
      <c r="K2830" s="12"/>
      <c r="L2830" s="12"/>
      <c r="M2830" s="12"/>
      <c r="N2830" s="12"/>
    </row>
    <row r="2831" spans="3:14" ht="12.75">
      <c r="C2831" s="165"/>
      <c r="D2831" s="165"/>
      <c r="E2831" s="165"/>
      <c r="K2831" s="12"/>
      <c r="L2831" s="12"/>
      <c r="M2831" s="12"/>
      <c r="N2831" s="12"/>
    </row>
    <row r="2832" spans="3:14" ht="12.75">
      <c r="C2832" s="165"/>
      <c r="D2832" s="165"/>
      <c r="E2832" s="165"/>
      <c r="K2832" s="12"/>
      <c r="L2832" s="12"/>
      <c r="M2832" s="12"/>
      <c r="N2832" s="12"/>
    </row>
    <row r="2833" spans="3:14" ht="12.75">
      <c r="C2833" s="165"/>
      <c r="D2833" s="165"/>
      <c r="E2833" s="165"/>
      <c r="K2833" s="12"/>
      <c r="L2833" s="12"/>
      <c r="M2833" s="12"/>
      <c r="N2833" s="12"/>
    </row>
    <row r="2834" spans="3:14" ht="12.75">
      <c r="C2834" s="165"/>
      <c r="D2834" s="165"/>
      <c r="E2834" s="165"/>
      <c r="K2834" s="12"/>
      <c r="L2834" s="12"/>
      <c r="M2834" s="12"/>
      <c r="N2834" s="12"/>
    </row>
    <row r="2835" spans="3:14" ht="12.75">
      <c r="C2835" s="165"/>
      <c r="D2835" s="165"/>
      <c r="E2835" s="165"/>
      <c r="K2835" s="12"/>
      <c r="L2835" s="12"/>
      <c r="M2835" s="12"/>
      <c r="N2835" s="12"/>
    </row>
    <row r="2836" spans="3:14" ht="12.75">
      <c r="C2836" s="165"/>
      <c r="D2836" s="165"/>
      <c r="E2836" s="165"/>
      <c r="K2836" s="12"/>
      <c r="L2836" s="12"/>
      <c r="M2836" s="12"/>
      <c r="N2836" s="12"/>
    </row>
    <row r="2837" spans="3:14" ht="12.75">
      <c r="C2837" s="165"/>
      <c r="D2837" s="165"/>
      <c r="E2837" s="165"/>
      <c r="K2837" s="12"/>
      <c r="L2837" s="12"/>
      <c r="M2837" s="12"/>
      <c r="N2837" s="12"/>
    </row>
    <row r="2838" spans="3:14" ht="12.75">
      <c r="C2838" s="165"/>
      <c r="D2838" s="165"/>
      <c r="E2838" s="165"/>
      <c r="K2838" s="12"/>
      <c r="L2838" s="12"/>
      <c r="M2838" s="12"/>
      <c r="N2838" s="12"/>
    </row>
    <row r="2839" spans="3:14" ht="12.75">
      <c r="C2839" s="165"/>
      <c r="D2839" s="165"/>
      <c r="E2839" s="165"/>
      <c r="K2839" s="12"/>
      <c r="L2839" s="12"/>
      <c r="M2839" s="12"/>
      <c r="N2839" s="12"/>
    </row>
    <row r="2840" spans="3:14" ht="12.75">
      <c r="C2840" s="165"/>
      <c r="D2840" s="165"/>
      <c r="E2840" s="165"/>
      <c r="K2840" s="12"/>
      <c r="L2840" s="12"/>
      <c r="M2840" s="12"/>
      <c r="N2840" s="12"/>
    </row>
    <row r="2841" spans="3:14" ht="12.75">
      <c r="C2841" s="165"/>
      <c r="D2841" s="165"/>
      <c r="E2841" s="165"/>
      <c r="K2841" s="12"/>
      <c r="L2841" s="12"/>
      <c r="M2841" s="12"/>
      <c r="N2841" s="12"/>
    </row>
    <row r="2842" spans="3:14" ht="12.75">
      <c r="C2842" s="165"/>
      <c r="D2842" s="165"/>
      <c r="E2842" s="165"/>
      <c r="K2842" s="12"/>
      <c r="L2842" s="12"/>
      <c r="M2842" s="12"/>
      <c r="N2842" s="12"/>
    </row>
    <row r="2843" spans="3:14" ht="12.75">
      <c r="C2843" s="165"/>
      <c r="D2843" s="165"/>
      <c r="E2843" s="165"/>
      <c r="K2843" s="12"/>
      <c r="L2843" s="12"/>
      <c r="M2843" s="12"/>
      <c r="N2843" s="12"/>
    </row>
    <row r="2844" spans="3:14" ht="12.75">
      <c r="C2844" s="165"/>
      <c r="D2844" s="165"/>
      <c r="E2844" s="165"/>
      <c r="K2844" s="12"/>
      <c r="L2844" s="12"/>
      <c r="M2844" s="12"/>
      <c r="N2844" s="12"/>
    </row>
    <row r="2845" spans="3:14" ht="12.75">
      <c r="C2845" s="165"/>
      <c r="D2845" s="165"/>
      <c r="E2845" s="165"/>
      <c r="K2845" s="12"/>
      <c r="L2845" s="12"/>
      <c r="M2845" s="12"/>
      <c r="N2845" s="12"/>
    </row>
    <row r="2846" spans="3:14" ht="12.75">
      <c r="C2846" s="165"/>
      <c r="D2846" s="165"/>
      <c r="E2846" s="165"/>
      <c r="K2846" s="12"/>
      <c r="L2846" s="12"/>
      <c r="M2846" s="12"/>
      <c r="N2846" s="12"/>
    </row>
    <row r="2847" spans="3:14" ht="12.75">
      <c r="C2847" s="165"/>
      <c r="D2847" s="165"/>
      <c r="E2847" s="165"/>
      <c r="K2847" s="12"/>
      <c r="L2847" s="12"/>
      <c r="M2847" s="12"/>
      <c r="N2847" s="12"/>
    </row>
    <row r="2848" spans="3:14" ht="12.75">
      <c r="C2848" s="165"/>
      <c r="D2848" s="165"/>
      <c r="E2848" s="165"/>
      <c r="K2848" s="12"/>
      <c r="L2848" s="12"/>
      <c r="M2848" s="12"/>
      <c r="N2848" s="12"/>
    </row>
    <row r="2849" spans="3:14" ht="12.75">
      <c r="C2849" s="165"/>
      <c r="D2849" s="165"/>
      <c r="E2849" s="165"/>
      <c r="K2849" s="12"/>
      <c r="L2849" s="12"/>
      <c r="M2849" s="12"/>
      <c r="N2849" s="12"/>
    </row>
    <row r="2850" spans="3:14" ht="12.75">
      <c r="C2850" s="165"/>
      <c r="D2850" s="165"/>
      <c r="E2850" s="165"/>
      <c r="K2850" s="12"/>
      <c r="L2850" s="12"/>
      <c r="M2850" s="12"/>
      <c r="N2850" s="12"/>
    </row>
    <row r="2851" spans="3:14" ht="12.75">
      <c r="C2851" s="165"/>
      <c r="D2851" s="165"/>
      <c r="E2851" s="165"/>
      <c r="K2851" s="12"/>
      <c r="L2851" s="12"/>
      <c r="M2851" s="12"/>
      <c r="N2851" s="12"/>
    </row>
    <row r="2852" spans="3:14" ht="12.75">
      <c r="C2852" s="165"/>
      <c r="D2852" s="165"/>
      <c r="E2852" s="165"/>
      <c r="K2852" s="12"/>
      <c r="L2852" s="12"/>
      <c r="M2852" s="12"/>
      <c r="N2852" s="12"/>
    </row>
    <row r="2853" spans="3:14" ht="12.75">
      <c r="C2853" s="165"/>
      <c r="D2853" s="165"/>
      <c r="E2853" s="165"/>
      <c r="K2853" s="12"/>
      <c r="L2853" s="12"/>
      <c r="M2853" s="12"/>
      <c r="N2853" s="12"/>
    </row>
    <row r="2854" spans="3:14" ht="12.75">
      <c r="C2854" s="165"/>
      <c r="D2854" s="165"/>
      <c r="E2854" s="165"/>
      <c r="K2854" s="12"/>
      <c r="L2854" s="12"/>
      <c r="M2854" s="12"/>
      <c r="N2854" s="12"/>
    </row>
    <row r="2855" spans="3:14" ht="12.75">
      <c r="C2855" s="165"/>
      <c r="D2855" s="165"/>
      <c r="E2855" s="165"/>
      <c r="K2855" s="12"/>
      <c r="L2855" s="12"/>
      <c r="M2855" s="12"/>
      <c r="N2855" s="12"/>
    </row>
    <row r="2856" spans="3:14" ht="12.75">
      <c r="C2856" s="165"/>
      <c r="D2856" s="165"/>
      <c r="E2856" s="165"/>
      <c r="K2856" s="12"/>
      <c r="L2856" s="12"/>
      <c r="M2856" s="12"/>
      <c r="N2856" s="12"/>
    </row>
    <row r="2857" spans="3:14" ht="12.75">
      <c r="C2857" s="165"/>
      <c r="D2857" s="165"/>
      <c r="E2857" s="165"/>
      <c r="K2857" s="12"/>
      <c r="L2857" s="12"/>
      <c r="M2857" s="12"/>
      <c r="N2857" s="12"/>
    </row>
    <row r="2858" spans="3:14" ht="12.75">
      <c r="C2858" s="165"/>
      <c r="D2858" s="165"/>
      <c r="E2858" s="165"/>
      <c r="K2858" s="12"/>
      <c r="L2858" s="12"/>
      <c r="M2858" s="12"/>
      <c r="N2858" s="12"/>
    </row>
    <row r="2859" spans="3:14" ht="12.75">
      <c r="C2859" s="165"/>
      <c r="D2859" s="165"/>
      <c r="E2859" s="165"/>
      <c r="K2859" s="12"/>
      <c r="L2859" s="12"/>
      <c r="M2859" s="12"/>
      <c r="N2859" s="12"/>
    </row>
    <row r="2860" spans="3:14" ht="12.75">
      <c r="C2860" s="165"/>
      <c r="D2860" s="165"/>
      <c r="E2860" s="165"/>
      <c r="K2860" s="12"/>
      <c r="L2860" s="12"/>
      <c r="M2860" s="12"/>
      <c r="N2860" s="12"/>
    </row>
    <row r="2861" spans="3:14" ht="12.75">
      <c r="C2861" s="165"/>
      <c r="D2861" s="165"/>
      <c r="E2861" s="165"/>
      <c r="K2861" s="12"/>
      <c r="L2861" s="12"/>
      <c r="M2861" s="12"/>
      <c r="N2861" s="12"/>
    </row>
    <row r="2862" spans="3:14" ht="12.75">
      <c r="C2862" s="165"/>
      <c r="D2862" s="165"/>
      <c r="E2862" s="165"/>
      <c r="K2862" s="12"/>
      <c r="L2862" s="12"/>
      <c r="M2862" s="12"/>
      <c r="N2862" s="12"/>
    </row>
    <row r="2863" spans="3:14" ht="12.75">
      <c r="C2863" s="165"/>
      <c r="D2863" s="165"/>
      <c r="E2863" s="165"/>
      <c r="K2863" s="12"/>
      <c r="L2863" s="12"/>
      <c r="M2863" s="12"/>
      <c r="N2863" s="12"/>
    </row>
    <row r="2864" spans="3:14" ht="12.75">
      <c r="C2864" s="165"/>
      <c r="D2864" s="165"/>
      <c r="E2864" s="165"/>
      <c r="K2864" s="12"/>
      <c r="L2864" s="12"/>
      <c r="M2864" s="12"/>
      <c r="N2864" s="12"/>
    </row>
    <row r="2865" spans="3:14" ht="12.75">
      <c r="C2865" s="165"/>
      <c r="D2865" s="165"/>
      <c r="E2865" s="165"/>
      <c r="K2865" s="12"/>
      <c r="L2865" s="12"/>
      <c r="M2865" s="12"/>
      <c r="N2865" s="12"/>
    </row>
    <row r="2866" spans="3:14" ht="12.75">
      <c r="C2866" s="165"/>
      <c r="D2866" s="165"/>
      <c r="E2866" s="165"/>
      <c r="K2866" s="12"/>
      <c r="L2866" s="12"/>
      <c r="M2866" s="12"/>
      <c r="N2866" s="12"/>
    </row>
    <row r="2867" spans="3:14" ht="12.75">
      <c r="C2867" s="165"/>
      <c r="D2867" s="165"/>
      <c r="E2867" s="165"/>
      <c r="K2867" s="12"/>
      <c r="L2867" s="12"/>
      <c r="M2867" s="12"/>
      <c r="N2867" s="12"/>
    </row>
    <row r="2868" spans="3:14" ht="12.75">
      <c r="C2868" s="165"/>
      <c r="D2868" s="165"/>
      <c r="E2868" s="165"/>
      <c r="K2868" s="12"/>
      <c r="L2868" s="12"/>
      <c r="M2868" s="12"/>
      <c r="N2868" s="12"/>
    </row>
    <row r="2869" spans="3:14" ht="12.75">
      <c r="C2869" s="165"/>
      <c r="D2869" s="165"/>
      <c r="E2869" s="165"/>
      <c r="K2869" s="12"/>
      <c r="L2869" s="12"/>
      <c r="M2869" s="12"/>
      <c r="N2869" s="12"/>
    </row>
    <row r="2870" spans="3:14" ht="12.75">
      <c r="C2870" s="165"/>
      <c r="D2870" s="165"/>
      <c r="E2870" s="165"/>
      <c r="K2870" s="12"/>
      <c r="L2870" s="12"/>
      <c r="M2870" s="12"/>
      <c r="N2870" s="12"/>
    </row>
    <row r="2871" spans="3:14" ht="12.75">
      <c r="C2871" s="165"/>
      <c r="D2871" s="165"/>
      <c r="E2871" s="165"/>
      <c r="K2871" s="12"/>
      <c r="L2871" s="12"/>
      <c r="M2871" s="12"/>
      <c r="N2871" s="12"/>
    </row>
    <row r="2872" spans="3:14" ht="12.75">
      <c r="C2872" s="165"/>
      <c r="D2872" s="165"/>
      <c r="E2872" s="165"/>
      <c r="K2872" s="12"/>
      <c r="L2872" s="12"/>
      <c r="M2872" s="12"/>
      <c r="N2872" s="12"/>
    </row>
    <row r="2873" spans="3:14" ht="12.75">
      <c r="C2873" s="165"/>
      <c r="D2873" s="165"/>
      <c r="E2873" s="165"/>
      <c r="K2873" s="12"/>
      <c r="L2873" s="12"/>
      <c r="M2873" s="12"/>
      <c r="N2873" s="12"/>
    </row>
    <row r="2874" spans="3:14" ht="12.75">
      <c r="C2874" s="165"/>
      <c r="D2874" s="165"/>
      <c r="E2874" s="165"/>
      <c r="K2874" s="12"/>
      <c r="L2874" s="12"/>
      <c r="M2874" s="12"/>
      <c r="N2874" s="12"/>
    </row>
    <row r="2875" spans="3:14" ht="12.75">
      <c r="C2875" s="165"/>
      <c r="D2875" s="165"/>
      <c r="E2875" s="165"/>
      <c r="K2875" s="12"/>
      <c r="L2875" s="12"/>
      <c r="M2875" s="12"/>
      <c r="N2875" s="12"/>
    </row>
    <row r="2876" spans="3:14" ht="12.75">
      <c r="C2876" s="165"/>
      <c r="D2876" s="165"/>
      <c r="E2876" s="165"/>
      <c r="K2876" s="12"/>
      <c r="L2876" s="12"/>
      <c r="M2876" s="12"/>
      <c r="N2876" s="12"/>
    </row>
    <row r="2877" spans="3:14" ht="12.75">
      <c r="C2877" s="165"/>
      <c r="D2877" s="165"/>
      <c r="E2877" s="165"/>
      <c r="K2877" s="12"/>
      <c r="L2877" s="12"/>
      <c r="M2877" s="12"/>
      <c r="N2877" s="12"/>
    </row>
    <row r="2878" spans="3:14" ht="12.75">
      <c r="C2878" s="165"/>
      <c r="D2878" s="165"/>
      <c r="E2878" s="165"/>
      <c r="K2878" s="12"/>
      <c r="L2878" s="12"/>
      <c r="M2878" s="12"/>
      <c r="N2878" s="12"/>
    </row>
    <row r="2879" spans="3:14" ht="12.75">
      <c r="C2879" s="165"/>
      <c r="D2879" s="165"/>
      <c r="E2879" s="165"/>
      <c r="K2879" s="12"/>
      <c r="L2879" s="12"/>
      <c r="M2879" s="12"/>
      <c r="N2879" s="12"/>
    </row>
    <row r="2880" spans="3:14" ht="12.75">
      <c r="C2880" s="165"/>
      <c r="D2880" s="165"/>
      <c r="E2880" s="165"/>
      <c r="K2880" s="12"/>
      <c r="L2880" s="12"/>
      <c r="M2880" s="12"/>
      <c r="N2880" s="12"/>
    </row>
    <row r="2881" spans="3:14" ht="12.75">
      <c r="C2881" s="165"/>
      <c r="D2881" s="165"/>
      <c r="E2881" s="165"/>
      <c r="K2881" s="12"/>
      <c r="L2881" s="12"/>
      <c r="M2881" s="12"/>
      <c r="N2881" s="12"/>
    </row>
    <row r="2882" spans="3:14" ht="12.75">
      <c r="C2882" s="165"/>
      <c r="D2882" s="165"/>
      <c r="E2882" s="165"/>
      <c r="K2882" s="12"/>
      <c r="L2882" s="12"/>
      <c r="M2882" s="12"/>
      <c r="N2882" s="12"/>
    </row>
    <row r="2883" spans="3:14" ht="12.75">
      <c r="C2883" s="165"/>
      <c r="D2883" s="165"/>
      <c r="E2883" s="165"/>
      <c r="K2883" s="12"/>
      <c r="L2883" s="12"/>
      <c r="M2883" s="12"/>
      <c r="N2883" s="12"/>
    </row>
    <row r="2884" spans="3:14" ht="12.75">
      <c r="C2884" s="165"/>
      <c r="D2884" s="165"/>
      <c r="E2884" s="165"/>
      <c r="K2884" s="12"/>
      <c r="L2884" s="12"/>
      <c r="M2884" s="12"/>
      <c r="N2884" s="12"/>
    </row>
    <row r="2885" spans="3:14" ht="12.75">
      <c r="C2885" s="165"/>
      <c r="D2885" s="165"/>
      <c r="E2885" s="165"/>
      <c r="K2885" s="12"/>
      <c r="L2885" s="12"/>
      <c r="M2885" s="12"/>
      <c r="N2885" s="12"/>
    </row>
    <row r="2886" spans="3:14" ht="12.75">
      <c r="C2886" s="165"/>
      <c r="D2886" s="165"/>
      <c r="E2886" s="165"/>
      <c r="K2886" s="12"/>
      <c r="L2886" s="12"/>
      <c r="M2886" s="12"/>
      <c r="N2886" s="12"/>
    </row>
    <row r="2887" spans="3:14" ht="12.75">
      <c r="C2887" s="165"/>
      <c r="D2887" s="165"/>
      <c r="E2887" s="165"/>
      <c r="K2887" s="12"/>
      <c r="L2887" s="12"/>
      <c r="M2887" s="12"/>
      <c r="N2887" s="12"/>
    </row>
    <row r="2888" spans="3:14" ht="12.75">
      <c r="C2888" s="165"/>
      <c r="D2888" s="165"/>
      <c r="E2888" s="165"/>
      <c r="K2888" s="12"/>
      <c r="L2888" s="12"/>
      <c r="M2888" s="12"/>
      <c r="N2888" s="12"/>
    </row>
    <row r="2889" spans="3:14" ht="12.75">
      <c r="C2889" s="165"/>
      <c r="D2889" s="165"/>
      <c r="E2889" s="165"/>
      <c r="K2889" s="12"/>
      <c r="L2889" s="12"/>
      <c r="M2889" s="12"/>
      <c r="N2889" s="12"/>
    </row>
    <row r="2890" spans="3:14" ht="12.75">
      <c r="C2890" s="165"/>
      <c r="D2890" s="165"/>
      <c r="E2890" s="165"/>
      <c r="K2890" s="12"/>
      <c r="L2890" s="12"/>
      <c r="M2890" s="12"/>
      <c r="N2890" s="12"/>
    </row>
    <row r="2891" spans="3:14" ht="12.75">
      <c r="C2891" s="165"/>
      <c r="D2891" s="165"/>
      <c r="E2891" s="165"/>
      <c r="K2891" s="12"/>
      <c r="L2891" s="12"/>
      <c r="M2891" s="12"/>
      <c r="N2891" s="12"/>
    </row>
    <row r="2892" spans="3:14" ht="12.75">
      <c r="C2892" s="165"/>
      <c r="D2892" s="165"/>
      <c r="E2892" s="165"/>
      <c r="K2892" s="12"/>
      <c r="L2892" s="12"/>
      <c r="M2892" s="12"/>
      <c r="N2892" s="12"/>
    </row>
    <row r="2893" spans="3:14" ht="12.75">
      <c r="C2893" s="165"/>
      <c r="D2893" s="165"/>
      <c r="E2893" s="165"/>
      <c r="K2893" s="12"/>
      <c r="L2893" s="12"/>
      <c r="M2893" s="12"/>
      <c r="N2893" s="12"/>
    </row>
    <row r="2894" spans="3:14" ht="12.75">
      <c r="C2894" s="165"/>
      <c r="D2894" s="165"/>
      <c r="E2894" s="165"/>
      <c r="K2894" s="12"/>
      <c r="L2894" s="12"/>
      <c r="M2894" s="12"/>
      <c r="N2894" s="12"/>
    </row>
    <row r="2895" spans="3:14" ht="12.75">
      <c r="C2895" s="165"/>
      <c r="D2895" s="165"/>
      <c r="E2895" s="165"/>
      <c r="K2895" s="12"/>
      <c r="L2895" s="12"/>
      <c r="M2895" s="12"/>
      <c r="N2895" s="12"/>
    </row>
    <row r="2896" spans="3:14" ht="12.75">
      <c r="C2896" s="165"/>
      <c r="D2896" s="165"/>
      <c r="E2896" s="165"/>
      <c r="K2896" s="12"/>
      <c r="L2896" s="12"/>
      <c r="M2896" s="12"/>
      <c r="N2896" s="12"/>
    </row>
    <row r="2897" spans="3:14" ht="12.75">
      <c r="C2897" s="165"/>
      <c r="D2897" s="165"/>
      <c r="E2897" s="165"/>
      <c r="K2897" s="12"/>
      <c r="L2897" s="12"/>
      <c r="M2897" s="12"/>
      <c r="N2897" s="12"/>
    </row>
    <row r="2898" spans="3:14" ht="12.75">
      <c r="C2898" s="165"/>
      <c r="D2898" s="165"/>
      <c r="E2898" s="165"/>
      <c r="K2898" s="12"/>
      <c r="L2898" s="12"/>
      <c r="M2898" s="12"/>
      <c r="N2898" s="12"/>
    </row>
    <row r="2899" spans="3:14" ht="12.75">
      <c r="C2899" s="165"/>
      <c r="D2899" s="165"/>
      <c r="E2899" s="165"/>
      <c r="K2899" s="12"/>
      <c r="L2899" s="12"/>
      <c r="M2899" s="12"/>
      <c r="N2899" s="12"/>
    </row>
    <row r="2900" spans="3:14" ht="12.75">
      <c r="C2900" s="165"/>
      <c r="D2900" s="165"/>
      <c r="E2900" s="165"/>
      <c r="K2900" s="12"/>
      <c r="L2900" s="12"/>
      <c r="M2900" s="12"/>
      <c r="N2900" s="12"/>
    </row>
    <row r="2901" spans="3:14" ht="12.75">
      <c r="C2901" s="165"/>
      <c r="D2901" s="165"/>
      <c r="E2901" s="165"/>
      <c r="K2901" s="12"/>
      <c r="L2901" s="12"/>
      <c r="M2901" s="12"/>
      <c r="N2901" s="12"/>
    </row>
    <row r="2902" spans="3:14" ht="12.75">
      <c r="C2902" s="165"/>
      <c r="D2902" s="165"/>
      <c r="E2902" s="165"/>
      <c r="K2902" s="12"/>
      <c r="L2902" s="12"/>
      <c r="M2902" s="12"/>
      <c r="N2902" s="12"/>
    </row>
    <row r="2903" spans="3:14" ht="12.75">
      <c r="C2903" s="165"/>
      <c r="D2903" s="165"/>
      <c r="E2903" s="165"/>
      <c r="K2903" s="12"/>
      <c r="L2903" s="12"/>
      <c r="M2903" s="12"/>
      <c r="N2903" s="12"/>
    </row>
    <row r="2904" spans="3:14" ht="12.75">
      <c r="C2904" s="165"/>
      <c r="D2904" s="165"/>
      <c r="E2904" s="165"/>
      <c r="K2904" s="12"/>
      <c r="L2904" s="12"/>
      <c r="M2904" s="12"/>
      <c r="N2904" s="12"/>
    </row>
    <row r="2905" spans="3:14" ht="12.75">
      <c r="C2905" s="165"/>
      <c r="D2905" s="165"/>
      <c r="E2905" s="165"/>
      <c r="K2905" s="12"/>
      <c r="L2905" s="12"/>
      <c r="M2905" s="12"/>
      <c r="N2905" s="12"/>
    </row>
    <row r="2906" spans="3:14" ht="12.75">
      <c r="C2906" s="165"/>
      <c r="D2906" s="165"/>
      <c r="E2906" s="165"/>
      <c r="K2906" s="12"/>
      <c r="L2906" s="12"/>
      <c r="M2906" s="12"/>
      <c r="N2906" s="12"/>
    </row>
    <row r="2907" spans="3:14" ht="12.75">
      <c r="C2907" s="165"/>
      <c r="D2907" s="165"/>
      <c r="E2907" s="165"/>
      <c r="K2907" s="12"/>
      <c r="L2907" s="12"/>
      <c r="M2907" s="12"/>
      <c r="N2907" s="12"/>
    </row>
    <row r="2908" spans="3:14" ht="12.75">
      <c r="C2908" s="165"/>
      <c r="D2908" s="165"/>
      <c r="E2908" s="165"/>
      <c r="K2908" s="12"/>
      <c r="L2908" s="12"/>
      <c r="M2908" s="12"/>
      <c r="N2908" s="12"/>
    </row>
    <row r="2909" spans="3:14" ht="12.75">
      <c r="C2909" s="165"/>
      <c r="D2909" s="165"/>
      <c r="E2909" s="165"/>
      <c r="K2909" s="12"/>
      <c r="L2909" s="12"/>
      <c r="M2909" s="12"/>
      <c r="N2909" s="12"/>
    </row>
    <row r="2910" spans="3:14" ht="12.75">
      <c r="C2910" s="165"/>
      <c r="D2910" s="165"/>
      <c r="E2910" s="165"/>
      <c r="K2910" s="12"/>
      <c r="L2910" s="12"/>
      <c r="M2910" s="12"/>
      <c r="N2910" s="12"/>
    </row>
    <row r="2911" spans="3:14" ht="12.75">
      <c r="C2911" s="165"/>
      <c r="D2911" s="165"/>
      <c r="E2911" s="165"/>
      <c r="K2911" s="12"/>
      <c r="L2911" s="12"/>
      <c r="M2911" s="12"/>
      <c r="N2911" s="12"/>
    </row>
    <row r="2912" spans="3:14" ht="12.75">
      <c r="C2912" s="165"/>
      <c r="D2912" s="165"/>
      <c r="E2912" s="165"/>
      <c r="K2912" s="12"/>
      <c r="L2912" s="12"/>
      <c r="M2912" s="12"/>
      <c r="N2912" s="12"/>
    </row>
    <row r="2913" spans="3:14" ht="12.75">
      <c r="C2913" s="165"/>
      <c r="D2913" s="165"/>
      <c r="E2913" s="165"/>
      <c r="K2913" s="12"/>
      <c r="L2913" s="12"/>
      <c r="M2913" s="12"/>
      <c r="N2913" s="12"/>
    </row>
    <row r="2914" spans="3:14" ht="12.75">
      <c r="C2914" s="165"/>
      <c r="D2914" s="165"/>
      <c r="E2914" s="165"/>
      <c r="K2914" s="12"/>
      <c r="L2914" s="12"/>
      <c r="M2914" s="12"/>
      <c r="N2914" s="12"/>
    </row>
    <row r="2915" spans="3:14" ht="12.75">
      <c r="C2915" s="165"/>
      <c r="D2915" s="165"/>
      <c r="E2915" s="165"/>
      <c r="K2915" s="12"/>
      <c r="L2915" s="12"/>
      <c r="M2915" s="12"/>
      <c r="N2915" s="12"/>
    </row>
    <row r="2916" spans="3:14" ht="12.75">
      <c r="C2916" s="165"/>
      <c r="D2916" s="165"/>
      <c r="E2916" s="165"/>
      <c r="K2916" s="12"/>
      <c r="L2916" s="12"/>
      <c r="M2916" s="12"/>
      <c r="N2916" s="12"/>
    </row>
    <row r="2917" spans="3:14" ht="12.75">
      <c r="C2917" s="165"/>
      <c r="D2917" s="165"/>
      <c r="E2917" s="165"/>
      <c r="K2917" s="12"/>
      <c r="L2917" s="12"/>
      <c r="M2917" s="12"/>
      <c r="N2917" s="12"/>
    </row>
    <row r="2918" spans="3:14" ht="12.75">
      <c r="C2918" s="165"/>
      <c r="D2918" s="165"/>
      <c r="E2918" s="165"/>
      <c r="K2918" s="12"/>
      <c r="L2918" s="12"/>
      <c r="M2918" s="12"/>
      <c r="N2918" s="12"/>
    </row>
    <row r="2919" spans="3:14" ht="12.75">
      <c r="C2919" s="165"/>
      <c r="D2919" s="165"/>
      <c r="E2919" s="165"/>
      <c r="K2919" s="12"/>
      <c r="L2919" s="12"/>
      <c r="M2919" s="12"/>
      <c r="N2919" s="12"/>
    </row>
    <row r="2920" spans="3:14" ht="12.75">
      <c r="C2920" s="165"/>
      <c r="D2920" s="165"/>
      <c r="E2920" s="165"/>
      <c r="K2920" s="12"/>
      <c r="L2920" s="12"/>
      <c r="M2920" s="12"/>
      <c r="N2920" s="12"/>
    </row>
    <row r="2921" spans="3:14" ht="12.75">
      <c r="C2921" s="165"/>
      <c r="D2921" s="165"/>
      <c r="E2921" s="165"/>
      <c r="K2921" s="12"/>
      <c r="L2921" s="12"/>
      <c r="M2921" s="12"/>
      <c r="N2921" s="12"/>
    </row>
    <row r="2922" spans="3:14" ht="12.75">
      <c r="C2922" s="165"/>
      <c r="D2922" s="165"/>
      <c r="E2922" s="165"/>
      <c r="K2922" s="12"/>
      <c r="L2922" s="12"/>
      <c r="M2922" s="12"/>
      <c r="N2922" s="12"/>
    </row>
    <row r="2923" spans="3:14" ht="12.75">
      <c r="C2923" s="165"/>
      <c r="D2923" s="165"/>
      <c r="E2923" s="165"/>
      <c r="K2923" s="12"/>
      <c r="L2923" s="12"/>
      <c r="M2923" s="12"/>
      <c r="N2923" s="12"/>
    </row>
    <row r="2924" spans="3:14" ht="12.75">
      <c r="C2924" s="165"/>
      <c r="D2924" s="165"/>
      <c r="E2924" s="165"/>
      <c r="K2924" s="12"/>
      <c r="L2924" s="12"/>
      <c r="M2924" s="12"/>
      <c r="N2924" s="12"/>
    </row>
    <row r="2925" spans="3:14" ht="12.75">
      <c r="C2925" s="165"/>
      <c r="D2925" s="165"/>
      <c r="E2925" s="165"/>
      <c r="K2925" s="12"/>
      <c r="L2925" s="12"/>
      <c r="M2925" s="12"/>
      <c r="N2925" s="12"/>
    </row>
    <row r="2926" spans="3:14" ht="12.75">
      <c r="C2926" s="165"/>
      <c r="D2926" s="165"/>
      <c r="E2926" s="165"/>
      <c r="K2926" s="12"/>
      <c r="L2926" s="12"/>
      <c r="M2926" s="12"/>
      <c r="N2926" s="12"/>
    </row>
    <row r="2927" spans="3:14" ht="12.75">
      <c r="C2927" s="165"/>
      <c r="D2927" s="165"/>
      <c r="E2927" s="165"/>
      <c r="K2927" s="12"/>
      <c r="L2927" s="12"/>
      <c r="M2927" s="12"/>
      <c r="N2927" s="12"/>
    </row>
    <row r="2928" spans="3:14" ht="12.75">
      <c r="C2928" s="165"/>
      <c r="D2928" s="165"/>
      <c r="E2928" s="165"/>
      <c r="K2928" s="12"/>
      <c r="L2928" s="12"/>
      <c r="M2928" s="12"/>
      <c r="N2928" s="12"/>
    </row>
    <row r="2929" spans="3:14" ht="12.75">
      <c r="C2929" s="165"/>
      <c r="D2929" s="165"/>
      <c r="E2929" s="165"/>
      <c r="K2929" s="12"/>
      <c r="L2929" s="12"/>
      <c r="M2929" s="12"/>
      <c r="N2929" s="12"/>
    </row>
    <row r="2930" spans="3:14" ht="12.75">
      <c r="C2930" s="165"/>
      <c r="D2930" s="165"/>
      <c r="E2930" s="165"/>
      <c r="K2930" s="12"/>
      <c r="L2930" s="12"/>
      <c r="M2930" s="12"/>
      <c r="N2930" s="12"/>
    </row>
    <row r="2931" spans="3:14" ht="12.75">
      <c r="C2931" s="165"/>
      <c r="D2931" s="165"/>
      <c r="E2931" s="165"/>
      <c r="K2931" s="12"/>
      <c r="L2931" s="12"/>
      <c r="M2931" s="12"/>
      <c r="N2931" s="12"/>
    </row>
    <row r="2932" spans="3:14" ht="12.75">
      <c r="C2932" s="165"/>
      <c r="D2932" s="165"/>
      <c r="E2932" s="165"/>
      <c r="K2932" s="12"/>
      <c r="L2932" s="12"/>
      <c r="M2932" s="12"/>
      <c r="N2932" s="12"/>
    </row>
    <row r="2933" spans="3:14" ht="12.75">
      <c r="C2933" s="165"/>
      <c r="D2933" s="165"/>
      <c r="E2933" s="165"/>
      <c r="K2933" s="12"/>
      <c r="L2933" s="12"/>
      <c r="M2933" s="12"/>
      <c r="N2933" s="12"/>
    </row>
    <row r="2934" spans="3:14" ht="12.75">
      <c r="C2934" s="165"/>
      <c r="D2934" s="165"/>
      <c r="E2934" s="165"/>
      <c r="K2934" s="12"/>
      <c r="L2934" s="12"/>
      <c r="M2934" s="12"/>
      <c r="N2934" s="12"/>
    </row>
    <row r="2935" spans="3:14" ht="12.75">
      <c r="C2935" s="165"/>
      <c r="D2935" s="165"/>
      <c r="E2935" s="165"/>
      <c r="K2935" s="12"/>
      <c r="L2935" s="12"/>
      <c r="M2935" s="12"/>
      <c r="N2935" s="12"/>
    </row>
    <row r="2936" spans="3:14" ht="12.75">
      <c r="C2936" s="165"/>
      <c r="D2936" s="165"/>
      <c r="E2936" s="165"/>
      <c r="K2936" s="12"/>
      <c r="L2936" s="12"/>
      <c r="M2936" s="12"/>
      <c r="N2936" s="12"/>
    </row>
    <row r="2937" spans="3:14" ht="12.75">
      <c r="C2937" s="165"/>
      <c r="D2937" s="165"/>
      <c r="E2937" s="165"/>
      <c r="K2937" s="12"/>
      <c r="L2937" s="12"/>
      <c r="M2937" s="12"/>
      <c r="N2937" s="12"/>
    </row>
    <row r="2938" spans="3:14" ht="12.75">
      <c r="C2938" s="165"/>
      <c r="D2938" s="165"/>
      <c r="E2938" s="165"/>
      <c r="K2938" s="12"/>
      <c r="L2938" s="12"/>
      <c r="M2938" s="12"/>
      <c r="N2938" s="12"/>
    </row>
    <row r="2939" spans="3:14" ht="12.75">
      <c r="C2939" s="165"/>
      <c r="D2939" s="165"/>
      <c r="E2939" s="165"/>
      <c r="K2939" s="12"/>
      <c r="L2939" s="12"/>
      <c r="M2939" s="12"/>
      <c r="N2939" s="12"/>
    </row>
    <row r="2940" spans="3:14" ht="12.75">
      <c r="C2940" s="165"/>
      <c r="D2940" s="165"/>
      <c r="E2940" s="165"/>
      <c r="K2940" s="12"/>
      <c r="L2940" s="12"/>
      <c r="M2940" s="12"/>
      <c r="N2940" s="12"/>
    </row>
    <row r="2941" spans="3:14" ht="12.75">
      <c r="C2941" s="165"/>
      <c r="D2941" s="165"/>
      <c r="E2941" s="165"/>
      <c r="K2941" s="12"/>
      <c r="L2941" s="12"/>
      <c r="M2941" s="12"/>
      <c r="N2941" s="12"/>
    </row>
    <row r="2942" spans="3:14" ht="12.75">
      <c r="C2942" s="165"/>
      <c r="D2942" s="165"/>
      <c r="E2942" s="165"/>
      <c r="K2942" s="12"/>
      <c r="L2942" s="12"/>
      <c r="M2942" s="12"/>
      <c r="N2942" s="12"/>
    </row>
    <row r="2943" spans="3:14" ht="12.75">
      <c r="C2943" s="165"/>
      <c r="D2943" s="165"/>
      <c r="E2943" s="165"/>
      <c r="K2943" s="12"/>
      <c r="L2943" s="12"/>
      <c r="M2943" s="12"/>
      <c r="N2943" s="12"/>
    </row>
    <row r="2944" spans="3:14" ht="12.75">
      <c r="C2944" s="165"/>
      <c r="D2944" s="165"/>
      <c r="E2944" s="165"/>
      <c r="K2944" s="12"/>
      <c r="L2944" s="12"/>
      <c r="M2944" s="12"/>
      <c r="N2944" s="12"/>
    </row>
    <row r="2945" spans="3:14" ht="12.75">
      <c r="C2945" s="165"/>
      <c r="D2945" s="165"/>
      <c r="E2945" s="165"/>
      <c r="K2945" s="12"/>
      <c r="L2945" s="12"/>
      <c r="M2945" s="12"/>
      <c r="N2945" s="12"/>
    </row>
    <row r="2946" spans="3:14" ht="12.75">
      <c r="C2946" s="165"/>
      <c r="D2946" s="165"/>
      <c r="E2946" s="165"/>
      <c r="K2946" s="12"/>
      <c r="L2946" s="12"/>
      <c r="M2946" s="12"/>
      <c r="N2946" s="12"/>
    </row>
    <row r="2947" spans="3:14" ht="12.75">
      <c r="C2947" s="165"/>
      <c r="D2947" s="165"/>
      <c r="E2947" s="165"/>
      <c r="K2947" s="12"/>
      <c r="L2947" s="12"/>
      <c r="M2947" s="12"/>
      <c r="N2947" s="12"/>
    </row>
    <row r="2948" spans="3:14" ht="12.75">
      <c r="C2948" s="165"/>
      <c r="D2948" s="165"/>
      <c r="E2948" s="165"/>
      <c r="K2948" s="12"/>
      <c r="L2948" s="12"/>
      <c r="M2948" s="12"/>
      <c r="N2948" s="12"/>
    </row>
    <row r="2949" spans="3:14" ht="12.75">
      <c r="C2949" s="165"/>
      <c r="D2949" s="165"/>
      <c r="E2949" s="165"/>
      <c r="K2949" s="12"/>
      <c r="L2949" s="12"/>
      <c r="M2949" s="12"/>
      <c r="N2949" s="12"/>
    </row>
    <row r="2950" spans="3:14" ht="12.75">
      <c r="C2950" s="165"/>
      <c r="D2950" s="165"/>
      <c r="E2950" s="165"/>
      <c r="K2950" s="12"/>
      <c r="L2950" s="12"/>
      <c r="M2950" s="12"/>
      <c r="N2950" s="12"/>
    </row>
    <row r="2951" spans="3:14" ht="12.75">
      <c r="C2951" s="165"/>
      <c r="D2951" s="165"/>
      <c r="E2951" s="165"/>
      <c r="K2951" s="12"/>
      <c r="L2951" s="12"/>
      <c r="M2951" s="12"/>
      <c r="N2951" s="12"/>
    </row>
    <row r="2952" spans="3:14" ht="12.75">
      <c r="C2952" s="165"/>
      <c r="D2952" s="165"/>
      <c r="E2952" s="165"/>
      <c r="K2952" s="12"/>
      <c r="L2952" s="12"/>
      <c r="M2952" s="12"/>
      <c r="N2952" s="12"/>
    </row>
    <row r="2953" spans="3:14" ht="12.75">
      <c r="C2953" s="165"/>
      <c r="D2953" s="165"/>
      <c r="E2953" s="165"/>
      <c r="K2953" s="12"/>
      <c r="L2953" s="12"/>
      <c r="M2953" s="12"/>
      <c r="N2953" s="12"/>
    </row>
    <row r="2954" spans="3:14" ht="12.75">
      <c r="C2954" s="165"/>
      <c r="D2954" s="165"/>
      <c r="E2954" s="165"/>
      <c r="K2954" s="12"/>
      <c r="L2954" s="12"/>
      <c r="M2954" s="12"/>
      <c r="N2954" s="12"/>
    </row>
    <row r="2955" spans="3:14" ht="12.75">
      <c r="C2955" s="165"/>
      <c r="D2955" s="165"/>
      <c r="E2955" s="165"/>
      <c r="K2955" s="12"/>
      <c r="L2955" s="12"/>
      <c r="M2955" s="12"/>
      <c r="N2955" s="12"/>
    </row>
    <row r="2956" spans="3:14" ht="12.75">
      <c r="C2956" s="165"/>
      <c r="D2956" s="165"/>
      <c r="E2956" s="165"/>
      <c r="K2956" s="12"/>
      <c r="L2956" s="12"/>
      <c r="M2956" s="12"/>
      <c r="N2956" s="12"/>
    </row>
    <row r="2957" spans="3:14" ht="12.75">
      <c r="C2957" s="165"/>
      <c r="D2957" s="165"/>
      <c r="E2957" s="165"/>
      <c r="K2957" s="12"/>
      <c r="L2957" s="12"/>
      <c r="M2957" s="12"/>
      <c r="N2957" s="12"/>
    </row>
    <row r="2958" spans="3:14" ht="12.75">
      <c r="C2958" s="165"/>
      <c r="D2958" s="165"/>
      <c r="E2958" s="165"/>
      <c r="K2958" s="12"/>
      <c r="L2958" s="12"/>
      <c r="M2958" s="12"/>
      <c r="N2958" s="12"/>
    </row>
    <row r="2959" spans="3:14" ht="12.75">
      <c r="C2959" s="165"/>
      <c r="D2959" s="165"/>
      <c r="E2959" s="165"/>
      <c r="K2959" s="12"/>
      <c r="L2959" s="12"/>
      <c r="M2959" s="12"/>
      <c r="N2959" s="12"/>
    </row>
    <row r="2960" spans="3:14" ht="12.75">
      <c r="C2960" s="165"/>
      <c r="D2960" s="165"/>
      <c r="E2960" s="165"/>
      <c r="K2960" s="12"/>
      <c r="L2960" s="12"/>
      <c r="M2960" s="12"/>
      <c r="N2960" s="12"/>
    </row>
    <row r="2961" spans="3:14" ht="12.75">
      <c r="C2961" s="165"/>
      <c r="D2961" s="165"/>
      <c r="E2961" s="165"/>
      <c r="K2961" s="12"/>
      <c r="L2961" s="12"/>
      <c r="M2961" s="12"/>
      <c r="N2961" s="12"/>
    </row>
    <row r="2962" spans="3:14" ht="12.75">
      <c r="C2962" s="165"/>
      <c r="D2962" s="165"/>
      <c r="E2962" s="165"/>
      <c r="K2962" s="12"/>
      <c r="L2962" s="12"/>
      <c r="M2962" s="12"/>
      <c r="N2962" s="12"/>
    </row>
    <row r="2963" spans="3:14" ht="12.75">
      <c r="C2963" s="165"/>
      <c r="D2963" s="165"/>
      <c r="E2963" s="165"/>
      <c r="K2963" s="12"/>
      <c r="L2963" s="12"/>
      <c r="M2963" s="12"/>
      <c r="N2963" s="12"/>
    </row>
    <row r="2964" spans="3:14" ht="12.75">
      <c r="C2964" s="165"/>
      <c r="D2964" s="165"/>
      <c r="E2964" s="165"/>
      <c r="K2964" s="12"/>
      <c r="L2964" s="12"/>
      <c r="M2964" s="12"/>
      <c r="N2964" s="12"/>
    </row>
    <row r="2965" spans="3:14" ht="12.75">
      <c r="C2965" s="165"/>
      <c r="D2965" s="165"/>
      <c r="E2965" s="165"/>
      <c r="K2965" s="12"/>
      <c r="L2965" s="12"/>
      <c r="M2965" s="12"/>
      <c r="N2965" s="12"/>
    </row>
    <row r="2966" spans="3:14" ht="12.75">
      <c r="C2966" s="165"/>
      <c r="D2966" s="165"/>
      <c r="E2966" s="165"/>
      <c r="K2966" s="12"/>
      <c r="L2966" s="12"/>
      <c r="M2966" s="12"/>
      <c r="N2966" s="12"/>
    </row>
    <row r="2967" spans="3:14" ht="12.75">
      <c r="C2967" s="165"/>
      <c r="D2967" s="165"/>
      <c r="E2967" s="165"/>
      <c r="K2967" s="12"/>
      <c r="L2967" s="12"/>
      <c r="M2967" s="12"/>
      <c r="N2967" s="12"/>
    </row>
    <row r="2968" spans="3:14" ht="12.75">
      <c r="C2968" s="165"/>
      <c r="D2968" s="165"/>
      <c r="E2968" s="165"/>
      <c r="K2968" s="12"/>
      <c r="L2968" s="12"/>
      <c r="M2968" s="12"/>
      <c r="N2968" s="12"/>
    </row>
    <row r="2969" spans="3:14" ht="12.75">
      <c r="C2969" s="165"/>
      <c r="D2969" s="165"/>
      <c r="E2969" s="165"/>
      <c r="K2969" s="12"/>
      <c r="L2969" s="12"/>
      <c r="M2969" s="12"/>
      <c r="N2969" s="12"/>
    </row>
    <row r="2970" spans="3:14" ht="12.75">
      <c r="C2970" s="165"/>
      <c r="D2970" s="165"/>
      <c r="E2970" s="165"/>
      <c r="K2970" s="12"/>
      <c r="L2970" s="12"/>
      <c r="M2970" s="12"/>
      <c r="N2970" s="12"/>
    </row>
    <row r="2971" spans="3:14" ht="12.75">
      <c r="C2971" s="165"/>
      <c r="D2971" s="165"/>
      <c r="E2971" s="165"/>
      <c r="K2971" s="12"/>
      <c r="L2971" s="12"/>
      <c r="M2971" s="12"/>
      <c r="N2971" s="12"/>
    </row>
    <row r="2972" spans="3:14" ht="12.75">
      <c r="C2972" s="165"/>
      <c r="D2972" s="165"/>
      <c r="E2972" s="165"/>
      <c r="K2972" s="12"/>
      <c r="L2972" s="12"/>
      <c r="M2972" s="12"/>
      <c r="N2972" s="12"/>
    </row>
    <row r="2973" spans="3:14" ht="12.75">
      <c r="C2973" s="165"/>
      <c r="D2973" s="165"/>
      <c r="E2973" s="165"/>
      <c r="K2973" s="12"/>
      <c r="L2973" s="12"/>
      <c r="M2973" s="12"/>
      <c r="N2973" s="12"/>
    </row>
    <row r="2974" spans="3:14" ht="12.75">
      <c r="C2974" s="165"/>
      <c r="D2974" s="165"/>
      <c r="E2974" s="165"/>
      <c r="K2974" s="12"/>
      <c r="L2974" s="12"/>
      <c r="M2974" s="12"/>
      <c r="N2974" s="12"/>
    </row>
    <row r="2975" spans="3:14" ht="12.75">
      <c r="C2975" s="165"/>
      <c r="D2975" s="165"/>
      <c r="E2975" s="165"/>
      <c r="K2975" s="12"/>
      <c r="L2975" s="12"/>
      <c r="M2975" s="12"/>
      <c r="N2975" s="12"/>
    </row>
    <row r="2976" spans="3:14" ht="12.75">
      <c r="C2976" s="165"/>
      <c r="D2976" s="165"/>
      <c r="E2976" s="165"/>
      <c r="K2976" s="12"/>
      <c r="L2976" s="12"/>
      <c r="M2976" s="12"/>
      <c r="N2976" s="12"/>
    </row>
    <row r="2977" spans="3:14" ht="12.75">
      <c r="C2977" s="165"/>
      <c r="D2977" s="165"/>
      <c r="E2977" s="165"/>
      <c r="K2977" s="12"/>
      <c r="L2977" s="12"/>
      <c r="M2977" s="12"/>
      <c r="N2977" s="12"/>
    </row>
    <row r="2978" spans="3:14" ht="12.75">
      <c r="C2978" s="165"/>
      <c r="D2978" s="165"/>
      <c r="E2978" s="165"/>
      <c r="K2978" s="12"/>
      <c r="L2978" s="12"/>
      <c r="M2978" s="12"/>
      <c r="N2978" s="12"/>
    </row>
    <row r="2979" spans="3:14" ht="12.75">
      <c r="C2979" s="165"/>
      <c r="D2979" s="165"/>
      <c r="E2979" s="165"/>
      <c r="K2979" s="12"/>
      <c r="L2979" s="12"/>
      <c r="M2979" s="12"/>
      <c r="N2979" s="12"/>
    </row>
    <row r="2980" spans="3:14" ht="12.75">
      <c r="C2980" s="165"/>
      <c r="D2980" s="165"/>
      <c r="E2980" s="165"/>
      <c r="K2980" s="12"/>
      <c r="L2980" s="12"/>
      <c r="M2980" s="12"/>
      <c r="N2980" s="12"/>
    </row>
    <row r="2981" spans="3:14" ht="12.75">
      <c r="K2981" s="12"/>
      <c r="L2981" s="12"/>
    </row>
    <row r="2982" spans="3:14" ht="12.75">
      <c r="K2982" s="12"/>
      <c r="L2982" s="12"/>
    </row>
    <row r="2983" spans="3:14" ht="12.75">
      <c r="K2983" s="12"/>
      <c r="L2983" s="12"/>
    </row>
    <row r="2984" spans="3:14" ht="12.75">
      <c r="K2984" s="12"/>
      <c r="L2984" s="12"/>
    </row>
    <row r="2985" spans="3:14" ht="12.75">
      <c r="K2985" s="12"/>
      <c r="L2985" s="12"/>
    </row>
    <row r="2986" spans="3:14" ht="12.75">
      <c r="K2986" s="12"/>
      <c r="L2986" s="12"/>
    </row>
    <row r="2987" spans="3:14" ht="12.75">
      <c r="K2987" s="12"/>
      <c r="L2987" s="12"/>
    </row>
    <row r="2988" spans="3:14" ht="12.75">
      <c r="K2988" s="12"/>
      <c r="L2988" s="12"/>
    </row>
    <row r="2989" spans="3:14" ht="12.75">
      <c r="K2989" s="12"/>
      <c r="L2989" s="12"/>
    </row>
    <row r="2990" spans="3:14" ht="12.75">
      <c r="K2990" s="12"/>
      <c r="L2990" s="12"/>
    </row>
    <row r="2991" spans="3:14" ht="12.75">
      <c r="K2991" s="12"/>
      <c r="L2991" s="12"/>
    </row>
    <row r="2992" spans="3:14" ht="12.75">
      <c r="K2992" s="12"/>
      <c r="L2992" s="12"/>
    </row>
    <row r="2993" spans="11:12" ht="12.75">
      <c r="K2993" s="12"/>
      <c r="L2993" s="12"/>
    </row>
    <row r="2994" spans="11:12" ht="12.75">
      <c r="K2994" s="12"/>
      <c r="L2994" s="12"/>
    </row>
    <row r="2995" spans="11:12" ht="12.75">
      <c r="K2995" s="12"/>
      <c r="L2995" s="12"/>
    </row>
    <row r="2996" spans="11:12" ht="12.75">
      <c r="K2996" s="12"/>
      <c r="L2996" s="12"/>
    </row>
    <row r="2997" spans="11:12" ht="12.75">
      <c r="K2997" s="12"/>
      <c r="L2997" s="12"/>
    </row>
    <row r="2998" spans="11:12" ht="12.75">
      <c r="K2998" s="12"/>
      <c r="L2998" s="12"/>
    </row>
    <row r="2999" spans="11:12" ht="12.75">
      <c r="K2999" s="12"/>
      <c r="L2999" s="12"/>
    </row>
    <row r="3000" spans="11:12" ht="12.75">
      <c r="K3000" s="12"/>
      <c r="L3000" s="12"/>
    </row>
    <row r="3001" spans="11:12" ht="12.75">
      <c r="K3001" s="12"/>
      <c r="L3001" s="12"/>
    </row>
    <row r="3002" spans="11:12" ht="12.75">
      <c r="K3002" s="12"/>
      <c r="L3002" s="12"/>
    </row>
    <row r="3003" spans="11:12" ht="12.75">
      <c r="K3003" s="12"/>
      <c r="L3003" s="12"/>
    </row>
    <row r="3004" spans="11:12" ht="12.75">
      <c r="K3004" s="12"/>
      <c r="L3004" s="12"/>
    </row>
    <row r="3005" spans="11:12" ht="12.75">
      <c r="K3005" s="12"/>
      <c r="L3005" s="12"/>
    </row>
    <row r="3006" spans="11:12" ht="12.75">
      <c r="K3006" s="12"/>
      <c r="L3006" s="12"/>
    </row>
    <row r="3007" spans="11:12" ht="12.75">
      <c r="K3007" s="12"/>
      <c r="L3007" s="12"/>
    </row>
    <row r="3008" spans="11:12" ht="12.75">
      <c r="K3008" s="12"/>
      <c r="L3008" s="12"/>
    </row>
    <row r="3009" spans="11:12" ht="12.75">
      <c r="K3009" s="12"/>
      <c r="L3009" s="12"/>
    </row>
    <row r="3010" spans="11:12" ht="12.75">
      <c r="K3010" s="12"/>
      <c r="L3010" s="12"/>
    </row>
    <row r="3011" spans="11:12" ht="12.75">
      <c r="K3011" s="12"/>
      <c r="L3011" s="12"/>
    </row>
    <row r="3012" spans="11:12" ht="12.75">
      <c r="K3012" s="12"/>
      <c r="L3012" s="12"/>
    </row>
    <row r="3013" spans="11:12" ht="12.75">
      <c r="K3013" s="12"/>
      <c r="L3013" s="12"/>
    </row>
    <row r="3014" spans="11:12" ht="12.75">
      <c r="K3014" s="12"/>
      <c r="L3014" s="12"/>
    </row>
    <row r="3015" spans="11:12" ht="12.75">
      <c r="K3015" s="12"/>
      <c r="L3015" s="12"/>
    </row>
    <row r="3016" spans="11:12" ht="12.75">
      <c r="K3016" s="12"/>
      <c r="L3016" s="12"/>
    </row>
    <row r="3017" spans="11:12" ht="12.75">
      <c r="K3017" s="12"/>
      <c r="L3017" s="12"/>
    </row>
    <row r="3018" spans="11:12" ht="12.75">
      <c r="K3018" s="12"/>
      <c r="L3018" s="12"/>
    </row>
    <row r="3019" spans="11:12" ht="12.75">
      <c r="K3019" s="12"/>
      <c r="L3019" s="12"/>
    </row>
    <row r="3020" spans="11:12" ht="12.75">
      <c r="K3020" s="12"/>
      <c r="L3020" s="12"/>
    </row>
    <row r="3021" spans="11:12" ht="12.75">
      <c r="K3021" s="12"/>
      <c r="L3021" s="12"/>
    </row>
    <row r="3022" spans="11:12" ht="12.75">
      <c r="K3022" s="12"/>
      <c r="L3022" s="12"/>
    </row>
    <row r="3023" spans="11:12" ht="12.75">
      <c r="K3023" s="12"/>
      <c r="L3023" s="12"/>
    </row>
    <row r="3024" spans="11:12" ht="12.75">
      <c r="K3024" s="12"/>
      <c r="L3024" s="12"/>
    </row>
    <row r="3025" spans="11:12" ht="12.75">
      <c r="K3025" s="12"/>
      <c r="L3025" s="12"/>
    </row>
    <row r="3026" spans="11:12" ht="12.75">
      <c r="K3026" s="12"/>
      <c r="L3026" s="12"/>
    </row>
    <row r="3027" spans="11:12" ht="12.75">
      <c r="K3027" s="12"/>
      <c r="L3027" s="12"/>
    </row>
    <row r="3028" spans="11:12" ht="12.75">
      <c r="K3028" s="12"/>
      <c r="L3028" s="12"/>
    </row>
    <row r="3029" spans="11:12" ht="12.75">
      <c r="K3029" s="12"/>
      <c r="L3029" s="12"/>
    </row>
    <row r="3030" spans="11:12" ht="12.75">
      <c r="K3030" s="12"/>
      <c r="L3030" s="12"/>
    </row>
    <row r="3031" spans="11:12" ht="12.75">
      <c r="K3031" s="12"/>
      <c r="L3031" s="12"/>
    </row>
    <row r="3032" spans="11:12" ht="12.75">
      <c r="K3032" s="12"/>
      <c r="L3032" s="12"/>
    </row>
    <row r="3033" spans="11:12" ht="12.75">
      <c r="K3033" s="12"/>
      <c r="L3033" s="12"/>
    </row>
    <row r="3034" spans="11:12" ht="12.75">
      <c r="K3034" s="12"/>
      <c r="L3034" s="12"/>
    </row>
    <row r="3035" spans="11:12" ht="12.75">
      <c r="K3035" s="12"/>
      <c r="L3035" s="12"/>
    </row>
    <row r="3036" spans="11:12" ht="12.75">
      <c r="K3036" s="12"/>
      <c r="L3036" s="12"/>
    </row>
    <row r="3037" spans="11:12" ht="12.75">
      <c r="K3037" s="12"/>
      <c r="L3037" s="12"/>
    </row>
    <row r="3038" spans="11:12" ht="12.75">
      <c r="K3038" s="12"/>
      <c r="L3038" s="12"/>
    </row>
    <row r="3039" spans="11:12" ht="12.75">
      <c r="K3039" s="12"/>
      <c r="L3039" s="12"/>
    </row>
    <row r="3040" spans="11:12" ht="12.75">
      <c r="K3040" s="12"/>
      <c r="L3040" s="12"/>
    </row>
    <row r="3041" spans="11:12" ht="12.75">
      <c r="K3041" s="12"/>
      <c r="L3041" s="12"/>
    </row>
    <row r="3042" spans="11:12" ht="12.75">
      <c r="K3042" s="12"/>
      <c r="L3042" s="12"/>
    </row>
    <row r="3043" spans="11:12" ht="12.75">
      <c r="K3043" s="12"/>
      <c r="L3043" s="12"/>
    </row>
    <row r="3044" spans="11:12" ht="12.75">
      <c r="K3044" s="12"/>
      <c r="L3044" s="12"/>
    </row>
    <row r="3045" spans="11:12" ht="12.75">
      <c r="K3045" s="12"/>
      <c r="L3045" s="12"/>
    </row>
    <row r="3046" spans="11:12" ht="12.75">
      <c r="K3046" s="12"/>
      <c r="L3046" s="12"/>
    </row>
    <row r="3047" spans="11:12" ht="12.75">
      <c r="K3047" s="12"/>
      <c r="L3047" s="12"/>
    </row>
    <row r="3048" spans="11:12" ht="12.75">
      <c r="K3048" s="12"/>
      <c r="L3048" s="12"/>
    </row>
    <row r="3049" spans="11:12" ht="12.75">
      <c r="K3049" s="12"/>
      <c r="L3049" s="12"/>
    </row>
    <row r="3050" spans="11:12" ht="12.75">
      <c r="K3050" s="12"/>
      <c r="L3050" s="12"/>
    </row>
    <row r="3051" spans="11:12" ht="12.75">
      <c r="K3051" s="12"/>
      <c r="L3051" s="12"/>
    </row>
    <row r="3052" spans="11:12" ht="12.75">
      <c r="K3052" s="12"/>
      <c r="L3052" s="12"/>
    </row>
    <row r="3053" spans="11:12" ht="12.75">
      <c r="K3053" s="12"/>
      <c r="L3053" s="12"/>
    </row>
    <row r="3054" spans="11:12" ht="12.75">
      <c r="K3054" s="12"/>
      <c r="L3054" s="12"/>
    </row>
    <row r="3055" spans="11:12" ht="12.75">
      <c r="K3055" s="12"/>
      <c r="L3055" s="12"/>
    </row>
    <row r="3056" spans="11:12" ht="12.75">
      <c r="K3056" s="12"/>
      <c r="L3056" s="12"/>
    </row>
    <row r="3057" spans="11:12" ht="12.75">
      <c r="K3057" s="12"/>
      <c r="L3057" s="12"/>
    </row>
    <row r="3058" spans="11:12" ht="12.75">
      <c r="K3058" s="12"/>
      <c r="L3058" s="12"/>
    </row>
    <row r="3059" spans="11:12" ht="12.75">
      <c r="K3059" s="12"/>
      <c r="L3059" s="12"/>
    </row>
    <row r="3060" spans="11:12" ht="12.75">
      <c r="K3060" s="12"/>
      <c r="L3060" s="12"/>
    </row>
    <row r="3061" spans="11:12" ht="12.75">
      <c r="K3061" s="12"/>
      <c r="L3061" s="12"/>
    </row>
    <row r="3062" spans="11:12" ht="12.75">
      <c r="K3062" s="12"/>
      <c r="L3062" s="12"/>
    </row>
    <row r="3063" spans="11:12" ht="12.75">
      <c r="K3063" s="12"/>
      <c r="L3063" s="12"/>
    </row>
    <row r="3064" spans="11:12" ht="12.75">
      <c r="K3064" s="12"/>
      <c r="L3064" s="12"/>
    </row>
    <row r="3065" spans="11:12" ht="12.75">
      <c r="K3065" s="12"/>
      <c r="L3065" s="12"/>
    </row>
    <row r="3066" spans="11:12" ht="12.75">
      <c r="K3066" s="12"/>
      <c r="L3066" s="12"/>
    </row>
    <row r="3067" spans="11:12" ht="12.75">
      <c r="K3067" s="12"/>
      <c r="L3067" s="12"/>
    </row>
    <row r="3068" spans="11:12" ht="12.75">
      <c r="K3068" s="12"/>
      <c r="L3068" s="12"/>
    </row>
    <row r="3069" spans="11:12" ht="12.75">
      <c r="K3069" s="12"/>
      <c r="L3069" s="12"/>
    </row>
    <row r="3070" spans="11:12" ht="12.75">
      <c r="K3070" s="12"/>
      <c r="L3070" s="12"/>
    </row>
    <row r="3071" spans="11:12" ht="12.75">
      <c r="K3071" s="12"/>
      <c r="L3071" s="12"/>
    </row>
    <row r="3072" spans="11:12" ht="12.75">
      <c r="K3072" s="12"/>
      <c r="L3072" s="12"/>
    </row>
    <row r="3073" spans="11:12" ht="12.75">
      <c r="K3073" s="12"/>
      <c r="L3073" s="12"/>
    </row>
    <row r="3074" spans="11:12" ht="12.75">
      <c r="K3074" s="12"/>
      <c r="L3074" s="12"/>
    </row>
    <row r="3075" spans="11:12" ht="12.75">
      <c r="K3075" s="12"/>
      <c r="L3075" s="12"/>
    </row>
    <row r="3076" spans="11:12" ht="12.75">
      <c r="K3076" s="12"/>
      <c r="L3076" s="12"/>
    </row>
    <row r="3077" spans="11:12" ht="12.75">
      <c r="K3077" s="12"/>
      <c r="L3077" s="12"/>
    </row>
    <row r="3078" spans="11:12" ht="12.75">
      <c r="K3078" s="12"/>
      <c r="L3078" s="12"/>
    </row>
    <row r="3079" spans="11:12" ht="12.75">
      <c r="K3079" s="12"/>
      <c r="L3079" s="12"/>
    </row>
    <row r="3080" spans="11:12" ht="12.75">
      <c r="K3080" s="12"/>
      <c r="L3080" s="12"/>
    </row>
    <row r="3081" spans="11:12" ht="12.75">
      <c r="K3081" s="12"/>
      <c r="L3081" s="12"/>
    </row>
    <row r="3082" spans="11:12" ht="12.75">
      <c r="K3082" s="12"/>
      <c r="L3082" s="12"/>
    </row>
    <row r="3083" spans="11:12" ht="12.75">
      <c r="K3083" s="12"/>
      <c r="L3083" s="12"/>
    </row>
    <row r="3084" spans="11:12" ht="12.75">
      <c r="K3084" s="12"/>
      <c r="L3084" s="12"/>
    </row>
    <row r="3085" spans="11:12" ht="12.75">
      <c r="K3085" s="12"/>
      <c r="L3085" s="12"/>
    </row>
    <row r="3086" spans="11:12" ht="12.75">
      <c r="K3086" s="12"/>
      <c r="L3086" s="12"/>
    </row>
    <row r="3087" spans="11:12" ht="12.75">
      <c r="K3087" s="12"/>
      <c r="L3087" s="12"/>
    </row>
    <row r="3088" spans="11:12" ht="12.75">
      <c r="K3088" s="12"/>
      <c r="L3088" s="12"/>
    </row>
    <row r="3089" spans="11:12" ht="12.75">
      <c r="K3089" s="12"/>
      <c r="L3089" s="12"/>
    </row>
    <row r="3090" spans="11:12" ht="12.75">
      <c r="K3090" s="12"/>
      <c r="L3090" s="12"/>
    </row>
    <row r="3091" spans="11:12" ht="12.75">
      <c r="K3091" s="12"/>
      <c r="L3091" s="12"/>
    </row>
    <row r="3092" spans="11:12" ht="12.75">
      <c r="K3092" s="12"/>
      <c r="L3092" s="12"/>
    </row>
    <row r="3093" spans="11:12" ht="12.75">
      <c r="K3093" s="12"/>
      <c r="L3093" s="12"/>
    </row>
    <row r="3094" spans="11:12" ht="12.75">
      <c r="K3094" s="12"/>
      <c r="L3094" s="12"/>
    </row>
    <row r="3095" spans="11:12" ht="12.75">
      <c r="K3095" s="12"/>
      <c r="L3095" s="12"/>
    </row>
    <row r="3096" spans="11:12" ht="12.75">
      <c r="K3096" s="12"/>
      <c r="L3096" s="12"/>
    </row>
    <row r="3097" spans="11:12" ht="12.75">
      <c r="K3097" s="12"/>
      <c r="L3097" s="12"/>
    </row>
    <row r="3098" spans="11:12" ht="12.75">
      <c r="K3098" s="12"/>
      <c r="L3098" s="12"/>
    </row>
    <row r="3099" spans="11:12" ht="12.75">
      <c r="K3099" s="12"/>
      <c r="L3099" s="12"/>
    </row>
    <row r="3100" spans="11:12" ht="12.75">
      <c r="K3100" s="12"/>
      <c r="L3100" s="12"/>
    </row>
    <row r="3101" spans="11:12" ht="12.75">
      <c r="K3101" s="12"/>
      <c r="L3101" s="12"/>
    </row>
    <row r="3102" spans="11:12" ht="12.75">
      <c r="K3102" s="12"/>
      <c r="L3102" s="12"/>
    </row>
    <row r="3103" spans="11:12" ht="12.75">
      <c r="K3103" s="12"/>
      <c r="L3103" s="12"/>
    </row>
    <row r="3104" spans="11:12" ht="12.75">
      <c r="K3104" s="12"/>
      <c r="L3104" s="12"/>
    </row>
    <row r="3105" spans="11:12" ht="12.75">
      <c r="K3105" s="12"/>
      <c r="L3105" s="12"/>
    </row>
    <row r="3106" spans="11:12" ht="12.75">
      <c r="K3106" s="12"/>
      <c r="L3106" s="12"/>
    </row>
    <row r="3107" spans="11:12" ht="12.75">
      <c r="K3107" s="12"/>
      <c r="L3107" s="12"/>
    </row>
    <row r="3108" spans="11:12" ht="12.75">
      <c r="K3108" s="12"/>
      <c r="L3108" s="12"/>
    </row>
    <row r="3109" spans="11:12" ht="12.75">
      <c r="K3109" s="12"/>
      <c r="L3109" s="12"/>
    </row>
    <row r="3110" spans="11:12" ht="12.75">
      <c r="K3110" s="12"/>
      <c r="L3110" s="12"/>
    </row>
    <row r="3111" spans="11:12" ht="12.75">
      <c r="K3111" s="12"/>
      <c r="L3111" s="12"/>
    </row>
    <row r="3112" spans="11:12" ht="12.75">
      <c r="K3112" s="12"/>
      <c r="L3112" s="12"/>
    </row>
    <row r="3113" spans="11:12" ht="12.75">
      <c r="K3113" s="12"/>
      <c r="L3113" s="12"/>
    </row>
    <row r="3114" spans="11:12" ht="12.75">
      <c r="K3114" s="12"/>
      <c r="L3114" s="12"/>
    </row>
    <row r="3115" spans="11:12" ht="12.75">
      <c r="K3115" s="12"/>
      <c r="L3115" s="12"/>
    </row>
    <row r="3116" spans="11:12" ht="12.75">
      <c r="K3116" s="12"/>
      <c r="L3116" s="12"/>
    </row>
    <row r="3117" spans="11:12" ht="12.75">
      <c r="K3117" s="12"/>
      <c r="L3117" s="12"/>
    </row>
    <row r="3118" spans="11:12" ht="12.75">
      <c r="K3118" s="12"/>
      <c r="L3118" s="12"/>
    </row>
    <row r="3119" spans="11:12" ht="12.75">
      <c r="K3119" s="12"/>
      <c r="L3119" s="12"/>
    </row>
    <row r="3120" spans="11:12" ht="12.75">
      <c r="K3120" s="12"/>
      <c r="L3120" s="12"/>
    </row>
    <row r="3121" spans="11:12" ht="12.75">
      <c r="K3121" s="12"/>
      <c r="L3121" s="12"/>
    </row>
    <row r="3122" spans="11:12" ht="12.75">
      <c r="K3122" s="12"/>
      <c r="L3122" s="12"/>
    </row>
    <row r="3123" spans="11:12" ht="12.75">
      <c r="K3123" s="12"/>
      <c r="L3123" s="12"/>
    </row>
    <row r="3124" spans="11:12" ht="12.75">
      <c r="K3124" s="12"/>
      <c r="L3124" s="12"/>
    </row>
    <row r="3125" spans="11:12" ht="12.75">
      <c r="K3125" s="12"/>
      <c r="L3125" s="12"/>
    </row>
    <row r="3126" spans="11:12" ht="12.75">
      <c r="K3126" s="12"/>
      <c r="L3126" s="12"/>
    </row>
    <row r="3127" spans="11:12" ht="12.75">
      <c r="K3127" s="12"/>
      <c r="L3127" s="12"/>
    </row>
    <row r="3128" spans="11:12" ht="12.75">
      <c r="K3128" s="12"/>
      <c r="L3128" s="12"/>
    </row>
    <row r="3129" spans="11:12" ht="12.75">
      <c r="K3129" s="12"/>
      <c r="L3129" s="12"/>
    </row>
    <row r="3130" spans="11:12" ht="12.75">
      <c r="K3130" s="12"/>
      <c r="L3130" s="12"/>
    </row>
    <row r="3131" spans="11:12" ht="12.75">
      <c r="K3131" s="12"/>
      <c r="L3131" s="12"/>
    </row>
    <row r="3132" spans="11:12" ht="12.75">
      <c r="K3132" s="12"/>
      <c r="L3132" s="12"/>
    </row>
    <row r="3133" spans="11:12" ht="12.75">
      <c r="K3133" s="12"/>
      <c r="L3133" s="12"/>
    </row>
    <row r="3134" spans="11:12" ht="12.75">
      <c r="K3134" s="12"/>
      <c r="L3134" s="12"/>
    </row>
    <row r="3135" spans="11:12" ht="12.75">
      <c r="K3135" s="12"/>
      <c r="L3135" s="12"/>
    </row>
    <row r="3136" spans="11:12" ht="12.75">
      <c r="K3136" s="12"/>
      <c r="L3136" s="12"/>
    </row>
    <row r="3137" spans="11:12" ht="12.75">
      <c r="K3137" s="12"/>
      <c r="L3137" s="12"/>
    </row>
    <row r="3138" spans="11:12" ht="12.75">
      <c r="K3138" s="12"/>
      <c r="L3138" s="12"/>
    </row>
    <row r="3139" spans="11:12" ht="12.75">
      <c r="K3139" s="12"/>
      <c r="L3139" s="12"/>
    </row>
    <row r="3140" spans="11:12" ht="12.75">
      <c r="K3140" s="12"/>
      <c r="L3140" s="12"/>
    </row>
    <row r="3141" spans="11:12" ht="12.75">
      <c r="K3141" s="12"/>
      <c r="L3141" s="12"/>
    </row>
    <row r="3142" spans="11:12" ht="12.75">
      <c r="K3142" s="12"/>
      <c r="L3142" s="12"/>
    </row>
    <row r="3143" spans="11:12" ht="12.75">
      <c r="K3143" s="12"/>
      <c r="L3143" s="12"/>
    </row>
    <row r="3144" spans="11:12" ht="12.75">
      <c r="K3144" s="12"/>
      <c r="L3144" s="12"/>
    </row>
    <row r="3145" spans="11:12" ht="12.75">
      <c r="K3145" s="12"/>
      <c r="L3145" s="12"/>
    </row>
    <row r="3146" spans="11:12" ht="12.75">
      <c r="K3146" s="12"/>
      <c r="L3146" s="12"/>
    </row>
    <row r="3147" spans="11:12" ht="12.75">
      <c r="K3147" s="12"/>
      <c r="L3147" s="12"/>
    </row>
    <row r="3148" spans="11:12" ht="12.75">
      <c r="K3148" s="12"/>
      <c r="L3148" s="12"/>
    </row>
    <row r="3149" spans="11:12" ht="12.75">
      <c r="K3149" s="12"/>
      <c r="L3149" s="12"/>
    </row>
    <row r="3150" spans="11:12" ht="12.75">
      <c r="K3150" s="12"/>
      <c r="L3150" s="12"/>
    </row>
    <row r="3151" spans="11:12" ht="12.75">
      <c r="K3151" s="12"/>
      <c r="L3151" s="12"/>
    </row>
    <row r="3152" spans="11:12" ht="12.75">
      <c r="K3152" s="12"/>
      <c r="L3152" s="12"/>
    </row>
    <row r="3153" spans="11:12" ht="12.75">
      <c r="K3153" s="12"/>
      <c r="L3153" s="12"/>
    </row>
    <row r="3154" spans="11:12" ht="12.75">
      <c r="K3154" s="12"/>
      <c r="L3154" s="12"/>
    </row>
    <row r="3155" spans="11:12" ht="12.75">
      <c r="K3155" s="12"/>
      <c r="L3155" s="12"/>
    </row>
    <row r="3156" spans="11:12" ht="12.75">
      <c r="K3156" s="12"/>
      <c r="L3156" s="12"/>
    </row>
    <row r="3157" spans="11:12" ht="12.75">
      <c r="K3157" s="12"/>
      <c r="L3157" s="12"/>
    </row>
    <row r="3158" spans="11:12" ht="12.75">
      <c r="K3158" s="12"/>
      <c r="L3158" s="12"/>
    </row>
    <row r="3159" spans="11:12" ht="12.75">
      <c r="K3159" s="12"/>
      <c r="L3159" s="12"/>
    </row>
    <row r="3160" spans="11:12" ht="12.75">
      <c r="K3160" s="12"/>
      <c r="L3160" s="12"/>
    </row>
    <row r="3161" spans="11:12" ht="12.75">
      <c r="K3161" s="12"/>
      <c r="L3161" s="12"/>
    </row>
    <row r="3162" spans="11:12" ht="12.75">
      <c r="K3162" s="12"/>
      <c r="L3162" s="12"/>
    </row>
    <row r="3163" spans="11:12" ht="12.75">
      <c r="K3163" s="12"/>
      <c r="L3163" s="12"/>
    </row>
    <row r="3164" spans="11:12" ht="12.75">
      <c r="K3164" s="12"/>
      <c r="L3164" s="12"/>
    </row>
    <row r="3165" spans="11:12" ht="12.75">
      <c r="K3165" s="12"/>
      <c r="L3165" s="12"/>
    </row>
    <row r="3166" spans="11:12" ht="12.75">
      <c r="K3166" s="12"/>
      <c r="L3166" s="12"/>
    </row>
    <row r="3167" spans="11:12" ht="12.75">
      <c r="K3167" s="12"/>
      <c r="L3167" s="12"/>
    </row>
    <row r="3168" spans="11:12" ht="12.75">
      <c r="K3168" s="12"/>
      <c r="L3168" s="12"/>
    </row>
    <row r="3169" spans="11:12" ht="12.75">
      <c r="K3169" s="12"/>
      <c r="L3169" s="12"/>
    </row>
    <row r="3170" spans="11:12" ht="12.75">
      <c r="K3170" s="12"/>
      <c r="L3170" s="12"/>
    </row>
    <row r="3171" spans="11:12" ht="12.75">
      <c r="K3171" s="12"/>
      <c r="L3171" s="12"/>
    </row>
    <row r="3172" spans="11:12" ht="12.75">
      <c r="K3172" s="12"/>
      <c r="L3172" s="12"/>
    </row>
    <row r="3173" spans="11:12" ht="12.75">
      <c r="K3173" s="12"/>
      <c r="L3173" s="12"/>
    </row>
    <row r="3174" spans="11:12" ht="12.75">
      <c r="K3174" s="12"/>
      <c r="L3174" s="12"/>
    </row>
    <row r="3175" spans="11:12" ht="12.75">
      <c r="K3175" s="12"/>
      <c r="L3175" s="12"/>
    </row>
    <row r="3176" spans="11:12" ht="12.75">
      <c r="K3176" s="12"/>
      <c r="L3176" s="12"/>
    </row>
    <row r="3177" spans="11:12" ht="12.75">
      <c r="K3177" s="12"/>
      <c r="L3177" s="12"/>
    </row>
    <row r="3178" spans="11:12" ht="12.75">
      <c r="K3178" s="12"/>
      <c r="L3178" s="12"/>
    </row>
    <row r="3179" spans="11:12" ht="12.75">
      <c r="K3179" s="12"/>
      <c r="L3179" s="12"/>
    </row>
    <row r="3180" spans="11:12" ht="12.75">
      <c r="K3180" s="12"/>
      <c r="L3180" s="12"/>
    </row>
    <row r="3181" spans="11:12" ht="12.75">
      <c r="K3181" s="12"/>
      <c r="L3181" s="12"/>
    </row>
    <row r="3182" spans="11:12" ht="12.75">
      <c r="K3182" s="12"/>
      <c r="L3182" s="12"/>
    </row>
    <row r="3183" spans="11:12" ht="12.75">
      <c r="K3183" s="12"/>
      <c r="L3183" s="12"/>
    </row>
    <row r="3184" spans="11:12" ht="12.75">
      <c r="K3184" s="12"/>
      <c r="L3184" s="12"/>
    </row>
    <row r="3185" spans="11:12" ht="12.75">
      <c r="K3185" s="12"/>
      <c r="L3185" s="12"/>
    </row>
    <row r="3186" spans="11:12" ht="12.75">
      <c r="K3186" s="12"/>
      <c r="L3186" s="12"/>
    </row>
    <row r="3187" spans="11:12" ht="12.75">
      <c r="K3187" s="12"/>
      <c r="L3187" s="12"/>
    </row>
    <row r="3188" spans="11:12" ht="12.75">
      <c r="K3188" s="12"/>
      <c r="L3188" s="12"/>
    </row>
    <row r="3189" spans="11:12" ht="12.75">
      <c r="K3189" s="12"/>
      <c r="L3189" s="12"/>
    </row>
    <row r="3190" spans="11:12" ht="12.75">
      <c r="K3190" s="12"/>
      <c r="L3190" s="12"/>
    </row>
    <row r="3191" spans="11:12" ht="12.75">
      <c r="K3191" s="12"/>
      <c r="L3191" s="12"/>
    </row>
    <row r="3192" spans="11:12" ht="12.75">
      <c r="K3192" s="12"/>
      <c r="L3192" s="12"/>
    </row>
    <row r="3193" spans="11:12" ht="12.75">
      <c r="K3193" s="12"/>
      <c r="L3193" s="12"/>
    </row>
    <row r="3194" spans="11:12" ht="12.75">
      <c r="K3194" s="12"/>
      <c r="L3194" s="12"/>
    </row>
    <row r="3195" spans="11:12" ht="12.75">
      <c r="K3195" s="12"/>
      <c r="L3195" s="12"/>
    </row>
    <row r="3196" spans="11:12" ht="12.75">
      <c r="K3196" s="12"/>
      <c r="L3196" s="12"/>
    </row>
    <row r="3197" spans="11:12" ht="12.75">
      <c r="K3197" s="12"/>
      <c r="L3197" s="12"/>
    </row>
    <row r="3198" spans="11:12" ht="12.75">
      <c r="K3198" s="12"/>
      <c r="L3198" s="12"/>
    </row>
    <row r="3199" spans="11:12" ht="12.75">
      <c r="K3199" s="12"/>
      <c r="L3199" s="12"/>
    </row>
    <row r="3200" spans="11:12" ht="12.75">
      <c r="K3200" s="12"/>
      <c r="L3200" s="12"/>
    </row>
    <row r="3201" spans="11:12" ht="12.75">
      <c r="K3201" s="12"/>
      <c r="L3201" s="12"/>
    </row>
    <row r="3202" spans="11:12" ht="12.75">
      <c r="K3202" s="12"/>
      <c r="L3202" s="12"/>
    </row>
    <row r="3203" spans="11:12" ht="12.75">
      <c r="K3203" s="12"/>
      <c r="L3203" s="12"/>
    </row>
    <row r="3204" spans="11:12" ht="12.75">
      <c r="K3204" s="12"/>
      <c r="L3204" s="12"/>
    </row>
    <row r="3205" spans="11:12" ht="12.75">
      <c r="K3205" s="12"/>
      <c r="L3205" s="12"/>
    </row>
    <row r="3206" spans="11:12" ht="12.75">
      <c r="K3206" s="12"/>
      <c r="L3206" s="12"/>
    </row>
    <row r="3207" spans="11:12" ht="12.75">
      <c r="K3207" s="12"/>
      <c r="L3207" s="12"/>
    </row>
    <row r="3208" spans="11:12" ht="12.75">
      <c r="K3208" s="12"/>
      <c r="L3208" s="12"/>
    </row>
    <row r="3209" spans="11:12" ht="12.75">
      <c r="K3209" s="12"/>
      <c r="L3209" s="12"/>
    </row>
    <row r="3210" spans="11:12" ht="12.75">
      <c r="K3210" s="12"/>
      <c r="L3210" s="12"/>
    </row>
    <row r="3211" spans="11:12" ht="12.75">
      <c r="K3211" s="12"/>
      <c r="L3211" s="12"/>
    </row>
    <row r="3212" spans="11:12" ht="12.75">
      <c r="K3212" s="12"/>
      <c r="L3212" s="12"/>
    </row>
    <row r="3213" spans="11:12" ht="12.75">
      <c r="K3213" s="12"/>
      <c r="L3213" s="12"/>
    </row>
    <row r="3214" spans="11:12" ht="12.75">
      <c r="K3214" s="12"/>
      <c r="L3214" s="12"/>
    </row>
    <row r="3215" spans="11:12" ht="12.75">
      <c r="K3215" s="12"/>
      <c r="L3215" s="12"/>
    </row>
    <row r="3216" spans="11:12" ht="12.75">
      <c r="K3216" s="12"/>
      <c r="L3216" s="12"/>
    </row>
    <row r="3217" spans="11:12" ht="12.75">
      <c r="K3217" s="12"/>
      <c r="L3217" s="12"/>
    </row>
    <row r="3218" spans="11:12" ht="12.75">
      <c r="K3218" s="12"/>
      <c r="L3218" s="12"/>
    </row>
    <row r="3219" spans="11:12" ht="12.75">
      <c r="K3219" s="12"/>
      <c r="L3219" s="12"/>
    </row>
    <row r="3220" spans="11:12" ht="12.75">
      <c r="K3220" s="12"/>
      <c r="L3220" s="12"/>
    </row>
    <row r="3221" spans="11:12" ht="12.75">
      <c r="K3221" s="12"/>
      <c r="L3221" s="12"/>
    </row>
    <row r="3222" spans="11:12" ht="12.75">
      <c r="K3222" s="12"/>
      <c r="L3222" s="12"/>
    </row>
    <row r="3223" spans="11:12" ht="12.75">
      <c r="K3223" s="12"/>
      <c r="L3223" s="12"/>
    </row>
    <row r="3224" spans="11:12" ht="12.75">
      <c r="K3224" s="12"/>
      <c r="L3224" s="12"/>
    </row>
    <row r="3225" spans="11:12" ht="12.75">
      <c r="K3225" s="12"/>
      <c r="L3225" s="12"/>
    </row>
    <row r="3226" spans="11:12" ht="12.75">
      <c r="K3226" s="12"/>
      <c r="L3226" s="12"/>
    </row>
    <row r="3227" spans="11:12" ht="12.75">
      <c r="K3227" s="12"/>
      <c r="L3227" s="12"/>
    </row>
    <row r="3228" spans="11:12" ht="12.75">
      <c r="K3228" s="12"/>
      <c r="L3228" s="12"/>
    </row>
    <row r="3229" spans="11:12" ht="12.75">
      <c r="K3229" s="12"/>
      <c r="L3229" s="12"/>
    </row>
    <row r="3230" spans="11:12" ht="12.75">
      <c r="K3230" s="12"/>
      <c r="L3230" s="12"/>
    </row>
    <row r="3231" spans="11:12" ht="12.75">
      <c r="K3231" s="12"/>
      <c r="L3231" s="12"/>
    </row>
    <row r="3232" spans="11:12" ht="12.75">
      <c r="K3232" s="12"/>
      <c r="L3232" s="12"/>
    </row>
    <row r="3233" spans="11:12" ht="12.75">
      <c r="K3233" s="12"/>
      <c r="L3233" s="12"/>
    </row>
    <row r="3234" spans="11:12" ht="12.75">
      <c r="K3234" s="12"/>
      <c r="L3234" s="12"/>
    </row>
    <row r="3235" spans="11:12" ht="12.75">
      <c r="K3235" s="12"/>
      <c r="L3235" s="12"/>
    </row>
    <row r="3236" spans="11:12" ht="12.75">
      <c r="K3236" s="12"/>
      <c r="L3236" s="12"/>
    </row>
    <row r="3237" spans="11:12" ht="12.75">
      <c r="K3237" s="12"/>
      <c r="L3237" s="12"/>
    </row>
    <row r="3238" spans="11:12" ht="12.75">
      <c r="K3238" s="12"/>
      <c r="L3238" s="12"/>
    </row>
    <row r="3239" spans="11:12" ht="12.75">
      <c r="K3239" s="12"/>
      <c r="L3239" s="12"/>
    </row>
    <row r="3240" spans="11:12" ht="12.75">
      <c r="K3240" s="12"/>
      <c r="L3240" s="12"/>
    </row>
    <row r="3241" spans="11:12" ht="12.75">
      <c r="K3241" s="12"/>
      <c r="L3241" s="12"/>
    </row>
    <row r="3242" spans="11:12" ht="12.75">
      <c r="K3242" s="12"/>
      <c r="L3242" s="12"/>
    </row>
    <row r="3243" spans="11:12" ht="12.75">
      <c r="K3243" s="12"/>
      <c r="L3243" s="12"/>
    </row>
    <row r="3244" spans="11:12" ht="12.75">
      <c r="K3244" s="12"/>
      <c r="L3244" s="12"/>
    </row>
    <row r="3245" spans="11:12" ht="12.75">
      <c r="K3245" s="12"/>
      <c r="L3245" s="12"/>
    </row>
    <row r="3246" spans="11:12" ht="12.75">
      <c r="K3246" s="12"/>
      <c r="L3246" s="12"/>
    </row>
    <row r="3247" spans="11:12" ht="12.75">
      <c r="K3247" s="12"/>
      <c r="L3247" s="12"/>
    </row>
    <row r="3248" spans="11:12" ht="12.75">
      <c r="K3248" s="12"/>
      <c r="L3248" s="12"/>
    </row>
    <row r="3249" spans="11:12" ht="12.75">
      <c r="K3249" s="12"/>
      <c r="L3249" s="12"/>
    </row>
    <row r="3250" spans="11:12" ht="12.75">
      <c r="K3250" s="12"/>
      <c r="L3250" s="12"/>
    </row>
    <row r="3251" spans="11:12" ht="12.75">
      <c r="K3251" s="12"/>
      <c r="L3251" s="12"/>
    </row>
    <row r="3252" spans="11:12" ht="12.75">
      <c r="K3252" s="12"/>
      <c r="L3252" s="12"/>
    </row>
    <row r="3253" spans="11:12" ht="12.75">
      <c r="K3253" s="12"/>
      <c r="L3253" s="12"/>
    </row>
    <row r="3254" spans="11:12" ht="12.75">
      <c r="K3254" s="12"/>
      <c r="L3254" s="12"/>
    </row>
    <row r="3255" spans="11:12" ht="12.75">
      <c r="K3255" s="12"/>
      <c r="L3255" s="12"/>
    </row>
    <row r="3256" spans="11:12" ht="12.75">
      <c r="K3256" s="12"/>
      <c r="L3256" s="12"/>
    </row>
    <row r="3257" spans="11:12" ht="12.75">
      <c r="K3257" s="12"/>
      <c r="L3257" s="12"/>
    </row>
    <row r="3258" spans="11:12" ht="12.75">
      <c r="K3258" s="12"/>
      <c r="L3258" s="12"/>
    </row>
    <row r="3259" spans="11:12" ht="12.75">
      <c r="K3259" s="12"/>
      <c r="L3259" s="12"/>
    </row>
    <row r="3260" spans="11:12" ht="12.75">
      <c r="K3260" s="12"/>
      <c r="L3260" s="12"/>
    </row>
    <row r="3261" spans="11:12" ht="12.75">
      <c r="K3261" s="12"/>
      <c r="L3261" s="12"/>
    </row>
    <row r="3262" spans="11:12" ht="12.75">
      <c r="K3262" s="12"/>
      <c r="L3262" s="12"/>
    </row>
    <row r="3263" spans="11:12" ht="12.75">
      <c r="K3263" s="12"/>
      <c r="L3263" s="12"/>
    </row>
    <row r="3264" spans="11:12" ht="12.75">
      <c r="K3264" s="12"/>
      <c r="L3264" s="12"/>
    </row>
    <row r="3265" spans="11:12" ht="12.75">
      <c r="K3265" s="12"/>
      <c r="L3265" s="12"/>
    </row>
    <row r="3266" spans="11:12" ht="12.75">
      <c r="K3266" s="12"/>
      <c r="L3266" s="12"/>
    </row>
    <row r="3267" spans="11:12" ht="12.75">
      <c r="K3267" s="12"/>
      <c r="L3267" s="12"/>
    </row>
    <row r="3268" spans="11:12" ht="12.75">
      <c r="K3268" s="12"/>
      <c r="L3268" s="12"/>
    </row>
    <row r="3269" spans="11:12" ht="12.75">
      <c r="K3269" s="12"/>
      <c r="L3269" s="12"/>
    </row>
    <row r="3270" spans="11:12" ht="12.75">
      <c r="K3270" s="12"/>
      <c r="L3270" s="12"/>
    </row>
    <row r="3271" spans="11:12" ht="12.75">
      <c r="K3271" s="12"/>
      <c r="L3271" s="12"/>
    </row>
    <row r="3272" spans="11:12" ht="12.75">
      <c r="K3272" s="12"/>
      <c r="L3272" s="12"/>
    </row>
    <row r="3273" spans="11:12" ht="12.75">
      <c r="K3273" s="12"/>
      <c r="L3273" s="12"/>
    </row>
    <row r="3274" spans="11:12" ht="12.75">
      <c r="K3274" s="12"/>
      <c r="L3274" s="12"/>
    </row>
    <row r="3275" spans="11:12" ht="12.75">
      <c r="K3275" s="12"/>
      <c r="L3275" s="12"/>
    </row>
    <row r="3276" spans="11:12" ht="12.75">
      <c r="K3276" s="12"/>
      <c r="L3276" s="12"/>
    </row>
    <row r="3277" spans="11:12" ht="12.75">
      <c r="K3277" s="12"/>
      <c r="L3277" s="12"/>
    </row>
    <row r="3278" spans="11:12" ht="12.75">
      <c r="K3278" s="12"/>
      <c r="L3278" s="12"/>
    </row>
    <row r="3279" spans="11:12" ht="12.75">
      <c r="K3279" s="12"/>
      <c r="L3279" s="12"/>
    </row>
    <row r="3280" spans="11:12" ht="12.75">
      <c r="K3280" s="12"/>
      <c r="L3280" s="12"/>
    </row>
    <row r="3281" spans="11:12" ht="12.75">
      <c r="K3281" s="12"/>
      <c r="L3281" s="12"/>
    </row>
    <row r="3282" spans="11:12" ht="12.75">
      <c r="K3282" s="12"/>
      <c r="L3282" s="12"/>
    </row>
    <row r="3283" spans="11:12" ht="12.75">
      <c r="K3283" s="12"/>
      <c r="L3283" s="12"/>
    </row>
    <row r="3284" spans="11:12" ht="12.75">
      <c r="K3284" s="12"/>
      <c r="L3284" s="12"/>
    </row>
    <row r="3285" spans="11:12" ht="12.75">
      <c r="K3285" s="12"/>
      <c r="L3285" s="12"/>
    </row>
    <row r="3286" spans="11:12" ht="12.75">
      <c r="K3286" s="12"/>
      <c r="L3286" s="12"/>
    </row>
    <row r="3287" spans="11:12" ht="12.75">
      <c r="K3287" s="12"/>
      <c r="L3287" s="12"/>
    </row>
    <row r="3288" spans="11:12" ht="12.75">
      <c r="K3288" s="12"/>
      <c r="L3288" s="12"/>
    </row>
    <row r="3289" spans="11:12" ht="12.75">
      <c r="K3289" s="12"/>
      <c r="L3289" s="12"/>
    </row>
    <row r="3290" spans="11:12" ht="12.75">
      <c r="K3290" s="12"/>
      <c r="L3290" s="12"/>
    </row>
    <row r="3291" spans="11:12" ht="12.75">
      <c r="K3291" s="12"/>
      <c r="L3291" s="12"/>
    </row>
    <row r="3292" spans="11:12" ht="12.75">
      <c r="K3292" s="12"/>
      <c r="L3292" s="12"/>
    </row>
    <row r="3293" spans="11:12" ht="12.75">
      <c r="K3293" s="12"/>
      <c r="L3293" s="12"/>
    </row>
    <row r="3294" spans="11:12" ht="12.75">
      <c r="K3294" s="12"/>
      <c r="L3294" s="12"/>
    </row>
    <row r="3295" spans="11:12" ht="12.75">
      <c r="K3295" s="12"/>
      <c r="L3295" s="12"/>
    </row>
    <row r="3296" spans="11:12" ht="12.75">
      <c r="K3296" s="12"/>
      <c r="L3296" s="12"/>
    </row>
    <row r="3297" spans="11:12" ht="12.75">
      <c r="K3297" s="12"/>
      <c r="L3297" s="12"/>
    </row>
    <row r="3298" spans="11:12" ht="12.75">
      <c r="K3298" s="12"/>
      <c r="L3298" s="12"/>
    </row>
    <row r="3299" spans="11:12" ht="12.75">
      <c r="K3299" s="12"/>
      <c r="L3299" s="12"/>
    </row>
    <row r="3300" spans="11:12" ht="12.75">
      <c r="K3300" s="12"/>
      <c r="L3300" s="12"/>
    </row>
    <row r="3301" spans="11:12" ht="12.75">
      <c r="K3301" s="12"/>
      <c r="L3301" s="12"/>
    </row>
    <row r="3302" spans="11:12" ht="12.75">
      <c r="K3302" s="12"/>
      <c r="L3302" s="12"/>
    </row>
    <row r="3303" spans="11:12" ht="12.75">
      <c r="K3303" s="12"/>
      <c r="L3303" s="12"/>
    </row>
    <row r="3304" spans="11:12" ht="12.75">
      <c r="K3304" s="12"/>
      <c r="L3304" s="12"/>
    </row>
    <row r="3305" spans="11:12" ht="12.75">
      <c r="K3305" s="12"/>
      <c r="L3305" s="12"/>
    </row>
    <row r="3306" spans="11:12" ht="12.75">
      <c r="K3306" s="12"/>
      <c r="L3306" s="12"/>
    </row>
    <row r="3307" spans="11:12" ht="12.75">
      <c r="K3307" s="12"/>
      <c r="L3307" s="12"/>
    </row>
    <row r="3308" spans="11:12" ht="12.75">
      <c r="K3308" s="12"/>
      <c r="L3308" s="12"/>
    </row>
    <row r="3309" spans="11:12" ht="12.75">
      <c r="K3309" s="12"/>
      <c r="L3309" s="12"/>
    </row>
    <row r="3310" spans="11:12" ht="12.75">
      <c r="K3310" s="12"/>
      <c r="L3310" s="12"/>
    </row>
    <row r="3311" spans="11:12" ht="12.75">
      <c r="K3311" s="12"/>
      <c r="L3311" s="12"/>
    </row>
    <row r="3312" spans="11:12" ht="12.75">
      <c r="K3312" s="12"/>
      <c r="L3312" s="12"/>
    </row>
    <row r="3313" spans="11:12" ht="12.75">
      <c r="K3313" s="12"/>
      <c r="L3313" s="12"/>
    </row>
    <row r="3314" spans="11:12" ht="12.75">
      <c r="K3314" s="12"/>
      <c r="L3314" s="12"/>
    </row>
    <row r="3315" spans="11:12" ht="12.75">
      <c r="K3315" s="12"/>
      <c r="L3315" s="12"/>
    </row>
    <row r="3316" spans="11:12" ht="12.75">
      <c r="K3316" s="12"/>
      <c r="L3316" s="12"/>
    </row>
    <row r="3317" spans="11:12" ht="12.75">
      <c r="K3317" s="12"/>
      <c r="L3317" s="12"/>
    </row>
    <row r="3318" spans="11:12" ht="12.75">
      <c r="K3318" s="12"/>
      <c r="L3318" s="12"/>
    </row>
    <row r="3319" spans="11:12" ht="12.75">
      <c r="K3319" s="12"/>
      <c r="L3319" s="12"/>
    </row>
    <row r="3320" spans="11:12" ht="12.75">
      <c r="K3320" s="12"/>
      <c r="L3320" s="12"/>
    </row>
    <row r="3321" spans="11:12" ht="12.75">
      <c r="K3321" s="12"/>
      <c r="L3321" s="12"/>
    </row>
    <row r="3322" spans="11:12" ht="12.75">
      <c r="K3322" s="12"/>
      <c r="L3322" s="12"/>
    </row>
    <row r="3323" spans="11:12" ht="12.75">
      <c r="K3323" s="12"/>
      <c r="L3323" s="12"/>
    </row>
    <row r="3324" spans="11:12" ht="12.75">
      <c r="K3324" s="12"/>
      <c r="L3324" s="12"/>
    </row>
    <row r="3325" spans="11:12" ht="12.75">
      <c r="K3325" s="12"/>
      <c r="L3325" s="12"/>
    </row>
    <row r="3326" spans="11:12" ht="12.75">
      <c r="K3326" s="12"/>
      <c r="L3326" s="12"/>
    </row>
    <row r="3327" spans="11:12" ht="12.75">
      <c r="K3327" s="12"/>
      <c r="L3327" s="12"/>
    </row>
    <row r="3328" spans="11:12" ht="12.75">
      <c r="K3328" s="12"/>
      <c r="L3328" s="12"/>
    </row>
    <row r="3329" spans="11:12" ht="12.75">
      <c r="K3329" s="12"/>
      <c r="L3329" s="12"/>
    </row>
    <row r="3330" spans="11:12" ht="12.75">
      <c r="K3330" s="12"/>
      <c r="L3330" s="12"/>
    </row>
    <row r="3331" spans="11:12" ht="12.75">
      <c r="K3331" s="12"/>
      <c r="L3331" s="12"/>
    </row>
    <row r="3332" spans="11:12" ht="12.75">
      <c r="K3332" s="12"/>
      <c r="L3332" s="12"/>
    </row>
    <row r="3333" spans="11:12" ht="12.75">
      <c r="K3333" s="12"/>
      <c r="L3333" s="12"/>
    </row>
    <row r="3334" spans="11:12" ht="12.75">
      <c r="K3334" s="12"/>
      <c r="L3334" s="12"/>
    </row>
    <row r="3335" spans="11:12" ht="12.75">
      <c r="K3335" s="12"/>
      <c r="L3335" s="12"/>
    </row>
    <row r="3336" spans="11:12" ht="12.75">
      <c r="K3336" s="12"/>
      <c r="L3336" s="12"/>
    </row>
    <row r="3337" spans="11:12" ht="12.75">
      <c r="K3337" s="12"/>
      <c r="L3337" s="12"/>
    </row>
    <row r="3338" spans="11:12" ht="12.75">
      <c r="K3338" s="12"/>
      <c r="L3338" s="12"/>
    </row>
    <row r="3339" spans="11:12" ht="12.75">
      <c r="K3339" s="12"/>
      <c r="L3339" s="12"/>
    </row>
    <row r="3340" spans="11:12" ht="12.75">
      <c r="K3340" s="12"/>
      <c r="L3340" s="12"/>
    </row>
    <row r="3341" spans="11:12" ht="12.75">
      <c r="K3341" s="12"/>
      <c r="L3341" s="12"/>
    </row>
    <row r="3342" spans="11:12" ht="12.75">
      <c r="K3342" s="12"/>
      <c r="L3342" s="12"/>
    </row>
    <row r="3343" spans="11:12" ht="12.75">
      <c r="K3343" s="12"/>
      <c r="L3343" s="12"/>
    </row>
    <row r="3344" spans="11:12" ht="12.75">
      <c r="K3344" s="12"/>
      <c r="L3344" s="12"/>
    </row>
    <row r="3345" spans="11:12" ht="12.75">
      <c r="K3345" s="12"/>
      <c r="L3345" s="12"/>
    </row>
    <row r="3346" spans="11:12" ht="12.75">
      <c r="K3346" s="12"/>
      <c r="L3346" s="12"/>
    </row>
    <row r="3347" spans="11:12" ht="12.75">
      <c r="K3347" s="12"/>
      <c r="L3347" s="12"/>
    </row>
    <row r="3348" spans="11:12" ht="12.75">
      <c r="K3348" s="12"/>
      <c r="L3348" s="12"/>
    </row>
    <row r="3349" spans="11:12" ht="12.75">
      <c r="K3349" s="12"/>
      <c r="L3349" s="12"/>
    </row>
    <row r="3350" spans="11:12" ht="12.75">
      <c r="K3350" s="12"/>
      <c r="L3350" s="12"/>
    </row>
    <row r="3351" spans="11:12" ht="12.75">
      <c r="K3351" s="12"/>
      <c r="L3351" s="12"/>
    </row>
    <row r="3352" spans="11:12" ht="12.75">
      <c r="K3352" s="12"/>
      <c r="L3352" s="12"/>
    </row>
    <row r="3353" spans="11:12" ht="12.75">
      <c r="K3353" s="12"/>
      <c r="L3353" s="12"/>
    </row>
    <row r="3354" spans="11:12" ht="12.75">
      <c r="K3354" s="12"/>
      <c r="L3354" s="12"/>
    </row>
    <row r="3355" spans="11:12" ht="12.75">
      <c r="K3355" s="12"/>
      <c r="L3355" s="12"/>
    </row>
    <row r="3356" spans="11:12" ht="12.75">
      <c r="K3356" s="12"/>
      <c r="L3356" s="12"/>
    </row>
    <row r="3357" spans="11:12" ht="12.75">
      <c r="K3357" s="12"/>
      <c r="L3357" s="12"/>
    </row>
    <row r="3358" spans="11:12" ht="12.75">
      <c r="K3358" s="12"/>
      <c r="L3358" s="12"/>
    </row>
    <row r="3359" spans="11:12" ht="12.75">
      <c r="K3359" s="12"/>
      <c r="L3359" s="12"/>
    </row>
    <row r="3360" spans="11:12" ht="12.75">
      <c r="K3360" s="12"/>
      <c r="L3360" s="12"/>
    </row>
    <row r="3361" spans="11:12" ht="12.75">
      <c r="K3361" s="12"/>
      <c r="L3361" s="12"/>
    </row>
    <row r="3362" spans="11:12" ht="12.75">
      <c r="K3362" s="12"/>
      <c r="L3362" s="12"/>
    </row>
    <row r="3363" spans="11:12" ht="12.75">
      <c r="K3363" s="12"/>
      <c r="L3363" s="12"/>
    </row>
    <row r="3364" spans="11:12" ht="12.75">
      <c r="K3364" s="12"/>
      <c r="L3364" s="12"/>
    </row>
    <row r="3365" spans="11:12" ht="12.75">
      <c r="K3365" s="12"/>
      <c r="L3365" s="12"/>
    </row>
    <row r="3366" spans="11:12" ht="12.75">
      <c r="K3366" s="12"/>
      <c r="L3366" s="12"/>
    </row>
    <row r="3367" spans="11:12" ht="12.75">
      <c r="K3367" s="12"/>
      <c r="L3367" s="12"/>
    </row>
    <row r="3368" spans="11:12" ht="12.75">
      <c r="K3368" s="12"/>
      <c r="L3368" s="12"/>
    </row>
    <row r="3369" spans="11:12" ht="12.75">
      <c r="K3369" s="12"/>
      <c r="L3369" s="12"/>
    </row>
    <row r="3370" spans="11:12" ht="12.75">
      <c r="K3370" s="12"/>
      <c r="L3370" s="12"/>
    </row>
    <row r="3371" spans="11:12" ht="12.75">
      <c r="K3371" s="12"/>
      <c r="L3371" s="12"/>
    </row>
    <row r="3372" spans="11:12" ht="12.75">
      <c r="K3372" s="12"/>
      <c r="L3372" s="12"/>
    </row>
    <row r="3373" spans="11:12" ht="12.75">
      <c r="K3373" s="12"/>
      <c r="L3373" s="12"/>
    </row>
    <row r="3374" spans="11:12" ht="12.75">
      <c r="K3374" s="12"/>
      <c r="L3374" s="12"/>
    </row>
    <row r="3375" spans="11:12" ht="12.75">
      <c r="K3375" s="12"/>
      <c r="L3375" s="12"/>
    </row>
    <row r="3376" spans="11:12" ht="12.75">
      <c r="K3376" s="12"/>
      <c r="L3376" s="12"/>
    </row>
    <row r="3377" spans="11:12" ht="12.75">
      <c r="K3377" s="12"/>
      <c r="L3377" s="12"/>
    </row>
    <row r="3378" spans="11:12" ht="12.75">
      <c r="K3378" s="12"/>
      <c r="L3378" s="12"/>
    </row>
    <row r="3379" spans="11:12" ht="12.75">
      <c r="K3379" s="12"/>
      <c r="L3379" s="12"/>
    </row>
    <row r="3380" spans="11:12" ht="12.75">
      <c r="K3380" s="12"/>
      <c r="L3380" s="12"/>
    </row>
    <row r="3381" spans="11:12" ht="12.75">
      <c r="K3381" s="12"/>
      <c r="L3381" s="12"/>
    </row>
    <row r="3382" spans="11:12" ht="12.75">
      <c r="K3382" s="12"/>
      <c r="L3382" s="12"/>
    </row>
    <row r="3383" spans="11:12" ht="12.75">
      <c r="K3383" s="12"/>
      <c r="L3383" s="12"/>
    </row>
    <row r="3384" spans="11:12" ht="12.75">
      <c r="K3384" s="12"/>
      <c r="L3384" s="12"/>
    </row>
    <row r="3385" spans="11:12" ht="12.75">
      <c r="K3385" s="12"/>
      <c r="L3385" s="12"/>
    </row>
    <row r="3386" spans="11:12" ht="12.75">
      <c r="K3386" s="12"/>
      <c r="L3386" s="12"/>
    </row>
    <row r="3387" spans="11:12" ht="12.75">
      <c r="K3387" s="12"/>
      <c r="L3387" s="12"/>
    </row>
    <row r="3388" spans="11:12" ht="12.75">
      <c r="K3388" s="12"/>
      <c r="L3388" s="12"/>
    </row>
    <row r="3389" spans="11:12" ht="12.75">
      <c r="K3389" s="12"/>
      <c r="L3389" s="12"/>
    </row>
    <row r="3390" spans="11:12" ht="12.75">
      <c r="K3390" s="12"/>
      <c r="L3390" s="12"/>
    </row>
    <row r="3391" spans="11:12" ht="12.75">
      <c r="K3391" s="12"/>
      <c r="L3391" s="12"/>
    </row>
    <row r="3392" spans="11:12" ht="12.75">
      <c r="K3392" s="12"/>
      <c r="L3392" s="12"/>
    </row>
    <row r="3393" spans="11:12" ht="12.75">
      <c r="K3393" s="12"/>
      <c r="L3393" s="12"/>
    </row>
    <row r="3394" spans="11:12" ht="12.75">
      <c r="K3394" s="12"/>
      <c r="L3394" s="12"/>
    </row>
    <row r="3395" spans="11:12" ht="12.75">
      <c r="K3395" s="12"/>
      <c r="L3395" s="12"/>
    </row>
    <row r="3396" spans="11:12" ht="12.75">
      <c r="K3396" s="12"/>
      <c r="L3396" s="12"/>
    </row>
    <row r="3397" spans="11:12" ht="12.75">
      <c r="K3397" s="12"/>
      <c r="L3397" s="12"/>
    </row>
    <row r="3398" spans="11:12" ht="12.75">
      <c r="K3398" s="12"/>
      <c r="L3398" s="12"/>
    </row>
    <row r="3399" spans="11:12" ht="12.75">
      <c r="K3399" s="12"/>
      <c r="L3399" s="12"/>
    </row>
    <row r="3400" spans="11:12" ht="12.75">
      <c r="K3400" s="12"/>
      <c r="L3400" s="12"/>
    </row>
    <row r="3401" spans="11:12" ht="12.75">
      <c r="K3401" s="12"/>
      <c r="L3401" s="12"/>
    </row>
    <row r="3402" spans="11:12" ht="12.75">
      <c r="K3402" s="12"/>
      <c r="L3402" s="12"/>
    </row>
    <row r="3403" spans="11:12" ht="12.75">
      <c r="K3403" s="12"/>
      <c r="L3403" s="12"/>
    </row>
    <row r="3404" spans="11:12" ht="12.75">
      <c r="K3404" s="12"/>
      <c r="L3404" s="12"/>
    </row>
    <row r="3405" spans="11:12" ht="12.75">
      <c r="K3405" s="12"/>
      <c r="L3405" s="12"/>
    </row>
    <row r="3406" spans="11:12" ht="12.75">
      <c r="K3406" s="12"/>
      <c r="L3406" s="12"/>
    </row>
    <row r="3407" spans="11:12" ht="12.75">
      <c r="K3407" s="12"/>
      <c r="L3407" s="12"/>
    </row>
    <row r="3408" spans="11:12" ht="12.75">
      <c r="K3408" s="12"/>
      <c r="L3408" s="12"/>
    </row>
    <row r="3409" spans="11:12" ht="12.75">
      <c r="K3409" s="12"/>
      <c r="L3409" s="12"/>
    </row>
    <row r="3410" spans="11:12" ht="12.75">
      <c r="K3410" s="12"/>
      <c r="L3410" s="12"/>
    </row>
    <row r="3411" spans="11:12" ht="12.75">
      <c r="K3411" s="12"/>
      <c r="L3411" s="12"/>
    </row>
    <row r="3412" spans="11:12" ht="12.75">
      <c r="K3412" s="12"/>
      <c r="L3412" s="12"/>
    </row>
    <row r="3413" spans="11:12" ht="12.75">
      <c r="K3413" s="12"/>
      <c r="L3413" s="12"/>
    </row>
    <row r="3414" spans="11:12" ht="12.75">
      <c r="K3414" s="12"/>
      <c r="L3414" s="12"/>
    </row>
    <row r="3415" spans="11:12" ht="12.75">
      <c r="K3415" s="12"/>
      <c r="L3415" s="12"/>
    </row>
    <row r="3416" spans="11:12" ht="12.75">
      <c r="K3416" s="12"/>
      <c r="L3416" s="12"/>
    </row>
    <row r="3417" spans="11:12" ht="12.75">
      <c r="K3417" s="12"/>
      <c r="L3417" s="12"/>
    </row>
    <row r="3418" spans="11:12" ht="12.75">
      <c r="K3418" s="12"/>
      <c r="L3418" s="12"/>
    </row>
    <row r="3419" spans="11:12" ht="12.75">
      <c r="K3419" s="12"/>
      <c r="L3419" s="12"/>
    </row>
    <row r="3420" spans="11:12" ht="12.75">
      <c r="K3420" s="12"/>
      <c r="L3420" s="12"/>
    </row>
    <row r="3421" spans="11:12" ht="12.75">
      <c r="K3421" s="12"/>
      <c r="L3421" s="12"/>
    </row>
    <row r="3422" spans="11:12" ht="12.75">
      <c r="K3422" s="12"/>
      <c r="L3422" s="12"/>
    </row>
    <row r="3423" spans="11:12" ht="12.75">
      <c r="K3423" s="12"/>
      <c r="L3423" s="12"/>
    </row>
    <row r="3424" spans="11:12" ht="12.75">
      <c r="K3424" s="12"/>
      <c r="L3424" s="12"/>
    </row>
    <row r="3425" spans="11:12" ht="12.75">
      <c r="K3425" s="12"/>
      <c r="L3425" s="12"/>
    </row>
    <row r="3426" spans="11:12" ht="12.75">
      <c r="K3426" s="12"/>
      <c r="L3426" s="12"/>
    </row>
    <row r="3427" spans="11:12" ht="12.75">
      <c r="K3427" s="12"/>
      <c r="L3427" s="12"/>
    </row>
    <row r="3428" spans="11:12" ht="12.75">
      <c r="K3428" s="12"/>
      <c r="L3428" s="12"/>
    </row>
    <row r="3429" spans="11:12" ht="12.75">
      <c r="K3429" s="12"/>
      <c r="L3429" s="12"/>
    </row>
    <row r="3430" spans="11:12" ht="12.75">
      <c r="K3430" s="12"/>
      <c r="L3430" s="12"/>
    </row>
    <row r="3431" spans="11:12" ht="12.75">
      <c r="K3431" s="12"/>
      <c r="L3431" s="12"/>
    </row>
    <row r="3432" spans="11:12" ht="12.75">
      <c r="K3432" s="12"/>
      <c r="L3432" s="12"/>
    </row>
    <row r="3433" spans="11:12" ht="12.75">
      <c r="K3433" s="12"/>
      <c r="L3433" s="12"/>
    </row>
    <row r="3434" spans="11:12" ht="12.75">
      <c r="K3434" s="12"/>
      <c r="L3434" s="12"/>
    </row>
    <row r="3435" spans="11:12" ht="12.75">
      <c r="K3435" s="12"/>
      <c r="L3435" s="12"/>
    </row>
    <row r="3436" spans="11:12" ht="12.75">
      <c r="K3436" s="12"/>
      <c r="L3436" s="12"/>
    </row>
    <row r="3437" spans="11:12" ht="12.75">
      <c r="K3437" s="12"/>
      <c r="L3437" s="12"/>
    </row>
    <row r="3438" spans="11:12" ht="12.75">
      <c r="K3438" s="12"/>
      <c r="L3438" s="12"/>
    </row>
    <row r="3439" spans="11:12" ht="12.75">
      <c r="K3439" s="12"/>
      <c r="L3439" s="12"/>
    </row>
    <row r="3440" spans="11:12" ht="12.75">
      <c r="K3440" s="12"/>
      <c r="L3440" s="12"/>
    </row>
    <row r="3441" spans="11:12" ht="12.75">
      <c r="K3441" s="12"/>
      <c r="L3441" s="12"/>
    </row>
    <row r="3442" spans="11:12" ht="12.75">
      <c r="K3442" s="12"/>
      <c r="L3442" s="12"/>
    </row>
    <row r="3443" spans="11:12" ht="12.75">
      <c r="K3443" s="12"/>
      <c r="L3443" s="12"/>
    </row>
    <row r="3444" spans="11:12" ht="12.75">
      <c r="K3444" s="12"/>
      <c r="L3444" s="12"/>
    </row>
    <row r="3445" spans="11:12" ht="12.75">
      <c r="K3445" s="12"/>
      <c r="L3445" s="12"/>
    </row>
    <row r="3446" spans="11:12" ht="12.75">
      <c r="K3446" s="12"/>
      <c r="L3446" s="12"/>
    </row>
    <row r="3447" spans="11:12" ht="12.75">
      <c r="K3447" s="12"/>
      <c r="L3447" s="12"/>
    </row>
    <row r="3448" spans="11:12" ht="12.75">
      <c r="K3448" s="12"/>
      <c r="L3448" s="12"/>
    </row>
    <row r="3449" spans="11:12" ht="12.75">
      <c r="K3449" s="12"/>
      <c r="L3449" s="12"/>
    </row>
    <row r="3450" spans="11:12" ht="12.75">
      <c r="K3450" s="12"/>
      <c r="L3450" s="12"/>
    </row>
    <row r="3451" spans="11:12" ht="12.75">
      <c r="K3451" s="12"/>
      <c r="L3451" s="12"/>
    </row>
    <row r="3452" spans="11:12" ht="12.75">
      <c r="K3452" s="12"/>
      <c r="L3452" s="12"/>
    </row>
    <row r="3453" spans="11:12" ht="12.75">
      <c r="K3453" s="12"/>
      <c r="L3453" s="12"/>
    </row>
    <row r="3454" spans="11:12" ht="12.75">
      <c r="K3454" s="12"/>
      <c r="L3454" s="12"/>
    </row>
    <row r="3455" spans="11:12" ht="12.75">
      <c r="K3455" s="12"/>
      <c r="L3455" s="12"/>
    </row>
    <row r="3456" spans="11:12" ht="12.75">
      <c r="K3456" s="12"/>
      <c r="L3456" s="12"/>
    </row>
    <row r="3457" spans="11:12" ht="12.75">
      <c r="K3457" s="12"/>
      <c r="L3457" s="12"/>
    </row>
    <row r="3458" spans="11:12" ht="12.75">
      <c r="K3458" s="12"/>
      <c r="L3458" s="12"/>
    </row>
    <row r="3459" spans="11:12" ht="12.75">
      <c r="K3459" s="12"/>
      <c r="L3459" s="12"/>
    </row>
    <row r="3460" spans="11:12" ht="12.75">
      <c r="K3460" s="12"/>
      <c r="L3460" s="12"/>
    </row>
    <row r="3461" spans="11:12" ht="12.75">
      <c r="K3461" s="12"/>
      <c r="L3461" s="12"/>
    </row>
    <row r="3462" spans="11:12" ht="12.75">
      <c r="K3462" s="12"/>
      <c r="L3462" s="12"/>
    </row>
    <row r="3463" spans="11:12" ht="12.75">
      <c r="K3463" s="12"/>
      <c r="L3463" s="12"/>
    </row>
    <row r="3464" spans="11:12" ht="12.75">
      <c r="K3464" s="12"/>
      <c r="L3464" s="12"/>
    </row>
    <row r="3465" spans="11:12" ht="12.75">
      <c r="K3465" s="12"/>
      <c r="L3465" s="12"/>
    </row>
    <row r="3466" spans="11:12" ht="12.75">
      <c r="K3466" s="12"/>
      <c r="L3466" s="12"/>
    </row>
    <row r="3467" spans="11:12" ht="12.75">
      <c r="K3467" s="12"/>
      <c r="L3467" s="12"/>
    </row>
    <row r="3468" spans="11:12" ht="12.75">
      <c r="K3468" s="12"/>
      <c r="L3468" s="12"/>
    </row>
    <row r="3469" spans="11:12" ht="12.75">
      <c r="K3469" s="12"/>
      <c r="L3469" s="12"/>
    </row>
    <row r="3470" spans="11:12" ht="12.75">
      <c r="K3470" s="12"/>
      <c r="L3470" s="12"/>
    </row>
    <row r="3471" spans="11:12" ht="12.75">
      <c r="K3471" s="12"/>
      <c r="L3471" s="12"/>
    </row>
    <row r="3472" spans="11:12" ht="12.75">
      <c r="K3472" s="12"/>
      <c r="L3472" s="12"/>
    </row>
    <row r="3473" spans="11:12" ht="12.75">
      <c r="K3473" s="12"/>
      <c r="L3473" s="12"/>
    </row>
    <row r="3474" spans="11:12" ht="12.75">
      <c r="K3474" s="12"/>
      <c r="L3474" s="12"/>
    </row>
    <row r="3475" spans="11:12" ht="12.75">
      <c r="K3475" s="12"/>
      <c r="L3475" s="12"/>
    </row>
    <row r="3476" spans="11:12" ht="12.75">
      <c r="K3476" s="12"/>
      <c r="L3476" s="12"/>
    </row>
    <row r="3477" spans="11:12" ht="12.75">
      <c r="K3477" s="12"/>
      <c r="L3477" s="12"/>
    </row>
    <row r="3478" spans="11:12" ht="12.75">
      <c r="K3478" s="12"/>
      <c r="L3478" s="12"/>
    </row>
    <row r="3479" spans="11:12" ht="12.75">
      <c r="K3479" s="12"/>
      <c r="L3479" s="12"/>
    </row>
    <row r="3480" spans="11:12" ht="12.75">
      <c r="K3480" s="12"/>
      <c r="L3480" s="12"/>
    </row>
    <row r="3481" spans="11:12" ht="12.75">
      <c r="K3481" s="12"/>
      <c r="L3481" s="12"/>
    </row>
    <row r="3482" spans="11:12" ht="12.75">
      <c r="K3482" s="12"/>
      <c r="L3482" s="12"/>
    </row>
    <row r="3483" spans="11:12" ht="12.75">
      <c r="K3483" s="12"/>
      <c r="L3483" s="12"/>
    </row>
    <row r="3484" spans="11:12" ht="12.75">
      <c r="K3484" s="12"/>
      <c r="L3484" s="12"/>
    </row>
    <row r="3485" spans="11:12" ht="12.75">
      <c r="K3485" s="12"/>
      <c r="L3485" s="12"/>
    </row>
    <row r="3486" spans="11:12" ht="12.75">
      <c r="K3486" s="12"/>
      <c r="L3486" s="12"/>
    </row>
    <row r="3487" spans="11:12" ht="12.75">
      <c r="K3487" s="12"/>
      <c r="L3487" s="12"/>
    </row>
    <row r="3488" spans="11:12" ht="12.75">
      <c r="K3488" s="12"/>
      <c r="L3488" s="12"/>
    </row>
    <row r="3489" spans="11:12" ht="12.75">
      <c r="K3489" s="12"/>
      <c r="L3489" s="12"/>
    </row>
    <row r="3490" spans="11:12" ht="12.75">
      <c r="K3490" s="12"/>
      <c r="L3490" s="12"/>
    </row>
    <row r="3491" spans="11:12" ht="12.75">
      <c r="K3491" s="12"/>
      <c r="L3491" s="12"/>
    </row>
    <row r="3492" spans="11:12" ht="12.75">
      <c r="K3492" s="12"/>
      <c r="L3492" s="12"/>
    </row>
    <row r="3493" spans="11:12" ht="12.75">
      <c r="K3493" s="12"/>
      <c r="L3493" s="12"/>
    </row>
    <row r="3494" spans="11:12" ht="12.75">
      <c r="K3494" s="12"/>
      <c r="L3494" s="12"/>
    </row>
    <row r="3495" spans="11:12" ht="12.75">
      <c r="K3495" s="12"/>
      <c r="L3495" s="12"/>
    </row>
    <row r="3496" spans="11:12" ht="12.75">
      <c r="K3496" s="12"/>
      <c r="L3496" s="12"/>
    </row>
    <row r="3497" spans="11:12" ht="12.75">
      <c r="K3497" s="12"/>
      <c r="L3497" s="12"/>
    </row>
    <row r="3498" spans="11:12" ht="12.75">
      <c r="K3498" s="12"/>
      <c r="L3498" s="12"/>
    </row>
    <row r="3499" spans="11:12" ht="12.75">
      <c r="K3499" s="12"/>
      <c r="L3499" s="12"/>
    </row>
    <row r="3500" spans="11:12" ht="12.75">
      <c r="K3500" s="12"/>
      <c r="L3500" s="12"/>
    </row>
    <row r="3501" spans="11:12" ht="12.75">
      <c r="K3501" s="12"/>
      <c r="L3501" s="12"/>
    </row>
    <row r="3502" spans="11:12" ht="12.75">
      <c r="K3502" s="12"/>
      <c r="L3502" s="12"/>
    </row>
    <row r="3503" spans="11:12" ht="12.75">
      <c r="K3503" s="12"/>
      <c r="L3503" s="12"/>
    </row>
    <row r="3504" spans="11:12" ht="12.75">
      <c r="K3504" s="12"/>
      <c r="L3504" s="12"/>
    </row>
    <row r="3505" spans="11:12" ht="12.75">
      <c r="K3505" s="12"/>
      <c r="L3505" s="12"/>
    </row>
    <row r="3506" spans="11:12" ht="12.75">
      <c r="K3506" s="12"/>
      <c r="L3506" s="12"/>
    </row>
    <row r="3507" spans="11:12" ht="12.75">
      <c r="K3507" s="12"/>
      <c r="L3507" s="12"/>
    </row>
    <row r="3508" spans="11:12" ht="12.75">
      <c r="K3508" s="12"/>
      <c r="L3508" s="12"/>
    </row>
    <row r="3509" spans="11:12" ht="12.75">
      <c r="K3509" s="12"/>
      <c r="L3509" s="12"/>
    </row>
    <row r="3510" spans="11:12" ht="12.75">
      <c r="K3510" s="12"/>
      <c r="L3510" s="12"/>
    </row>
    <row r="3511" spans="11:12" ht="12.75">
      <c r="K3511" s="12"/>
      <c r="L3511" s="12"/>
    </row>
    <row r="3512" spans="11:12" ht="12.75">
      <c r="K3512" s="12"/>
      <c r="L3512" s="12"/>
    </row>
    <row r="3513" spans="11:12" ht="12.75">
      <c r="K3513" s="12"/>
      <c r="L3513" s="12"/>
    </row>
    <row r="3514" spans="11:12" ht="12.75">
      <c r="K3514" s="12"/>
      <c r="L3514" s="12"/>
    </row>
    <row r="3515" spans="11:12" ht="12.75">
      <c r="K3515" s="12"/>
      <c r="L3515" s="12"/>
    </row>
    <row r="3516" spans="11:12" ht="12.75">
      <c r="K3516" s="12"/>
      <c r="L3516" s="12"/>
    </row>
    <row r="3517" spans="11:12" ht="12.75">
      <c r="K3517" s="12"/>
      <c r="L3517" s="12"/>
    </row>
    <row r="3518" spans="11:12" ht="12.75">
      <c r="K3518" s="12"/>
      <c r="L3518" s="12"/>
    </row>
    <row r="3519" spans="11:12" ht="12.75">
      <c r="K3519" s="12"/>
      <c r="L3519" s="12"/>
    </row>
    <row r="3520" spans="11:12" ht="12.75">
      <c r="K3520" s="12"/>
      <c r="L3520" s="12"/>
    </row>
    <row r="3521" spans="11:12" ht="12.75">
      <c r="K3521" s="12"/>
      <c r="L3521" s="12"/>
    </row>
    <row r="3522" spans="11:12" ht="12.75">
      <c r="K3522" s="12"/>
      <c r="L3522" s="12"/>
    </row>
    <row r="3523" spans="11:12" ht="12.75">
      <c r="K3523" s="12"/>
      <c r="L3523" s="12"/>
    </row>
    <row r="3524" spans="11:12" ht="12.75">
      <c r="K3524" s="12"/>
      <c r="L3524" s="12"/>
    </row>
    <row r="3525" spans="11:12" ht="12.75">
      <c r="K3525" s="12"/>
      <c r="L3525" s="12"/>
    </row>
    <row r="3526" spans="11:12" ht="12.75">
      <c r="K3526" s="12"/>
      <c r="L3526" s="12"/>
    </row>
    <row r="3527" spans="11:12" ht="12.75">
      <c r="K3527" s="12"/>
      <c r="L3527" s="12"/>
    </row>
    <row r="3528" spans="11:12" ht="12.75">
      <c r="K3528" s="12"/>
      <c r="L3528" s="12"/>
    </row>
    <row r="3529" spans="11:12" ht="12.75">
      <c r="K3529" s="12"/>
      <c r="L3529" s="12"/>
    </row>
    <row r="3530" spans="11:12" ht="12.75">
      <c r="K3530" s="12"/>
      <c r="L3530" s="12"/>
    </row>
    <row r="3531" spans="11:12" ht="12.75">
      <c r="K3531" s="12"/>
      <c r="L3531" s="12"/>
    </row>
    <row r="3532" spans="11:12" ht="12.75">
      <c r="K3532" s="12"/>
      <c r="L3532" s="12"/>
    </row>
    <row r="3533" spans="11:12" ht="12.75">
      <c r="K3533" s="12"/>
      <c r="L3533" s="12"/>
    </row>
    <row r="3534" spans="11:12" ht="12.75">
      <c r="K3534" s="12"/>
      <c r="L3534" s="12"/>
    </row>
    <row r="3535" spans="11:12" ht="12.75">
      <c r="K3535" s="12"/>
      <c r="L3535" s="12"/>
    </row>
    <row r="3536" spans="11:12" ht="12.75">
      <c r="K3536" s="12"/>
      <c r="L3536" s="12"/>
    </row>
    <row r="3537" spans="11:12" ht="12.75">
      <c r="K3537" s="12"/>
      <c r="L3537" s="12"/>
    </row>
    <row r="3538" spans="11:12" ht="12.75">
      <c r="K3538" s="12"/>
      <c r="L3538" s="12"/>
    </row>
    <row r="3539" spans="11:12" ht="12.75">
      <c r="K3539" s="12"/>
      <c r="L3539" s="12"/>
    </row>
    <row r="3540" spans="11:12" ht="12.75">
      <c r="K3540" s="12"/>
      <c r="L3540" s="12"/>
    </row>
    <row r="3541" spans="11:12" ht="12.75">
      <c r="K3541" s="12"/>
      <c r="L3541" s="12"/>
    </row>
    <row r="3542" spans="11:12" ht="12.75">
      <c r="K3542" s="12"/>
      <c r="L3542" s="12"/>
    </row>
    <row r="3543" spans="11:12" ht="12.75">
      <c r="K3543" s="12"/>
      <c r="L3543" s="12"/>
    </row>
    <row r="3544" spans="11:12" ht="12.75">
      <c r="K3544" s="12"/>
      <c r="L3544" s="12"/>
    </row>
    <row r="3545" spans="11:12" ht="12.75">
      <c r="K3545" s="12"/>
      <c r="L3545" s="12"/>
    </row>
    <row r="3546" spans="11:12" ht="12.75">
      <c r="K3546" s="12"/>
      <c r="L3546" s="12"/>
    </row>
    <row r="3547" spans="11:12" ht="12.75">
      <c r="K3547" s="12"/>
      <c r="L3547" s="12"/>
    </row>
    <row r="3548" spans="11:12" ht="12.75">
      <c r="K3548" s="12"/>
      <c r="L3548" s="12"/>
    </row>
    <row r="3549" spans="11:12" ht="12.75">
      <c r="K3549" s="12"/>
      <c r="L3549" s="12"/>
    </row>
    <row r="3550" spans="11:12" ht="12.75">
      <c r="K3550" s="12"/>
      <c r="L3550" s="12"/>
    </row>
    <row r="3551" spans="11:12" ht="12.75">
      <c r="K3551" s="12"/>
      <c r="L3551" s="12"/>
    </row>
    <row r="3552" spans="11:12" ht="12.75">
      <c r="K3552" s="12"/>
      <c r="L3552" s="12"/>
    </row>
    <row r="3553" spans="11:12" ht="12.75">
      <c r="K3553" s="12"/>
      <c r="L3553" s="12"/>
    </row>
    <row r="3554" spans="11:12" ht="12.75">
      <c r="K3554" s="12"/>
      <c r="L3554" s="12"/>
    </row>
    <row r="3555" spans="11:12" ht="12.75">
      <c r="K3555" s="12"/>
      <c r="L3555" s="12"/>
    </row>
    <row r="3556" spans="11:12" ht="12.75">
      <c r="K3556" s="12"/>
      <c r="L3556" s="12"/>
    </row>
    <row r="3557" spans="11:12" ht="12.75">
      <c r="K3557" s="12"/>
      <c r="L3557" s="12"/>
    </row>
    <row r="3558" spans="11:12" ht="12.75">
      <c r="K3558" s="12"/>
      <c r="L3558" s="12"/>
    </row>
    <row r="3559" spans="11:12" ht="12.75">
      <c r="K3559" s="12"/>
      <c r="L3559" s="12"/>
    </row>
    <row r="3560" spans="11:12" ht="12.75">
      <c r="K3560" s="12"/>
      <c r="L3560" s="12"/>
    </row>
    <row r="3561" spans="11:12" ht="12.75">
      <c r="K3561" s="12"/>
      <c r="L3561" s="12"/>
    </row>
    <row r="3562" spans="11:12" ht="12.75">
      <c r="K3562" s="12"/>
      <c r="L3562" s="12"/>
    </row>
    <row r="3563" spans="11:12" ht="12.75">
      <c r="K3563" s="12"/>
      <c r="L3563" s="12"/>
    </row>
    <row r="3564" spans="11:12" ht="12.75">
      <c r="K3564" s="12"/>
      <c r="L3564" s="12"/>
    </row>
    <row r="3565" spans="11:12" ht="12.75">
      <c r="K3565" s="12"/>
      <c r="L3565" s="12"/>
    </row>
    <row r="3566" spans="11:12" ht="12.75">
      <c r="K3566" s="12"/>
      <c r="L3566" s="12"/>
    </row>
    <row r="3567" spans="11:12" ht="12.75">
      <c r="K3567" s="12"/>
      <c r="L3567" s="12"/>
    </row>
    <row r="3568" spans="11:12" ht="12.75">
      <c r="K3568" s="12"/>
      <c r="L3568" s="12"/>
    </row>
    <row r="3569" spans="11:12" ht="12.75">
      <c r="K3569" s="12"/>
      <c r="L3569" s="12"/>
    </row>
    <row r="3570" spans="11:12" ht="12.75">
      <c r="K3570" s="12"/>
      <c r="L3570" s="12"/>
    </row>
    <row r="3571" spans="11:12" ht="12.75">
      <c r="K3571" s="12"/>
      <c r="L3571" s="12"/>
    </row>
    <row r="3572" spans="11:12" ht="12.75">
      <c r="K3572" s="12"/>
      <c r="L3572" s="12"/>
    </row>
    <row r="3573" spans="11:12" ht="12.75">
      <c r="K3573" s="12"/>
      <c r="L3573" s="12"/>
    </row>
    <row r="3574" spans="11:12" ht="12.75">
      <c r="K3574" s="12"/>
      <c r="L3574" s="12"/>
    </row>
    <row r="3575" spans="11:12" ht="12.75">
      <c r="K3575" s="12"/>
      <c r="L3575" s="12"/>
    </row>
    <row r="3576" spans="11:12" ht="12.75">
      <c r="K3576" s="12"/>
      <c r="L3576" s="12"/>
    </row>
    <row r="3577" spans="11:12" ht="12.75">
      <c r="K3577" s="12"/>
      <c r="L3577" s="12"/>
    </row>
    <row r="3578" spans="11:12" ht="12.75">
      <c r="K3578" s="12"/>
      <c r="L3578" s="12"/>
    </row>
    <row r="3579" spans="11:12" ht="12.75">
      <c r="K3579" s="12"/>
      <c r="L3579" s="12"/>
    </row>
    <row r="3580" spans="11:12" ht="12.75">
      <c r="K3580" s="12"/>
      <c r="L3580" s="12"/>
    </row>
    <row r="3581" spans="11:12" ht="12.75">
      <c r="K3581" s="12"/>
      <c r="L3581" s="12"/>
    </row>
    <row r="3582" spans="11:12" ht="12.75">
      <c r="K3582" s="12"/>
      <c r="L3582" s="12"/>
    </row>
    <row r="3583" spans="11:12" ht="12.75">
      <c r="K3583" s="12"/>
      <c r="L3583" s="12"/>
    </row>
    <row r="3584" spans="11:12" ht="12.75">
      <c r="K3584" s="12"/>
      <c r="L3584" s="12"/>
    </row>
    <row r="3585" spans="11:12" ht="12.75">
      <c r="K3585" s="12"/>
      <c r="L3585" s="12"/>
    </row>
    <row r="3586" spans="11:12" ht="12.75">
      <c r="K3586" s="12"/>
      <c r="L3586" s="12"/>
    </row>
    <row r="3587" spans="11:12" ht="12.75">
      <c r="K3587" s="12"/>
      <c r="L3587" s="12"/>
    </row>
    <row r="3588" spans="11:12" ht="12.75">
      <c r="K3588" s="12"/>
      <c r="L3588" s="12"/>
    </row>
    <row r="3589" spans="11:12" ht="12.75">
      <c r="K3589" s="12"/>
      <c r="L3589" s="12"/>
    </row>
    <row r="3590" spans="11:12" ht="12.75">
      <c r="K3590" s="12"/>
      <c r="L3590" s="12"/>
    </row>
    <row r="3591" spans="11:12" ht="12.75">
      <c r="K3591" s="12"/>
      <c r="L3591" s="12"/>
    </row>
    <row r="3592" spans="11:12" ht="12.75">
      <c r="K3592" s="12"/>
      <c r="L3592" s="12"/>
    </row>
    <row r="3593" spans="11:12" ht="12.75">
      <c r="K3593" s="12"/>
      <c r="L3593" s="12"/>
    </row>
    <row r="3594" spans="11:12" ht="12.75">
      <c r="K3594" s="12"/>
      <c r="L3594" s="12"/>
    </row>
    <row r="3595" spans="11:12" ht="12.75">
      <c r="K3595" s="12"/>
      <c r="L3595" s="12"/>
    </row>
    <row r="3596" spans="11:12" ht="12.75">
      <c r="K3596" s="12"/>
      <c r="L3596" s="12"/>
    </row>
    <row r="3597" spans="11:12" ht="12.75">
      <c r="K3597" s="12"/>
      <c r="L3597" s="12"/>
    </row>
    <row r="3598" spans="11:12" ht="12.75">
      <c r="K3598" s="12"/>
      <c r="L3598" s="12"/>
    </row>
    <row r="3599" spans="11:12" ht="12.75">
      <c r="K3599" s="12"/>
      <c r="L3599" s="12"/>
    </row>
    <row r="3600" spans="11:12" ht="12.75">
      <c r="K3600" s="12"/>
      <c r="L3600" s="12"/>
    </row>
    <row r="3601" spans="11:12" ht="12.75">
      <c r="K3601" s="12"/>
      <c r="L3601" s="12"/>
    </row>
    <row r="3602" spans="11:12" ht="12.75">
      <c r="K3602" s="12"/>
      <c r="L3602" s="12"/>
    </row>
    <row r="3603" spans="11:12" ht="12.75">
      <c r="K3603" s="12"/>
      <c r="L3603" s="12"/>
    </row>
    <row r="3604" spans="11:12" ht="12.75">
      <c r="K3604" s="12"/>
      <c r="L3604" s="12"/>
    </row>
    <row r="3605" spans="11:12" ht="12.75">
      <c r="K3605" s="12"/>
      <c r="L3605" s="12"/>
    </row>
    <row r="3606" spans="11:12" ht="12.75">
      <c r="K3606" s="12"/>
      <c r="L3606" s="12"/>
    </row>
    <row r="3607" spans="11:12" ht="12.75">
      <c r="K3607" s="12"/>
      <c r="L3607" s="12"/>
    </row>
    <row r="3608" spans="11:12" ht="12.75">
      <c r="K3608" s="12"/>
      <c r="L3608" s="12"/>
    </row>
    <row r="3609" spans="11:12" ht="12.75">
      <c r="K3609" s="12"/>
      <c r="L3609" s="12"/>
    </row>
    <row r="3610" spans="11:12" ht="12.75">
      <c r="K3610" s="12"/>
      <c r="L3610" s="12"/>
    </row>
    <row r="3611" spans="11:12" ht="12.75">
      <c r="K3611" s="12"/>
      <c r="L3611" s="12"/>
    </row>
    <row r="3612" spans="11:12" ht="12.75">
      <c r="K3612" s="12"/>
      <c r="L3612" s="12"/>
    </row>
    <row r="3613" spans="11:12" ht="12.75">
      <c r="K3613" s="12"/>
      <c r="L3613" s="12"/>
    </row>
    <row r="3614" spans="11:12" ht="12.75">
      <c r="K3614" s="12"/>
      <c r="L3614" s="12"/>
    </row>
    <row r="3615" spans="11:12" ht="12.75">
      <c r="K3615" s="12"/>
      <c r="L3615" s="12"/>
    </row>
    <row r="3616" spans="11:12" ht="12.75">
      <c r="K3616" s="12"/>
      <c r="L3616" s="12"/>
    </row>
    <row r="3617" spans="11:12" ht="12.75">
      <c r="K3617" s="12"/>
      <c r="L3617" s="12"/>
    </row>
    <row r="3618" spans="11:12" ht="12.75">
      <c r="K3618" s="12"/>
      <c r="L3618" s="12"/>
    </row>
    <row r="3619" spans="11:12" ht="12.75">
      <c r="K3619" s="12"/>
      <c r="L3619" s="12"/>
    </row>
    <row r="3620" spans="11:12" ht="12.75">
      <c r="K3620" s="12"/>
      <c r="L3620" s="12"/>
    </row>
    <row r="3621" spans="11:12" ht="12.75">
      <c r="K3621" s="12"/>
      <c r="L3621" s="12"/>
    </row>
    <row r="3622" spans="11:12" ht="12.75">
      <c r="K3622" s="12"/>
      <c r="L3622" s="12"/>
    </row>
    <row r="3623" spans="11:12" ht="12.75">
      <c r="K3623" s="12"/>
      <c r="L3623" s="12"/>
    </row>
    <row r="3624" spans="11:12" ht="12.75">
      <c r="K3624" s="12"/>
      <c r="L3624" s="12"/>
    </row>
    <row r="3625" spans="11:12" ht="12.75">
      <c r="K3625" s="12"/>
      <c r="L3625" s="12"/>
    </row>
    <row r="3626" spans="11:12" ht="12.75">
      <c r="K3626" s="12"/>
      <c r="L3626" s="12"/>
    </row>
    <row r="3627" spans="11:12" ht="12.75">
      <c r="K3627" s="12"/>
      <c r="L3627" s="12"/>
    </row>
    <row r="3628" spans="11:12" ht="12.75">
      <c r="K3628" s="12"/>
      <c r="L3628" s="12"/>
    </row>
    <row r="3629" spans="11:12" ht="12.75">
      <c r="K3629" s="12"/>
      <c r="L3629" s="12"/>
    </row>
    <row r="3630" spans="11:12" ht="12.75">
      <c r="K3630" s="12"/>
      <c r="L3630" s="12"/>
    </row>
    <row r="3631" spans="11:12" ht="12.75">
      <c r="K3631" s="12"/>
      <c r="L3631" s="12"/>
    </row>
    <row r="3632" spans="11:12" ht="12.75">
      <c r="K3632" s="12"/>
      <c r="L3632" s="12"/>
    </row>
    <row r="3633" spans="11:12" ht="12.75">
      <c r="K3633" s="12"/>
      <c r="L3633" s="12"/>
    </row>
    <row r="3634" spans="11:12" ht="12.75">
      <c r="K3634" s="12"/>
      <c r="L3634" s="12"/>
    </row>
    <row r="3635" spans="11:12" ht="12.75">
      <c r="K3635" s="12"/>
      <c r="L3635" s="12"/>
    </row>
    <row r="3636" spans="11:12" ht="12.75">
      <c r="K3636" s="12"/>
      <c r="L3636" s="12"/>
    </row>
    <row r="3637" spans="11:12" ht="12.75">
      <c r="K3637" s="12"/>
      <c r="L3637" s="12"/>
    </row>
    <row r="3638" spans="11:12" ht="12.75">
      <c r="K3638" s="12"/>
      <c r="L3638" s="12"/>
    </row>
    <row r="3639" spans="11:12" ht="12.75">
      <c r="K3639" s="12"/>
      <c r="L3639" s="12"/>
    </row>
    <row r="3640" spans="11:12" ht="12.75">
      <c r="K3640" s="12"/>
      <c r="L3640" s="12"/>
    </row>
    <row r="3641" spans="11:12" ht="12.75">
      <c r="K3641" s="12"/>
      <c r="L3641" s="12"/>
    </row>
    <row r="3642" spans="11:12" ht="12.75">
      <c r="K3642" s="12"/>
      <c r="L3642" s="12"/>
    </row>
    <row r="3643" spans="11:12" ht="12.75">
      <c r="K3643" s="12"/>
      <c r="L3643" s="12"/>
    </row>
    <row r="3644" spans="11:12" ht="12.75">
      <c r="K3644" s="12"/>
      <c r="L3644" s="12"/>
    </row>
    <row r="3645" spans="11:12" ht="12.75">
      <c r="K3645" s="12"/>
      <c r="L3645" s="12"/>
    </row>
    <row r="3646" spans="11:12" ht="12.75">
      <c r="K3646" s="12"/>
      <c r="L3646" s="12"/>
    </row>
    <row r="3647" spans="11:12" ht="12.75">
      <c r="K3647" s="12"/>
      <c r="L3647" s="12"/>
    </row>
    <row r="3648" spans="11:12" ht="12.75">
      <c r="K3648" s="12"/>
      <c r="L3648" s="12"/>
    </row>
    <row r="3649" spans="11:12" ht="12.75">
      <c r="K3649" s="12"/>
      <c r="L3649" s="12"/>
    </row>
    <row r="3650" spans="11:12" ht="12.75">
      <c r="K3650" s="12"/>
      <c r="L3650" s="12"/>
    </row>
    <row r="3651" spans="11:12" ht="12.75">
      <c r="K3651" s="12"/>
      <c r="L3651" s="12"/>
    </row>
    <row r="3652" spans="11:12" ht="12.75">
      <c r="K3652" s="12"/>
      <c r="L3652" s="12"/>
    </row>
    <row r="3653" spans="11:12" ht="12.75">
      <c r="K3653" s="12"/>
      <c r="L3653" s="12"/>
    </row>
    <row r="3654" spans="11:12" ht="12.75">
      <c r="K3654" s="12"/>
      <c r="L3654" s="12"/>
    </row>
    <row r="3655" spans="11:12" ht="12.75">
      <c r="K3655" s="12"/>
      <c r="L3655" s="12"/>
    </row>
    <row r="3656" spans="11:12" ht="12.75">
      <c r="K3656" s="12"/>
      <c r="L3656" s="12"/>
    </row>
    <row r="3657" spans="11:12" ht="12.75">
      <c r="K3657" s="12"/>
      <c r="L3657" s="12"/>
    </row>
    <row r="3658" spans="11:12" ht="12.75">
      <c r="K3658" s="12"/>
      <c r="L3658" s="12"/>
    </row>
    <row r="3659" spans="11:12" ht="12.75">
      <c r="K3659" s="12"/>
      <c r="L3659" s="12"/>
    </row>
    <row r="3660" spans="11:12" ht="12.75">
      <c r="K3660" s="12"/>
      <c r="L3660" s="12"/>
    </row>
    <row r="3661" spans="11:12" ht="12.75">
      <c r="K3661" s="12"/>
      <c r="L3661" s="12"/>
    </row>
    <row r="3662" spans="11:12" ht="12.75">
      <c r="K3662" s="12"/>
      <c r="L3662" s="12"/>
    </row>
    <row r="3663" spans="11:12" ht="12.75">
      <c r="K3663" s="12"/>
      <c r="L3663" s="12"/>
    </row>
    <row r="3664" spans="11:12" ht="12.75">
      <c r="K3664" s="12"/>
      <c r="L3664" s="12"/>
    </row>
    <row r="3665" spans="11:12" ht="12.75">
      <c r="K3665" s="12"/>
      <c r="L3665" s="12"/>
    </row>
    <row r="3666" spans="11:12" ht="12.75">
      <c r="K3666" s="12"/>
      <c r="L3666" s="12"/>
    </row>
    <row r="3667" spans="11:12" ht="12.75">
      <c r="K3667" s="12"/>
      <c r="L3667" s="12"/>
    </row>
    <row r="3668" spans="11:12" ht="12.75">
      <c r="K3668" s="12"/>
      <c r="L3668" s="12"/>
    </row>
    <row r="3669" spans="11:12" ht="12.75">
      <c r="K3669" s="12"/>
      <c r="L3669" s="12"/>
    </row>
    <row r="3670" spans="11:12" ht="12.75">
      <c r="K3670" s="12"/>
      <c r="L3670" s="12"/>
    </row>
    <row r="3671" spans="11:12" ht="12.75">
      <c r="K3671" s="12"/>
      <c r="L3671" s="12"/>
    </row>
    <row r="3672" spans="11:12" ht="12.75">
      <c r="K3672" s="12"/>
      <c r="L3672" s="12"/>
    </row>
    <row r="3673" spans="11:12" ht="12.75">
      <c r="K3673" s="12"/>
      <c r="L3673" s="12"/>
    </row>
    <row r="3674" spans="11:12" ht="12.75">
      <c r="K3674" s="12"/>
      <c r="L3674" s="12"/>
    </row>
    <row r="3675" spans="11:12" ht="12.75">
      <c r="K3675" s="12"/>
      <c r="L3675" s="12"/>
    </row>
    <row r="3676" spans="11:12" ht="12.75">
      <c r="K3676" s="12"/>
      <c r="L3676" s="12"/>
    </row>
    <row r="3677" spans="11:12" ht="12.75">
      <c r="K3677" s="12"/>
      <c r="L3677" s="12"/>
    </row>
    <row r="3678" spans="11:12" ht="12.75">
      <c r="K3678" s="12"/>
      <c r="L3678" s="12"/>
    </row>
    <row r="3679" spans="11:12" ht="12.75">
      <c r="K3679" s="12"/>
      <c r="L3679" s="12"/>
    </row>
    <row r="3680" spans="11:12" ht="12.75">
      <c r="K3680" s="12"/>
      <c r="L3680" s="12"/>
    </row>
    <row r="3681" spans="11:12" ht="12.75">
      <c r="K3681" s="12"/>
      <c r="L3681" s="12"/>
    </row>
    <row r="3682" spans="11:12" ht="12.75">
      <c r="K3682" s="12"/>
      <c r="L3682" s="12"/>
    </row>
    <row r="3683" spans="11:12" ht="12.75">
      <c r="K3683" s="12"/>
      <c r="L3683" s="12"/>
    </row>
    <row r="3684" spans="11:12" ht="12.75">
      <c r="K3684" s="12"/>
      <c r="L3684" s="12"/>
    </row>
    <row r="3685" spans="11:12" ht="12.75">
      <c r="K3685" s="12"/>
      <c r="L3685" s="12"/>
    </row>
    <row r="3686" spans="11:12" ht="12.75">
      <c r="K3686" s="12"/>
      <c r="L3686" s="12"/>
    </row>
    <row r="3687" spans="11:12" ht="12.75">
      <c r="K3687" s="12"/>
      <c r="L3687" s="12"/>
    </row>
    <row r="3688" spans="11:12" ht="12.75">
      <c r="K3688" s="12"/>
      <c r="L3688" s="12"/>
    </row>
    <row r="3689" spans="11:12" ht="12.75">
      <c r="K3689" s="12"/>
      <c r="L3689" s="12"/>
    </row>
    <row r="3690" spans="11:12" ht="12.75">
      <c r="K3690" s="12"/>
      <c r="L3690" s="12"/>
    </row>
    <row r="3691" spans="11:12" ht="12.75">
      <c r="K3691" s="12"/>
      <c r="L3691" s="12"/>
    </row>
    <row r="3692" spans="11:12" ht="12.75">
      <c r="K3692" s="12"/>
      <c r="L3692" s="12"/>
    </row>
    <row r="3693" spans="11:12" ht="12.75">
      <c r="K3693" s="12"/>
      <c r="L3693" s="12"/>
    </row>
    <row r="3694" spans="11:12" ht="12.75">
      <c r="K3694" s="12"/>
      <c r="L3694" s="12"/>
    </row>
    <row r="3695" spans="11:12" ht="12.75">
      <c r="K3695" s="12"/>
      <c r="L3695" s="12"/>
    </row>
    <row r="3696" spans="11:12" ht="12.75">
      <c r="K3696" s="12"/>
      <c r="L3696" s="12"/>
    </row>
    <row r="3697" spans="11:12" ht="12.75">
      <c r="K3697" s="12"/>
      <c r="L3697" s="12"/>
    </row>
    <row r="3698" spans="11:12" ht="12.75">
      <c r="K3698" s="12"/>
      <c r="L3698" s="12"/>
    </row>
    <row r="3699" spans="11:12" ht="12.75">
      <c r="K3699" s="12"/>
      <c r="L3699" s="12"/>
    </row>
    <row r="3700" spans="11:12" ht="12.75">
      <c r="K3700" s="12"/>
      <c r="L3700" s="12"/>
    </row>
    <row r="3701" spans="11:12" ht="12.75">
      <c r="K3701" s="12"/>
      <c r="L3701" s="12"/>
    </row>
    <row r="3702" spans="11:12" ht="12.75">
      <c r="K3702" s="12"/>
      <c r="L3702" s="12"/>
    </row>
    <row r="3703" spans="11:12" ht="12.75">
      <c r="K3703" s="12"/>
      <c r="L3703" s="12"/>
    </row>
    <row r="3704" spans="11:12" ht="12.75">
      <c r="K3704" s="12"/>
      <c r="L3704" s="12"/>
    </row>
    <row r="3705" spans="11:12" ht="12.75">
      <c r="K3705" s="12"/>
      <c r="L3705" s="12"/>
    </row>
    <row r="3706" spans="11:12" ht="12.75">
      <c r="K3706" s="12"/>
      <c r="L3706" s="12"/>
    </row>
    <row r="3707" spans="11:12" ht="12.75">
      <c r="K3707" s="12"/>
      <c r="L3707" s="12"/>
    </row>
    <row r="3708" spans="11:12" ht="12.75">
      <c r="K3708" s="12"/>
      <c r="L3708" s="12"/>
    </row>
    <row r="3709" spans="11:12" ht="12.75">
      <c r="K3709" s="12"/>
      <c r="L3709" s="12"/>
    </row>
    <row r="3710" spans="11:12" ht="12.75">
      <c r="K3710" s="12"/>
      <c r="L3710" s="12"/>
    </row>
    <row r="3711" spans="11:12" ht="12.75">
      <c r="K3711" s="12"/>
      <c r="L3711" s="12"/>
    </row>
    <row r="3712" spans="11:12" ht="12.75">
      <c r="K3712" s="12"/>
      <c r="L3712" s="12"/>
    </row>
    <row r="3713" spans="11:12" ht="12.75">
      <c r="K3713" s="12"/>
      <c r="L3713" s="12"/>
    </row>
    <row r="3714" spans="11:12" ht="12.75">
      <c r="K3714" s="12"/>
      <c r="L3714" s="12"/>
    </row>
    <row r="3715" spans="11:12" ht="12.75">
      <c r="K3715" s="12"/>
      <c r="L3715" s="12"/>
    </row>
    <row r="3716" spans="11:12" ht="12.75">
      <c r="K3716" s="12"/>
      <c r="L3716" s="12"/>
    </row>
    <row r="3717" spans="11:12" ht="12.75">
      <c r="K3717" s="12"/>
      <c r="L3717" s="12"/>
    </row>
    <row r="3718" spans="11:12" ht="12.75">
      <c r="K3718" s="12"/>
      <c r="L3718" s="12"/>
    </row>
    <row r="3719" spans="11:12" ht="12.75">
      <c r="K3719" s="12"/>
      <c r="L3719" s="12"/>
    </row>
    <row r="3720" spans="11:12" ht="12.75">
      <c r="K3720" s="12"/>
      <c r="L3720" s="12"/>
    </row>
    <row r="3721" spans="11:12" ht="12.75">
      <c r="K3721" s="12"/>
      <c r="L3721" s="12"/>
    </row>
    <row r="3722" spans="11:12" ht="12.75">
      <c r="K3722" s="12"/>
      <c r="L3722" s="12"/>
    </row>
    <row r="3723" spans="11:12" ht="12.75">
      <c r="K3723" s="12"/>
      <c r="L3723" s="12"/>
    </row>
    <row r="3724" spans="11:12" ht="12.75">
      <c r="K3724" s="12"/>
      <c r="L3724" s="12"/>
    </row>
    <row r="3725" spans="11:12" ht="12.75">
      <c r="K3725" s="12"/>
      <c r="L3725" s="12"/>
    </row>
    <row r="3726" spans="11:12" ht="12.75">
      <c r="K3726" s="12"/>
      <c r="L3726" s="12"/>
    </row>
    <row r="3727" spans="11:12" ht="12.75">
      <c r="K3727" s="12"/>
      <c r="L3727" s="12"/>
    </row>
    <row r="3728" spans="11:12" ht="12.75">
      <c r="K3728" s="12"/>
      <c r="L3728" s="12"/>
    </row>
    <row r="3729" spans="11:12" ht="12.75">
      <c r="K3729" s="12"/>
      <c r="L3729" s="12"/>
    </row>
    <row r="3730" spans="11:12" ht="12.75">
      <c r="K3730" s="12"/>
      <c r="L3730" s="12"/>
    </row>
    <row r="3731" spans="11:12" ht="12.75">
      <c r="K3731" s="12"/>
      <c r="L3731" s="12"/>
    </row>
    <row r="3732" spans="11:12" ht="12.75">
      <c r="K3732" s="12"/>
      <c r="L3732" s="12"/>
    </row>
    <row r="3733" spans="11:12" ht="12.75">
      <c r="K3733" s="12"/>
      <c r="L3733" s="12"/>
    </row>
    <row r="3734" spans="11:12" ht="12.75">
      <c r="K3734" s="12"/>
      <c r="L3734" s="12"/>
    </row>
    <row r="3735" spans="11:12" ht="12.75">
      <c r="K3735" s="12"/>
      <c r="L3735" s="12"/>
    </row>
    <row r="3736" spans="11:12" ht="12.75">
      <c r="K3736" s="12"/>
      <c r="L3736" s="12"/>
    </row>
    <row r="3737" spans="11:12" ht="12.75">
      <c r="K3737" s="12"/>
      <c r="L3737" s="12"/>
    </row>
    <row r="3738" spans="11:12" ht="12.75">
      <c r="K3738" s="12"/>
      <c r="L3738" s="12"/>
    </row>
    <row r="3739" spans="11:12" ht="12.75">
      <c r="K3739" s="12"/>
      <c r="L3739" s="12"/>
    </row>
    <row r="3740" spans="11:12" ht="12.75">
      <c r="K3740" s="12"/>
      <c r="L3740" s="12"/>
    </row>
    <row r="3741" spans="11:12" ht="12.75">
      <c r="K3741" s="12"/>
      <c r="L3741" s="12"/>
    </row>
    <row r="3742" spans="11:12" ht="12.75">
      <c r="K3742" s="12"/>
      <c r="L3742" s="12"/>
    </row>
    <row r="3743" spans="11:12" ht="12.75">
      <c r="K3743" s="12"/>
      <c r="L3743" s="12"/>
    </row>
    <row r="3744" spans="11:12" ht="12.75">
      <c r="K3744" s="12"/>
      <c r="L3744" s="12"/>
    </row>
    <row r="3745" spans="11:12" ht="12.75">
      <c r="K3745" s="12"/>
      <c r="L3745" s="12"/>
    </row>
    <row r="3746" spans="11:12" ht="12.75">
      <c r="K3746" s="12"/>
      <c r="L3746" s="12"/>
    </row>
    <row r="3747" spans="11:12" ht="12.75">
      <c r="K3747" s="12"/>
      <c r="L3747" s="12"/>
    </row>
    <row r="3748" spans="11:12" ht="12.75">
      <c r="K3748" s="12"/>
      <c r="L3748" s="12"/>
    </row>
    <row r="3749" spans="11:12" ht="12.75">
      <c r="K3749" s="12"/>
      <c r="L3749" s="12"/>
    </row>
    <row r="3750" spans="11:12" ht="12.75">
      <c r="K3750" s="12"/>
      <c r="L3750" s="12"/>
    </row>
    <row r="3751" spans="11:12" ht="12.75">
      <c r="K3751" s="12"/>
      <c r="L3751" s="12"/>
    </row>
    <row r="3752" spans="11:12" ht="12.75">
      <c r="K3752" s="12"/>
      <c r="L3752" s="12"/>
    </row>
    <row r="3753" spans="11:12" ht="12.75">
      <c r="K3753" s="12"/>
      <c r="L3753" s="12"/>
    </row>
    <row r="3754" spans="11:12" ht="12.75">
      <c r="K3754" s="12"/>
      <c r="L3754" s="12"/>
    </row>
    <row r="3755" spans="11:12" ht="12.75">
      <c r="K3755" s="12"/>
      <c r="L3755" s="12"/>
    </row>
    <row r="3756" spans="11:12" ht="12.75">
      <c r="K3756" s="12"/>
      <c r="L3756" s="12"/>
    </row>
    <row r="3757" spans="11:12" ht="12.75">
      <c r="K3757" s="12"/>
      <c r="L3757" s="12"/>
    </row>
    <row r="3758" spans="11:12" ht="12.75">
      <c r="K3758" s="12"/>
      <c r="L3758" s="12"/>
    </row>
    <row r="3759" spans="11:12" ht="12.75">
      <c r="K3759" s="12"/>
      <c r="L3759" s="12"/>
    </row>
    <row r="3760" spans="11:12" ht="12.75">
      <c r="K3760" s="12"/>
      <c r="L3760" s="12"/>
    </row>
    <row r="3761" spans="11:12" ht="12.75">
      <c r="K3761" s="12"/>
      <c r="L3761" s="12"/>
    </row>
    <row r="3762" spans="11:12" ht="12.75">
      <c r="K3762" s="12"/>
      <c r="L3762" s="12"/>
    </row>
    <row r="3763" spans="11:12" ht="12.75">
      <c r="K3763" s="12"/>
      <c r="L3763" s="12"/>
    </row>
    <row r="3764" spans="11:12" ht="12.75">
      <c r="K3764" s="12"/>
      <c r="L3764" s="12"/>
    </row>
    <row r="3765" spans="11:12" ht="12.75">
      <c r="K3765" s="12"/>
      <c r="L3765" s="12"/>
    </row>
    <row r="3766" spans="11:12" ht="12.75">
      <c r="K3766" s="12"/>
      <c r="L3766" s="12"/>
    </row>
    <row r="3767" spans="11:12" ht="12.75">
      <c r="K3767" s="12"/>
      <c r="L3767" s="12"/>
    </row>
    <row r="3768" spans="11:12" ht="12.75">
      <c r="K3768" s="12"/>
      <c r="L3768" s="12"/>
    </row>
    <row r="3769" spans="11:12" ht="12.75">
      <c r="K3769" s="12"/>
      <c r="L3769" s="12"/>
    </row>
    <row r="3770" spans="11:12" ht="12.75">
      <c r="K3770" s="12"/>
      <c r="L3770" s="12"/>
    </row>
    <row r="3771" spans="11:12" ht="12.75">
      <c r="K3771" s="12"/>
      <c r="L3771" s="12"/>
    </row>
    <row r="3772" spans="11:12" ht="12.75">
      <c r="K3772" s="12"/>
      <c r="L3772" s="12"/>
    </row>
    <row r="3773" spans="11:12" ht="12.75">
      <c r="K3773" s="12"/>
      <c r="L3773" s="12"/>
    </row>
    <row r="3774" spans="11:12" ht="12.75">
      <c r="K3774" s="12"/>
      <c r="L3774" s="12"/>
    </row>
    <row r="3775" spans="11:12" ht="12.75">
      <c r="K3775" s="12"/>
      <c r="L3775" s="12"/>
    </row>
    <row r="3776" spans="11:12" ht="12.75">
      <c r="K3776" s="12"/>
      <c r="L3776" s="12"/>
    </row>
    <row r="3777" spans="11:12" ht="12.75">
      <c r="K3777" s="12"/>
      <c r="L3777" s="12"/>
    </row>
    <row r="3778" spans="11:12" ht="12.75">
      <c r="K3778" s="12"/>
      <c r="L3778" s="12"/>
    </row>
    <row r="3779" spans="11:12" ht="12.75">
      <c r="K3779" s="12"/>
      <c r="L3779" s="12"/>
    </row>
    <row r="3780" spans="11:12" ht="12.75">
      <c r="K3780" s="12"/>
      <c r="L3780" s="12"/>
    </row>
    <row r="3781" spans="11:12" ht="12.75">
      <c r="K3781" s="12"/>
      <c r="L3781" s="12"/>
    </row>
    <row r="3782" spans="11:12" ht="12.75">
      <c r="K3782" s="12"/>
      <c r="L3782" s="12"/>
    </row>
    <row r="3783" spans="11:12" ht="12.75">
      <c r="K3783" s="12"/>
      <c r="L3783" s="12"/>
    </row>
    <row r="3784" spans="11:12" ht="12.75">
      <c r="K3784" s="12"/>
      <c r="L3784" s="12"/>
    </row>
    <row r="3785" spans="11:12" ht="12.75">
      <c r="K3785" s="12"/>
      <c r="L3785" s="12"/>
    </row>
    <row r="3786" spans="11:12" ht="12.75">
      <c r="K3786" s="12"/>
      <c r="L3786" s="12"/>
    </row>
    <row r="3787" spans="11:12" ht="12.75">
      <c r="K3787" s="12"/>
      <c r="L3787" s="12"/>
    </row>
    <row r="3788" spans="11:12" ht="12.75">
      <c r="K3788" s="12"/>
      <c r="L3788" s="12"/>
    </row>
    <row r="3789" spans="11:12" ht="12.75">
      <c r="K3789" s="12"/>
      <c r="L3789" s="12"/>
    </row>
    <row r="3790" spans="11:12" ht="12.75">
      <c r="K3790" s="12"/>
      <c r="L3790" s="12"/>
    </row>
    <row r="3791" spans="11:12" ht="12.75">
      <c r="K3791" s="12"/>
      <c r="L3791" s="12"/>
    </row>
    <row r="3792" spans="11:12" ht="12.75">
      <c r="K3792" s="12"/>
      <c r="L3792" s="12"/>
    </row>
    <row r="3793" spans="11:12" ht="12.75">
      <c r="K3793" s="12"/>
      <c r="L3793" s="12"/>
    </row>
    <row r="3794" spans="11:12" ht="12.75">
      <c r="K3794" s="12"/>
      <c r="L3794" s="12"/>
    </row>
    <row r="3795" spans="11:12" ht="12.75">
      <c r="K3795" s="12"/>
      <c r="L3795" s="12"/>
    </row>
    <row r="3796" spans="11:12" ht="12.75">
      <c r="K3796" s="12"/>
      <c r="L3796" s="12"/>
    </row>
    <row r="3797" spans="11:12" ht="12.75">
      <c r="K3797" s="12"/>
      <c r="L3797" s="12"/>
    </row>
    <row r="3798" spans="11:12" ht="12.75">
      <c r="K3798" s="12"/>
      <c r="L3798" s="12"/>
    </row>
    <row r="3799" spans="11:12" ht="12.75">
      <c r="K3799" s="12"/>
      <c r="L3799" s="12"/>
    </row>
    <row r="3800" spans="11:12" ht="12.75">
      <c r="K3800" s="12"/>
      <c r="L3800" s="12"/>
    </row>
    <row r="3801" spans="11:12" ht="12.75">
      <c r="K3801" s="12"/>
      <c r="L3801" s="12"/>
    </row>
    <row r="3802" spans="11:12" ht="12.75">
      <c r="K3802" s="12"/>
      <c r="L3802" s="12"/>
    </row>
    <row r="3803" spans="11:12" ht="12.75">
      <c r="K3803" s="12"/>
      <c r="L3803" s="12"/>
    </row>
    <row r="3804" spans="11:12" ht="12.75">
      <c r="K3804" s="12"/>
      <c r="L3804" s="12"/>
    </row>
    <row r="3805" spans="11:12" ht="12.75">
      <c r="K3805" s="12"/>
      <c r="L3805" s="12"/>
    </row>
    <row r="3806" spans="11:12" ht="12.75">
      <c r="K3806" s="12"/>
      <c r="L3806" s="12"/>
    </row>
    <row r="3807" spans="11:12" ht="12.75">
      <c r="K3807" s="12"/>
      <c r="L3807" s="12"/>
    </row>
    <row r="3808" spans="11:12" ht="12.75">
      <c r="K3808" s="12"/>
      <c r="L3808" s="12"/>
    </row>
    <row r="3809" spans="11:12" ht="12.75">
      <c r="K3809" s="12"/>
      <c r="L3809" s="12"/>
    </row>
    <row r="3810" spans="11:12" ht="12.75">
      <c r="K3810" s="12"/>
      <c r="L3810" s="12"/>
    </row>
    <row r="3811" spans="11:12" ht="12.75">
      <c r="K3811" s="12"/>
      <c r="L3811" s="12"/>
    </row>
    <row r="3812" spans="11:12" ht="12.75">
      <c r="K3812" s="12"/>
      <c r="L3812" s="12"/>
    </row>
    <row r="3813" spans="11:12" ht="12.75">
      <c r="K3813" s="12"/>
      <c r="L3813" s="12"/>
    </row>
    <row r="3814" spans="11:12" ht="12.75">
      <c r="K3814" s="12"/>
      <c r="L3814" s="12"/>
    </row>
    <row r="3815" spans="11:12" ht="12.75">
      <c r="K3815" s="12"/>
      <c r="L3815" s="12"/>
    </row>
    <row r="3816" spans="11:12" ht="12.75">
      <c r="K3816" s="12"/>
      <c r="L3816" s="12"/>
    </row>
    <row r="3817" spans="11:12" ht="12.75">
      <c r="K3817" s="12"/>
      <c r="L3817" s="12"/>
    </row>
    <row r="3818" spans="11:12" ht="12.75">
      <c r="K3818" s="12"/>
      <c r="L3818" s="12"/>
    </row>
    <row r="3819" spans="11:12" ht="12.75">
      <c r="K3819" s="12"/>
      <c r="L3819" s="12"/>
    </row>
    <row r="3820" spans="11:12" ht="12.75">
      <c r="K3820" s="12"/>
      <c r="L3820" s="12"/>
    </row>
    <row r="3821" spans="11:12" ht="12.75">
      <c r="K3821" s="12"/>
      <c r="L3821" s="12"/>
    </row>
    <row r="3822" spans="11:12" ht="12.75">
      <c r="K3822" s="12"/>
      <c r="L3822" s="12"/>
    </row>
    <row r="3823" spans="11:12" ht="12.75">
      <c r="K3823" s="12"/>
      <c r="L3823" s="12"/>
    </row>
    <row r="3824" spans="11:12" ht="12.75">
      <c r="K3824" s="12"/>
      <c r="L3824" s="12"/>
    </row>
    <row r="3825" spans="11:12" ht="12.75">
      <c r="K3825" s="12"/>
      <c r="L3825" s="12"/>
    </row>
    <row r="3826" spans="11:12" ht="12.75">
      <c r="K3826" s="12"/>
      <c r="L3826" s="12"/>
    </row>
    <row r="3827" spans="11:12" ht="12.75">
      <c r="K3827" s="12"/>
      <c r="L3827" s="12"/>
    </row>
    <row r="3828" spans="11:12" ht="12.75">
      <c r="K3828" s="12"/>
      <c r="L3828" s="12"/>
    </row>
    <row r="3829" spans="11:12" ht="12.75">
      <c r="K3829" s="12"/>
      <c r="L3829" s="12"/>
    </row>
    <row r="3830" spans="11:12" ht="12.75">
      <c r="K3830" s="12"/>
      <c r="L3830" s="12"/>
    </row>
    <row r="3831" spans="11:12" ht="12.75">
      <c r="K3831" s="12"/>
      <c r="L3831" s="12"/>
    </row>
    <row r="3832" spans="11:12" ht="12.75">
      <c r="K3832" s="12"/>
      <c r="L3832" s="12"/>
    </row>
    <row r="3833" spans="11:12" ht="12.75">
      <c r="K3833" s="12"/>
      <c r="L3833" s="12"/>
    </row>
    <row r="3834" spans="11:12" ht="12.75">
      <c r="K3834" s="12"/>
      <c r="L3834" s="12"/>
    </row>
    <row r="3835" spans="11:12" ht="12.75">
      <c r="K3835" s="12"/>
      <c r="L3835" s="12"/>
    </row>
    <row r="3836" spans="11:12" ht="12.75">
      <c r="K3836" s="12"/>
      <c r="L3836" s="12"/>
    </row>
    <row r="3837" spans="11:12" ht="12.75">
      <c r="K3837" s="12"/>
      <c r="L3837" s="12"/>
    </row>
    <row r="3838" spans="11:12" ht="12.75">
      <c r="K3838" s="12"/>
      <c r="L3838" s="12"/>
    </row>
    <row r="3839" spans="11:12" ht="12.75">
      <c r="K3839" s="12"/>
      <c r="L3839" s="12"/>
    </row>
    <row r="3840" spans="11:12" ht="12.75">
      <c r="K3840" s="12"/>
      <c r="L3840" s="12"/>
    </row>
    <row r="3841" spans="11:12" ht="12.75">
      <c r="K3841" s="12"/>
      <c r="L3841" s="12"/>
    </row>
    <row r="3842" spans="11:12" ht="12.75">
      <c r="K3842" s="12"/>
      <c r="L3842" s="12"/>
    </row>
    <row r="3843" spans="11:12" ht="12.75">
      <c r="K3843" s="12"/>
      <c r="L3843" s="12"/>
    </row>
    <row r="3844" spans="11:12" ht="12.75">
      <c r="K3844" s="12"/>
      <c r="L3844" s="12"/>
    </row>
    <row r="3845" spans="11:12" ht="12.75">
      <c r="K3845" s="12"/>
      <c r="L3845" s="12"/>
    </row>
    <row r="3846" spans="11:12" ht="12.75">
      <c r="K3846" s="12"/>
      <c r="L3846" s="12"/>
    </row>
    <row r="3847" spans="11:12" ht="12.75">
      <c r="K3847" s="12"/>
      <c r="L3847" s="12"/>
    </row>
    <row r="3848" spans="11:12" ht="12.75">
      <c r="K3848" s="12"/>
      <c r="L3848" s="12"/>
    </row>
    <row r="3849" spans="11:12" ht="12.75">
      <c r="K3849" s="12"/>
      <c r="L3849" s="12"/>
    </row>
    <row r="3850" spans="11:12" ht="12.75">
      <c r="K3850" s="12"/>
      <c r="L3850" s="12"/>
    </row>
    <row r="3851" spans="11:12" ht="12.75">
      <c r="K3851" s="12"/>
      <c r="L3851" s="12"/>
    </row>
    <row r="3852" spans="11:12" ht="12.75">
      <c r="K3852" s="12"/>
      <c r="L3852" s="12"/>
    </row>
    <row r="3853" spans="11:12" ht="12.75">
      <c r="K3853" s="12"/>
      <c r="L3853" s="12"/>
    </row>
    <row r="3854" spans="11:12" ht="12.75">
      <c r="K3854" s="12"/>
      <c r="L3854" s="12"/>
    </row>
    <row r="3855" spans="11:12" ht="12.75">
      <c r="K3855" s="12"/>
      <c r="L3855" s="12"/>
    </row>
    <row r="3856" spans="11:12" ht="12.75">
      <c r="K3856" s="12"/>
      <c r="L3856" s="12"/>
    </row>
    <row r="3857" spans="11:12" ht="12.75">
      <c r="K3857" s="12"/>
      <c r="L3857" s="12"/>
    </row>
    <row r="3858" spans="11:12" ht="12.75">
      <c r="K3858" s="12"/>
      <c r="L3858" s="12"/>
    </row>
    <row r="3859" spans="11:12" ht="12.75">
      <c r="K3859" s="12"/>
      <c r="L3859" s="12"/>
    </row>
    <row r="3860" spans="11:12" ht="12.75">
      <c r="K3860" s="12"/>
      <c r="L3860" s="12"/>
    </row>
    <row r="3861" spans="11:12" ht="12.75">
      <c r="K3861" s="12"/>
      <c r="L3861" s="12"/>
    </row>
    <row r="3862" spans="11:12" ht="12.75">
      <c r="K3862" s="12"/>
      <c r="L3862" s="12"/>
    </row>
    <row r="3863" spans="11:12" ht="12.75">
      <c r="K3863" s="12"/>
      <c r="L3863" s="12"/>
    </row>
    <row r="3864" spans="11:12" ht="12.75">
      <c r="K3864" s="12"/>
      <c r="L3864" s="12"/>
    </row>
    <row r="3865" spans="11:12" ht="12.75">
      <c r="K3865" s="12"/>
      <c r="L3865" s="12"/>
    </row>
    <row r="3866" spans="11:12" ht="12.75">
      <c r="K3866" s="12"/>
      <c r="L3866" s="12"/>
    </row>
    <row r="3867" spans="11:12" ht="12.75">
      <c r="K3867" s="12"/>
      <c r="L3867" s="12"/>
    </row>
    <row r="3868" spans="11:12" ht="12.75">
      <c r="K3868" s="12"/>
      <c r="L3868" s="12"/>
    </row>
    <row r="3869" spans="11:12" ht="12.75">
      <c r="K3869" s="12"/>
      <c r="L3869" s="12"/>
    </row>
    <row r="3870" spans="11:12" ht="12.75">
      <c r="K3870" s="12"/>
      <c r="L3870" s="12"/>
    </row>
    <row r="3871" spans="11:12" ht="12.75">
      <c r="K3871" s="12"/>
      <c r="L3871" s="12"/>
    </row>
    <row r="3872" spans="11:12" ht="12.75">
      <c r="K3872" s="12"/>
      <c r="L3872" s="12"/>
    </row>
    <row r="3873" spans="11:12" ht="12.75">
      <c r="K3873" s="12"/>
      <c r="L3873" s="12"/>
    </row>
    <row r="3874" spans="11:12" ht="12.75">
      <c r="K3874" s="12"/>
      <c r="L3874" s="12"/>
    </row>
    <row r="3875" spans="11:12" ht="12.75">
      <c r="K3875" s="12"/>
      <c r="L3875" s="12"/>
    </row>
    <row r="3876" spans="11:12" ht="12.75">
      <c r="K3876" s="12"/>
      <c r="L3876" s="12"/>
    </row>
    <row r="3877" spans="11:12" ht="12.75">
      <c r="K3877" s="12"/>
      <c r="L3877" s="12"/>
    </row>
    <row r="3878" spans="11:12" ht="12.75">
      <c r="K3878" s="12"/>
      <c r="L3878" s="12"/>
    </row>
    <row r="3879" spans="11:12" ht="12.75">
      <c r="K3879" s="12"/>
      <c r="L3879" s="12"/>
    </row>
    <row r="3880" spans="11:12" ht="12.75">
      <c r="K3880" s="12"/>
      <c r="L3880" s="12"/>
    </row>
    <row r="3881" spans="11:12" ht="12.75">
      <c r="K3881" s="12"/>
      <c r="L3881" s="12"/>
    </row>
    <row r="3882" spans="11:12" ht="12.75">
      <c r="K3882" s="12"/>
      <c r="L3882" s="12"/>
    </row>
    <row r="3883" spans="11:12" ht="12.75">
      <c r="K3883" s="12"/>
      <c r="L3883" s="12"/>
    </row>
    <row r="3884" spans="11:12" ht="12.75">
      <c r="K3884" s="12"/>
      <c r="L3884" s="12"/>
    </row>
    <row r="3885" spans="11:12" ht="12.75">
      <c r="K3885" s="12"/>
      <c r="L3885" s="12"/>
    </row>
    <row r="3886" spans="11:12" ht="12.75">
      <c r="K3886" s="12"/>
      <c r="L3886" s="12"/>
    </row>
    <row r="3887" spans="11:12" ht="12.75">
      <c r="K3887" s="12"/>
      <c r="L3887" s="12"/>
    </row>
    <row r="3888" spans="11:12" ht="12.75">
      <c r="K3888" s="12"/>
      <c r="L3888" s="12"/>
    </row>
    <row r="3889" spans="11:12" ht="12.75">
      <c r="K3889" s="12"/>
      <c r="L3889" s="12"/>
    </row>
    <row r="3890" spans="11:12" ht="12.75">
      <c r="K3890" s="12"/>
      <c r="L3890" s="12"/>
    </row>
    <row r="3891" spans="11:12" ht="12.75">
      <c r="K3891" s="12"/>
      <c r="L3891" s="12"/>
    </row>
    <row r="3892" spans="11:12" ht="12.75">
      <c r="K3892" s="12"/>
      <c r="L3892" s="12"/>
    </row>
    <row r="3893" spans="11:12" ht="12.75">
      <c r="K3893" s="12"/>
      <c r="L3893" s="12"/>
    </row>
    <row r="3894" spans="11:12" ht="12.75">
      <c r="K3894" s="12"/>
      <c r="L3894" s="12"/>
    </row>
    <row r="3895" spans="11:12" ht="12.75">
      <c r="K3895" s="12"/>
      <c r="L3895" s="12"/>
    </row>
    <row r="3896" spans="11:12" ht="12.75">
      <c r="K3896" s="12"/>
      <c r="L3896" s="12"/>
    </row>
    <row r="3897" spans="11:12" ht="12.75">
      <c r="K3897" s="12"/>
      <c r="L3897" s="12"/>
    </row>
    <row r="3898" spans="11:12" ht="12.75">
      <c r="K3898" s="12"/>
      <c r="L3898" s="12"/>
    </row>
    <row r="3899" spans="11:12" ht="12.75">
      <c r="K3899" s="12"/>
      <c r="L3899" s="12"/>
    </row>
    <row r="3900" spans="11:12" ht="12.75">
      <c r="K3900" s="12"/>
      <c r="L3900" s="12"/>
    </row>
    <row r="3901" spans="11:12" ht="12.75">
      <c r="K3901" s="12"/>
      <c r="L3901" s="12"/>
    </row>
    <row r="3902" spans="11:12" ht="12.75">
      <c r="K3902" s="12"/>
      <c r="L3902" s="12"/>
    </row>
    <row r="3903" spans="11:12" ht="12.75">
      <c r="K3903" s="12"/>
      <c r="L3903" s="12"/>
    </row>
    <row r="3904" spans="11:12" ht="12.75">
      <c r="K3904" s="12"/>
      <c r="L3904" s="12"/>
    </row>
    <row r="3905" spans="11:12" ht="12.75">
      <c r="K3905" s="12"/>
      <c r="L3905" s="12"/>
    </row>
    <row r="3906" spans="11:12" ht="12.75">
      <c r="K3906" s="12"/>
      <c r="L3906" s="12"/>
    </row>
    <row r="3907" spans="11:12" ht="12.75">
      <c r="K3907" s="12"/>
      <c r="L3907" s="12"/>
    </row>
    <row r="3908" spans="11:12" ht="12.75">
      <c r="K3908" s="12"/>
      <c r="L3908" s="12"/>
    </row>
    <row r="3909" spans="11:12" ht="12.75">
      <c r="K3909" s="12"/>
      <c r="L3909" s="12"/>
    </row>
    <row r="3910" spans="11:12" ht="12.75">
      <c r="K3910" s="12"/>
      <c r="L3910" s="12"/>
    </row>
    <row r="3911" spans="11:12" ht="12.75">
      <c r="K3911" s="12"/>
      <c r="L3911" s="12"/>
    </row>
    <row r="3912" spans="11:12" ht="12.75">
      <c r="K3912" s="12"/>
      <c r="L3912" s="12"/>
    </row>
    <row r="3913" spans="11:12" ht="12.75">
      <c r="K3913" s="12"/>
      <c r="L3913" s="12"/>
    </row>
    <row r="3914" spans="11:12" ht="12.75">
      <c r="K3914" s="12"/>
      <c r="L3914" s="12"/>
    </row>
    <row r="3915" spans="11:12" ht="12.75">
      <c r="K3915" s="12"/>
      <c r="L3915" s="12"/>
    </row>
    <row r="3916" spans="11:12" ht="12.75">
      <c r="K3916" s="12"/>
      <c r="L3916" s="12"/>
    </row>
    <row r="3917" spans="11:12" ht="12.75">
      <c r="K3917" s="12"/>
      <c r="L3917" s="12"/>
    </row>
    <row r="3918" spans="11:12" ht="12.75">
      <c r="K3918" s="12"/>
      <c r="L3918" s="12"/>
    </row>
    <row r="3919" spans="11:12" ht="12.75">
      <c r="K3919" s="12"/>
      <c r="L3919" s="12"/>
    </row>
    <row r="3920" spans="11:12" ht="12.75">
      <c r="K3920" s="12"/>
      <c r="L3920" s="12"/>
    </row>
    <row r="3921" spans="11:12" ht="12.75">
      <c r="K3921" s="12"/>
      <c r="L3921" s="12"/>
    </row>
    <row r="3922" spans="11:12" ht="12.75">
      <c r="K3922" s="12"/>
      <c r="L3922" s="12"/>
    </row>
    <row r="3923" spans="11:12" ht="12.75">
      <c r="K3923" s="12"/>
      <c r="L3923" s="12"/>
    </row>
    <row r="3924" spans="11:12" ht="12.75">
      <c r="K3924" s="12"/>
      <c r="L3924" s="12"/>
    </row>
    <row r="3925" spans="11:12" ht="12.75">
      <c r="K3925" s="12"/>
      <c r="L3925" s="12"/>
    </row>
    <row r="3926" spans="11:12" ht="12.75">
      <c r="K3926" s="12"/>
      <c r="L3926" s="12"/>
    </row>
    <row r="3927" spans="11:12" ht="12.75">
      <c r="K3927" s="12"/>
      <c r="L3927" s="12"/>
    </row>
    <row r="3928" spans="11:12" ht="12.75">
      <c r="K3928" s="12"/>
      <c r="L3928" s="12"/>
    </row>
    <row r="3929" spans="11:12" ht="12.75">
      <c r="K3929" s="12"/>
      <c r="L3929" s="12"/>
    </row>
    <row r="3930" spans="11:12" ht="12.75">
      <c r="K3930" s="12"/>
      <c r="L3930" s="12"/>
    </row>
    <row r="3931" spans="11:12" ht="12.75">
      <c r="K3931" s="12"/>
      <c r="L3931" s="12"/>
    </row>
    <row r="3932" spans="11:12" ht="12.75">
      <c r="K3932" s="12"/>
      <c r="L3932" s="12"/>
    </row>
    <row r="3933" spans="11:12" ht="12.75">
      <c r="K3933" s="12"/>
      <c r="L3933" s="12"/>
    </row>
    <row r="3934" spans="11:12" ht="12.75">
      <c r="K3934" s="12"/>
      <c r="L3934" s="12"/>
    </row>
    <row r="3935" spans="11:12" ht="12.75">
      <c r="K3935" s="12"/>
      <c r="L3935" s="12"/>
    </row>
    <row r="3936" spans="11:12" ht="12.75">
      <c r="K3936" s="12"/>
      <c r="L3936" s="12"/>
    </row>
    <row r="3937" spans="11:12" ht="12.75">
      <c r="K3937" s="12"/>
      <c r="L3937" s="12"/>
    </row>
    <row r="3938" spans="11:12" ht="12.75">
      <c r="K3938" s="12"/>
      <c r="L3938" s="12"/>
    </row>
    <row r="3939" spans="11:12" ht="12.75">
      <c r="K3939" s="12"/>
      <c r="L3939" s="12"/>
    </row>
    <row r="3940" spans="11:12" ht="12.75">
      <c r="K3940" s="12"/>
      <c r="L3940" s="12"/>
    </row>
    <row r="3941" spans="11:12" ht="12.75">
      <c r="K3941" s="12"/>
      <c r="L3941" s="12"/>
    </row>
    <row r="3942" spans="11:12" ht="12.75">
      <c r="K3942" s="12"/>
      <c r="L3942" s="12"/>
    </row>
    <row r="3943" spans="11:12" ht="12.75">
      <c r="K3943" s="12"/>
      <c r="L3943" s="12"/>
    </row>
    <row r="3944" spans="11:12" ht="12.75">
      <c r="K3944" s="12"/>
      <c r="L3944" s="12"/>
    </row>
    <row r="3945" spans="11:12" ht="12.75">
      <c r="K3945" s="12"/>
      <c r="L3945" s="12"/>
    </row>
    <row r="3946" spans="11:12" ht="12.75">
      <c r="K3946" s="12"/>
      <c r="L3946" s="12"/>
    </row>
    <row r="3947" spans="11:12" ht="12.75">
      <c r="K3947" s="12"/>
      <c r="L3947" s="12"/>
    </row>
    <row r="3948" spans="11:12" ht="12.75">
      <c r="K3948" s="12"/>
      <c r="L3948" s="12"/>
    </row>
    <row r="3949" spans="11:12" ht="12.75">
      <c r="K3949" s="12"/>
      <c r="L3949" s="12"/>
    </row>
    <row r="3950" spans="11:12" ht="12.75">
      <c r="K3950" s="12"/>
      <c r="L3950" s="12"/>
    </row>
    <row r="3951" spans="11:12" ht="12.75">
      <c r="K3951" s="12"/>
      <c r="L3951" s="12"/>
    </row>
    <row r="3952" spans="11:12" ht="12.75">
      <c r="K3952" s="12"/>
      <c r="L3952" s="12"/>
    </row>
    <row r="3953" spans="11:12" ht="12.75">
      <c r="K3953" s="12"/>
      <c r="L3953" s="12"/>
    </row>
    <row r="3954" spans="11:12" ht="12.75">
      <c r="K3954" s="12"/>
      <c r="L3954" s="12"/>
    </row>
    <row r="3955" spans="11:12" ht="12.75">
      <c r="K3955" s="12"/>
      <c r="L3955" s="12"/>
    </row>
    <row r="3956" spans="11:12" ht="12.75">
      <c r="K3956" s="12"/>
      <c r="L3956" s="12"/>
    </row>
    <row r="3957" spans="11:12" ht="12.75">
      <c r="K3957" s="12"/>
      <c r="L3957" s="12"/>
    </row>
    <row r="3958" spans="11:12" ht="12.75">
      <c r="K3958" s="12"/>
      <c r="L3958" s="12"/>
    </row>
    <row r="3959" spans="11:12" ht="12.75">
      <c r="K3959" s="12"/>
      <c r="L3959" s="12"/>
    </row>
    <row r="3960" spans="11:12" ht="12.75">
      <c r="K3960" s="12"/>
      <c r="L3960" s="12"/>
    </row>
    <row r="3961" spans="11:12" ht="12.75">
      <c r="K3961" s="12"/>
      <c r="L3961" s="12"/>
    </row>
    <row r="3962" spans="11:12" ht="12.75">
      <c r="K3962" s="12"/>
      <c r="L3962" s="12"/>
    </row>
    <row r="3963" spans="11:12" ht="12.75">
      <c r="K3963" s="12"/>
      <c r="L3963" s="12"/>
    </row>
    <row r="3964" spans="11:12" ht="12.75">
      <c r="K3964" s="12"/>
      <c r="L3964" s="12"/>
    </row>
    <row r="3965" spans="11:12" ht="12.75">
      <c r="K3965" s="12"/>
      <c r="L3965" s="12"/>
    </row>
    <row r="3966" spans="11:12" ht="12.75">
      <c r="K3966" s="12"/>
      <c r="L3966" s="12"/>
    </row>
    <row r="3967" spans="11:12" ht="12.75">
      <c r="K3967" s="12"/>
      <c r="L3967" s="12"/>
    </row>
    <row r="3968" spans="11:12" ht="12.75">
      <c r="K3968" s="12"/>
      <c r="L3968" s="12"/>
    </row>
    <row r="3969" spans="11:12" ht="12.75">
      <c r="K3969" s="12"/>
      <c r="L3969" s="12"/>
    </row>
    <row r="3970" spans="11:12" ht="12.75">
      <c r="K3970" s="12"/>
      <c r="L3970" s="12"/>
    </row>
    <row r="3971" spans="11:12" ht="12.75">
      <c r="K3971" s="12"/>
      <c r="L3971" s="12"/>
    </row>
    <row r="3972" spans="11:12" ht="12.75">
      <c r="K3972" s="12"/>
      <c r="L3972" s="12"/>
    </row>
    <row r="3973" spans="11:12" ht="12.75">
      <c r="K3973" s="12"/>
      <c r="L3973" s="12"/>
    </row>
    <row r="3974" spans="11:12" ht="12.75">
      <c r="K3974" s="12"/>
      <c r="L3974" s="12"/>
    </row>
    <row r="3975" spans="11:12" ht="12.75">
      <c r="K3975" s="12"/>
      <c r="L3975" s="12"/>
    </row>
    <row r="3976" spans="11:12" ht="12.75">
      <c r="K3976" s="12"/>
      <c r="L3976" s="12"/>
    </row>
    <row r="3977" spans="11:12" ht="12.75">
      <c r="K3977" s="12"/>
      <c r="L3977" s="12"/>
    </row>
    <row r="3978" spans="11:12" ht="12.75">
      <c r="K3978" s="12"/>
      <c r="L3978" s="12"/>
    </row>
    <row r="3979" spans="11:12" ht="12.75">
      <c r="K3979" s="12"/>
      <c r="L3979" s="12"/>
    </row>
    <row r="3980" spans="11:12" ht="12.75">
      <c r="K3980" s="12"/>
      <c r="L3980" s="12"/>
    </row>
    <row r="3981" spans="11:12" ht="12.75">
      <c r="K3981" s="12"/>
      <c r="L3981" s="12"/>
    </row>
    <row r="3982" spans="11:12" ht="12.75">
      <c r="K3982" s="12"/>
      <c r="L3982" s="12"/>
    </row>
    <row r="3983" spans="11:12" ht="12.75">
      <c r="K3983" s="12"/>
      <c r="L3983" s="12"/>
    </row>
    <row r="3984" spans="11:12" ht="12.75">
      <c r="K3984" s="12"/>
      <c r="L3984" s="12"/>
    </row>
    <row r="3985" spans="11:12" ht="12.75">
      <c r="K3985" s="12"/>
      <c r="L3985" s="12"/>
    </row>
    <row r="3986" spans="11:12" ht="12.75">
      <c r="K3986" s="12"/>
      <c r="L3986" s="12"/>
    </row>
    <row r="3987" spans="11:12" ht="12.75">
      <c r="K3987" s="12"/>
      <c r="L3987" s="12"/>
    </row>
    <row r="3988" spans="11:12" ht="12.75">
      <c r="K3988" s="12"/>
      <c r="L3988" s="12"/>
    </row>
    <row r="3989" spans="11:12" ht="12.75">
      <c r="K3989" s="12"/>
      <c r="L3989" s="12"/>
    </row>
    <row r="3990" spans="11:12" ht="12.75">
      <c r="K3990" s="12"/>
      <c r="L3990" s="12"/>
    </row>
    <row r="3991" spans="11:12" ht="12.75">
      <c r="K3991" s="12"/>
      <c r="L3991" s="12"/>
    </row>
    <row r="3992" spans="11:12" ht="12.75">
      <c r="K3992" s="12"/>
      <c r="L3992" s="12"/>
    </row>
    <row r="3993" spans="11:12" ht="12.75">
      <c r="K3993" s="12"/>
      <c r="L3993" s="12"/>
    </row>
    <row r="3994" spans="11:12" ht="12.75">
      <c r="K3994" s="12"/>
      <c r="L3994" s="12"/>
    </row>
    <row r="3995" spans="11:12" ht="12.75">
      <c r="K3995" s="12"/>
      <c r="L3995" s="12"/>
    </row>
    <row r="3996" spans="11:12" ht="12.75">
      <c r="K3996" s="12"/>
      <c r="L3996" s="12"/>
    </row>
    <row r="3997" spans="11:12" ht="12.75">
      <c r="K3997" s="12"/>
      <c r="L3997" s="12"/>
    </row>
    <row r="3998" spans="11:12" ht="12.75">
      <c r="K3998" s="12"/>
      <c r="L3998" s="12"/>
    </row>
    <row r="3999" spans="11:12" ht="12.75">
      <c r="K3999" s="12"/>
      <c r="L3999" s="12"/>
    </row>
    <row r="4000" spans="11:12" ht="12.75">
      <c r="K4000" s="12"/>
      <c r="L4000" s="12"/>
    </row>
    <row r="4001" spans="11:12" ht="12.75">
      <c r="K4001" s="12"/>
      <c r="L4001" s="12"/>
    </row>
    <row r="4002" spans="11:12" ht="12.75">
      <c r="K4002" s="12"/>
      <c r="L4002" s="12"/>
    </row>
    <row r="4003" spans="11:12" ht="12.75">
      <c r="K4003" s="12"/>
      <c r="L4003" s="12"/>
    </row>
    <row r="4004" spans="11:12" ht="12.75">
      <c r="K4004" s="12"/>
      <c r="L4004" s="12"/>
    </row>
    <row r="4005" spans="11:12" ht="12.75">
      <c r="K4005" s="12"/>
      <c r="L4005" s="12"/>
    </row>
    <row r="4006" spans="11:12" ht="12.75">
      <c r="K4006" s="12"/>
      <c r="L4006" s="12"/>
    </row>
    <row r="4007" spans="11:12" ht="12.75">
      <c r="K4007" s="12"/>
      <c r="L4007" s="12"/>
    </row>
    <row r="4008" spans="11:12" ht="12.75">
      <c r="K4008" s="12"/>
      <c r="L4008" s="12"/>
    </row>
    <row r="4009" spans="11:12" ht="12.75">
      <c r="K4009" s="12"/>
      <c r="L4009" s="12"/>
    </row>
    <row r="4010" spans="11:12" ht="12.75">
      <c r="K4010" s="12"/>
      <c r="L4010" s="12"/>
    </row>
    <row r="4011" spans="11:12" ht="12.75">
      <c r="K4011" s="12"/>
      <c r="L4011" s="12"/>
    </row>
    <row r="4012" spans="11:12" ht="12.75">
      <c r="K4012" s="12"/>
      <c r="L4012" s="12"/>
    </row>
    <row r="4013" spans="11:12" ht="12.75">
      <c r="K4013" s="12"/>
      <c r="L4013" s="12"/>
    </row>
    <row r="4014" spans="11:12" ht="12.75">
      <c r="K4014" s="12"/>
      <c r="L4014" s="12"/>
    </row>
    <row r="4015" spans="11:12" ht="12.75">
      <c r="K4015" s="12"/>
      <c r="L4015" s="12"/>
    </row>
    <row r="4016" spans="11:12" ht="12.75">
      <c r="K4016" s="12"/>
      <c r="L4016" s="12"/>
    </row>
    <row r="4017" spans="11:12" ht="12.75">
      <c r="K4017" s="12"/>
      <c r="L4017" s="12"/>
    </row>
    <row r="4018" spans="11:12" ht="12.75">
      <c r="K4018" s="12"/>
      <c r="L4018" s="12"/>
    </row>
    <row r="4019" spans="11:12" ht="12.75">
      <c r="K4019" s="12"/>
      <c r="L4019" s="12"/>
    </row>
    <row r="4020" spans="11:12" ht="12.75">
      <c r="K4020" s="12"/>
      <c r="L4020" s="12"/>
    </row>
    <row r="4021" spans="11:12" ht="12.75">
      <c r="K4021" s="12"/>
      <c r="L4021" s="12"/>
    </row>
    <row r="4022" spans="11:12" ht="12.75">
      <c r="K4022" s="12"/>
      <c r="L4022" s="12"/>
    </row>
    <row r="4023" spans="11:12" ht="12.75">
      <c r="K4023" s="12"/>
      <c r="L4023" s="12"/>
    </row>
    <row r="4024" spans="11:12" ht="12.75">
      <c r="K4024" s="12"/>
      <c r="L4024" s="12"/>
    </row>
    <row r="4025" spans="11:12" ht="12.75">
      <c r="K4025" s="12"/>
      <c r="L4025" s="12"/>
    </row>
    <row r="4026" spans="11:12" ht="12.75">
      <c r="K4026" s="12"/>
      <c r="L4026" s="12"/>
    </row>
    <row r="4027" spans="11:12" ht="12.75">
      <c r="K4027" s="12"/>
      <c r="L4027" s="12"/>
    </row>
    <row r="4028" spans="11:12" ht="12.75">
      <c r="K4028" s="12"/>
      <c r="L4028" s="12"/>
    </row>
    <row r="4029" spans="11:12" ht="12.75">
      <c r="K4029" s="12"/>
      <c r="L4029" s="12"/>
    </row>
    <row r="4030" spans="11:12" ht="12.75">
      <c r="K4030" s="12"/>
      <c r="L4030" s="12"/>
    </row>
    <row r="4031" spans="11:12" ht="12.75">
      <c r="K4031" s="12"/>
      <c r="L4031" s="12"/>
    </row>
    <row r="4032" spans="11:12" ht="12.75">
      <c r="K4032" s="12"/>
      <c r="L4032" s="12"/>
    </row>
    <row r="4033" spans="11:12" ht="12.75">
      <c r="K4033" s="12"/>
      <c r="L4033" s="12"/>
    </row>
    <row r="4034" spans="11:12" ht="12.75">
      <c r="K4034" s="12"/>
      <c r="L4034" s="12"/>
    </row>
    <row r="4035" spans="11:12" ht="12.75">
      <c r="K4035" s="12"/>
      <c r="L4035" s="12"/>
    </row>
    <row r="4036" spans="11:12" ht="12.75">
      <c r="K4036" s="12"/>
      <c r="L4036" s="12"/>
    </row>
    <row r="4037" spans="11:12" ht="12.75">
      <c r="K4037" s="12"/>
      <c r="L4037" s="12"/>
    </row>
    <row r="4038" spans="11:12" ht="12.75">
      <c r="K4038" s="12"/>
      <c r="L4038" s="12"/>
    </row>
    <row r="4039" spans="11:12" ht="12.75">
      <c r="K4039" s="12"/>
      <c r="L4039" s="12"/>
    </row>
    <row r="4040" spans="11:12" ht="12.75">
      <c r="K4040" s="12"/>
      <c r="L4040" s="12"/>
    </row>
    <row r="4041" spans="11:12" ht="12.75">
      <c r="K4041" s="12"/>
      <c r="L4041" s="12"/>
    </row>
    <row r="4042" spans="11:12" ht="12.75">
      <c r="K4042" s="12"/>
      <c r="L4042" s="12"/>
    </row>
    <row r="4043" spans="11:12" ht="12.75">
      <c r="K4043" s="12"/>
      <c r="L4043" s="12"/>
    </row>
    <row r="4044" spans="11:12" ht="12.75">
      <c r="K4044" s="12"/>
      <c r="L4044" s="12"/>
    </row>
    <row r="4045" spans="11:12" ht="12.75">
      <c r="K4045" s="12"/>
      <c r="L4045" s="12"/>
    </row>
    <row r="4046" spans="11:12" ht="12.75">
      <c r="K4046" s="12"/>
      <c r="L4046" s="12"/>
    </row>
    <row r="4047" spans="11:12" ht="12.75">
      <c r="K4047" s="12"/>
      <c r="L4047" s="12"/>
    </row>
    <row r="4048" spans="11:12" ht="12.75">
      <c r="K4048" s="12"/>
      <c r="L4048" s="12"/>
    </row>
    <row r="4049" spans="11:12" ht="12.75">
      <c r="K4049" s="12"/>
      <c r="L4049" s="12"/>
    </row>
    <row r="4050" spans="11:12" ht="12.75">
      <c r="K4050" s="12"/>
      <c r="L4050" s="12"/>
    </row>
    <row r="4051" spans="11:12" ht="12.75">
      <c r="K4051" s="12"/>
      <c r="L4051" s="12"/>
    </row>
    <row r="4052" spans="11:12" ht="12.75">
      <c r="K4052" s="12"/>
      <c r="L4052" s="12"/>
    </row>
    <row r="4053" spans="11:12" ht="12.75">
      <c r="K4053" s="12"/>
      <c r="L4053" s="12"/>
    </row>
    <row r="4054" spans="11:12" ht="12.75">
      <c r="K4054" s="12"/>
      <c r="L4054" s="12"/>
    </row>
    <row r="4055" spans="11:12" ht="12.75">
      <c r="K4055" s="12"/>
      <c r="L4055" s="12"/>
    </row>
    <row r="4056" spans="11:12" ht="12.75">
      <c r="K4056" s="12"/>
      <c r="L4056" s="12"/>
    </row>
    <row r="4057" spans="11:12" ht="12.75">
      <c r="K4057" s="12"/>
      <c r="L4057" s="12"/>
    </row>
    <row r="4058" spans="11:12" ht="12.75">
      <c r="K4058" s="12"/>
      <c r="L4058" s="12"/>
    </row>
    <row r="4059" spans="11:12" ht="12.75">
      <c r="K4059" s="12"/>
      <c r="L4059" s="12"/>
    </row>
    <row r="4060" spans="11:12" ht="12.75">
      <c r="K4060" s="12"/>
      <c r="L4060" s="12"/>
    </row>
    <row r="4061" spans="11:12" ht="12.75">
      <c r="K4061" s="12"/>
      <c r="L4061" s="12"/>
    </row>
    <row r="4062" spans="11:12" ht="12.75">
      <c r="K4062" s="12"/>
      <c r="L4062" s="12"/>
    </row>
    <row r="4063" spans="11:12" ht="12.75">
      <c r="K4063" s="12"/>
      <c r="L4063" s="12"/>
    </row>
    <row r="4064" spans="11:12" ht="12.75">
      <c r="K4064" s="12"/>
      <c r="L4064" s="12"/>
    </row>
    <row r="4065" spans="11:12" ht="12.75">
      <c r="K4065" s="12"/>
      <c r="L4065" s="12"/>
    </row>
    <row r="4066" spans="11:12" ht="12.75">
      <c r="K4066" s="12"/>
      <c r="L4066" s="12"/>
    </row>
    <row r="4067" spans="11:12" ht="12.75">
      <c r="K4067" s="12"/>
      <c r="L4067" s="12"/>
    </row>
    <row r="4068" spans="11:12" ht="12.75">
      <c r="K4068" s="12"/>
      <c r="L4068" s="12"/>
    </row>
    <row r="4069" spans="11:12" ht="12.75">
      <c r="K4069" s="12"/>
      <c r="L4069" s="12"/>
    </row>
    <row r="4070" spans="11:12" ht="12.75">
      <c r="K4070" s="12"/>
      <c r="L4070" s="12"/>
    </row>
    <row r="4071" spans="11:12" ht="12.75">
      <c r="K4071" s="12"/>
      <c r="L4071" s="12"/>
    </row>
    <row r="4072" spans="11:12" ht="12.75">
      <c r="K4072" s="12"/>
      <c r="L4072" s="12"/>
    </row>
    <row r="4073" spans="11:12" ht="12.75">
      <c r="K4073" s="12"/>
      <c r="L4073" s="12"/>
    </row>
    <row r="4074" spans="11:12" ht="12.75">
      <c r="K4074" s="12"/>
      <c r="L4074" s="12"/>
    </row>
    <row r="4075" spans="11:12" ht="12.75">
      <c r="K4075" s="12"/>
      <c r="L4075" s="12"/>
    </row>
    <row r="4076" spans="11:12" ht="12.75">
      <c r="K4076" s="12"/>
      <c r="L4076" s="12"/>
    </row>
    <row r="4077" spans="11:12" ht="12.75">
      <c r="K4077" s="12"/>
      <c r="L4077" s="12"/>
    </row>
    <row r="4078" spans="11:12" ht="12.75">
      <c r="K4078" s="12"/>
      <c r="L4078" s="12"/>
    </row>
    <row r="4079" spans="11:12" ht="12.75">
      <c r="K4079" s="12"/>
      <c r="L4079" s="12"/>
    </row>
    <row r="4080" spans="11:12" ht="12.75">
      <c r="K4080" s="12"/>
      <c r="L4080" s="12"/>
    </row>
    <row r="4081" spans="11:12" ht="12.75">
      <c r="K4081" s="12"/>
      <c r="L4081" s="12"/>
    </row>
    <row r="4082" spans="11:12" ht="12.75">
      <c r="K4082" s="12"/>
      <c r="L4082" s="12"/>
    </row>
    <row r="4083" spans="11:12" ht="12.75">
      <c r="K4083" s="12"/>
      <c r="L4083" s="12"/>
    </row>
    <row r="4084" spans="11:12" ht="12.75">
      <c r="K4084" s="12"/>
      <c r="L4084" s="12"/>
    </row>
    <row r="4085" spans="11:12" ht="12.75">
      <c r="K4085" s="12"/>
      <c r="L4085" s="12"/>
    </row>
    <row r="4086" spans="11:12" ht="12.75">
      <c r="K4086" s="12"/>
      <c r="L4086" s="12"/>
    </row>
    <row r="4087" spans="11:12" ht="12.75">
      <c r="K4087" s="12"/>
      <c r="L4087" s="12"/>
    </row>
    <row r="4088" spans="11:12" ht="12.75">
      <c r="K4088" s="12"/>
      <c r="L4088" s="12"/>
    </row>
    <row r="4089" spans="11:12" ht="12.75">
      <c r="K4089" s="12"/>
      <c r="L4089" s="12"/>
    </row>
    <row r="4090" spans="11:12" ht="12.75">
      <c r="K4090" s="12"/>
      <c r="L4090" s="12"/>
    </row>
    <row r="4091" spans="11:12" ht="12.75">
      <c r="K4091" s="12"/>
      <c r="L4091" s="12"/>
    </row>
    <row r="4092" spans="11:12" ht="12.75">
      <c r="K4092" s="12"/>
      <c r="L4092" s="12"/>
    </row>
    <row r="4093" spans="11:12" ht="12.75">
      <c r="K4093" s="12"/>
      <c r="L4093" s="12"/>
    </row>
    <row r="4094" spans="11:12" ht="12.75">
      <c r="K4094" s="12"/>
      <c r="L4094" s="12"/>
    </row>
    <row r="4095" spans="11:12" ht="12.75">
      <c r="K4095" s="12"/>
      <c r="L4095" s="12"/>
    </row>
    <row r="4096" spans="11:12" ht="12.75">
      <c r="K4096" s="12"/>
      <c r="L4096" s="12"/>
    </row>
    <row r="4097" spans="11:12" ht="12.75">
      <c r="K4097" s="12"/>
      <c r="L4097" s="12"/>
    </row>
    <row r="4098" spans="11:12" ht="12.75">
      <c r="K4098" s="12"/>
      <c r="L4098" s="12"/>
    </row>
    <row r="4099" spans="11:12" ht="12.75">
      <c r="K4099" s="12"/>
      <c r="L4099" s="12"/>
    </row>
    <row r="4100" spans="11:12" ht="12.75">
      <c r="K4100" s="12"/>
      <c r="L4100" s="12"/>
    </row>
    <row r="4101" spans="11:12" ht="12.75">
      <c r="K4101" s="12"/>
      <c r="L4101" s="12"/>
    </row>
    <row r="4102" spans="11:12" ht="12.75">
      <c r="K4102" s="12"/>
      <c r="L4102" s="12"/>
    </row>
    <row r="4103" spans="11:12" ht="12.75">
      <c r="K4103" s="12"/>
      <c r="L4103" s="12"/>
    </row>
    <row r="4104" spans="11:12" ht="12.75">
      <c r="K4104" s="12"/>
      <c r="L4104" s="12"/>
    </row>
    <row r="4105" spans="11:12" ht="12.75">
      <c r="K4105" s="12"/>
      <c r="L4105" s="12"/>
    </row>
    <row r="4106" spans="11:12" ht="12.75">
      <c r="K4106" s="12"/>
      <c r="L4106" s="12"/>
    </row>
    <row r="4107" spans="11:12" ht="12.75">
      <c r="K4107" s="12"/>
      <c r="L4107" s="12"/>
    </row>
    <row r="4108" spans="11:12" ht="12.75">
      <c r="K4108" s="12"/>
      <c r="L4108" s="12"/>
    </row>
    <row r="4109" spans="11:12" ht="12.75">
      <c r="K4109" s="12"/>
      <c r="L4109" s="12"/>
    </row>
    <row r="4110" spans="11:12" ht="12.75">
      <c r="K4110" s="12"/>
      <c r="L4110" s="12"/>
    </row>
    <row r="4111" spans="11:12" ht="12.75">
      <c r="K4111" s="12"/>
      <c r="L4111" s="12"/>
    </row>
    <row r="4112" spans="11:12" ht="12.75">
      <c r="K4112" s="12"/>
      <c r="L4112" s="12"/>
    </row>
    <row r="4113" spans="11:12" ht="12.75">
      <c r="K4113" s="12"/>
      <c r="L4113" s="12"/>
    </row>
    <row r="4114" spans="11:12" ht="12.75">
      <c r="K4114" s="12"/>
      <c r="L4114" s="12"/>
    </row>
    <row r="4115" spans="11:12" ht="12.75">
      <c r="K4115" s="12"/>
      <c r="L4115" s="12"/>
    </row>
    <row r="4116" spans="11:12" ht="12.75">
      <c r="K4116" s="12"/>
      <c r="L4116" s="12"/>
    </row>
    <row r="4117" spans="11:12" ht="12.75">
      <c r="K4117" s="12"/>
      <c r="L4117" s="12"/>
    </row>
    <row r="4118" spans="11:12" ht="12.75">
      <c r="K4118" s="12"/>
      <c r="L4118" s="12"/>
    </row>
    <row r="4119" spans="11:12" ht="12.75">
      <c r="K4119" s="12"/>
      <c r="L4119" s="12"/>
    </row>
    <row r="4120" spans="11:12" ht="12.75">
      <c r="K4120" s="12"/>
      <c r="L4120" s="12"/>
    </row>
    <row r="4121" spans="11:12" ht="12.75">
      <c r="K4121" s="12"/>
      <c r="L4121" s="12"/>
    </row>
    <row r="4122" spans="11:12" ht="12.75">
      <c r="K4122" s="12"/>
      <c r="L4122" s="12"/>
    </row>
    <row r="4123" spans="11:12" ht="12.75">
      <c r="K4123" s="12"/>
      <c r="L4123" s="12"/>
    </row>
    <row r="4124" spans="11:12" ht="12.75">
      <c r="K4124" s="12"/>
      <c r="L4124" s="12"/>
    </row>
    <row r="4125" spans="11:12" ht="12.75">
      <c r="K4125" s="12"/>
      <c r="L4125" s="12"/>
    </row>
    <row r="4126" spans="11:12" ht="12.75">
      <c r="K4126" s="12"/>
      <c r="L4126" s="12"/>
    </row>
    <row r="4127" spans="11:12" ht="12.75">
      <c r="K4127" s="12"/>
      <c r="L4127" s="12"/>
    </row>
    <row r="4128" spans="11:12" ht="12.75">
      <c r="K4128" s="12"/>
      <c r="L4128" s="12"/>
    </row>
    <row r="4129" spans="11:12" ht="12.75">
      <c r="K4129" s="12"/>
      <c r="L4129" s="12"/>
    </row>
    <row r="4130" spans="11:12" ht="12.75">
      <c r="K4130" s="12"/>
      <c r="L4130" s="12"/>
    </row>
    <row r="4131" spans="11:12" ht="12.75">
      <c r="K4131" s="12"/>
      <c r="L4131" s="12"/>
    </row>
    <row r="4132" spans="11:12" ht="12.75">
      <c r="K4132" s="12"/>
      <c r="L4132" s="12"/>
    </row>
    <row r="4133" spans="11:12" ht="12.75">
      <c r="K4133" s="12"/>
      <c r="L4133" s="12"/>
    </row>
    <row r="4134" spans="11:12" ht="12.75">
      <c r="K4134" s="12"/>
      <c r="L4134" s="12"/>
    </row>
    <row r="4135" spans="11:12" ht="12.75">
      <c r="K4135" s="12"/>
      <c r="L4135" s="12"/>
    </row>
    <row r="4136" spans="11:12" ht="12.75">
      <c r="K4136" s="12"/>
      <c r="L4136" s="12"/>
    </row>
    <row r="4137" spans="11:12" ht="12.75">
      <c r="K4137" s="12"/>
      <c r="L4137" s="12"/>
    </row>
    <row r="4138" spans="11:12" ht="12.75">
      <c r="K4138" s="12"/>
      <c r="L4138" s="12"/>
    </row>
    <row r="4139" spans="11:12" ht="12.75">
      <c r="K4139" s="12"/>
      <c r="L4139" s="12"/>
    </row>
    <row r="4140" spans="11:12" ht="12.75">
      <c r="K4140" s="12"/>
      <c r="L4140" s="12"/>
    </row>
    <row r="4141" spans="11:12" ht="12.75">
      <c r="K4141" s="12"/>
      <c r="L4141" s="12"/>
    </row>
    <row r="4142" spans="11:12" ht="12.75">
      <c r="K4142" s="12"/>
      <c r="L4142" s="12"/>
    </row>
    <row r="4143" spans="11:12" ht="12.75">
      <c r="K4143" s="12"/>
      <c r="L4143" s="12"/>
    </row>
    <row r="4144" spans="11:12" ht="12.75">
      <c r="K4144" s="12"/>
      <c r="L4144" s="12"/>
    </row>
    <row r="4145" spans="11:12" ht="12.75">
      <c r="K4145" s="12"/>
      <c r="L4145" s="12"/>
    </row>
    <row r="4146" spans="11:12" ht="12.75">
      <c r="K4146" s="12"/>
      <c r="L4146" s="12"/>
    </row>
    <row r="4147" spans="11:12" ht="12.75">
      <c r="K4147" s="12"/>
      <c r="L4147" s="12"/>
    </row>
    <row r="4148" spans="11:12" ht="12.75">
      <c r="K4148" s="12"/>
      <c r="L4148" s="12"/>
    </row>
    <row r="4149" spans="11:12" ht="12.75">
      <c r="K4149" s="12"/>
      <c r="L4149" s="12"/>
    </row>
    <row r="4150" spans="11:12" ht="12.75">
      <c r="K4150" s="12"/>
      <c r="L4150" s="12"/>
    </row>
    <row r="4151" spans="11:12" ht="12.75">
      <c r="K4151" s="12"/>
      <c r="L4151" s="12"/>
    </row>
    <row r="4152" spans="11:12" ht="12.75">
      <c r="K4152" s="12"/>
      <c r="L4152" s="12"/>
    </row>
    <row r="4153" spans="11:12" ht="12.75">
      <c r="K4153" s="12"/>
      <c r="L4153" s="12"/>
    </row>
    <row r="4154" spans="11:12" ht="12.75">
      <c r="K4154" s="12"/>
      <c r="L4154" s="12"/>
    </row>
    <row r="4155" spans="11:12" ht="12.75">
      <c r="K4155" s="12"/>
      <c r="L4155" s="12"/>
    </row>
    <row r="4156" spans="11:12" ht="12.75">
      <c r="K4156" s="12"/>
      <c r="L4156" s="12"/>
    </row>
    <row r="4157" spans="11:12" ht="12.75">
      <c r="K4157" s="12"/>
      <c r="L4157" s="12"/>
    </row>
    <row r="4158" spans="11:12" ht="12.75">
      <c r="K4158" s="12"/>
      <c r="L4158" s="12"/>
    </row>
    <row r="4159" spans="11:12" ht="12.75">
      <c r="K4159" s="12"/>
      <c r="L4159" s="12"/>
    </row>
    <row r="4160" spans="11:12" ht="12.75">
      <c r="K4160" s="12"/>
      <c r="L4160" s="12"/>
    </row>
    <row r="4161" spans="11:12" ht="12.75">
      <c r="K4161" s="12"/>
      <c r="L4161" s="12"/>
    </row>
    <row r="4162" spans="11:12" ht="12.75">
      <c r="K4162" s="12"/>
      <c r="L4162" s="12"/>
    </row>
    <row r="4163" spans="11:12" ht="12.75">
      <c r="K4163" s="12"/>
      <c r="L4163" s="12"/>
    </row>
    <row r="4164" spans="11:12" ht="12.75">
      <c r="K4164" s="12"/>
      <c r="L4164" s="12"/>
    </row>
    <row r="4165" spans="11:12" ht="12.75">
      <c r="K4165" s="12"/>
      <c r="L4165" s="12"/>
    </row>
    <row r="4166" spans="11:12" ht="12.75">
      <c r="K4166" s="12"/>
      <c r="L4166" s="12"/>
    </row>
    <row r="4167" spans="11:12" ht="12.75">
      <c r="K4167" s="12"/>
      <c r="L4167" s="12"/>
    </row>
    <row r="4168" spans="11:12" ht="12.75">
      <c r="K4168" s="12"/>
      <c r="L4168" s="12"/>
    </row>
    <row r="4169" spans="11:12" ht="12.75">
      <c r="K4169" s="12"/>
      <c r="L4169" s="12"/>
    </row>
    <row r="4170" spans="11:12" ht="12.75">
      <c r="K4170" s="12"/>
      <c r="L4170" s="12"/>
    </row>
    <row r="4171" spans="11:12" ht="12.75">
      <c r="K4171" s="12"/>
      <c r="L4171" s="12"/>
    </row>
    <row r="4172" spans="11:12" ht="12.75">
      <c r="K4172" s="12"/>
      <c r="L4172" s="12"/>
    </row>
    <row r="4173" spans="11:12" ht="12.75">
      <c r="K4173" s="12"/>
      <c r="L4173" s="12"/>
    </row>
    <row r="4174" spans="11:12" ht="12.75">
      <c r="K4174" s="12"/>
      <c r="L4174" s="12"/>
    </row>
    <row r="4175" spans="11:12" ht="12.75">
      <c r="K4175" s="12"/>
      <c r="L4175" s="12"/>
    </row>
    <row r="4176" spans="11:12" ht="12.75">
      <c r="K4176" s="12"/>
      <c r="L4176" s="12"/>
    </row>
    <row r="4177" spans="11:12" ht="12.75">
      <c r="K4177" s="12"/>
      <c r="L4177" s="12"/>
    </row>
    <row r="4178" spans="11:12" ht="12.75">
      <c r="K4178" s="12"/>
      <c r="L4178" s="12"/>
    </row>
    <row r="4179" spans="11:12" ht="12.75">
      <c r="K4179" s="12"/>
      <c r="L4179" s="12"/>
    </row>
    <row r="4180" spans="11:12" ht="12.75">
      <c r="K4180" s="12"/>
      <c r="L4180" s="12"/>
    </row>
    <row r="4181" spans="11:12" ht="12.75">
      <c r="K4181" s="12"/>
      <c r="L4181" s="12"/>
    </row>
    <row r="4182" spans="11:12" ht="12.75">
      <c r="K4182" s="12"/>
      <c r="L4182" s="12"/>
    </row>
    <row r="4183" spans="11:12" ht="12.75">
      <c r="K4183" s="12"/>
      <c r="L4183" s="12"/>
    </row>
    <row r="4184" spans="11:12" ht="12.75">
      <c r="K4184" s="12"/>
      <c r="L4184" s="12"/>
    </row>
    <row r="4185" spans="11:12" ht="12.75">
      <c r="K4185" s="12"/>
      <c r="L4185" s="12"/>
    </row>
    <row r="4186" spans="11:12" ht="12.75">
      <c r="K4186" s="12"/>
      <c r="L4186" s="12"/>
    </row>
    <row r="4187" spans="11:12" ht="12.75">
      <c r="K4187" s="12"/>
      <c r="L4187" s="12"/>
    </row>
    <row r="4188" spans="11:12" ht="12.75">
      <c r="K4188" s="12"/>
      <c r="L4188" s="12"/>
    </row>
    <row r="4189" spans="11:12" ht="12.75">
      <c r="K4189" s="12"/>
      <c r="L4189" s="12"/>
    </row>
    <row r="4190" spans="11:12" ht="12.75">
      <c r="K4190" s="12"/>
      <c r="L4190" s="12"/>
    </row>
    <row r="4191" spans="11:12" ht="12.75">
      <c r="K4191" s="12"/>
      <c r="L4191" s="12"/>
    </row>
    <row r="4192" spans="11:12" ht="12.75">
      <c r="K4192" s="12"/>
      <c r="L4192" s="12"/>
    </row>
    <row r="4193" spans="11:12" ht="12.75">
      <c r="K4193" s="12"/>
      <c r="L4193" s="12"/>
    </row>
    <row r="4194" spans="11:12" ht="12.75">
      <c r="K4194" s="12"/>
      <c r="L4194" s="12"/>
    </row>
    <row r="4195" spans="11:12" ht="12.75">
      <c r="K4195" s="12"/>
      <c r="L4195" s="12"/>
    </row>
    <row r="4196" spans="11:12" ht="12.75">
      <c r="K4196" s="12"/>
      <c r="L4196" s="12"/>
    </row>
    <row r="4197" spans="11:12" ht="12.75">
      <c r="K4197" s="12"/>
      <c r="L4197" s="12"/>
    </row>
    <row r="4198" spans="11:12" ht="12.75">
      <c r="K4198" s="12"/>
      <c r="L4198" s="12"/>
    </row>
    <row r="4199" spans="11:12" ht="12.75">
      <c r="K4199" s="12"/>
      <c r="L4199" s="12"/>
    </row>
    <row r="4200" spans="11:12" ht="12.75">
      <c r="K4200" s="12"/>
      <c r="L4200" s="12"/>
    </row>
    <row r="4201" spans="11:12" ht="12.75">
      <c r="K4201" s="12"/>
      <c r="L4201" s="12"/>
    </row>
    <row r="4202" spans="11:12" ht="12.75">
      <c r="K4202" s="12"/>
      <c r="L4202" s="12"/>
    </row>
    <row r="4203" spans="11:12" ht="12.75">
      <c r="K4203" s="12"/>
      <c r="L4203" s="12"/>
    </row>
    <row r="4204" spans="11:12" ht="12.75">
      <c r="K4204" s="12"/>
      <c r="L4204" s="12"/>
    </row>
    <row r="4205" spans="11:12" ht="12.75">
      <c r="K4205" s="12"/>
      <c r="L4205" s="12"/>
    </row>
    <row r="4206" spans="11:12" ht="12.75">
      <c r="K4206" s="12"/>
      <c r="L4206" s="12"/>
    </row>
    <row r="4207" spans="11:12" ht="12.75">
      <c r="K4207" s="12"/>
      <c r="L4207" s="12"/>
    </row>
    <row r="4208" spans="11:12" ht="12.75">
      <c r="K4208" s="12"/>
      <c r="L4208" s="12"/>
    </row>
    <row r="4209" spans="11:12" ht="12.75">
      <c r="K4209" s="12"/>
      <c r="L4209" s="12"/>
    </row>
    <row r="4210" spans="11:12" ht="12.75">
      <c r="K4210" s="12"/>
      <c r="L4210" s="12"/>
    </row>
    <row r="4211" spans="11:12" ht="12.75">
      <c r="K4211" s="12"/>
      <c r="L4211" s="12"/>
    </row>
    <row r="4212" spans="11:12" ht="12.75">
      <c r="K4212" s="12"/>
      <c r="L4212" s="12"/>
    </row>
    <row r="4213" spans="11:12" ht="12.75">
      <c r="K4213" s="12"/>
      <c r="L4213" s="12"/>
    </row>
    <row r="4214" spans="11:12" ht="12.75">
      <c r="K4214" s="12"/>
      <c r="L4214" s="12"/>
    </row>
    <row r="4215" spans="11:12" ht="12.75">
      <c r="K4215" s="12"/>
      <c r="L4215" s="12"/>
    </row>
    <row r="4216" spans="11:12" ht="12.75">
      <c r="K4216" s="12"/>
      <c r="L4216" s="12"/>
    </row>
    <row r="4217" spans="11:12" ht="12.75">
      <c r="K4217" s="12"/>
      <c r="L4217" s="12"/>
    </row>
    <row r="4218" spans="11:12" ht="12.75">
      <c r="K4218" s="12"/>
      <c r="L4218" s="12"/>
    </row>
    <row r="4219" spans="11:12" ht="12.75">
      <c r="K4219" s="12"/>
      <c r="L4219" s="12"/>
    </row>
    <row r="4220" spans="11:12" ht="12.75">
      <c r="K4220" s="12"/>
      <c r="L4220" s="12"/>
    </row>
    <row r="4221" spans="11:12" ht="12.75">
      <c r="K4221" s="12"/>
      <c r="L4221" s="12"/>
    </row>
    <row r="4222" spans="11:12" ht="12.75">
      <c r="K4222" s="12"/>
      <c r="L4222" s="12"/>
    </row>
    <row r="4223" spans="11:12" ht="12.75">
      <c r="K4223" s="12"/>
      <c r="L4223" s="12"/>
    </row>
    <row r="4224" spans="11:12" ht="12.75">
      <c r="K4224" s="12"/>
      <c r="L4224" s="12"/>
    </row>
    <row r="4225" spans="11:12" ht="12.75">
      <c r="K4225" s="12"/>
      <c r="L4225" s="12"/>
    </row>
    <row r="4226" spans="11:12" ht="12.75">
      <c r="K4226" s="12"/>
      <c r="L4226" s="12"/>
    </row>
    <row r="4227" spans="11:12" ht="12.75">
      <c r="K4227" s="12"/>
      <c r="L4227" s="12"/>
    </row>
    <row r="4228" spans="11:12" ht="12.75">
      <c r="K4228" s="12"/>
      <c r="L4228" s="12"/>
    </row>
    <row r="4229" spans="11:12" ht="12.75">
      <c r="K4229" s="12"/>
      <c r="L4229" s="12"/>
    </row>
    <row r="4230" spans="11:12" ht="12.75">
      <c r="K4230" s="12"/>
      <c r="L4230" s="12"/>
    </row>
    <row r="4231" spans="11:12" ht="12.75">
      <c r="K4231" s="12"/>
      <c r="L4231" s="12"/>
    </row>
    <row r="4232" spans="11:12" ht="12.75">
      <c r="K4232" s="12"/>
      <c r="L4232" s="12"/>
    </row>
    <row r="4233" spans="11:12" ht="12.75">
      <c r="K4233" s="12"/>
      <c r="L4233" s="12"/>
    </row>
    <row r="4234" spans="11:12" ht="12.75">
      <c r="K4234" s="12"/>
      <c r="L4234" s="12"/>
    </row>
    <row r="4235" spans="11:12" ht="12.75">
      <c r="K4235" s="12"/>
      <c r="L4235" s="12"/>
    </row>
    <row r="4236" spans="11:12" ht="12.75">
      <c r="K4236" s="12"/>
      <c r="L4236" s="12"/>
    </row>
    <row r="4237" spans="11:12" ht="12.75">
      <c r="K4237" s="12"/>
      <c r="L4237" s="12"/>
    </row>
    <row r="4238" spans="11:12" ht="12.75">
      <c r="K4238" s="12"/>
      <c r="L4238" s="12"/>
    </row>
    <row r="4239" spans="11:12" ht="12.75">
      <c r="K4239" s="12"/>
      <c r="L4239" s="12"/>
    </row>
    <row r="4240" spans="11:12" ht="12.75">
      <c r="K4240" s="12"/>
      <c r="L4240" s="12"/>
    </row>
    <row r="4241" spans="11:12" ht="12.75">
      <c r="K4241" s="12"/>
      <c r="L4241" s="12"/>
    </row>
    <row r="4242" spans="11:12" ht="12.75">
      <c r="K4242" s="12"/>
      <c r="L4242" s="12"/>
    </row>
    <row r="4243" spans="11:12" ht="12.75">
      <c r="K4243" s="12"/>
      <c r="L4243" s="12"/>
    </row>
    <row r="4244" spans="11:12" ht="12.75">
      <c r="K4244" s="12"/>
      <c r="L4244" s="12"/>
    </row>
    <row r="4245" spans="11:12" ht="12.75">
      <c r="K4245" s="12"/>
      <c r="L4245" s="12"/>
    </row>
    <row r="4246" spans="11:12" ht="12.75">
      <c r="K4246" s="12"/>
      <c r="L4246" s="12"/>
    </row>
    <row r="4247" spans="11:12" ht="12.75">
      <c r="K4247" s="12"/>
      <c r="L4247" s="12"/>
    </row>
    <row r="4248" spans="11:12" ht="12.75">
      <c r="K4248" s="12"/>
      <c r="L4248" s="12"/>
    </row>
    <row r="4249" spans="11:12" ht="12.75">
      <c r="K4249" s="12"/>
      <c r="L4249" s="12"/>
    </row>
    <row r="4250" spans="11:12" ht="12.75">
      <c r="K4250" s="12"/>
      <c r="L4250" s="12"/>
    </row>
    <row r="4251" spans="11:12" ht="12.75">
      <c r="K4251" s="12"/>
      <c r="L4251" s="12"/>
    </row>
    <row r="4252" spans="11:12" ht="12.75">
      <c r="K4252" s="12"/>
      <c r="L4252" s="12"/>
    </row>
    <row r="4253" spans="11:12" ht="12.75">
      <c r="K4253" s="12"/>
      <c r="L4253" s="12"/>
    </row>
    <row r="4254" spans="11:12" ht="12.75">
      <c r="K4254" s="12"/>
      <c r="L4254" s="12"/>
    </row>
    <row r="4255" spans="11:12" ht="12.75">
      <c r="K4255" s="12"/>
      <c r="L4255" s="12"/>
    </row>
    <row r="4256" spans="11:12" ht="12.75">
      <c r="K4256" s="12"/>
      <c r="L4256" s="12"/>
    </row>
    <row r="4257" spans="11:12" ht="12.75">
      <c r="K4257" s="12"/>
      <c r="L4257" s="12"/>
    </row>
    <row r="4258" spans="11:12" ht="12.75">
      <c r="K4258" s="12"/>
      <c r="L4258" s="12"/>
    </row>
    <row r="4259" spans="11:12" ht="12.75">
      <c r="K4259" s="12"/>
      <c r="L4259" s="12"/>
    </row>
    <row r="4260" spans="11:12" ht="12.75">
      <c r="K4260" s="12"/>
      <c r="L4260" s="12"/>
    </row>
    <row r="4261" spans="11:12" ht="12.75">
      <c r="K4261" s="12"/>
      <c r="L4261" s="12"/>
    </row>
    <row r="4262" spans="11:12" ht="12.75">
      <c r="K4262" s="12"/>
      <c r="L4262" s="12"/>
    </row>
    <row r="4263" spans="11:12" ht="12.75">
      <c r="K4263" s="12"/>
      <c r="L4263" s="12"/>
    </row>
    <row r="4264" spans="11:12" ht="12.75">
      <c r="K4264" s="12"/>
      <c r="L4264" s="12"/>
    </row>
    <row r="4265" spans="11:12" ht="12.75">
      <c r="K4265" s="12"/>
      <c r="L4265" s="12"/>
    </row>
    <row r="4266" spans="11:12" ht="12.75">
      <c r="K4266" s="12"/>
      <c r="L4266" s="12"/>
    </row>
    <row r="4267" spans="11:12" ht="12.75">
      <c r="K4267" s="12"/>
      <c r="L4267" s="12"/>
    </row>
    <row r="4268" spans="11:12" ht="12.75">
      <c r="K4268" s="12"/>
      <c r="L4268" s="12"/>
    </row>
    <row r="4269" spans="11:12" ht="12.75">
      <c r="K4269" s="12"/>
      <c r="L4269" s="12"/>
    </row>
    <row r="4270" spans="11:12" ht="12.75">
      <c r="K4270" s="12"/>
      <c r="L4270" s="12"/>
    </row>
    <row r="4271" spans="11:12" ht="12.75">
      <c r="K4271" s="12"/>
      <c r="L4271" s="12"/>
    </row>
    <row r="4272" spans="11:12" ht="12.75">
      <c r="K4272" s="12"/>
      <c r="L4272" s="12"/>
    </row>
    <row r="4273" spans="11:12" ht="12.75">
      <c r="K4273" s="12"/>
      <c r="L4273" s="12"/>
    </row>
    <row r="4274" spans="11:12" ht="12.75">
      <c r="K4274" s="12"/>
      <c r="L4274" s="12"/>
    </row>
    <row r="4275" spans="11:12" ht="12.75">
      <c r="K4275" s="12"/>
      <c r="L4275" s="12"/>
    </row>
    <row r="4276" spans="11:12" ht="12.75">
      <c r="K4276" s="12"/>
      <c r="L4276" s="12"/>
    </row>
    <row r="4277" spans="11:12" ht="12.75">
      <c r="K4277" s="12"/>
      <c r="L4277" s="12"/>
    </row>
    <row r="4278" spans="11:12" ht="12.75">
      <c r="K4278" s="12"/>
      <c r="L4278" s="12"/>
    </row>
    <row r="4279" spans="11:12" ht="12.75">
      <c r="K4279" s="12"/>
      <c r="L4279" s="12"/>
    </row>
    <row r="4280" spans="11:12" ht="12.75">
      <c r="K4280" s="12"/>
      <c r="L4280" s="12"/>
    </row>
    <row r="4281" spans="11:12" ht="12.75">
      <c r="K4281" s="12"/>
      <c r="L4281" s="12"/>
    </row>
    <row r="4282" spans="11:12" ht="12.75">
      <c r="K4282" s="12"/>
      <c r="L4282" s="12"/>
    </row>
    <row r="4283" spans="11:12" ht="12.75">
      <c r="K4283" s="12"/>
      <c r="L4283" s="12"/>
    </row>
    <row r="4284" spans="11:12" ht="12.75">
      <c r="K4284" s="12"/>
      <c r="L4284" s="12"/>
    </row>
    <row r="4285" spans="11:12" ht="12.75">
      <c r="K4285" s="12"/>
      <c r="L4285" s="12"/>
    </row>
    <row r="4286" spans="11:12" ht="12.75">
      <c r="K4286" s="12"/>
      <c r="L4286" s="12"/>
    </row>
    <row r="4287" spans="11:12" ht="12.75">
      <c r="K4287" s="12"/>
      <c r="L4287" s="12"/>
    </row>
    <row r="4288" spans="11:12" ht="12.75">
      <c r="K4288" s="12"/>
      <c r="L4288" s="12"/>
    </row>
    <row r="4289" spans="11:12" ht="12.75">
      <c r="K4289" s="12"/>
      <c r="L4289" s="12"/>
    </row>
    <row r="4290" spans="11:12" ht="12.75">
      <c r="K4290" s="12"/>
      <c r="L4290" s="12"/>
    </row>
    <row r="4291" spans="11:12" ht="12.75">
      <c r="K4291" s="12"/>
      <c r="L4291" s="12"/>
    </row>
    <row r="4292" spans="11:12" ht="12.75">
      <c r="K4292" s="12"/>
      <c r="L4292" s="12"/>
    </row>
    <row r="4293" spans="11:12" ht="12.75">
      <c r="K4293" s="12"/>
      <c r="L4293" s="12"/>
    </row>
    <row r="4294" spans="11:12" ht="12.75">
      <c r="K4294" s="12"/>
      <c r="L4294" s="12"/>
    </row>
    <row r="4295" spans="11:12" ht="12.75">
      <c r="K4295" s="12"/>
      <c r="L4295" s="12"/>
    </row>
    <row r="4296" spans="11:12" ht="12.75">
      <c r="K4296" s="12"/>
      <c r="L4296" s="12"/>
    </row>
    <row r="4297" spans="11:12" ht="12.75">
      <c r="K4297" s="12"/>
      <c r="L4297" s="12"/>
    </row>
    <row r="4298" spans="11:12" ht="12.75">
      <c r="K4298" s="12"/>
      <c r="L4298" s="12"/>
    </row>
    <row r="4299" spans="11:12" ht="12.75">
      <c r="K4299" s="12"/>
      <c r="L4299" s="12"/>
    </row>
    <row r="4300" spans="11:12" ht="12.75">
      <c r="K4300" s="12"/>
      <c r="L4300" s="12"/>
    </row>
    <row r="4301" spans="11:12" ht="12.75">
      <c r="K4301" s="12"/>
      <c r="L4301" s="12"/>
    </row>
    <row r="4302" spans="11:12" ht="12.75">
      <c r="K4302" s="12"/>
      <c r="L4302" s="12"/>
    </row>
    <row r="4303" spans="11:12" ht="12.75">
      <c r="K4303" s="12"/>
      <c r="L4303" s="12"/>
    </row>
    <row r="4304" spans="11:12" ht="12.75">
      <c r="K4304" s="12"/>
      <c r="L4304" s="12"/>
    </row>
    <row r="4305" spans="11:12" ht="12.75">
      <c r="K4305" s="12"/>
      <c r="L4305" s="12"/>
    </row>
    <row r="4306" spans="11:12" ht="12.75">
      <c r="K4306" s="12"/>
      <c r="L4306" s="12"/>
    </row>
    <row r="4307" spans="11:12" ht="12.75">
      <c r="K4307" s="12"/>
      <c r="L4307" s="12"/>
    </row>
    <row r="4308" spans="11:12" ht="12.75">
      <c r="K4308" s="12"/>
      <c r="L4308" s="12"/>
    </row>
    <row r="4309" spans="11:12" ht="12.75">
      <c r="K4309" s="12"/>
      <c r="L4309" s="12"/>
    </row>
    <row r="4310" spans="11:12" ht="12.75">
      <c r="K4310" s="12"/>
      <c r="L4310" s="12"/>
    </row>
    <row r="4311" spans="11:12" ht="12.75">
      <c r="K4311" s="12"/>
      <c r="L4311" s="12"/>
    </row>
    <row r="4312" spans="11:12" ht="12.75">
      <c r="K4312" s="12"/>
      <c r="L4312" s="12"/>
    </row>
    <row r="4313" spans="11:12" ht="12.75">
      <c r="K4313" s="12"/>
      <c r="L4313" s="12"/>
    </row>
    <row r="4314" spans="11:12" ht="12.75">
      <c r="K4314" s="12"/>
      <c r="L4314" s="12"/>
    </row>
    <row r="4315" spans="11:12" ht="12.75">
      <c r="K4315" s="12"/>
      <c r="L4315" s="12"/>
    </row>
    <row r="4316" spans="11:12" ht="12.75">
      <c r="K4316" s="12"/>
      <c r="L4316" s="12"/>
    </row>
    <row r="4317" spans="11:12" ht="12.75">
      <c r="K4317" s="12"/>
      <c r="L4317" s="12"/>
    </row>
    <row r="4318" spans="11:12" ht="12.75">
      <c r="K4318" s="12"/>
      <c r="L4318" s="12"/>
    </row>
    <row r="4319" spans="11:12" ht="12.75">
      <c r="K4319" s="12"/>
      <c r="L4319" s="12"/>
    </row>
    <row r="4320" spans="11:12" ht="12.75">
      <c r="K4320" s="12"/>
      <c r="L4320" s="12"/>
    </row>
    <row r="4321" spans="11:12" ht="12.75">
      <c r="K4321" s="12"/>
      <c r="L4321" s="12"/>
    </row>
    <row r="4322" spans="11:12" ht="12.75">
      <c r="K4322" s="12"/>
      <c r="L4322" s="12"/>
    </row>
    <row r="4323" spans="11:12" ht="12.75">
      <c r="K4323" s="12"/>
      <c r="L4323" s="12"/>
    </row>
    <row r="4324" spans="11:12" ht="12.75">
      <c r="K4324" s="12"/>
      <c r="L4324" s="12"/>
    </row>
    <row r="4325" spans="11:12" ht="12.75">
      <c r="K4325" s="12"/>
      <c r="L4325" s="12"/>
    </row>
    <row r="4326" spans="11:12" ht="12.75">
      <c r="K4326" s="12"/>
      <c r="L4326" s="12"/>
    </row>
    <row r="4327" spans="11:12" ht="12.75">
      <c r="K4327" s="12"/>
      <c r="L4327" s="12"/>
    </row>
    <row r="4328" spans="11:12" ht="12.75">
      <c r="K4328" s="12"/>
      <c r="L4328" s="12"/>
    </row>
    <row r="4329" spans="11:12" ht="12.75">
      <c r="K4329" s="12"/>
      <c r="L4329" s="12"/>
    </row>
    <row r="4330" spans="11:12" ht="12.75">
      <c r="K4330" s="12"/>
      <c r="L4330" s="12"/>
    </row>
    <row r="4331" spans="11:12" ht="12.75">
      <c r="K4331" s="12"/>
      <c r="L4331" s="12"/>
    </row>
    <row r="4332" spans="11:12" ht="12.75">
      <c r="K4332" s="12"/>
      <c r="L4332" s="12"/>
    </row>
    <row r="4333" spans="11:12" ht="12.75">
      <c r="K4333" s="12"/>
      <c r="L4333" s="12"/>
    </row>
    <row r="4334" spans="11:12" ht="12.75">
      <c r="K4334" s="12"/>
      <c r="L4334" s="12"/>
    </row>
    <row r="4335" spans="11:12" ht="12.75">
      <c r="K4335" s="12"/>
      <c r="L4335" s="12"/>
    </row>
    <row r="4336" spans="11:12" ht="12.75">
      <c r="K4336" s="12"/>
      <c r="L4336" s="12"/>
    </row>
    <row r="4337" spans="11:12" ht="12.75">
      <c r="K4337" s="12"/>
      <c r="L4337" s="12"/>
    </row>
    <row r="4338" spans="11:12" ht="12.75">
      <c r="K4338" s="12"/>
      <c r="L4338" s="12"/>
    </row>
    <row r="4339" spans="11:12" ht="12.75">
      <c r="K4339" s="12"/>
      <c r="L4339" s="12"/>
    </row>
    <row r="4340" spans="11:12" ht="12.75">
      <c r="K4340" s="12"/>
      <c r="L4340" s="12"/>
    </row>
    <row r="4341" spans="11:12" ht="12.75">
      <c r="K4341" s="12"/>
      <c r="L4341" s="12"/>
    </row>
    <row r="4342" spans="11:12" ht="12.75">
      <c r="K4342" s="12"/>
      <c r="L4342" s="12"/>
    </row>
    <row r="4343" spans="11:12" ht="12.75">
      <c r="K4343" s="12"/>
      <c r="L4343" s="12"/>
    </row>
    <row r="4344" spans="11:12" ht="12.75">
      <c r="K4344" s="12"/>
      <c r="L4344" s="12"/>
    </row>
    <row r="4345" spans="11:12" ht="12.75">
      <c r="K4345" s="12"/>
      <c r="L4345" s="12"/>
    </row>
    <row r="4346" spans="11:12" ht="12.75">
      <c r="K4346" s="12"/>
      <c r="L4346" s="12"/>
    </row>
    <row r="4347" spans="11:12" ht="12.75">
      <c r="K4347" s="12"/>
      <c r="L4347" s="12"/>
    </row>
    <row r="4348" spans="11:12" ht="12.75">
      <c r="K4348" s="12"/>
      <c r="L4348" s="12"/>
    </row>
    <row r="4349" spans="11:12" ht="12.75">
      <c r="K4349" s="12"/>
      <c r="L4349" s="12"/>
    </row>
    <row r="4350" spans="11:12" ht="12.75">
      <c r="K4350" s="12"/>
      <c r="L4350" s="12"/>
    </row>
    <row r="4351" spans="11:12" ht="12.75">
      <c r="K4351" s="12"/>
      <c r="L4351" s="12"/>
    </row>
    <row r="4352" spans="11:12" ht="12.75">
      <c r="K4352" s="12"/>
      <c r="L4352" s="12"/>
    </row>
    <row r="4353" spans="11:12" ht="12.75">
      <c r="K4353" s="12"/>
      <c r="L4353" s="12"/>
    </row>
    <row r="4354" spans="11:12" ht="12.75">
      <c r="K4354" s="12"/>
      <c r="L4354" s="12"/>
    </row>
    <row r="4355" spans="11:12" ht="12.75">
      <c r="K4355" s="12"/>
      <c r="L4355" s="12"/>
    </row>
    <row r="4356" spans="11:12" ht="12.75">
      <c r="K4356" s="12"/>
      <c r="L4356" s="12"/>
    </row>
    <row r="4357" spans="11:12" ht="12.75">
      <c r="K4357" s="12"/>
      <c r="L4357" s="12"/>
    </row>
    <row r="4358" spans="11:12" ht="12.75">
      <c r="K4358" s="12"/>
      <c r="L4358" s="12"/>
    </row>
    <row r="4359" spans="11:12" ht="12.75">
      <c r="K4359" s="12"/>
      <c r="L4359" s="12"/>
    </row>
    <row r="4360" spans="11:12" ht="12.75">
      <c r="K4360" s="12"/>
      <c r="L4360" s="12"/>
    </row>
    <row r="4361" spans="11:12" ht="12.75">
      <c r="K4361" s="12"/>
      <c r="L4361" s="12"/>
    </row>
    <row r="4362" spans="11:12" ht="12.75">
      <c r="K4362" s="12"/>
      <c r="L4362" s="12"/>
    </row>
    <row r="4363" spans="11:12" ht="12.75">
      <c r="K4363" s="12"/>
      <c r="L4363" s="12"/>
    </row>
    <row r="4364" spans="11:12" ht="12.75">
      <c r="K4364" s="12"/>
      <c r="L4364" s="12"/>
    </row>
    <row r="4365" spans="11:12" ht="12.75">
      <c r="K4365" s="12"/>
      <c r="L4365" s="12"/>
    </row>
    <row r="4366" spans="11:12" ht="12.75">
      <c r="K4366" s="12"/>
      <c r="L4366" s="12"/>
    </row>
    <row r="4367" spans="11:12" ht="12.75">
      <c r="K4367" s="12"/>
      <c r="L4367" s="12"/>
    </row>
    <row r="4368" spans="11:12" ht="12.75">
      <c r="K4368" s="12"/>
      <c r="L4368" s="12"/>
    </row>
    <row r="4369" spans="11:12" ht="12.75">
      <c r="K4369" s="12"/>
      <c r="L4369" s="12"/>
    </row>
    <row r="4370" spans="11:12" ht="12.75">
      <c r="K4370" s="12"/>
      <c r="L4370" s="12"/>
    </row>
    <row r="4371" spans="11:12" ht="12.75">
      <c r="K4371" s="12"/>
      <c r="L4371" s="12"/>
    </row>
    <row r="4372" spans="11:12" ht="12.75">
      <c r="K4372" s="12"/>
      <c r="L4372" s="12"/>
    </row>
    <row r="4373" spans="11:12" ht="12.75">
      <c r="K4373" s="12"/>
      <c r="L4373" s="12"/>
    </row>
    <row r="4374" spans="11:12" ht="12.75">
      <c r="K4374" s="12"/>
      <c r="L4374" s="12"/>
    </row>
    <row r="4375" spans="11:12" ht="12.75">
      <c r="K4375" s="12"/>
      <c r="L4375" s="12"/>
    </row>
    <row r="4376" spans="11:12" ht="12.75">
      <c r="K4376" s="12"/>
      <c r="L4376" s="12"/>
    </row>
    <row r="4377" spans="11:12" ht="12.75">
      <c r="K4377" s="12"/>
      <c r="L4377" s="12"/>
    </row>
    <row r="4378" spans="11:12" ht="12.75">
      <c r="K4378" s="12"/>
      <c r="L4378" s="12"/>
    </row>
    <row r="4379" spans="11:12" ht="12.75">
      <c r="K4379" s="12"/>
      <c r="L4379" s="12"/>
    </row>
    <row r="4380" spans="11:12" ht="12.75">
      <c r="K4380" s="12"/>
      <c r="L4380" s="12"/>
    </row>
    <row r="4381" spans="11:12" ht="12.75">
      <c r="K4381" s="12"/>
      <c r="L4381" s="12"/>
    </row>
    <row r="4382" spans="11:12" ht="12.75">
      <c r="K4382" s="12"/>
      <c r="L4382" s="12"/>
    </row>
    <row r="4383" spans="11:12" ht="12.75">
      <c r="K4383" s="12"/>
      <c r="L4383" s="12"/>
    </row>
    <row r="4384" spans="11:12" ht="12.75">
      <c r="K4384" s="12"/>
      <c r="L4384" s="12"/>
    </row>
    <row r="4385" spans="11:12" ht="12.75">
      <c r="K4385" s="12"/>
      <c r="L4385" s="12"/>
    </row>
    <row r="4386" spans="11:12" ht="12.75">
      <c r="K4386" s="12"/>
      <c r="L4386" s="12"/>
    </row>
    <row r="4387" spans="11:12" ht="12.75">
      <c r="K4387" s="12"/>
      <c r="L4387" s="12"/>
    </row>
    <row r="4388" spans="11:12" ht="12.75">
      <c r="K4388" s="12"/>
      <c r="L4388" s="12"/>
    </row>
    <row r="4389" spans="11:12" ht="12.75">
      <c r="K4389" s="12"/>
      <c r="L4389" s="12"/>
    </row>
    <row r="4390" spans="11:12" ht="12.75">
      <c r="K4390" s="12"/>
      <c r="L4390" s="12"/>
    </row>
    <row r="4391" spans="11:12" ht="12.75">
      <c r="K4391" s="12"/>
      <c r="L4391" s="12"/>
    </row>
    <row r="4392" spans="11:12" ht="12.75">
      <c r="K4392" s="12"/>
      <c r="L4392" s="12"/>
    </row>
    <row r="4393" spans="11:12" ht="12.75">
      <c r="K4393" s="12"/>
      <c r="L4393" s="12"/>
    </row>
    <row r="4394" spans="11:12" ht="12.75">
      <c r="K4394" s="12"/>
      <c r="L4394" s="12"/>
    </row>
    <row r="4395" spans="11:12" ht="12.75">
      <c r="K4395" s="12"/>
      <c r="L4395" s="12"/>
    </row>
    <row r="4396" spans="11:12" ht="12.75">
      <c r="K4396" s="12"/>
      <c r="L4396" s="12"/>
    </row>
    <row r="4397" spans="11:12" ht="12.75">
      <c r="K4397" s="12"/>
      <c r="L4397" s="12"/>
    </row>
    <row r="4398" spans="11:12" ht="12.75">
      <c r="K4398" s="12"/>
      <c r="L4398" s="12"/>
    </row>
    <row r="4399" spans="11:12" ht="12.75">
      <c r="K4399" s="12"/>
      <c r="L4399" s="12"/>
    </row>
    <row r="4400" spans="11:12" ht="12.75">
      <c r="K4400" s="12"/>
      <c r="L4400" s="12"/>
    </row>
    <row r="4401" spans="11:12" ht="12.75">
      <c r="K4401" s="12"/>
      <c r="L4401" s="12"/>
    </row>
    <row r="4402" spans="11:12" ht="12.75">
      <c r="K4402" s="12"/>
      <c r="L4402" s="12"/>
    </row>
    <row r="4403" spans="11:12" ht="12.75">
      <c r="K4403" s="12"/>
      <c r="L4403" s="12"/>
    </row>
    <row r="4404" spans="11:12" ht="12.75">
      <c r="K4404" s="12"/>
      <c r="L4404" s="12"/>
    </row>
    <row r="4405" spans="11:12" ht="12.75">
      <c r="K4405" s="12"/>
      <c r="L4405" s="12"/>
    </row>
    <row r="4406" spans="11:12" ht="12.75">
      <c r="K4406" s="12"/>
      <c r="L4406" s="12"/>
    </row>
    <row r="4407" spans="11:12" ht="12.75">
      <c r="K4407" s="12"/>
      <c r="L4407" s="12"/>
    </row>
    <row r="4408" spans="11:12" ht="12.75">
      <c r="K4408" s="12"/>
      <c r="L4408" s="12"/>
    </row>
    <row r="4409" spans="11:12" ht="12.75">
      <c r="K4409" s="12"/>
      <c r="L4409" s="12"/>
    </row>
    <row r="4410" spans="11:12" ht="12.75">
      <c r="K4410" s="12"/>
      <c r="L4410" s="12"/>
    </row>
    <row r="4411" spans="11:12" ht="12.75">
      <c r="K4411" s="12"/>
      <c r="L4411" s="12"/>
    </row>
    <row r="4412" spans="11:12" ht="12.75">
      <c r="K4412" s="12"/>
      <c r="L4412" s="12"/>
    </row>
    <row r="4413" spans="11:12" ht="12.75">
      <c r="K4413" s="12"/>
      <c r="L4413" s="12"/>
    </row>
    <row r="4414" spans="11:12" ht="12.75">
      <c r="K4414" s="12"/>
      <c r="L4414" s="12"/>
    </row>
    <row r="4415" spans="11:12" ht="12.75">
      <c r="K4415" s="12"/>
      <c r="L4415" s="12"/>
    </row>
    <row r="4416" spans="11:12" ht="12.75">
      <c r="K4416" s="12"/>
      <c r="L4416" s="12"/>
    </row>
    <row r="4417" spans="11:12" ht="12.75">
      <c r="K4417" s="12"/>
      <c r="L4417" s="12"/>
    </row>
    <row r="4418" spans="11:12" ht="12.75">
      <c r="K4418" s="12"/>
      <c r="L4418" s="12"/>
    </row>
    <row r="4419" spans="11:12" ht="12.75">
      <c r="K4419" s="12"/>
      <c r="L4419" s="12"/>
    </row>
    <row r="4420" spans="11:12" ht="12.75">
      <c r="K4420" s="12"/>
      <c r="L4420" s="12"/>
    </row>
    <row r="4421" spans="11:12" ht="12.75">
      <c r="K4421" s="12"/>
      <c r="L4421" s="12"/>
    </row>
    <row r="4422" spans="11:12" ht="12.75">
      <c r="K4422" s="12"/>
      <c r="L4422" s="12"/>
    </row>
    <row r="4423" spans="11:12" ht="12.75">
      <c r="K4423" s="12"/>
      <c r="L4423" s="12"/>
    </row>
    <row r="4424" spans="11:12" ht="12.75">
      <c r="K4424" s="12"/>
      <c r="L4424" s="12"/>
    </row>
    <row r="4425" spans="11:12" ht="12.75">
      <c r="K4425" s="12"/>
      <c r="L4425" s="12"/>
    </row>
    <row r="4426" spans="11:12" ht="12.75">
      <c r="K4426" s="12"/>
      <c r="L4426" s="12"/>
    </row>
    <row r="4427" spans="11:12" ht="12.75">
      <c r="K4427" s="12"/>
      <c r="L4427" s="12"/>
    </row>
    <row r="4428" spans="11:12" ht="12.75">
      <c r="K4428" s="12"/>
      <c r="L4428" s="12"/>
    </row>
    <row r="4429" spans="11:12" ht="12.75">
      <c r="K4429" s="12"/>
      <c r="L4429" s="12"/>
    </row>
    <row r="4430" spans="11:12" ht="12.75">
      <c r="K4430" s="12"/>
      <c r="L4430" s="12"/>
    </row>
    <row r="4431" spans="11:12" ht="12.75">
      <c r="K4431" s="12"/>
      <c r="L4431" s="12"/>
    </row>
    <row r="4432" spans="11:12" ht="12.75">
      <c r="K4432" s="12"/>
      <c r="L4432" s="12"/>
    </row>
    <row r="4433" spans="11:12" ht="12.75">
      <c r="K4433" s="12"/>
      <c r="L4433" s="12"/>
    </row>
    <row r="4434" spans="11:12" ht="12.75">
      <c r="K4434" s="12"/>
      <c r="L4434" s="12"/>
    </row>
    <row r="4435" spans="11:12" ht="12.75">
      <c r="K4435" s="12"/>
      <c r="L4435" s="12"/>
    </row>
    <row r="4436" spans="11:12" ht="12.75">
      <c r="K4436" s="12"/>
      <c r="L4436" s="12"/>
    </row>
    <row r="4437" spans="11:12" ht="12.75">
      <c r="K4437" s="12"/>
      <c r="L4437" s="12"/>
    </row>
    <row r="4438" spans="11:12" ht="12.75">
      <c r="K4438" s="12"/>
      <c r="L4438" s="12"/>
    </row>
    <row r="4439" spans="11:12" ht="12.75">
      <c r="K4439" s="12"/>
      <c r="L4439" s="12"/>
    </row>
    <row r="4440" spans="11:12" ht="12.75">
      <c r="K4440" s="12"/>
      <c r="L4440" s="12"/>
    </row>
    <row r="4441" spans="11:12" ht="12.75">
      <c r="K4441" s="12"/>
      <c r="L4441" s="12"/>
    </row>
    <row r="4442" spans="11:12" ht="12.75">
      <c r="K4442" s="12"/>
      <c r="L4442" s="12"/>
    </row>
    <row r="4443" spans="11:12" ht="12.75">
      <c r="K4443" s="12"/>
      <c r="L4443" s="12"/>
    </row>
    <row r="4444" spans="11:12" ht="12.75">
      <c r="K4444" s="12"/>
      <c r="L4444" s="12"/>
    </row>
    <row r="4445" spans="11:12" ht="12.75">
      <c r="K4445" s="12"/>
      <c r="L4445" s="12"/>
    </row>
    <row r="4446" spans="11:12" ht="12.75">
      <c r="K4446" s="12"/>
      <c r="L4446" s="12"/>
    </row>
    <row r="4447" spans="11:12" ht="12.75">
      <c r="K4447" s="12"/>
      <c r="L4447" s="12"/>
    </row>
    <row r="4448" spans="11:12" ht="12.75">
      <c r="K4448" s="12"/>
      <c r="L4448" s="12"/>
    </row>
    <row r="4449" spans="11:12" ht="12.75">
      <c r="K4449" s="12"/>
      <c r="L4449" s="12"/>
    </row>
    <row r="4450" spans="11:12" ht="12.75">
      <c r="K4450" s="12"/>
      <c r="L4450" s="12"/>
    </row>
    <row r="4451" spans="11:12" ht="12.75">
      <c r="K4451" s="12"/>
      <c r="L4451" s="12"/>
    </row>
    <row r="4452" spans="11:12" ht="12.75">
      <c r="K4452" s="12"/>
      <c r="L4452" s="12"/>
    </row>
    <row r="4453" spans="11:12" ht="12.75">
      <c r="K4453" s="12"/>
      <c r="L4453" s="12"/>
    </row>
    <row r="4454" spans="11:12" ht="12.75">
      <c r="K4454" s="12"/>
      <c r="L4454" s="12"/>
    </row>
    <row r="4455" spans="11:12" ht="12.75">
      <c r="K4455" s="12"/>
      <c r="L4455" s="12"/>
    </row>
    <row r="4456" spans="11:12" ht="12.75">
      <c r="K4456" s="12"/>
      <c r="L4456" s="12"/>
    </row>
    <row r="4457" spans="11:12" ht="12.75">
      <c r="K4457" s="12"/>
      <c r="L4457" s="12"/>
    </row>
    <row r="4458" spans="11:12" ht="12.75">
      <c r="K4458" s="12"/>
      <c r="L4458" s="12"/>
    </row>
    <row r="4459" spans="11:12" ht="12.75">
      <c r="K4459" s="12"/>
      <c r="L4459" s="12"/>
    </row>
    <row r="4460" spans="11:12" ht="12.75">
      <c r="K4460" s="12"/>
      <c r="L4460" s="12"/>
    </row>
    <row r="4461" spans="11:12" ht="12.75">
      <c r="K4461" s="12"/>
      <c r="L4461" s="12"/>
    </row>
    <row r="4462" spans="11:12" ht="12.75">
      <c r="K4462" s="12"/>
      <c r="L4462" s="12"/>
    </row>
    <row r="4463" spans="11:12" ht="12.75">
      <c r="K4463" s="12"/>
      <c r="L4463" s="12"/>
    </row>
    <row r="4464" spans="11:12" ht="12.75">
      <c r="K4464" s="12"/>
      <c r="L4464" s="12"/>
    </row>
    <row r="4465" spans="11:12" ht="12.75">
      <c r="K4465" s="12"/>
      <c r="L4465" s="12"/>
    </row>
    <row r="4466" spans="11:12" ht="12.75">
      <c r="K4466" s="12"/>
      <c r="L4466" s="12"/>
    </row>
    <row r="4467" spans="11:12" ht="12.75">
      <c r="K4467" s="12"/>
      <c r="L4467" s="12"/>
    </row>
    <row r="4468" spans="11:12" ht="12.75">
      <c r="K4468" s="12"/>
      <c r="L4468" s="12"/>
    </row>
    <row r="4469" spans="11:12" ht="12.75">
      <c r="K4469" s="12"/>
      <c r="L4469" s="12"/>
    </row>
    <row r="4470" spans="11:12" ht="12.75">
      <c r="K4470" s="12"/>
      <c r="L4470" s="12"/>
    </row>
    <row r="4471" spans="11:12" ht="12.75">
      <c r="K4471" s="12"/>
      <c r="L4471" s="12"/>
    </row>
    <row r="4472" spans="11:12" ht="12.75">
      <c r="K4472" s="12"/>
      <c r="L4472" s="12"/>
    </row>
    <row r="4473" spans="11:12" ht="12.75">
      <c r="K4473" s="12"/>
      <c r="L4473" s="12"/>
    </row>
    <row r="4474" spans="11:12" ht="12.75">
      <c r="K4474" s="12"/>
      <c r="L4474" s="12"/>
    </row>
    <row r="4475" spans="11:12" ht="12.75">
      <c r="K4475" s="12"/>
      <c r="L4475" s="12"/>
    </row>
    <row r="4476" spans="11:12" ht="12.75">
      <c r="K4476" s="12"/>
      <c r="L4476" s="12"/>
    </row>
    <row r="4477" spans="11:12" ht="12.75">
      <c r="K4477" s="12"/>
      <c r="L4477" s="12"/>
    </row>
    <row r="4478" spans="11:12" ht="12.75">
      <c r="K4478" s="12"/>
      <c r="L4478" s="12"/>
    </row>
    <row r="4479" spans="11:12" ht="12.75">
      <c r="K4479" s="12"/>
      <c r="L4479" s="12"/>
    </row>
    <row r="4480" spans="11:12" ht="12.75">
      <c r="K4480" s="12"/>
      <c r="L4480" s="12"/>
    </row>
    <row r="4481" spans="11:12" ht="12.75">
      <c r="K4481" s="12"/>
      <c r="L4481" s="12"/>
    </row>
    <row r="4482" spans="11:12" ht="12.75">
      <c r="K4482" s="12"/>
      <c r="L4482" s="12"/>
    </row>
    <row r="4483" spans="11:12" ht="12.75">
      <c r="K4483" s="12"/>
      <c r="L4483" s="12"/>
    </row>
    <row r="4484" spans="11:12" ht="12.75">
      <c r="K4484" s="12"/>
      <c r="L4484" s="12"/>
    </row>
    <row r="4485" spans="11:12" ht="12.75">
      <c r="K4485" s="12"/>
      <c r="L4485" s="12"/>
    </row>
    <row r="4486" spans="11:12" ht="12.75">
      <c r="K4486" s="12"/>
      <c r="L4486" s="12"/>
    </row>
    <row r="4487" spans="11:12" ht="12.75">
      <c r="K4487" s="12"/>
      <c r="L4487" s="12"/>
    </row>
    <row r="4488" spans="11:12" ht="12.75">
      <c r="K4488" s="12"/>
      <c r="L4488" s="12"/>
    </row>
    <row r="4489" spans="11:12" ht="12.75">
      <c r="K4489" s="12"/>
      <c r="L4489" s="12"/>
    </row>
    <row r="4490" spans="11:12" ht="12.75">
      <c r="K4490" s="12"/>
      <c r="L4490" s="12"/>
    </row>
    <row r="4491" spans="11:12" ht="12.75">
      <c r="K4491" s="12"/>
      <c r="L4491" s="12"/>
    </row>
    <row r="4492" spans="11:12" ht="12.75">
      <c r="K4492" s="12"/>
      <c r="L4492" s="12"/>
    </row>
    <row r="4493" spans="11:12" ht="12.75">
      <c r="K4493" s="12"/>
      <c r="L4493" s="12"/>
    </row>
    <row r="4494" spans="11:12" ht="12.75">
      <c r="K4494" s="12"/>
      <c r="L4494" s="12"/>
    </row>
    <row r="4495" spans="11:12" ht="12.75">
      <c r="K4495" s="12"/>
      <c r="L4495" s="12"/>
    </row>
    <row r="4496" spans="11:12" ht="12.75">
      <c r="K4496" s="12"/>
      <c r="L4496" s="12"/>
    </row>
    <row r="4497" spans="11:12" ht="12.75">
      <c r="K4497" s="12"/>
      <c r="L4497" s="12"/>
    </row>
    <row r="4498" spans="11:12" ht="12.75">
      <c r="K4498" s="12"/>
      <c r="L4498" s="12"/>
    </row>
    <row r="4499" spans="11:12" ht="12.75">
      <c r="K4499" s="12"/>
      <c r="L4499" s="12"/>
    </row>
    <row r="4500" spans="11:12" ht="12.75">
      <c r="K4500" s="12"/>
      <c r="L4500" s="12"/>
    </row>
    <row r="4501" spans="11:12" ht="12.75">
      <c r="K4501" s="12"/>
      <c r="L4501" s="12"/>
    </row>
    <row r="4502" spans="11:12" ht="12.75">
      <c r="K4502" s="12"/>
      <c r="L4502" s="12"/>
    </row>
    <row r="4503" spans="11:12" ht="12.75">
      <c r="K4503" s="12"/>
      <c r="L4503" s="12"/>
    </row>
    <row r="4504" spans="11:12" ht="12.75">
      <c r="K4504" s="12"/>
      <c r="L4504" s="12"/>
    </row>
    <row r="4505" spans="11:12" ht="12.75">
      <c r="K4505" s="12"/>
      <c r="L4505" s="12"/>
    </row>
    <row r="4506" spans="11:12" ht="12.75">
      <c r="K4506" s="12"/>
      <c r="L4506" s="12"/>
    </row>
    <row r="4507" spans="11:12" ht="12.75">
      <c r="K4507" s="12"/>
      <c r="L4507" s="12"/>
    </row>
    <row r="4508" spans="11:12" ht="12.75">
      <c r="K4508" s="12"/>
      <c r="L4508" s="12"/>
    </row>
    <row r="4509" spans="11:12" ht="12.75">
      <c r="K4509" s="12"/>
      <c r="L4509" s="12"/>
    </row>
    <row r="4510" spans="11:12" ht="12.75">
      <c r="K4510" s="12"/>
      <c r="L4510" s="12"/>
    </row>
    <row r="4511" spans="11:12" ht="12.75">
      <c r="K4511" s="12"/>
      <c r="L4511" s="12"/>
    </row>
    <row r="4512" spans="11:12" ht="12.75">
      <c r="K4512" s="12"/>
      <c r="L4512" s="12"/>
    </row>
    <row r="4513" spans="11:12" ht="12.75">
      <c r="K4513" s="12"/>
      <c r="L4513" s="12"/>
    </row>
    <row r="4514" spans="11:12" ht="12.75">
      <c r="K4514" s="12"/>
      <c r="L4514" s="12"/>
    </row>
    <row r="4515" spans="11:12" ht="12.75">
      <c r="K4515" s="12"/>
      <c r="L4515" s="12"/>
    </row>
    <row r="4516" spans="11:12" ht="12.75">
      <c r="K4516" s="12"/>
      <c r="L4516" s="12"/>
    </row>
    <row r="4517" spans="11:12" ht="12.75">
      <c r="K4517" s="12"/>
      <c r="L4517" s="12"/>
    </row>
    <row r="4518" spans="11:12" ht="12.75">
      <c r="K4518" s="12"/>
      <c r="L4518" s="12"/>
    </row>
    <row r="4519" spans="11:12" ht="12.75">
      <c r="K4519" s="12"/>
      <c r="L4519" s="12"/>
    </row>
    <row r="4520" spans="11:12" ht="12.75">
      <c r="K4520" s="12"/>
      <c r="L4520" s="12"/>
    </row>
    <row r="4521" spans="11:12" ht="12.75">
      <c r="K4521" s="12"/>
      <c r="L4521" s="12"/>
    </row>
    <row r="4522" spans="11:12" ht="12.75">
      <c r="K4522" s="12"/>
      <c r="L4522" s="12"/>
    </row>
    <row r="4523" spans="11:12" ht="12.75">
      <c r="K4523" s="12"/>
      <c r="L4523" s="12"/>
    </row>
    <row r="4524" spans="11:12" ht="12.75">
      <c r="K4524" s="12"/>
      <c r="L4524" s="12"/>
    </row>
    <row r="4525" spans="11:12" ht="12.75">
      <c r="K4525" s="12"/>
      <c r="L4525" s="12"/>
    </row>
    <row r="4526" spans="11:12" ht="12.75">
      <c r="K4526" s="12"/>
      <c r="L4526" s="12"/>
    </row>
    <row r="4527" spans="11:12" ht="12.75">
      <c r="K4527" s="12"/>
      <c r="L4527" s="12"/>
    </row>
    <row r="4528" spans="11:12" ht="12.75">
      <c r="K4528" s="12"/>
      <c r="L4528" s="12"/>
    </row>
    <row r="4529" spans="11:12" ht="12.75">
      <c r="K4529" s="12"/>
      <c r="L4529" s="12"/>
    </row>
    <row r="4530" spans="11:12" ht="12.75">
      <c r="K4530" s="12"/>
      <c r="L4530" s="12"/>
    </row>
    <row r="4531" spans="11:12" ht="12.75">
      <c r="K4531" s="12"/>
      <c r="L4531" s="12"/>
    </row>
    <row r="4532" spans="11:12" ht="12.75">
      <c r="K4532" s="12"/>
      <c r="L4532" s="12"/>
    </row>
    <row r="4533" spans="11:12" ht="12.75">
      <c r="K4533" s="12"/>
      <c r="L4533" s="12"/>
    </row>
    <row r="4534" spans="11:12" ht="12.75">
      <c r="K4534" s="12"/>
      <c r="L4534" s="12"/>
    </row>
    <row r="4535" spans="11:12" ht="12.75">
      <c r="K4535" s="12"/>
      <c r="L4535" s="12"/>
    </row>
    <row r="4536" spans="11:12" ht="12.75">
      <c r="K4536" s="12"/>
      <c r="L4536" s="12"/>
    </row>
    <row r="4537" spans="11:12" ht="12.75">
      <c r="K4537" s="12"/>
      <c r="L4537" s="12"/>
    </row>
    <row r="4538" spans="11:12" ht="12.75">
      <c r="K4538" s="12"/>
      <c r="L4538" s="12"/>
    </row>
    <row r="4539" spans="11:12" ht="12.75">
      <c r="K4539" s="12"/>
      <c r="L4539" s="12"/>
    </row>
    <row r="4540" spans="11:12" ht="12.75">
      <c r="K4540" s="12"/>
      <c r="L4540" s="12"/>
    </row>
    <row r="4541" spans="11:12" ht="12.75">
      <c r="K4541" s="12"/>
      <c r="L4541" s="12"/>
    </row>
    <row r="4542" spans="11:12" ht="12.75">
      <c r="K4542" s="12"/>
      <c r="L4542" s="12"/>
    </row>
    <row r="4543" spans="11:12" ht="12.75">
      <c r="K4543" s="12"/>
      <c r="L4543" s="12"/>
    </row>
    <row r="4544" spans="11:12" ht="12.75">
      <c r="K4544" s="12"/>
      <c r="L4544" s="12"/>
    </row>
    <row r="4545" spans="11:12" ht="12.75">
      <c r="K4545" s="12"/>
      <c r="L4545" s="12"/>
    </row>
    <row r="4546" spans="11:12" ht="12.75">
      <c r="K4546" s="12"/>
      <c r="L4546" s="12"/>
    </row>
    <row r="4547" spans="11:12" ht="12.75">
      <c r="K4547" s="12"/>
      <c r="L4547" s="12"/>
    </row>
    <row r="4548" spans="11:12" ht="12.75">
      <c r="K4548" s="12"/>
      <c r="L4548" s="12"/>
    </row>
    <row r="4549" spans="11:12" ht="12.75">
      <c r="K4549" s="12"/>
      <c r="L4549" s="12"/>
    </row>
    <row r="4550" spans="11:12" ht="12.75">
      <c r="K4550" s="12"/>
      <c r="L4550" s="12"/>
    </row>
    <row r="4551" spans="11:12" ht="12.75">
      <c r="K4551" s="12"/>
      <c r="L4551" s="12"/>
    </row>
    <row r="4552" spans="11:12" ht="12.75">
      <c r="K4552" s="12"/>
      <c r="L4552" s="12"/>
    </row>
    <row r="4553" spans="11:12" ht="12.75">
      <c r="K4553" s="12"/>
      <c r="L4553" s="12"/>
    </row>
    <row r="4554" spans="11:12" ht="12.75">
      <c r="K4554" s="12"/>
      <c r="L4554" s="12"/>
    </row>
    <row r="4555" spans="11:12" ht="12.75">
      <c r="K4555" s="12"/>
      <c r="L4555" s="12"/>
    </row>
    <row r="4556" spans="11:12" ht="12.75">
      <c r="K4556" s="12"/>
      <c r="L4556" s="12"/>
    </row>
    <row r="4557" spans="11:12" ht="12.75">
      <c r="K4557" s="12"/>
      <c r="L4557" s="12"/>
    </row>
    <row r="4558" spans="11:12" ht="12.75">
      <c r="K4558" s="12"/>
      <c r="L4558" s="12"/>
    </row>
    <row r="4559" spans="11:12" ht="12.75">
      <c r="K4559" s="12"/>
      <c r="L4559" s="12"/>
    </row>
    <row r="4560" spans="11:12" ht="12.75">
      <c r="K4560" s="12"/>
      <c r="L4560" s="12"/>
    </row>
    <row r="4561" spans="11:12" ht="12.75">
      <c r="K4561" s="12"/>
      <c r="L4561" s="12"/>
    </row>
    <row r="4562" spans="11:12" ht="12.75">
      <c r="K4562" s="12"/>
      <c r="L4562" s="12"/>
    </row>
    <row r="4563" spans="11:12" ht="12.75">
      <c r="K4563" s="12"/>
      <c r="L4563" s="12"/>
    </row>
    <row r="4564" spans="11:12" ht="12.75">
      <c r="K4564" s="12"/>
      <c r="L4564" s="12"/>
    </row>
    <row r="4565" spans="11:12" ht="12.75">
      <c r="K4565" s="12"/>
      <c r="L4565" s="12"/>
    </row>
    <row r="4566" spans="11:12" ht="12.75">
      <c r="K4566" s="12"/>
      <c r="L4566" s="12"/>
    </row>
    <row r="4567" spans="11:12" ht="12.75">
      <c r="K4567" s="12"/>
      <c r="L4567" s="12"/>
    </row>
    <row r="4568" spans="11:12" ht="12.75">
      <c r="K4568" s="12"/>
      <c r="L4568" s="12"/>
    </row>
    <row r="4569" spans="11:12" ht="12.75">
      <c r="K4569" s="12"/>
      <c r="L4569" s="12"/>
    </row>
    <row r="4570" spans="11:12" ht="12.75">
      <c r="K4570" s="12"/>
      <c r="L4570" s="12"/>
    </row>
    <row r="4571" spans="11:12" ht="12.75">
      <c r="K4571" s="12"/>
      <c r="L4571" s="12"/>
    </row>
    <row r="4572" spans="11:12" ht="12.75">
      <c r="K4572" s="12"/>
      <c r="L4572" s="12"/>
    </row>
    <row r="4573" spans="11:12" ht="12.75">
      <c r="K4573" s="12"/>
      <c r="L4573" s="12"/>
    </row>
    <row r="4574" spans="11:12" ht="12.75">
      <c r="K4574" s="12"/>
      <c r="L4574" s="12"/>
    </row>
    <row r="4575" spans="11:12" ht="12.75">
      <c r="K4575" s="12"/>
      <c r="L4575" s="12"/>
    </row>
    <row r="4576" spans="11:12" ht="12.75">
      <c r="K4576" s="12"/>
      <c r="L4576" s="12"/>
    </row>
    <row r="4577" spans="11:12" ht="12.75">
      <c r="K4577" s="12"/>
      <c r="L4577" s="12"/>
    </row>
    <row r="4578" spans="11:12" ht="12.75">
      <c r="K4578" s="12"/>
      <c r="L4578" s="12"/>
    </row>
    <row r="4579" spans="11:12" ht="12.75">
      <c r="K4579" s="12"/>
      <c r="L4579" s="12"/>
    </row>
    <row r="4580" spans="11:12" ht="12.75">
      <c r="K4580" s="12"/>
      <c r="L4580" s="12"/>
    </row>
    <row r="4581" spans="11:12" ht="12.75">
      <c r="K4581" s="12"/>
      <c r="L4581" s="12"/>
    </row>
    <row r="4582" spans="11:12" ht="12.75">
      <c r="K4582" s="12"/>
      <c r="L4582" s="12"/>
    </row>
    <row r="4583" spans="11:12" ht="12.75">
      <c r="K4583" s="12"/>
      <c r="L4583" s="12"/>
    </row>
    <row r="4584" spans="11:12" ht="12.75">
      <c r="K4584" s="12"/>
      <c r="L4584" s="12"/>
    </row>
    <row r="4585" spans="11:12" ht="12.75">
      <c r="K4585" s="12"/>
      <c r="L4585" s="12"/>
    </row>
    <row r="4586" spans="11:12" ht="12.75">
      <c r="K4586" s="12"/>
      <c r="L4586" s="12"/>
    </row>
    <row r="4587" spans="11:12" ht="12.75">
      <c r="K4587" s="12"/>
      <c r="L4587" s="12"/>
    </row>
    <row r="4588" spans="11:12" ht="12.75">
      <c r="K4588" s="12"/>
      <c r="L4588" s="12"/>
    </row>
    <row r="4589" spans="11:12" ht="12.75">
      <c r="K4589" s="12"/>
      <c r="L4589" s="12"/>
    </row>
    <row r="4590" spans="11:12" ht="12.75">
      <c r="K4590" s="12"/>
      <c r="L4590" s="12"/>
    </row>
    <row r="4591" spans="11:12" ht="12.75">
      <c r="K4591" s="12"/>
      <c r="L4591" s="12"/>
    </row>
    <row r="4592" spans="11:12" ht="12.75">
      <c r="K4592" s="12"/>
      <c r="L4592" s="12"/>
    </row>
    <row r="4593" spans="11:12" ht="12.75">
      <c r="K4593" s="12"/>
      <c r="L4593" s="12"/>
    </row>
    <row r="4594" spans="11:12" ht="12.75">
      <c r="K4594" s="12"/>
      <c r="L4594" s="12"/>
    </row>
    <row r="4595" spans="11:12" ht="12.75">
      <c r="K4595" s="12"/>
      <c r="L4595" s="12"/>
    </row>
    <row r="4596" spans="11:12" ht="12.75">
      <c r="K4596" s="12"/>
      <c r="L4596" s="12"/>
    </row>
    <row r="4597" spans="11:12" ht="12.75">
      <c r="K4597" s="12"/>
      <c r="L4597" s="12"/>
    </row>
    <row r="4598" spans="11:12" ht="12.75">
      <c r="K4598" s="12"/>
      <c r="L4598" s="12"/>
    </row>
    <row r="4599" spans="11:12" ht="12.75">
      <c r="K4599" s="12"/>
      <c r="L4599" s="12"/>
    </row>
    <row r="4600" spans="11:12" ht="12.75">
      <c r="K4600" s="12"/>
      <c r="L4600" s="12"/>
    </row>
    <row r="4601" spans="11:12" ht="12.75">
      <c r="K4601" s="12"/>
      <c r="L4601" s="12"/>
    </row>
    <row r="4602" spans="11:12" ht="12.75">
      <c r="K4602" s="12"/>
      <c r="L4602" s="12"/>
    </row>
    <row r="4603" spans="11:12" ht="12.75">
      <c r="K4603" s="12"/>
      <c r="L4603" s="12"/>
    </row>
    <row r="4604" spans="11:12" ht="12.75">
      <c r="K4604" s="12"/>
      <c r="L4604" s="12"/>
    </row>
    <row r="4605" spans="11:12" ht="12.75">
      <c r="K4605" s="12"/>
      <c r="L4605" s="12"/>
    </row>
    <row r="4606" spans="11:12" ht="12.75">
      <c r="K4606" s="12"/>
      <c r="L4606" s="12"/>
    </row>
    <row r="4607" spans="11:12" ht="12.75">
      <c r="K4607" s="12"/>
      <c r="L4607" s="12"/>
    </row>
    <row r="4608" spans="11:12" ht="12.75">
      <c r="K4608" s="12"/>
      <c r="L4608" s="12"/>
    </row>
    <row r="4609" spans="11:12" ht="12.75">
      <c r="K4609" s="12"/>
      <c r="L4609" s="12"/>
    </row>
    <row r="4610" spans="11:12" ht="12.75">
      <c r="K4610" s="12"/>
      <c r="L4610" s="12"/>
    </row>
    <row r="4611" spans="11:12" ht="12.75">
      <c r="K4611" s="12"/>
      <c r="L4611" s="12"/>
    </row>
    <row r="4612" spans="11:12" ht="12.75">
      <c r="K4612" s="12"/>
      <c r="L4612" s="12"/>
    </row>
    <row r="4613" spans="11:12" ht="12.75">
      <c r="K4613" s="12"/>
      <c r="L4613" s="12"/>
    </row>
    <row r="4614" spans="11:12" ht="12.75">
      <c r="K4614" s="12"/>
      <c r="L4614" s="12"/>
    </row>
    <row r="4615" spans="11:12" ht="12.75">
      <c r="K4615" s="12"/>
      <c r="L4615" s="12"/>
    </row>
    <row r="4616" spans="11:12" ht="12.75">
      <c r="K4616" s="12"/>
      <c r="L4616" s="12"/>
    </row>
    <row r="4617" spans="11:12" ht="12.75">
      <c r="K4617" s="12"/>
      <c r="L4617" s="12"/>
    </row>
    <row r="4618" spans="11:12" ht="12.75">
      <c r="K4618" s="12"/>
      <c r="L4618" s="12"/>
    </row>
    <row r="4619" spans="11:12" ht="12.75">
      <c r="K4619" s="12"/>
      <c r="L4619" s="12"/>
    </row>
    <row r="4620" spans="11:12" ht="12.75">
      <c r="K4620" s="12"/>
      <c r="L4620" s="12"/>
    </row>
    <row r="4621" spans="11:12" ht="12.75">
      <c r="K4621" s="12"/>
      <c r="L4621" s="12"/>
    </row>
    <row r="4622" spans="11:12" ht="12.75">
      <c r="K4622" s="12"/>
      <c r="L4622" s="12"/>
    </row>
    <row r="4623" spans="11:12" ht="12.75">
      <c r="K4623" s="12"/>
      <c r="L4623" s="12"/>
    </row>
    <row r="4624" spans="11:12" ht="12.75">
      <c r="K4624" s="12"/>
      <c r="L4624" s="12"/>
    </row>
    <row r="4625" spans="11:12" ht="12.75">
      <c r="K4625" s="12"/>
      <c r="L4625" s="12"/>
    </row>
    <row r="4626" spans="11:12" ht="12.75">
      <c r="K4626" s="12"/>
      <c r="L4626" s="12"/>
    </row>
    <row r="4627" spans="11:12" ht="12.75">
      <c r="K4627" s="12"/>
      <c r="L4627" s="12"/>
    </row>
    <row r="4628" spans="11:12" ht="12.75">
      <c r="K4628" s="12"/>
      <c r="L4628" s="12"/>
    </row>
    <row r="4629" spans="11:12" ht="12.75">
      <c r="K4629" s="12"/>
      <c r="L4629" s="12"/>
    </row>
    <row r="4630" spans="11:12" ht="12.75">
      <c r="K4630" s="12"/>
      <c r="L4630" s="12"/>
    </row>
    <row r="4631" spans="11:12" ht="12.75">
      <c r="K4631" s="12"/>
      <c r="L4631" s="12"/>
    </row>
    <row r="4632" spans="11:12" ht="12.75">
      <c r="K4632" s="12"/>
      <c r="L4632" s="12"/>
    </row>
    <row r="4633" spans="11:12" ht="12.75">
      <c r="K4633" s="12"/>
      <c r="L4633" s="12"/>
    </row>
    <row r="4634" spans="11:12" ht="12.75">
      <c r="K4634" s="12"/>
      <c r="L4634" s="12"/>
    </row>
    <row r="4635" spans="11:12" ht="12.75">
      <c r="K4635" s="12"/>
      <c r="L4635" s="12"/>
    </row>
    <row r="4636" spans="11:12" ht="12.75">
      <c r="K4636" s="12"/>
      <c r="L4636" s="12"/>
    </row>
    <row r="4637" spans="11:12" ht="12.75">
      <c r="K4637" s="12"/>
      <c r="L4637" s="12"/>
    </row>
    <row r="4638" spans="11:12" ht="12.75">
      <c r="K4638" s="12"/>
      <c r="L4638" s="12"/>
    </row>
    <row r="4639" spans="11:12" ht="12.75">
      <c r="K4639" s="12"/>
      <c r="L4639" s="12"/>
    </row>
    <row r="4640" spans="11:12" ht="12.75">
      <c r="K4640" s="12"/>
      <c r="L4640" s="12"/>
    </row>
    <row r="4641" spans="11:12" ht="12.75">
      <c r="K4641" s="12"/>
      <c r="L4641" s="12"/>
    </row>
    <row r="4642" spans="11:12" ht="12.75">
      <c r="K4642" s="12"/>
      <c r="L4642" s="12"/>
    </row>
    <row r="4643" spans="11:12" ht="12.75">
      <c r="K4643" s="12"/>
      <c r="L4643" s="12"/>
    </row>
    <row r="4644" spans="11:12" ht="12.75">
      <c r="K4644" s="12"/>
      <c r="L4644" s="12"/>
    </row>
    <row r="4645" spans="11:12" ht="12.75">
      <c r="K4645" s="12"/>
      <c r="L4645" s="12"/>
    </row>
    <row r="4646" spans="11:12" ht="12.75">
      <c r="K4646" s="12"/>
      <c r="L4646" s="12"/>
    </row>
    <row r="4647" spans="11:12" ht="12.75">
      <c r="K4647" s="12"/>
      <c r="L4647" s="12"/>
    </row>
    <row r="4648" spans="11:12" ht="12.75">
      <c r="K4648" s="12"/>
      <c r="L4648" s="12"/>
    </row>
    <row r="4649" spans="11:12" ht="12.75">
      <c r="K4649" s="12"/>
      <c r="L4649" s="12"/>
    </row>
    <row r="4650" spans="11:12" ht="12.75">
      <c r="K4650" s="12"/>
      <c r="L4650" s="12"/>
    </row>
    <row r="4651" spans="11:12" ht="12.75">
      <c r="K4651" s="12"/>
      <c r="L4651" s="12"/>
    </row>
    <row r="4652" spans="11:12" ht="12.75">
      <c r="K4652" s="12"/>
      <c r="L4652" s="12"/>
    </row>
    <row r="4653" spans="11:12" ht="12.75">
      <c r="K4653" s="12"/>
      <c r="L4653" s="12"/>
    </row>
    <row r="4654" spans="11:12" ht="12.75">
      <c r="K4654" s="12"/>
      <c r="L4654" s="12"/>
    </row>
    <row r="4655" spans="11:12" ht="12.75">
      <c r="K4655" s="12"/>
      <c r="L4655" s="12"/>
    </row>
    <row r="4656" spans="11:12" ht="12.75">
      <c r="K4656" s="12"/>
      <c r="L4656" s="12"/>
    </row>
    <row r="4657" spans="11:12" ht="12.75">
      <c r="K4657" s="12"/>
      <c r="L4657" s="12"/>
    </row>
    <row r="4658" spans="11:12" ht="12.75">
      <c r="K4658" s="12"/>
      <c r="L4658" s="12"/>
    </row>
    <row r="4659" spans="11:12" ht="12.75">
      <c r="K4659" s="12"/>
      <c r="L4659" s="12"/>
    </row>
    <row r="4660" spans="11:12" ht="12.75">
      <c r="K4660" s="12"/>
      <c r="L4660" s="12"/>
    </row>
    <row r="4661" spans="11:12" ht="12.75">
      <c r="K4661" s="12"/>
      <c r="L4661" s="12"/>
    </row>
    <row r="4662" spans="11:12" ht="12.75">
      <c r="K4662" s="12"/>
      <c r="L4662" s="12"/>
    </row>
    <row r="4663" spans="11:12" ht="12.75">
      <c r="K4663" s="12"/>
      <c r="L4663" s="12"/>
    </row>
    <row r="4664" spans="11:12" ht="12.75">
      <c r="K4664" s="12"/>
      <c r="L4664" s="12"/>
    </row>
    <row r="4665" spans="11:12" ht="12.75">
      <c r="K4665" s="12"/>
      <c r="L4665" s="12"/>
    </row>
    <row r="4666" spans="11:12" ht="12.75">
      <c r="K4666" s="12"/>
      <c r="L4666" s="12"/>
    </row>
    <row r="4667" spans="11:12" ht="12.75">
      <c r="K4667" s="12"/>
      <c r="L4667" s="12"/>
    </row>
    <row r="4668" spans="11:12" ht="12.75">
      <c r="K4668" s="12"/>
      <c r="L4668" s="12"/>
    </row>
    <row r="4669" spans="11:12" ht="12.75">
      <c r="K4669" s="12"/>
      <c r="L4669" s="12"/>
    </row>
    <row r="4670" spans="11:12" ht="12.75">
      <c r="K4670" s="12"/>
      <c r="L4670" s="12"/>
    </row>
    <row r="4671" spans="11:12" ht="12.75">
      <c r="K4671" s="12"/>
      <c r="L4671" s="12"/>
    </row>
    <row r="4672" spans="11:12" ht="12.75">
      <c r="K4672" s="12"/>
      <c r="L4672" s="12"/>
    </row>
    <row r="4673" spans="11:12" ht="12.75">
      <c r="K4673" s="12"/>
      <c r="L4673" s="12"/>
    </row>
    <row r="4674" spans="11:12" ht="12.75">
      <c r="K4674" s="12"/>
      <c r="L4674" s="12"/>
    </row>
    <row r="4675" spans="11:12" ht="12.75">
      <c r="K4675" s="12"/>
      <c r="L4675" s="12"/>
    </row>
    <row r="4676" spans="11:12" ht="12.75">
      <c r="K4676" s="12"/>
      <c r="L4676" s="12"/>
    </row>
    <row r="4677" spans="11:12" ht="12.75">
      <c r="K4677" s="12"/>
      <c r="L4677" s="12"/>
    </row>
    <row r="4678" spans="11:12" ht="12.75">
      <c r="K4678" s="12"/>
      <c r="L4678" s="12"/>
    </row>
    <row r="4679" spans="11:12" ht="12.75">
      <c r="K4679" s="12"/>
      <c r="L4679" s="12"/>
    </row>
    <row r="4680" spans="11:12" ht="12.75">
      <c r="K4680" s="12"/>
      <c r="L4680" s="12"/>
    </row>
    <row r="4681" spans="11:12" ht="12.75">
      <c r="K4681" s="12"/>
      <c r="L4681" s="12"/>
    </row>
    <row r="4682" spans="11:12" ht="12.75">
      <c r="K4682" s="12"/>
      <c r="L4682" s="12"/>
    </row>
    <row r="4683" spans="11:12" ht="12.75">
      <c r="K4683" s="12"/>
      <c r="L4683" s="12"/>
    </row>
    <row r="4684" spans="11:12" ht="12.75">
      <c r="K4684" s="12"/>
      <c r="L4684" s="12"/>
    </row>
    <row r="4685" spans="11:12" ht="12.75">
      <c r="K4685" s="12"/>
      <c r="L4685" s="12"/>
    </row>
    <row r="4686" spans="11:12" ht="12.75">
      <c r="K4686" s="12"/>
      <c r="L4686" s="12"/>
    </row>
    <row r="4687" spans="11:12" ht="12.75">
      <c r="K4687" s="12"/>
      <c r="L4687" s="12"/>
    </row>
    <row r="4688" spans="11:12" ht="12.75">
      <c r="K4688" s="12"/>
      <c r="L4688" s="12"/>
    </row>
    <row r="4689" spans="11:12" ht="12.75">
      <c r="K4689" s="12"/>
      <c r="L4689" s="12"/>
    </row>
    <row r="4690" spans="11:12" ht="12.75">
      <c r="K4690" s="12"/>
      <c r="L4690" s="12"/>
    </row>
    <row r="4691" spans="11:12" ht="12.75">
      <c r="K4691" s="12"/>
      <c r="L4691" s="12"/>
    </row>
    <row r="4692" spans="11:12" ht="12.75">
      <c r="K4692" s="12"/>
      <c r="L4692" s="12"/>
    </row>
    <row r="4693" spans="11:12" ht="12.75">
      <c r="K4693" s="12"/>
      <c r="L4693" s="12"/>
    </row>
    <row r="4694" spans="11:12" ht="12.75">
      <c r="K4694" s="12"/>
      <c r="L4694" s="12"/>
    </row>
    <row r="4695" spans="11:12" ht="12.75">
      <c r="K4695" s="12"/>
      <c r="L4695" s="12"/>
    </row>
    <row r="4696" spans="11:12" ht="12.75">
      <c r="K4696" s="12"/>
      <c r="L4696" s="12"/>
    </row>
    <row r="4697" spans="11:12" ht="12.75">
      <c r="K4697" s="12"/>
      <c r="L4697" s="12"/>
    </row>
    <row r="4698" spans="11:12" ht="12.75">
      <c r="K4698" s="12"/>
      <c r="L4698" s="12"/>
    </row>
    <row r="4699" spans="11:12" ht="12.75">
      <c r="K4699" s="12"/>
      <c r="L4699" s="12"/>
    </row>
    <row r="4700" spans="11:12" ht="12.75">
      <c r="K4700" s="12"/>
      <c r="L4700" s="12"/>
    </row>
    <row r="4701" spans="11:12" ht="12.75">
      <c r="K4701" s="12"/>
      <c r="L4701" s="12"/>
    </row>
    <row r="4702" spans="11:12" ht="12.75">
      <c r="K4702" s="12"/>
      <c r="L4702" s="12"/>
    </row>
    <row r="4703" spans="11:12" ht="12.75">
      <c r="K4703" s="12"/>
      <c r="L4703" s="12"/>
    </row>
    <row r="4704" spans="11:12" ht="12.75">
      <c r="K4704" s="12"/>
      <c r="L4704" s="12"/>
    </row>
    <row r="4705" spans="11:12" ht="12.75">
      <c r="K4705" s="12"/>
      <c r="L4705" s="12"/>
    </row>
    <row r="4706" spans="11:12" ht="12.75">
      <c r="K4706" s="12"/>
      <c r="L4706" s="12"/>
    </row>
    <row r="4707" spans="11:12" ht="12.75">
      <c r="K4707" s="12"/>
      <c r="L4707" s="12"/>
    </row>
    <row r="4708" spans="11:12" ht="12.75">
      <c r="K4708" s="12"/>
      <c r="L4708" s="12"/>
    </row>
    <row r="4709" spans="11:12" ht="12.75">
      <c r="K4709" s="12"/>
      <c r="L4709" s="12"/>
    </row>
    <row r="4710" spans="11:12" ht="12.75">
      <c r="K4710" s="12"/>
      <c r="L4710" s="12"/>
    </row>
    <row r="4711" spans="11:12" ht="12.75">
      <c r="K4711" s="12"/>
      <c r="L4711" s="12"/>
    </row>
    <row r="4712" spans="11:12" ht="12.75">
      <c r="K4712" s="12"/>
      <c r="L4712" s="12"/>
    </row>
    <row r="4713" spans="11:12" ht="12.75">
      <c r="K4713" s="12"/>
      <c r="L4713" s="12"/>
    </row>
    <row r="4714" spans="11:12" ht="12.75">
      <c r="K4714" s="12"/>
      <c r="L4714" s="12"/>
    </row>
    <row r="4715" spans="11:12" ht="12.75">
      <c r="K4715" s="12"/>
      <c r="L4715" s="12"/>
    </row>
    <row r="4716" spans="11:12" ht="12.75">
      <c r="K4716" s="12"/>
      <c r="L4716" s="12"/>
    </row>
    <row r="4717" spans="11:12" ht="12.75">
      <c r="K4717" s="12"/>
      <c r="L4717" s="12"/>
    </row>
    <row r="4718" spans="11:12" ht="12.75">
      <c r="K4718" s="12"/>
      <c r="L4718" s="12"/>
    </row>
    <row r="4719" spans="11:12" ht="12.75">
      <c r="K4719" s="12"/>
      <c r="L4719" s="12"/>
    </row>
    <row r="4720" spans="11:12" ht="12.75">
      <c r="K4720" s="12"/>
      <c r="L4720" s="12"/>
    </row>
    <row r="4721" spans="11:12" ht="12.75">
      <c r="K4721" s="12"/>
      <c r="L4721" s="12"/>
    </row>
    <row r="4722" spans="11:12" ht="12.75">
      <c r="K4722" s="12"/>
      <c r="L4722" s="12"/>
    </row>
    <row r="4723" spans="11:12" ht="12.75">
      <c r="K4723" s="12"/>
      <c r="L4723" s="12"/>
    </row>
    <row r="4724" spans="11:12" ht="12.75">
      <c r="K4724" s="12"/>
      <c r="L4724" s="12"/>
    </row>
    <row r="4725" spans="11:12" ht="12.75">
      <c r="K4725" s="12"/>
      <c r="L4725" s="12"/>
    </row>
    <row r="4726" spans="11:12" ht="12.75">
      <c r="K4726" s="12"/>
      <c r="L4726" s="12"/>
    </row>
    <row r="4727" spans="11:12" ht="12.75">
      <c r="K4727" s="12"/>
      <c r="L4727" s="12"/>
    </row>
    <row r="4728" spans="11:12" ht="12.75">
      <c r="K4728" s="12"/>
      <c r="L4728" s="12"/>
    </row>
    <row r="4729" spans="11:12" ht="12.75">
      <c r="K4729" s="12"/>
      <c r="L4729" s="12"/>
    </row>
    <row r="4730" spans="11:12" ht="12.75">
      <c r="K4730" s="12"/>
      <c r="L4730" s="12"/>
    </row>
    <row r="4731" spans="11:12" ht="12.75">
      <c r="K4731" s="12"/>
      <c r="L4731" s="12"/>
    </row>
    <row r="4732" spans="11:12" ht="12.75">
      <c r="K4732" s="12"/>
      <c r="L4732" s="12"/>
    </row>
    <row r="4733" spans="11:12" ht="12.75">
      <c r="K4733" s="12"/>
      <c r="L4733" s="12"/>
    </row>
    <row r="4734" spans="11:12" ht="12.75">
      <c r="K4734" s="12"/>
      <c r="L4734" s="12"/>
    </row>
    <row r="4735" spans="11:12" ht="12.75">
      <c r="K4735" s="12"/>
      <c r="L4735" s="12"/>
    </row>
    <row r="4736" spans="11:12" ht="12.75">
      <c r="K4736" s="12"/>
      <c r="L4736" s="12"/>
    </row>
    <row r="4737" spans="11:12" ht="12.75">
      <c r="K4737" s="12"/>
      <c r="L4737" s="12"/>
    </row>
    <row r="4738" spans="11:12" ht="12.75">
      <c r="K4738" s="12"/>
      <c r="L4738" s="12"/>
    </row>
    <row r="4739" spans="11:12" ht="12.75">
      <c r="K4739" s="12"/>
      <c r="L4739" s="12"/>
    </row>
    <row r="4740" spans="11:12" ht="12.75">
      <c r="K4740" s="12"/>
      <c r="L4740" s="12"/>
    </row>
    <row r="4741" spans="11:12" ht="12.75">
      <c r="K4741" s="12"/>
      <c r="L4741" s="12"/>
    </row>
    <row r="4742" spans="11:12" ht="12.75">
      <c r="K4742" s="12"/>
      <c r="L4742" s="12"/>
    </row>
    <row r="4743" spans="11:12" ht="12.75">
      <c r="K4743" s="12"/>
      <c r="L4743" s="12"/>
    </row>
    <row r="4744" spans="11:12" ht="12.75">
      <c r="K4744" s="12"/>
      <c r="L4744" s="12"/>
    </row>
    <row r="4745" spans="11:12" ht="12.75">
      <c r="K4745" s="12"/>
      <c r="L4745" s="12"/>
    </row>
    <row r="4746" spans="11:12" ht="12.75">
      <c r="K4746" s="12"/>
      <c r="L4746" s="12"/>
    </row>
    <row r="4747" spans="11:12" ht="12.75">
      <c r="K4747" s="12"/>
      <c r="L4747" s="12"/>
    </row>
    <row r="4748" spans="11:12" ht="12.75">
      <c r="K4748" s="12"/>
      <c r="L4748" s="12"/>
    </row>
    <row r="4749" spans="11:12" ht="12.75">
      <c r="K4749" s="12"/>
      <c r="L4749" s="12"/>
    </row>
    <row r="4750" spans="11:12" ht="12.75">
      <c r="K4750" s="12"/>
      <c r="L4750" s="12"/>
    </row>
    <row r="4751" spans="11:12" ht="12.75">
      <c r="K4751" s="12"/>
      <c r="L4751" s="12"/>
    </row>
    <row r="4752" spans="11:12" ht="12.75">
      <c r="K4752" s="12"/>
      <c r="L4752" s="12"/>
    </row>
    <row r="4753" spans="11:12" ht="12.75">
      <c r="K4753" s="12"/>
      <c r="L4753" s="12"/>
    </row>
    <row r="4754" spans="11:12" ht="12.75">
      <c r="K4754" s="12"/>
      <c r="L4754" s="12"/>
    </row>
    <row r="4755" spans="11:12" ht="12.75">
      <c r="K4755" s="12"/>
      <c r="L4755" s="12"/>
    </row>
    <row r="4756" spans="11:12" ht="12.75">
      <c r="K4756" s="12"/>
      <c r="L4756" s="12"/>
    </row>
    <row r="4757" spans="11:12" ht="12.75">
      <c r="K4757" s="12"/>
      <c r="L4757" s="12"/>
    </row>
    <row r="4758" spans="11:12" ht="12.75">
      <c r="K4758" s="12"/>
      <c r="L4758" s="12"/>
    </row>
    <row r="4759" spans="11:12" ht="12.75">
      <c r="K4759" s="12"/>
      <c r="L4759" s="12"/>
    </row>
    <row r="4760" spans="11:12" ht="12.75">
      <c r="K4760" s="12"/>
      <c r="L4760" s="12"/>
    </row>
    <row r="4761" spans="11:12" ht="12.75">
      <c r="K4761" s="12"/>
      <c r="L4761" s="12"/>
    </row>
    <row r="4762" spans="11:12" ht="12.75">
      <c r="K4762" s="12"/>
      <c r="L4762" s="12"/>
    </row>
    <row r="4763" spans="11:12" ht="12.75">
      <c r="K4763" s="12"/>
      <c r="L4763" s="12"/>
    </row>
    <row r="4764" spans="11:12" ht="12.75">
      <c r="K4764" s="12"/>
      <c r="L4764" s="12"/>
    </row>
    <row r="4765" spans="11:12" ht="12.75">
      <c r="K4765" s="12"/>
      <c r="L4765" s="12"/>
    </row>
    <row r="4766" spans="11:12" ht="12.75">
      <c r="K4766" s="12"/>
      <c r="L4766" s="12"/>
    </row>
    <row r="4767" spans="11:12" ht="12.75">
      <c r="K4767" s="12"/>
      <c r="L4767" s="12"/>
    </row>
    <row r="4768" spans="11:12" ht="12.75">
      <c r="K4768" s="12"/>
      <c r="L4768" s="12"/>
    </row>
    <row r="4769" spans="11:12" ht="12.75">
      <c r="K4769" s="12"/>
      <c r="L4769" s="12"/>
    </row>
    <row r="4770" spans="11:12" ht="12.75">
      <c r="K4770" s="12"/>
      <c r="L4770" s="12"/>
    </row>
    <row r="4771" spans="11:12" ht="12.75">
      <c r="K4771" s="12"/>
      <c r="L4771" s="12"/>
    </row>
    <row r="4772" spans="11:12" ht="12.75">
      <c r="K4772" s="12"/>
      <c r="L4772" s="12"/>
    </row>
    <row r="4773" spans="11:12" ht="12.75">
      <c r="K4773" s="12"/>
      <c r="L4773" s="12"/>
    </row>
    <row r="4774" spans="11:12" ht="12.75">
      <c r="K4774" s="12"/>
      <c r="L4774" s="12"/>
    </row>
    <row r="4775" spans="11:12" ht="12.75">
      <c r="K4775" s="12"/>
      <c r="L4775" s="12"/>
    </row>
    <row r="4776" spans="11:12" ht="12.75">
      <c r="K4776" s="12"/>
      <c r="L4776" s="12"/>
    </row>
    <row r="4777" spans="11:12" ht="12.75">
      <c r="K4777" s="12"/>
      <c r="L4777" s="12"/>
    </row>
    <row r="4778" spans="11:12" ht="12.75">
      <c r="K4778" s="12"/>
      <c r="L4778" s="12"/>
    </row>
    <row r="4779" spans="11:12" ht="12.75">
      <c r="K4779" s="12"/>
      <c r="L4779" s="12"/>
    </row>
    <row r="4780" spans="11:12" ht="12.75">
      <c r="K4780" s="12"/>
      <c r="L4780" s="12"/>
    </row>
    <row r="4781" spans="11:12" ht="12.75">
      <c r="K4781" s="12"/>
      <c r="L4781" s="12"/>
    </row>
    <row r="4782" spans="11:12" ht="12.75">
      <c r="K4782" s="12"/>
      <c r="L4782" s="12"/>
    </row>
    <row r="4783" spans="11:12" ht="12.75">
      <c r="K4783" s="12"/>
      <c r="L4783" s="12"/>
    </row>
    <row r="4784" spans="11:12" ht="12.75">
      <c r="K4784" s="12"/>
      <c r="L4784" s="12"/>
    </row>
    <row r="4785" spans="11:12" ht="12.75">
      <c r="K4785" s="12"/>
      <c r="L4785" s="12"/>
    </row>
    <row r="4786" spans="11:12" ht="12.75">
      <c r="K4786" s="12"/>
      <c r="L4786" s="12"/>
    </row>
    <row r="4787" spans="11:12" ht="12.75">
      <c r="K4787" s="12"/>
      <c r="L4787" s="12"/>
    </row>
    <row r="4788" spans="11:12" ht="12.75">
      <c r="K4788" s="12"/>
      <c r="L4788" s="12"/>
    </row>
    <row r="4789" spans="11:12" ht="12.75">
      <c r="K4789" s="12"/>
      <c r="L4789" s="12"/>
    </row>
    <row r="4790" spans="11:12" ht="12.75">
      <c r="K4790" s="12"/>
      <c r="L4790" s="12"/>
    </row>
    <row r="4791" spans="11:12" ht="12.75">
      <c r="K4791" s="12"/>
      <c r="L4791" s="12"/>
    </row>
    <row r="4792" spans="11:12" ht="12.75">
      <c r="K4792" s="12"/>
      <c r="L4792" s="12"/>
    </row>
    <row r="4793" spans="11:12" ht="12.75">
      <c r="K4793" s="12"/>
      <c r="L4793" s="12"/>
    </row>
    <row r="4794" spans="11:12" ht="12.75">
      <c r="K4794" s="12"/>
      <c r="L4794" s="12"/>
    </row>
    <row r="4795" spans="11:12" ht="12.75">
      <c r="K4795" s="12"/>
      <c r="L4795" s="12"/>
    </row>
    <row r="4796" spans="11:12" ht="12.75">
      <c r="K4796" s="12"/>
      <c r="L4796" s="12"/>
    </row>
    <row r="4797" spans="11:12" ht="12.75">
      <c r="K4797" s="12"/>
      <c r="L4797" s="12"/>
    </row>
    <row r="4798" spans="11:12" ht="12.75">
      <c r="K4798" s="12"/>
      <c r="L4798" s="12"/>
    </row>
    <row r="4799" spans="11:12" ht="12.75">
      <c r="K4799" s="12"/>
      <c r="L4799" s="12"/>
    </row>
    <row r="4800" spans="11:12" ht="12.75">
      <c r="K4800" s="12"/>
      <c r="L4800" s="12"/>
    </row>
    <row r="4801" spans="11:12" ht="12.75">
      <c r="K4801" s="12"/>
      <c r="L4801" s="12"/>
    </row>
    <row r="4802" spans="11:12" ht="12.75">
      <c r="K4802" s="12"/>
      <c r="L4802" s="12"/>
    </row>
    <row r="4803" spans="11:12" ht="12.75">
      <c r="K4803" s="12"/>
      <c r="L4803" s="12"/>
    </row>
    <row r="4804" spans="11:12" ht="12.75">
      <c r="K4804" s="12"/>
      <c r="L4804" s="12"/>
    </row>
    <row r="4805" spans="11:12" ht="12.75">
      <c r="K4805" s="12"/>
      <c r="L4805" s="12"/>
    </row>
    <row r="4806" spans="11:12" ht="12.75">
      <c r="K4806" s="12"/>
      <c r="L4806" s="12"/>
    </row>
    <row r="4807" spans="11:12" ht="12.75">
      <c r="K4807" s="12"/>
      <c r="L4807" s="12"/>
    </row>
    <row r="4808" spans="11:12" ht="12.75">
      <c r="K4808" s="12"/>
      <c r="L4808" s="12"/>
    </row>
    <row r="4809" spans="11:12" ht="12.75">
      <c r="K4809" s="12"/>
      <c r="L4809" s="12"/>
    </row>
    <row r="4810" spans="11:12" ht="12.75">
      <c r="K4810" s="12"/>
      <c r="L4810" s="12"/>
    </row>
    <row r="4811" spans="11:12" ht="12.75">
      <c r="K4811" s="12"/>
      <c r="L4811" s="12"/>
    </row>
    <row r="4812" spans="11:12" ht="12.75">
      <c r="K4812" s="12"/>
      <c r="L4812" s="12"/>
    </row>
    <row r="4813" spans="11:12" ht="12.75">
      <c r="K4813" s="12"/>
      <c r="L4813" s="12"/>
    </row>
    <row r="4814" spans="11:12" ht="12.75">
      <c r="K4814" s="12"/>
      <c r="L4814" s="12"/>
    </row>
    <row r="4815" spans="11:12" ht="12.75">
      <c r="K4815" s="12"/>
      <c r="L4815" s="12"/>
    </row>
    <row r="4816" spans="11:12" ht="12.75">
      <c r="K4816" s="12"/>
      <c r="L4816" s="12"/>
    </row>
    <row r="4817" spans="11:12" ht="12.75">
      <c r="K4817" s="12"/>
      <c r="L4817" s="12"/>
    </row>
    <row r="4818" spans="11:12" ht="12.75">
      <c r="K4818" s="12"/>
      <c r="L4818" s="12"/>
    </row>
    <row r="4819" spans="11:12" ht="12.75">
      <c r="K4819" s="12"/>
      <c r="L4819" s="12"/>
    </row>
    <row r="4820" spans="11:12" ht="12.75">
      <c r="K4820" s="12"/>
      <c r="L4820" s="12"/>
    </row>
    <row r="4821" spans="11:12" ht="12.75">
      <c r="K4821" s="12"/>
      <c r="L4821" s="12"/>
    </row>
    <row r="4822" spans="11:12" ht="12.75">
      <c r="K4822" s="12"/>
      <c r="L4822" s="12"/>
    </row>
    <row r="4823" spans="11:12" ht="12.75">
      <c r="K4823" s="12"/>
      <c r="L4823" s="12"/>
    </row>
    <row r="4824" spans="11:12" ht="12.75">
      <c r="K4824" s="12"/>
      <c r="L4824" s="12"/>
    </row>
    <row r="4825" spans="11:12" ht="12.75">
      <c r="K4825" s="12"/>
      <c r="L4825" s="12"/>
    </row>
    <row r="4826" spans="11:12" ht="12.75">
      <c r="K4826" s="12"/>
      <c r="L4826" s="12"/>
    </row>
    <row r="4827" spans="11:12" ht="12.75">
      <c r="K4827" s="12"/>
      <c r="L4827" s="12"/>
    </row>
    <row r="4828" spans="11:12" ht="12.75">
      <c r="K4828" s="12"/>
      <c r="L4828" s="12"/>
    </row>
    <row r="4829" spans="11:12" ht="12.75">
      <c r="K4829" s="12"/>
      <c r="L4829" s="12"/>
    </row>
    <row r="4830" spans="11:12" ht="12.75">
      <c r="K4830" s="12"/>
      <c r="L4830" s="12"/>
    </row>
    <row r="4831" spans="11:12" ht="12.75">
      <c r="K4831" s="12"/>
      <c r="L4831" s="12"/>
    </row>
    <row r="4832" spans="11:12" ht="12.75">
      <c r="K4832" s="12"/>
      <c r="L4832" s="12"/>
    </row>
    <row r="4833" spans="11:12" ht="12.75">
      <c r="K4833" s="12"/>
      <c r="L4833" s="12"/>
    </row>
    <row r="4834" spans="11:12" ht="12.75">
      <c r="K4834" s="12"/>
      <c r="L4834" s="12"/>
    </row>
    <row r="4835" spans="11:12" ht="12.75">
      <c r="K4835" s="12"/>
      <c r="L4835" s="12"/>
    </row>
    <row r="4836" spans="11:12" ht="12.75">
      <c r="K4836" s="12"/>
      <c r="L4836" s="12"/>
    </row>
    <row r="4837" spans="11:12" ht="12.75">
      <c r="K4837" s="12"/>
      <c r="L4837" s="12"/>
    </row>
    <row r="4838" spans="11:12" ht="12.75">
      <c r="K4838" s="12"/>
      <c r="L4838" s="12"/>
    </row>
    <row r="4839" spans="11:12" ht="12.75">
      <c r="K4839" s="12"/>
      <c r="L4839" s="12"/>
    </row>
    <row r="4840" spans="11:12" ht="12.75">
      <c r="K4840" s="12"/>
      <c r="L4840" s="12"/>
    </row>
    <row r="4841" spans="11:12" ht="12.75">
      <c r="K4841" s="12"/>
      <c r="L4841" s="12"/>
    </row>
    <row r="4842" spans="11:12" ht="12.75">
      <c r="K4842" s="12"/>
      <c r="L4842" s="12"/>
    </row>
    <row r="4843" spans="11:12" ht="12.75">
      <c r="K4843" s="12"/>
      <c r="L4843" s="12"/>
    </row>
    <row r="4844" spans="11:12" ht="12.75">
      <c r="K4844" s="12"/>
      <c r="L4844" s="12"/>
    </row>
    <row r="4845" spans="11:12" ht="12.75">
      <c r="K4845" s="12"/>
      <c r="L4845" s="12"/>
    </row>
    <row r="4846" spans="11:12" ht="12.75">
      <c r="K4846" s="12"/>
      <c r="L4846" s="12"/>
    </row>
    <row r="4847" spans="11:12" ht="12.75">
      <c r="K4847" s="12"/>
      <c r="L4847" s="12"/>
    </row>
    <row r="4848" spans="11:12" ht="12.75">
      <c r="K4848" s="12"/>
      <c r="L4848" s="12"/>
    </row>
    <row r="4849" spans="11:12" ht="12.75">
      <c r="K4849" s="12"/>
      <c r="L4849" s="12"/>
    </row>
    <row r="4850" spans="11:12" ht="12.75">
      <c r="K4850" s="12"/>
      <c r="L4850" s="12"/>
    </row>
    <row r="4851" spans="11:12" ht="12.75">
      <c r="K4851" s="12"/>
      <c r="L4851" s="12"/>
    </row>
    <row r="4852" spans="11:12" ht="12.75">
      <c r="K4852" s="12"/>
      <c r="L4852" s="12"/>
    </row>
    <row r="4853" spans="11:12" ht="12.75">
      <c r="K4853" s="12"/>
      <c r="L4853" s="12"/>
    </row>
    <row r="4854" spans="11:12" ht="12.75">
      <c r="K4854" s="12"/>
      <c r="L4854" s="12"/>
    </row>
    <row r="4855" spans="11:12" ht="12.75">
      <c r="K4855" s="12"/>
      <c r="L4855" s="12"/>
    </row>
    <row r="4856" spans="11:12" ht="12.75">
      <c r="K4856" s="12"/>
      <c r="L4856" s="12"/>
    </row>
    <row r="4857" spans="11:12" ht="12.75">
      <c r="K4857" s="12"/>
      <c r="L4857" s="12"/>
    </row>
    <row r="4858" spans="11:12" ht="12.75">
      <c r="K4858" s="12"/>
      <c r="L4858" s="12"/>
    </row>
    <row r="4859" spans="11:12" ht="12.75">
      <c r="K4859" s="12"/>
      <c r="L4859" s="12"/>
    </row>
    <row r="4860" spans="11:12" ht="12.75">
      <c r="K4860" s="12"/>
      <c r="L4860" s="12"/>
    </row>
    <row r="4861" spans="11:12" ht="12.75">
      <c r="K4861" s="12"/>
      <c r="L4861" s="12"/>
    </row>
    <row r="4862" spans="11:12" ht="12.75">
      <c r="K4862" s="12"/>
      <c r="L4862" s="12"/>
    </row>
    <row r="4863" spans="11:12" ht="12.75">
      <c r="K4863" s="12"/>
      <c r="L4863" s="12"/>
    </row>
    <row r="4864" spans="11:12" ht="12.75">
      <c r="K4864" s="12"/>
      <c r="L4864" s="12"/>
    </row>
    <row r="4865" spans="11:12" ht="12.75">
      <c r="K4865" s="12"/>
      <c r="L4865" s="12"/>
    </row>
    <row r="4866" spans="11:12" ht="12.75">
      <c r="K4866" s="12"/>
      <c r="L4866" s="12"/>
    </row>
    <row r="4867" spans="11:12" ht="12.75">
      <c r="K4867" s="12"/>
      <c r="L4867" s="12"/>
    </row>
    <row r="4868" spans="11:12" ht="12.75">
      <c r="K4868" s="12"/>
      <c r="L4868" s="12"/>
    </row>
    <row r="4869" spans="11:12" ht="12.75">
      <c r="K4869" s="12"/>
      <c r="L4869" s="12"/>
    </row>
    <row r="4870" spans="11:12" ht="12.75">
      <c r="K4870" s="12"/>
      <c r="L4870" s="12"/>
    </row>
    <row r="4871" spans="11:12" ht="12.75">
      <c r="K4871" s="12"/>
      <c r="L4871" s="12"/>
    </row>
    <row r="4872" spans="11:12" ht="12.75">
      <c r="K4872" s="12"/>
      <c r="L4872" s="12"/>
    </row>
    <row r="4873" spans="11:12" ht="12.75">
      <c r="K4873" s="12"/>
      <c r="L4873" s="12"/>
    </row>
    <row r="4874" spans="11:12" ht="12.75">
      <c r="K4874" s="12"/>
      <c r="L4874" s="12"/>
    </row>
    <row r="4875" spans="11:12" ht="12.75">
      <c r="K4875" s="12"/>
      <c r="L4875" s="12"/>
    </row>
    <row r="4876" spans="11:12" ht="12.75">
      <c r="K4876" s="12"/>
      <c r="L4876" s="12"/>
    </row>
    <row r="4877" spans="11:12" ht="12.75">
      <c r="K4877" s="12"/>
      <c r="L4877" s="12"/>
    </row>
    <row r="4878" spans="11:12" ht="12.75">
      <c r="K4878" s="12"/>
      <c r="L4878" s="12"/>
    </row>
    <row r="4879" spans="11:12" ht="12.75">
      <c r="K4879" s="12"/>
      <c r="L4879" s="12"/>
    </row>
    <row r="4880" spans="11:12" ht="12.75">
      <c r="K4880" s="12"/>
      <c r="L4880" s="12"/>
    </row>
    <row r="4881" spans="11:12" ht="12.75">
      <c r="K4881" s="12"/>
      <c r="L4881" s="12"/>
    </row>
    <row r="4882" spans="11:12" ht="12.75">
      <c r="K4882" s="12"/>
      <c r="L4882" s="12"/>
    </row>
    <row r="4883" spans="11:12" ht="12.75">
      <c r="K4883" s="12"/>
      <c r="L4883" s="12"/>
    </row>
    <row r="4884" spans="11:12" ht="12.75">
      <c r="K4884" s="12"/>
      <c r="L4884" s="12"/>
    </row>
    <row r="4885" spans="11:12" ht="12.75">
      <c r="K4885" s="12"/>
      <c r="L4885" s="12"/>
    </row>
    <row r="4886" spans="11:12" ht="12.75">
      <c r="K4886" s="12"/>
      <c r="L4886" s="12"/>
    </row>
    <row r="4887" spans="11:12" ht="12.75">
      <c r="K4887" s="12"/>
      <c r="L4887" s="12"/>
    </row>
    <row r="4888" spans="11:12" ht="12.75">
      <c r="K4888" s="12"/>
      <c r="L4888" s="12"/>
    </row>
    <row r="4889" spans="11:12" ht="12.75">
      <c r="K4889" s="12"/>
      <c r="L4889" s="12"/>
    </row>
    <row r="4890" spans="11:12" ht="12.75">
      <c r="K4890" s="12"/>
      <c r="L4890" s="12"/>
    </row>
    <row r="4891" spans="11:12" ht="12.75">
      <c r="K4891" s="12"/>
      <c r="L4891" s="12"/>
    </row>
    <row r="4892" spans="11:12" ht="12.75">
      <c r="K4892" s="12"/>
      <c r="L4892" s="12"/>
    </row>
    <row r="4893" spans="11:12" ht="12.75">
      <c r="K4893" s="12"/>
      <c r="L4893" s="12"/>
    </row>
    <row r="4894" spans="11:12" ht="12.75">
      <c r="K4894" s="12"/>
      <c r="L4894" s="12"/>
    </row>
    <row r="4895" spans="11:12" ht="12.75">
      <c r="K4895" s="12"/>
      <c r="L4895" s="12"/>
    </row>
    <row r="4896" spans="11:12" ht="12.75">
      <c r="K4896" s="12"/>
      <c r="L4896" s="12"/>
    </row>
    <row r="4897" spans="11:12" ht="12.75">
      <c r="K4897" s="12"/>
      <c r="L4897" s="12"/>
    </row>
    <row r="4898" spans="11:12" ht="12.75">
      <c r="K4898" s="12"/>
      <c r="L4898" s="12"/>
    </row>
    <row r="4899" spans="11:12" ht="12.75">
      <c r="K4899" s="12"/>
      <c r="L4899" s="12"/>
    </row>
    <row r="4900" spans="11:12" ht="12.75">
      <c r="K4900" s="12"/>
      <c r="L4900" s="12"/>
    </row>
    <row r="4901" spans="11:12" ht="12.75">
      <c r="K4901" s="12"/>
      <c r="L4901" s="12"/>
    </row>
    <row r="4902" spans="11:12" ht="12.75">
      <c r="K4902" s="12"/>
      <c r="L4902" s="12"/>
    </row>
    <row r="4903" spans="11:12" ht="12.75">
      <c r="K4903" s="12"/>
      <c r="L4903" s="12"/>
    </row>
    <row r="4904" spans="11:12" ht="12.75">
      <c r="K4904" s="12"/>
      <c r="L4904" s="12"/>
    </row>
    <row r="4905" spans="11:12" ht="12.75">
      <c r="K4905" s="12"/>
      <c r="L4905" s="12"/>
    </row>
    <row r="4906" spans="11:12" ht="12.75">
      <c r="K4906" s="12"/>
      <c r="L4906" s="12"/>
    </row>
    <row r="4907" spans="11:12" ht="12.75">
      <c r="K4907" s="12"/>
      <c r="L4907" s="12"/>
    </row>
    <row r="4908" spans="11:12" ht="12.75">
      <c r="K4908" s="12"/>
      <c r="L4908" s="12"/>
    </row>
    <row r="4909" spans="11:12" ht="12.75">
      <c r="K4909" s="12"/>
      <c r="L4909" s="12"/>
    </row>
    <row r="4910" spans="11:12" ht="12.75">
      <c r="K4910" s="12"/>
      <c r="L4910" s="12"/>
    </row>
    <row r="4911" spans="11:12" ht="12.75">
      <c r="K4911" s="12"/>
      <c r="L4911" s="12"/>
    </row>
    <row r="4912" spans="11:12" ht="12.75">
      <c r="K4912" s="12"/>
      <c r="L4912" s="12"/>
    </row>
    <row r="4913" spans="11:12" ht="12.75">
      <c r="K4913" s="12"/>
      <c r="L4913" s="12"/>
    </row>
    <row r="4914" spans="11:12" ht="12.75">
      <c r="K4914" s="12"/>
      <c r="L4914" s="12"/>
    </row>
    <row r="4915" spans="11:12" ht="12.75">
      <c r="K4915" s="12"/>
      <c r="L4915" s="12"/>
    </row>
    <row r="4916" spans="11:12" ht="12.75">
      <c r="K4916" s="12"/>
      <c r="L4916" s="12"/>
    </row>
    <row r="4917" spans="11:12" ht="12.75">
      <c r="K4917" s="12"/>
      <c r="L4917" s="12"/>
    </row>
    <row r="4918" spans="11:12" ht="12.75">
      <c r="K4918" s="12"/>
      <c r="L4918" s="12"/>
    </row>
    <row r="4919" spans="11:12" ht="12.75">
      <c r="K4919" s="12"/>
      <c r="L4919" s="12"/>
    </row>
    <row r="4920" spans="11:12" ht="12.75">
      <c r="K4920" s="12"/>
      <c r="L4920" s="12"/>
    </row>
    <row r="4921" spans="11:12" ht="12.75">
      <c r="K4921" s="12"/>
      <c r="L4921" s="12"/>
    </row>
    <row r="4922" spans="11:12" ht="12.75">
      <c r="K4922" s="12"/>
      <c r="L4922" s="12"/>
    </row>
    <row r="4923" spans="11:12" ht="12.75">
      <c r="K4923" s="12"/>
      <c r="L4923" s="12"/>
    </row>
    <row r="4924" spans="11:12" ht="12.75">
      <c r="K4924" s="12"/>
      <c r="L4924" s="12"/>
    </row>
    <row r="4925" spans="11:12" ht="12.75">
      <c r="K4925" s="12"/>
      <c r="L4925" s="12"/>
    </row>
    <row r="4926" spans="11:12" ht="12.75">
      <c r="K4926" s="12"/>
      <c r="L4926" s="12"/>
    </row>
    <row r="4927" spans="11:12" ht="12.75">
      <c r="K4927" s="12"/>
      <c r="L4927" s="12"/>
    </row>
    <row r="4928" spans="11:12" ht="12.75">
      <c r="K4928" s="12"/>
      <c r="L4928" s="12"/>
    </row>
    <row r="4929" spans="11:12" ht="12.75">
      <c r="K4929" s="12"/>
      <c r="L4929" s="12"/>
    </row>
    <row r="4930" spans="11:12" ht="12.75">
      <c r="K4930" s="12"/>
      <c r="L4930" s="12"/>
    </row>
    <row r="4931" spans="11:12" ht="12.75">
      <c r="K4931" s="12"/>
      <c r="L4931" s="12"/>
    </row>
    <row r="4932" spans="11:12" ht="12.75">
      <c r="K4932" s="12"/>
      <c r="L4932" s="12"/>
    </row>
    <row r="4933" spans="11:12" ht="12.75">
      <c r="K4933" s="12"/>
      <c r="L4933" s="12"/>
    </row>
    <row r="4934" spans="11:12" ht="12.75">
      <c r="K4934" s="12"/>
      <c r="L4934" s="12"/>
    </row>
    <row r="4935" spans="11:12" ht="12.75">
      <c r="K4935" s="12"/>
      <c r="L4935" s="12"/>
    </row>
    <row r="4936" spans="11:12" ht="12.75">
      <c r="K4936" s="12"/>
      <c r="L4936" s="12"/>
    </row>
    <row r="4937" spans="11:12" ht="12.75">
      <c r="K4937" s="12"/>
      <c r="L4937" s="12"/>
    </row>
    <row r="4938" spans="11:12" ht="12.75">
      <c r="K4938" s="12"/>
      <c r="L4938" s="12"/>
    </row>
    <row r="4939" spans="11:12" ht="12.75">
      <c r="K4939" s="12"/>
      <c r="L4939" s="12"/>
    </row>
    <row r="4940" spans="11:12" ht="12.75">
      <c r="K4940" s="12"/>
      <c r="L4940" s="12"/>
    </row>
    <row r="4941" spans="11:12" ht="12.75">
      <c r="K4941" s="12"/>
      <c r="L4941" s="12"/>
    </row>
    <row r="4942" spans="11:12" ht="12.75">
      <c r="K4942" s="12"/>
      <c r="L4942" s="12"/>
    </row>
    <row r="4943" spans="11:12" ht="12.75">
      <c r="K4943" s="12"/>
      <c r="L4943" s="12"/>
    </row>
    <row r="4944" spans="11:12" ht="12.75">
      <c r="K4944" s="12"/>
      <c r="L4944" s="12"/>
    </row>
    <row r="4945" spans="11:12" ht="12.75">
      <c r="K4945" s="12"/>
      <c r="L4945" s="12"/>
    </row>
    <row r="4946" spans="11:12" ht="12.75">
      <c r="K4946" s="12"/>
      <c r="L4946" s="12"/>
    </row>
    <row r="4947" spans="11:12" ht="12.75">
      <c r="K4947" s="12"/>
      <c r="L4947" s="12"/>
    </row>
    <row r="4948" spans="11:12" ht="12.75">
      <c r="K4948" s="12"/>
      <c r="L4948" s="12"/>
    </row>
    <row r="4949" spans="11:12" ht="12.75">
      <c r="K4949" s="12"/>
      <c r="L4949" s="12"/>
    </row>
    <row r="4950" spans="11:12" ht="12.75">
      <c r="K4950" s="12"/>
      <c r="L4950" s="12"/>
    </row>
    <row r="4951" spans="11:12" ht="12.75">
      <c r="K4951" s="12"/>
      <c r="L4951" s="12"/>
    </row>
    <row r="4952" spans="11:12" ht="12.75">
      <c r="K4952" s="12"/>
      <c r="L4952" s="12"/>
    </row>
    <row r="4953" spans="11:12" ht="12.75">
      <c r="K4953" s="12"/>
      <c r="L4953" s="12"/>
    </row>
    <row r="4954" spans="11:12" ht="12.75">
      <c r="K4954" s="12"/>
      <c r="L4954" s="12"/>
    </row>
    <row r="4955" spans="11:12" ht="12.75">
      <c r="K4955" s="12"/>
      <c r="L4955" s="12"/>
    </row>
    <row r="4956" spans="11:12" ht="12.75">
      <c r="K4956" s="12"/>
      <c r="L4956" s="12"/>
    </row>
    <row r="4957" spans="11:12" ht="12.75">
      <c r="K4957" s="12"/>
      <c r="L4957" s="12"/>
    </row>
    <row r="4958" spans="11:12" ht="12.75">
      <c r="K4958" s="12"/>
      <c r="L4958" s="12"/>
    </row>
    <row r="4959" spans="11:12" ht="12.75">
      <c r="K4959" s="12"/>
      <c r="L4959" s="12"/>
    </row>
    <row r="4960" spans="11:12" ht="12.75">
      <c r="K4960" s="12"/>
      <c r="L4960" s="12"/>
    </row>
    <row r="4961" spans="11:12" ht="12.75">
      <c r="K4961" s="12"/>
      <c r="L4961" s="12"/>
    </row>
    <row r="4962" spans="11:12" ht="12.75">
      <c r="K4962" s="12"/>
      <c r="L4962" s="12"/>
    </row>
    <row r="4963" spans="11:12" ht="12.75">
      <c r="K4963" s="12"/>
      <c r="L4963" s="12"/>
    </row>
    <row r="4964" spans="11:12" ht="12.75">
      <c r="K4964" s="12"/>
      <c r="L4964" s="12"/>
    </row>
    <row r="4965" spans="11:12" ht="12.75">
      <c r="K4965" s="12"/>
      <c r="L4965" s="12"/>
    </row>
    <row r="4966" spans="11:12" ht="12.75">
      <c r="K4966" s="12"/>
      <c r="L4966" s="12"/>
    </row>
    <row r="4967" spans="11:12" ht="12.75">
      <c r="K4967" s="12"/>
      <c r="L4967" s="12"/>
    </row>
    <row r="4968" spans="11:12" ht="12.75">
      <c r="K4968" s="12"/>
      <c r="L4968" s="12"/>
    </row>
    <row r="4969" spans="11:12" ht="12.75">
      <c r="K4969" s="12"/>
      <c r="L4969" s="12"/>
    </row>
    <row r="4970" spans="11:12" ht="12.75">
      <c r="K4970" s="12"/>
      <c r="L4970" s="12"/>
    </row>
    <row r="4971" spans="11:12" ht="12.75">
      <c r="K4971" s="12"/>
      <c r="L4971" s="12"/>
    </row>
    <row r="4972" spans="11:12" ht="12.75">
      <c r="K4972" s="12"/>
      <c r="L4972" s="12"/>
    </row>
    <row r="4973" spans="11:12" ht="12.75">
      <c r="K4973" s="12"/>
      <c r="L4973" s="12"/>
    </row>
    <row r="4974" spans="11:12" ht="12.75">
      <c r="K4974" s="12"/>
      <c r="L4974" s="12"/>
    </row>
    <row r="4975" spans="11:12" ht="12.75">
      <c r="K4975" s="12"/>
      <c r="L4975" s="12"/>
    </row>
    <row r="4976" spans="11:12" ht="12.75">
      <c r="K4976" s="12"/>
      <c r="L4976" s="12"/>
    </row>
    <row r="4977" spans="11:12" ht="12.75">
      <c r="K4977" s="12"/>
      <c r="L4977" s="12"/>
    </row>
    <row r="4978" spans="11:12" ht="12.75">
      <c r="K4978" s="12"/>
      <c r="L4978" s="12"/>
    </row>
    <row r="4979" spans="11:12" ht="12.75">
      <c r="K4979" s="12"/>
      <c r="L4979" s="12"/>
    </row>
    <row r="4980" spans="11:12" ht="12.75">
      <c r="K4980" s="12"/>
      <c r="L4980" s="12"/>
    </row>
    <row r="4981" spans="11:12" ht="12.75">
      <c r="K4981" s="12"/>
      <c r="L4981" s="12"/>
    </row>
    <row r="4982" spans="11:12" ht="12.75">
      <c r="K4982" s="12"/>
      <c r="L4982" s="12"/>
    </row>
    <row r="4983" spans="11:12" ht="12.75">
      <c r="K4983" s="12"/>
      <c r="L4983" s="12"/>
    </row>
    <row r="4984" spans="11:12" ht="12.75">
      <c r="K4984" s="12"/>
      <c r="L4984" s="12"/>
    </row>
    <row r="4985" spans="11:12" ht="12.75">
      <c r="K4985" s="12"/>
      <c r="L4985" s="12"/>
    </row>
    <row r="4986" spans="11:12" ht="12.75">
      <c r="K4986" s="12"/>
      <c r="L4986" s="12"/>
    </row>
    <row r="4987" spans="11:12" ht="12.75">
      <c r="K4987" s="12"/>
      <c r="L4987" s="12"/>
    </row>
    <row r="4988" spans="11:12" ht="12.75">
      <c r="K4988" s="12"/>
      <c r="L4988" s="12"/>
    </row>
    <row r="4989" spans="11:12" ht="12.75">
      <c r="K4989" s="12"/>
      <c r="L4989" s="12"/>
    </row>
    <row r="4990" spans="11:12" ht="12.75">
      <c r="K4990" s="12"/>
      <c r="L4990" s="12"/>
    </row>
    <row r="4991" spans="11:12" ht="12.75">
      <c r="K4991" s="12"/>
      <c r="L4991" s="12"/>
    </row>
    <row r="4992" spans="11:12" ht="12.75">
      <c r="K4992" s="12"/>
      <c r="L4992" s="12"/>
    </row>
    <row r="4993" spans="11:12" ht="12.75">
      <c r="K4993" s="12"/>
      <c r="L4993" s="12"/>
    </row>
    <row r="4994" spans="11:12" ht="12.75">
      <c r="K4994" s="12"/>
      <c r="L4994" s="12"/>
    </row>
    <row r="4995" spans="11:12" ht="12.75">
      <c r="K4995" s="12"/>
      <c r="L4995" s="12"/>
    </row>
    <row r="4996" spans="11:12" ht="12.75">
      <c r="K4996" s="12"/>
      <c r="L4996" s="12"/>
    </row>
    <row r="4997" spans="11:12" ht="12.75">
      <c r="K4997" s="12"/>
      <c r="L4997" s="12"/>
    </row>
    <row r="4998" spans="11:12" ht="12.75">
      <c r="K4998" s="12"/>
      <c r="L4998" s="12"/>
    </row>
    <row r="4999" spans="11:12" ht="12.75">
      <c r="K4999" s="12"/>
      <c r="L4999" s="12"/>
    </row>
    <row r="5000" spans="11:12" ht="12.75">
      <c r="K5000" s="12"/>
      <c r="L5000" s="12"/>
    </row>
    <row r="5001" spans="11:12" ht="12.75">
      <c r="K5001" s="12"/>
      <c r="L5001" s="12"/>
    </row>
    <row r="5002" spans="11:12" ht="12.75">
      <c r="K5002" s="12"/>
      <c r="L5002" s="12"/>
    </row>
    <row r="5003" spans="11:12" ht="12.75">
      <c r="K5003" s="12"/>
      <c r="L5003" s="12"/>
    </row>
    <row r="5004" spans="11:12" ht="12.75">
      <c r="K5004" s="12"/>
      <c r="L5004" s="12"/>
    </row>
    <row r="5005" spans="11:12" ht="12.75">
      <c r="K5005" s="12"/>
      <c r="L5005" s="12"/>
    </row>
    <row r="5006" spans="11:12" ht="12.75">
      <c r="K5006" s="12"/>
      <c r="L5006" s="12"/>
    </row>
    <row r="5007" spans="11:12" ht="12.75">
      <c r="K5007" s="12"/>
      <c r="L5007" s="12"/>
    </row>
    <row r="5008" spans="11:12" ht="12.75">
      <c r="K5008" s="12"/>
      <c r="L5008" s="12"/>
    </row>
    <row r="5009" spans="11:12" ht="12.75">
      <c r="K5009" s="12"/>
      <c r="L5009" s="12"/>
    </row>
    <row r="5010" spans="11:12" ht="12.75">
      <c r="K5010" s="12"/>
      <c r="L5010" s="12"/>
    </row>
    <row r="5011" spans="11:12" ht="12.75">
      <c r="K5011" s="12"/>
      <c r="L5011" s="12"/>
    </row>
    <row r="5012" spans="11:12" ht="12.75">
      <c r="K5012" s="12"/>
      <c r="L5012" s="12"/>
    </row>
    <row r="5013" spans="11:12" ht="12.75">
      <c r="K5013" s="12"/>
      <c r="L5013" s="12"/>
    </row>
    <row r="5014" spans="11:12" ht="12.75">
      <c r="K5014" s="12"/>
      <c r="L5014" s="12"/>
    </row>
    <row r="5015" spans="11:12" ht="12.75">
      <c r="K5015" s="12"/>
      <c r="L5015" s="12"/>
    </row>
    <row r="5016" spans="11:12" ht="12.75">
      <c r="K5016" s="12"/>
      <c r="L5016" s="12"/>
    </row>
    <row r="5017" spans="11:12" ht="12.75">
      <c r="K5017" s="12"/>
      <c r="L5017" s="12"/>
    </row>
    <row r="5018" spans="11:12" ht="12.75">
      <c r="K5018" s="12"/>
      <c r="L5018" s="12"/>
    </row>
    <row r="5019" spans="11:12" ht="12.75">
      <c r="K5019" s="12"/>
      <c r="L5019" s="12"/>
    </row>
    <row r="5020" spans="11:12" ht="12.75">
      <c r="K5020" s="12"/>
      <c r="L5020" s="12"/>
    </row>
    <row r="5021" spans="11:12" ht="12.75">
      <c r="K5021" s="12"/>
      <c r="L5021" s="12"/>
    </row>
    <row r="5022" spans="11:12" ht="12.75">
      <c r="K5022" s="12"/>
      <c r="L5022" s="12"/>
    </row>
    <row r="5023" spans="11:12" ht="12.75">
      <c r="K5023" s="12"/>
      <c r="L5023" s="12"/>
    </row>
    <row r="5024" spans="11:12" ht="12.75">
      <c r="K5024" s="12"/>
      <c r="L5024" s="12"/>
    </row>
    <row r="5025" spans="11:12" ht="12.75">
      <c r="K5025" s="12"/>
      <c r="L5025" s="12"/>
    </row>
    <row r="5026" spans="11:12" ht="12.75">
      <c r="K5026" s="12"/>
      <c r="L5026" s="12"/>
    </row>
    <row r="5027" spans="11:12" ht="12.75">
      <c r="K5027" s="12"/>
      <c r="L5027" s="12"/>
    </row>
    <row r="5028" spans="11:12" ht="12.75">
      <c r="K5028" s="12"/>
      <c r="L5028" s="12"/>
    </row>
    <row r="5029" spans="11:12" ht="12.75">
      <c r="K5029" s="12"/>
      <c r="L5029" s="12"/>
    </row>
    <row r="5030" spans="11:12" ht="12.75">
      <c r="K5030" s="12"/>
      <c r="L5030" s="12"/>
    </row>
    <row r="5031" spans="11:12" ht="12.75">
      <c r="K5031" s="12"/>
      <c r="L5031" s="12"/>
    </row>
    <row r="5032" spans="11:12" ht="12.75">
      <c r="K5032" s="12"/>
      <c r="L5032" s="12"/>
    </row>
    <row r="5033" spans="11:12" ht="12.75">
      <c r="K5033" s="12"/>
      <c r="L5033" s="12"/>
    </row>
    <row r="5034" spans="11:12" ht="12.75">
      <c r="K5034" s="12"/>
      <c r="L5034" s="12"/>
    </row>
    <row r="5035" spans="11:12" ht="12.75">
      <c r="K5035" s="12"/>
      <c r="L5035" s="12"/>
    </row>
    <row r="5036" spans="11:12" ht="12.75">
      <c r="K5036" s="12"/>
      <c r="L5036" s="12"/>
    </row>
    <row r="5037" spans="11:12" ht="12.75">
      <c r="K5037" s="12"/>
      <c r="L5037" s="12"/>
    </row>
    <row r="5038" spans="11:12" ht="12.75">
      <c r="K5038" s="12"/>
      <c r="L5038" s="12"/>
    </row>
    <row r="5039" spans="11:12" ht="12.75">
      <c r="K5039" s="12"/>
      <c r="L5039" s="12"/>
    </row>
    <row r="5040" spans="11:12" ht="12.75">
      <c r="K5040" s="12"/>
      <c r="L5040" s="12"/>
    </row>
    <row r="5041" spans="11:12" ht="12.75">
      <c r="K5041" s="12"/>
      <c r="L5041" s="12"/>
    </row>
    <row r="5042" spans="11:12" ht="12.75">
      <c r="K5042" s="12"/>
      <c r="L5042" s="12"/>
    </row>
    <row r="5043" spans="11:12" ht="12.75">
      <c r="K5043" s="12"/>
      <c r="L5043" s="12"/>
    </row>
    <row r="5044" spans="11:12" ht="12.75">
      <c r="K5044" s="12"/>
      <c r="L5044" s="12"/>
    </row>
    <row r="5045" spans="11:12" ht="12.75">
      <c r="K5045" s="12"/>
      <c r="L5045" s="12"/>
    </row>
    <row r="5046" spans="11:12" ht="12.75">
      <c r="K5046" s="12"/>
      <c r="L5046" s="12"/>
    </row>
    <row r="5047" spans="11:12" ht="12.75">
      <c r="K5047" s="12"/>
      <c r="L5047" s="12"/>
    </row>
    <row r="5048" spans="11:12" ht="12.75">
      <c r="K5048" s="12"/>
      <c r="L5048" s="12"/>
    </row>
    <row r="5049" spans="11:12" ht="12.75">
      <c r="K5049" s="12"/>
      <c r="L5049" s="12"/>
    </row>
    <row r="5050" spans="11:12" ht="12.75">
      <c r="K5050" s="12"/>
      <c r="L5050" s="12"/>
    </row>
    <row r="5051" spans="11:12" ht="12.75">
      <c r="K5051" s="12"/>
      <c r="L5051" s="12"/>
    </row>
    <row r="5052" spans="11:12" ht="12.75">
      <c r="K5052" s="12"/>
      <c r="L5052" s="12"/>
    </row>
    <row r="5053" spans="11:12" ht="12.75">
      <c r="K5053" s="12"/>
      <c r="L5053" s="12"/>
    </row>
    <row r="5054" spans="11:12" ht="12.75">
      <c r="K5054" s="12"/>
      <c r="L5054" s="12"/>
    </row>
    <row r="5055" spans="11:12" ht="12.75">
      <c r="K5055" s="12"/>
      <c r="L5055" s="12"/>
    </row>
    <row r="5056" spans="11:12" ht="12.75">
      <c r="K5056" s="12"/>
      <c r="L5056" s="12"/>
    </row>
    <row r="5057" spans="11:12" ht="12.75">
      <c r="K5057" s="12"/>
      <c r="L5057" s="12"/>
    </row>
    <row r="5058" spans="11:12" ht="12.75">
      <c r="K5058" s="12"/>
      <c r="L5058" s="12"/>
    </row>
    <row r="5059" spans="11:12" ht="12.75">
      <c r="K5059" s="12"/>
      <c r="L5059" s="12"/>
    </row>
    <row r="5060" spans="11:12" ht="12.75">
      <c r="K5060" s="12"/>
      <c r="L5060" s="12"/>
    </row>
    <row r="5061" spans="11:12" ht="12.75">
      <c r="K5061" s="12"/>
      <c r="L5061" s="12"/>
    </row>
    <row r="5062" spans="11:12" ht="12.75">
      <c r="K5062" s="12"/>
      <c r="L5062" s="12"/>
    </row>
    <row r="5063" spans="11:12" ht="12.75">
      <c r="K5063" s="12"/>
      <c r="L5063" s="12"/>
    </row>
    <row r="5064" spans="11:12" ht="12.75">
      <c r="K5064" s="12"/>
      <c r="L5064" s="12"/>
    </row>
    <row r="5065" spans="11:12" ht="12.75">
      <c r="K5065" s="12"/>
      <c r="L5065" s="12"/>
    </row>
    <row r="5066" spans="11:12" ht="12.75">
      <c r="K5066" s="12"/>
      <c r="L5066" s="12"/>
    </row>
    <row r="5067" spans="11:12" ht="12.75">
      <c r="K5067" s="12"/>
      <c r="L5067" s="12"/>
    </row>
    <row r="5068" spans="11:12" ht="12.75">
      <c r="K5068" s="12"/>
      <c r="L5068" s="12"/>
    </row>
    <row r="5069" spans="11:12" ht="12.75">
      <c r="K5069" s="12"/>
      <c r="L5069" s="12"/>
    </row>
    <row r="5070" spans="11:12" ht="12.75">
      <c r="K5070" s="12"/>
      <c r="L5070" s="12"/>
    </row>
    <row r="5071" spans="11:12" ht="12.75">
      <c r="K5071" s="12"/>
      <c r="L5071" s="12"/>
    </row>
    <row r="5072" spans="11:12" ht="12.75">
      <c r="K5072" s="12"/>
      <c r="L5072" s="12"/>
    </row>
    <row r="5073" spans="11:12" ht="12.75">
      <c r="K5073" s="12"/>
      <c r="L5073" s="12"/>
    </row>
    <row r="5074" spans="11:12" ht="12.75">
      <c r="K5074" s="12"/>
      <c r="L5074" s="12"/>
    </row>
    <row r="5075" spans="11:12" ht="12.75">
      <c r="K5075" s="12"/>
      <c r="L5075" s="12"/>
    </row>
    <row r="5076" spans="11:12" ht="12.75">
      <c r="K5076" s="12"/>
      <c r="L5076" s="12"/>
    </row>
    <row r="5077" spans="11:12" ht="12.75">
      <c r="K5077" s="12"/>
      <c r="L5077" s="12"/>
    </row>
    <row r="5078" spans="11:12" ht="12.75">
      <c r="K5078" s="12"/>
      <c r="L5078" s="12"/>
    </row>
    <row r="5079" spans="11:12" ht="12.75">
      <c r="K5079" s="12"/>
      <c r="L5079" s="12"/>
    </row>
    <row r="5080" spans="11:12" ht="12.75">
      <c r="K5080" s="12"/>
      <c r="L5080" s="12"/>
    </row>
    <row r="5081" spans="11:12" ht="12.75">
      <c r="K5081" s="12"/>
      <c r="L5081" s="12"/>
    </row>
    <row r="5082" spans="11:12" ht="12.75">
      <c r="K5082" s="12"/>
      <c r="L5082" s="12"/>
    </row>
    <row r="5083" spans="11:12" ht="12.75">
      <c r="K5083" s="12"/>
      <c r="L5083" s="12"/>
    </row>
    <row r="5084" spans="11:12" ht="12.75">
      <c r="K5084" s="12"/>
      <c r="L5084" s="12"/>
    </row>
    <row r="5085" spans="11:12" ht="12.75">
      <c r="K5085" s="12"/>
      <c r="L5085" s="12"/>
    </row>
    <row r="5086" spans="11:12" ht="12.75">
      <c r="K5086" s="12"/>
      <c r="L5086" s="12"/>
    </row>
    <row r="5087" spans="11:12" ht="12.75">
      <c r="K5087" s="12"/>
      <c r="L5087" s="12"/>
    </row>
    <row r="5088" spans="11:12" ht="12.75">
      <c r="K5088" s="12"/>
      <c r="L5088" s="12"/>
    </row>
    <row r="5089" spans="11:12" ht="12.75">
      <c r="K5089" s="12"/>
      <c r="L5089" s="12"/>
    </row>
    <row r="5090" spans="11:12" ht="12.75">
      <c r="K5090" s="12"/>
      <c r="L5090" s="12"/>
    </row>
    <row r="5091" spans="11:12" ht="12.75">
      <c r="K5091" s="12"/>
      <c r="L5091" s="12"/>
    </row>
    <row r="5092" spans="11:12" ht="12.75">
      <c r="K5092" s="12"/>
      <c r="L5092" s="12"/>
    </row>
    <row r="5093" spans="11:12" ht="12.75">
      <c r="K5093" s="12"/>
      <c r="L5093" s="12"/>
    </row>
    <row r="5094" spans="11:12" ht="12.75">
      <c r="K5094" s="12"/>
      <c r="L5094" s="12"/>
    </row>
    <row r="5095" spans="11:12" ht="12.75">
      <c r="K5095" s="12"/>
      <c r="L5095" s="12"/>
    </row>
    <row r="5096" spans="11:12" ht="12.75">
      <c r="K5096" s="12"/>
      <c r="L5096" s="12"/>
    </row>
    <row r="5097" spans="11:12" ht="12.75">
      <c r="K5097" s="12"/>
      <c r="L5097" s="12"/>
    </row>
    <row r="5098" spans="11:12" ht="12.75">
      <c r="K5098" s="12"/>
      <c r="L5098" s="12"/>
    </row>
    <row r="5099" spans="11:12" ht="12.75">
      <c r="K5099" s="12"/>
      <c r="L5099" s="12"/>
    </row>
    <row r="5100" spans="11:12" ht="12.75">
      <c r="K5100" s="12"/>
      <c r="L5100" s="12"/>
    </row>
    <row r="5101" spans="11:12" ht="12.75">
      <c r="K5101" s="12"/>
      <c r="L5101" s="12"/>
    </row>
    <row r="5102" spans="11:12" ht="12.75">
      <c r="K5102" s="12"/>
      <c r="L5102" s="12"/>
    </row>
    <row r="5103" spans="11:12" ht="12.75">
      <c r="K5103" s="12"/>
      <c r="L5103" s="12"/>
    </row>
    <row r="5104" spans="11:12" ht="12.75">
      <c r="K5104" s="12"/>
      <c r="L5104" s="12"/>
    </row>
    <row r="5105" spans="11:12" ht="12.75">
      <c r="K5105" s="12"/>
      <c r="L5105" s="12"/>
    </row>
    <row r="5106" spans="11:12" ht="12.75">
      <c r="K5106" s="12"/>
      <c r="L5106" s="12"/>
    </row>
    <row r="5107" spans="11:12" ht="12.75">
      <c r="K5107" s="12"/>
      <c r="L5107" s="12"/>
    </row>
    <row r="5108" spans="11:12" ht="12.75">
      <c r="K5108" s="12"/>
      <c r="L5108" s="12"/>
    </row>
    <row r="5109" spans="11:12" ht="12.75">
      <c r="K5109" s="12"/>
      <c r="L5109" s="12"/>
    </row>
    <row r="5110" spans="11:12" ht="12.75">
      <c r="K5110" s="12"/>
      <c r="L5110" s="12"/>
    </row>
    <row r="5111" spans="11:12" ht="12.75">
      <c r="K5111" s="12"/>
      <c r="L5111" s="12"/>
    </row>
    <row r="5112" spans="11:12" ht="12.75">
      <c r="K5112" s="12"/>
      <c r="L5112" s="12"/>
    </row>
    <row r="5113" spans="11:12" ht="12.75">
      <c r="K5113" s="12"/>
      <c r="L5113" s="12"/>
    </row>
    <row r="5114" spans="11:12" ht="12.75">
      <c r="K5114" s="12"/>
      <c r="L5114" s="12"/>
    </row>
    <row r="5115" spans="11:12" ht="12.75">
      <c r="K5115" s="12"/>
      <c r="L5115" s="12"/>
    </row>
    <row r="5116" spans="11:12" ht="12.75">
      <c r="K5116" s="12"/>
      <c r="L5116" s="12"/>
    </row>
    <row r="5117" spans="11:12" ht="12.75">
      <c r="K5117" s="12"/>
      <c r="L5117" s="12"/>
    </row>
    <row r="5118" spans="11:12" ht="12.75">
      <c r="K5118" s="12"/>
      <c r="L5118" s="12"/>
    </row>
    <row r="5119" spans="11:12" ht="12.75">
      <c r="K5119" s="12"/>
      <c r="L5119" s="12"/>
    </row>
    <row r="5120" spans="11:12" ht="12.75">
      <c r="K5120" s="12"/>
      <c r="L5120" s="12"/>
    </row>
    <row r="5121" spans="11:12" ht="12.75">
      <c r="K5121" s="12"/>
      <c r="L5121" s="12"/>
    </row>
    <row r="5122" spans="11:12" ht="12.75">
      <c r="K5122" s="12"/>
      <c r="L5122" s="12"/>
    </row>
    <row r="5123" spans="11:12" ht="12.75">
      <c r="K5123" s="12"/>
      <c r="L5123" s="12"/>
    </row>
    <row r="5124" spans="11:12" ht="12.75">
      <c r="K5124" s="12"/>
      <c r="L5124" s="12"/>
    </row>
    <row r="5125" spans="11:12" ht="12.75">
      <c r="K5125" s="12"/>
      <c r="L5125" s="12"/>
    </row>
    <row r="5126" spans="11:12" ht="12.75">
      <c r="K5126" s="12"/>
      <c r="L5126" s="12"/>
    </row>
    <row r="5127" spans="11:12" ht="12.75">
      <c r="K5127" s="12"/>
      <c r="L5127" s="12"/>
    </row>
    <row r="5128" spans="11:12" ht="12.75">
      <c r="K5128" s="12"/>
      <c r="L5128" s="12"/>
    </row>
    <row r="5129" spans="11:12" ht="12.75">
      <c r="K5129" s="12"/>
      <c r="L5129" s="12"/>
    </row>
    <row r="5130" spans="11:12" ht="12.75">
      <c r="K5130" s="12"/>
      <c r="L5130" s="12"/>
    </row>
    <row r="5131" spans="11:12" ht="12.75">
      <c r="K5131" s="12"/>
      <c r="L5131" s="12"/>
    </row>
    <row r="5132" spans="11:12" ht="12.75">
      <c r="K5132" s="12"/>
      <c r="L5132" s="12"/>
    </row>
    <row r="5133" spans="11:12" ht="12.75">
      <c r="K5133" s="12"/>
      <c r="L5133" s="12"/>
    </row>
    <row r="5134" spans="11:12" ht="12.75">
      <c r="K5134" s="12"/>
      <c r="L5134" s="12"/>
    </row>
    <row r="5135" spans="11:12" ht="12.75">
      <c r="K5135" s="12"/>
      <c r="L5135" s="12"/>
    </row>
    <row r="5136" spans="11:12" ht="12.75">
      <c r="K5136" s="12"/>
      <c r="L5136" s="12"/>
    </row>
    <row r="5137" spans="11:12" ht="12.75">
      <c r="K5137" s="12"/>
      <c r="L5137" s="12"/>
    </row>
    <row r="5138" spans="11:12" ht="12.75">
      <c r="K5138" s="12"/>
      <c r="L5138" s="12"/>
    </row>
    <row r="5139" spans="11:12" ht="12.75">
      <c r="K5139" s="12"/>
      <c r="L5139" s="12"/>
    </row>
    <row r="5140" spans="11:12" ht="12.75">
      <c r="K5140" s="12"/>
      <c r="L5140" s="12"/>
    </row>
    <row r="5141" spans="11:12" ht="12.75">
      <c r="K5141" s="12"/>
      <c r="L5141" s="12"/>
    </row>
    <row r="5142" spans="11:12" ht="12.75">
      <c r="K5142" s="12"/>
      <c r="L5142" s="12"/>
    </row>
    <row r="5143" spans="11:12" ht="12.75">
      <c r="K5143" s="12"/>
      <c r="L5143" s="12"/>
    </row>
    <row r="5144" spans="11:12" ht="12.75">
      <c r="K5144" s="12"/>
      <c r="L5144" s="12"/>
    </row>
    <row r="5145" spans="11:12" ht="12.75">
      <c r="K5145" s="12"/>
      <c r="L5145" s="12"/>
    </row>
    <row r="5146" spans="11:12" ht="12.75">
      <c r="K5146" s="12"/>
      <c r="L5146" s="12"/>
    </row>
    <row r="5147" spans="11:12" ht="12.75">
      <c r="K5147" s="12"/>
      <c r="L5147" s="12"/>
    </row>
    <row r="5148" spans="11:12" ht="12.75">
      <c r="K5148" s="12"/>
      <c r="L5148" s="12"/>
    </row>
    <row r="5149" spans="11:12" ht="12.75">
      <c r="K5149" s="12"/>
      <c r="L5149" s="12"/>
    </row>
    <row r="5150" spans="11:12" ht="12.75">
      <c r="K5150" s="12"/>
      <c r="L5150" s="12"/>
    </row>
    <row r="5151" spans="11:12" ht="12.75">
      <c r="K5151" s="12"/>
      <c r="L5151" s="12"/>
    </row>
    <row r="5152" spans="11:12" ht="12.75">
      <c r="K5152" s="12"/>
      <c r="L5152" s="12"/>
    </row>
    <row r="5153" spans="11:12" ht="12.75">
      <c r="K5153" s="12"/>
      <c r="L5153" s="12"/>
    </row>
    <row r="5154" spans="11:12" ht="12.75">
      <c r="K5154" s="12"/>
      <c r="L5154" s="12"/>
    </row>
    <row r="5155" spans="11:12" ht="12.75">
      <c r="K5155" s="12"/>
      <c r="L5155" s="12"/>
    </row>
    <row r="5156" spans="11:12" ht="12.75">
      <c r="K5156" s="12"/>
      <c r="L5156" s="12"/>
    </row>
    <row r="5157" spans="11:12" ht="12.75">
      <c r="K5157" s="12"/>
      <c r="L5157" s="12"/>
    </row>
    <row r="5158" spans="11:12" ht="12.75">
      <c r="K5158" s="12"/>
      <c r="L5158" s="12"/>
    </row>
    <row r="5159" spans="11:12" ht="12.75">
      <c r="K5159" s="12"/>
      <c r="L5159" s="12"/>
    </row>
    <row r="5160" spans="11:12" ht="12.75">
      <c r="K5160" s="12"/>
      <c r="L5160" s="12"/>
    </row>
    <row r="5161" spans="11:12" ht="12.75">
      <c r="K5161" s="12"/>
      <c r="L5161" s="12"/>
    </row>
    <row r="5162" spans="11:12" ht="12.75">
      <c r="K5162" s="12"/>
      <c r="L5162" s="12"/>
    </row>
    <row r="5163" spans="11:12" ht="12.75">
      <c r="K5163" s="12"/>
      <c r="L5163" s="12"/>
    </row>
    <row r="5164" spans="11:12" ht="12.75">
      <c r="K5164" s="12"/>
      <c r="L5164" s="12"/>
    </row>
    <row r="5165" spans="11:12" ht="12.75">
      <c r="K5165" s="12"/>
      <c r="L5165" s="12"/>
    </row>
    <row r="5166" spans="11:12" ht="12.75">
      <c r="K5166" s="12"/>
      <c r="L5166" s="12"/>
    </row>
    <row r="5167" spans="11:12" ht="12.75">
      <c r="K5167" s="12"/>
      <c r="L5167" s="12"/>
    </row>
    <row r="5168" spans="11:12" ht="12.75">
      <c r="K5168" s="12"/>
      <c r="L5168" s="12"/>
    </row>
    <row r="5169" spans="11:12" ht="12.75">
      <c r="K5169" s="12"/>
      <c r="L5169" s="12"/>
    </row>
    <row r="5170" spans="11:12" ht="12.75">
      <c r="K5170" s="12"/>
      <c r="L5170" s="12"/>
    </row>
    <row r="5171" spans="11:12" ht="12.75">
      <c r="K5171" s="12"/>
      <c r="L5171" s="12"/>
    </row>
    <row r="5172" spans="11:12" ht="12.75">
      <c r="K5172" s="12"/>
      <c r="L5172" s="12"/>
    </row>
    <row r="5173" spans="11:12" ht="12.75">
      <c r="K5173" s="12"/>
      <c r="L5173" s="12"/>
    </row>
    <row r="5174" spans="11:12" ht="12.75">
      <c r="K5174" s="12"/>
      <c r="L5174" s="12"/>
    </row>
    <row r="5175" spans="11:12" ht="12.75">
      <c r="K5175" s="12"/>
      <c r="L5175" s="12"/>
    </row>
    <row r="5176" spans="11:12" ht="12.75">
      <c r="K5176" s="12"/>
      <c r="L5176" s="12"/>
    </row>
    <row r="5177" spans="11:12" ht="12.75">
      <c r="K5177" s="12"/>
      <c r="L5177" s="12"/>
    </row>
    <row r="5178" spans="11:12" ht="12.75">
      <c r="K5178" s="12"/>
      <c r="L5178" s="12"/>
    </row>
    <row r="5179" spans="11:12" ht="12.75">
      <c r="K5179" s="12"/>
      <c r="L5179" s="12"/>
    </row>
    <row r="5180" spans="11:12" ht="12.75">
      <c r="K5180" s="12"/>
      <c r="L5180" s="12"/>
    </row>
    <row r="5181" spans="11:12" ht="12.75">
      <c r="K5181" s="12"/>
      <c r="L5181" s="12"/>
    </row>
    <row r="5182" spans="11:12" ht="12.75">
      <c r="K5182" s="12"/>
      <c r="L5182" s="12"/>
    </row>
    <row r="5183" spans="11:12" ht="12.75">
      <c r="K5183" s="12"/>
      <c r="L5183" s="12"/>
    </row>
    <row r="5184" spans="11:12" ht="12.75">
      <c r="K5184" s="12"/>
      <c r="L5184" s="12"/>
    </row>
    <row r="5185" spans="11:12" ht="12.75">
      <c r="K5185" s="12"/>
      <c r="L5185" s="12"/>
    </row>
    <row r="5186" spans="11:12" ht="12.75">
      <c r="K5186" s="12"/>
      <c r="L5186" s="12"/>
    </row>
    <row r="5187" spans="11:12" ht="12.75">
      <c r="K5187" s="12"/>
      <c r="L5187" s="12"/>
    </row>
    <row r="5188" spans="11:12" ht="12.75">
      <c r="K5188" s="12"/>
      <c r="L5188" s="12"/>
    </row>
    <row r="5189" spans="11:12" ht="12.75">
      <c r="K5189" s="12"/>
      <c r="L5189" s="12"/>
    </row>
    <row r="5190" spans="11:12" ht="12.75">
      <c r="K5190" s="12"/>
      <c r="L5190" s="12"/>
    </row>
    <row r="5191" spans="11:12" ht="12.75">
      <c r="K5191" s="12"/>
      <c r="L5191" s="12"/>
    </row>
    <row r="5192" spans="11:12" ht="12.75">
      <c r="K5192" s="12"/>
      <c r="L5192" s="12"/>
    </row>
    <row r="5193" spans="11:12" ht="12.75">
      <c r="K5193" s="12"/>
      <c r="L5193" s="12"/>
    </row>
    <row r="5194" spans="11:12" ht="12.75">
      <c r="K5194" s="12"/>
      <c r="L5194" s="12"/>
    </row>
    <row r="5195" spans="11:12" ht="12.75">
      <c r="K5195" s="12"/>
      <c r="L5195" s="12"/>
    </row>
    <row r="5196" spans="11:12" ht="12.75">
      <c r="K5196" s="12"/>
      <c r="L5196" s="12"/>
    </row>
    <row r="5197" spans="11:12" ht="12.75">
      <c r="K5197" s="12"/>
      <c r="L5197" s="12"/>
    </row>
    <row r="5198" spans="11:12" ht="12.75">
      <c r="K5198" s="12"/>
      <c r="L5198" s="12"/>
    </row>
    <row r="5199" spans="11:12" ht="12.75">
      <c r="K5199" s="12"/>
      <c r="L5199" s="12"/>
    </row>
    <row r="5200" spans="11:12" ht="12.75">
      <c r="K5200" s="12"/>
      <c r="L5200" s="12"/>
    </row>
    <row r="5201" spans="11:12" ht="12.75">
      <c r="K5201" s="12"/>
      <c r="L5201" s="12"/>
    </row>
    <row r="5202" spans="11:12" ht="12.75">
      <c r="K5202" s="12"/>
      <c r="L5202" s="12"/>
    </row>
    <row r="5203" spans="11:12" ht="12.75">
      <c r="K5203" s="12"/>
      <c r="L5203" s="12"/>
    </row>
    <row r="5204" spans="11:12" ht="12.75">
      <c r="K5204" s="12"/>
      <c r="L5204" s="12"/>
    </row>
    <row r="5205" spans="11:12" ht="12.75">
      <c r="K5205" s="12"/>
      <c r="L5205" s="12"/>
    </row>
    <row r="5206" spans="11:12" ht="12.75">
      <c r="K5206" s="12"/>
      <c r="L5206" s="12"/>
    </row>
    <row r="5207" spans="11:12" ht="12.75">
      <c r="K5207" s="12"/>
      <c r="L5207" s="12"/>
    </row>
    <row r="5208" spans="11:12" ht="12.75">
      <c r="K5208" s="12"/>
      <c r="L5208" s="12"/>
    </row>
    <row r="5209" spans="11:12" ht="12.75">
      <c r="K5209" s="12"/>
      <c r="L5209" s="12"/>
    </row>
    <row r="5210" spans="11:12" ht="12.75">
      <c r="K5210" s="12"/>
      <c r="L5210" s="12"/>
    </row>
    <row r="5211" spans="11:12" ht="12.75">
      <c r="K5211" s="12"/>
      <c r="L5211" s="12"/>
    </row>
    <row r="5212" spans="11:12" ht="12.75">
      <c r="K5212" s="12"/>
      <c r="L5212" s="12"/>
    </row>
    <row r="5213" spans="11:12" ht="12.75">
      <c r="K5213" s="12"/>
      <c r="L5213" s="12"/>
    </row>
    <row r="5214" spans="11:12" ht="12.75">
      <c r="K5214" s="12"/>
      <c r="L5214" s="12"/>
    </row>
    <row r="5215" spans="11:12" ht="12.75">
      <c r="K5215" s="12"/>
      <c r="L5215" s="12"/>
    </row>
    <row r="5216" spans="11:12" ht="12.75">
      <c r="K5216" s="12"/>
      <c r="L5216" s="12"/>
    </row>
    <row r="5217" spans="11:12" ht="12.75">
      <c r="K5217" s="12"/>
      <c r="L5217" s="12"/>
    </row>
    <row r="5218" spans="11:12" ht="12.75">
      <c r="K5218" s="12"/>
      <c r="L5218" s="12"/>
    </row>
    <row r="5219" spans="11:12" ht="12.75">
      <c r="K5219" s="12"/>
      <c r="L5219" s="12"/>
    </row>
    <row r="5220" spans="11:12" ht="12.75">
      <c r="K5220" s="12"/>
      <c r="L5220" s="12"/>
    </row>
    <row r="5221" spans="11:12" ht="12.75">
      <c r="K5221" s="12"/>
      <c r="L5221" s="12"/>
    </row>
    <row r="5222" spans="11:12" ht="12.75">
      <c r="K5222" s="12"/>
      <c r="L5222" s="12"/>
    </row>
    <row r="5223" spans="11:12" ht="12.75">
      <c r="K5223" s="12"/>
      <c r="L5223" s="12"/>
    </row>
    <row r="5224" spans="11:12" ht="12.75">
      <c r="K5224" s="12"/>
      <c r="L5224" s="12"/>
    </row>
    <row r="5225" spans="11:12" ht="12.75">
      <c r="K5225" s="12"/>
      <c r="L5225" s="12"/>
    </row>
    <row r="5226" spans="11:12" ht="12.75">
      <c r="K5226" s="12"/>
      <c r="L5226" s="12"/>
    </row>
    <row r="5227" spans="11:12" ht="12.75">
      <c r="K5227" s="12"/>
      <c r="L5227" s="12"/>
    </row>
    <row r="5228" spans="11:12" ht="12.75">
      <c r="K5228" s="12"/>
      <c r="L5228" s="12"/>
    </row>
    <row r="5229" spans="11:12" ht="12.75">
      <c r="K5229" s="12"/>
      <c r="L5229" s="12"/>
    </row>
    <row r="5230" spans="11:12" ht="12.75">
      <c r="K5230" s="12"/>
      <c r="L5230" s="12"/>
    </row>
    <row r="5231" spans="11:12" ht="12.75">
      <c r="K5231" s="12"/>
      <c r="L5231" s="12"/>
    </row>
    <row r="5232" spans="11:12" ht="12.75">
      <c r="K5232" s="12"/>
      <c r="L5232" s="12"/>
    </row>
    <row r="5233" spans="11:12" ht="12.75">
      <c r="K5233" s="12"/>
      <c r="L5233" s="12"/>
    </row>
    <row r="5234" spans="11:12" ht="12.75">
      <c r="K5234" s="12"/>
      <c r="L5234" s="12"/>
    </row>
    <row r="5235" spans="11:12" ht="12.75">
      <c r="K5235" s="12"/>
      <c r="L5235" s="12"/>
    </row>
    <row r="5236" spans="11:12" ht="12.75">
      <c r="K5236" s="12"/>
      <c r="L5236" s="12"/>
    </row>
    <row r="5237" spans="11:12" ht="12.75">
      <c r="K5237" s="12"/>
      <c r="L5237" s="12"/>
    </row>
    <row r="5238" spans="11:12" ht="12.75">
      <c r="K5238" s="12"/>
      <c r="L5238" s="12"/>
    </row>
    <row r="5239" spans="11:12" ht="12.75">
      <c r="K5239" s="12"/>
      <c r="L5239" s="12"/>
    </row>
    <row r="5240" spans="11:12" ht="12.75">
      <c r="K5240" s="12"/>
      <c r="L5240" s="12"/>
    </row>
    <row r="5241" spans="11:12" ht="12.75">
      <c r="K5241" s="12"/>
      <c r="L5241" s="12"/>
    </row>
    <row r="5242" spans="11:12" ht="12.75">
      <c r="K5242" s="12"/>
      <c r="L5242" s="12"/>
    </row>
    <row r="5243" spans="11:12" ht="12.75">
      <c r="K5243" s="12"/>
      <c r="L5243" s="12"/>
    </row>
    <row r="5244" spans="11:12" ht="12.75">
      <c r="K5244" s="12"/>
      <c r="L5244" s="12"/>
    </row>
    <row r="5245" spans="11:12" ht="12.75">
      <c r="K5245" s="12"/>
      <c r="L5245" s="12"/>
    </row>
    <row r="5246" spans="11:12" ht="12.75">
      <c r="K5246" s="12"/>
      <c r="L5246" s="12"/>
    </row>
    <row r="5247" spans="11:12" ht="12.75">
      <c r="K5247" s="12"/>
      <c r="L5247" s="12"/>
    </row>
    <row r="5248" spans="11:12" ht="12.75">
      <c r="K5248" s="12"/>
      <c r="L5248" s="12"/>
    </row>
    <row r="5249" spans="11:12" ht="12.75">
      <c r="K5249" s="12"/>
      <c r="L5249" s="12"/>
    </row>
    <row r="5250" spans="11:12" ht="12.75">
      <c r="K5250" s="12"/>
      <c r="L5250" s="12"/>
    </row>
    <row r="5251" spans="11:12" ht="12.75">
      <c r="K5251" s="12"/>
      <c r="L5251" s="12"/>
    </row>
    <row r="5252" spans="11:12" ht="12.75">
      <c r="K5252" s="12"/>
      <c r="L5252" s="12"/>
    </row>
    <row r="5253" spans="11:12" ht="12.75">
      <c r="K5253" s="12"/>
      <c r="L5253" s="12"/>
    </row>
    <row r="5254" spans="11:12" ht="12.75">
      <c r="K5254" s="12"/>
      <c r="L5254" s="12"/>
    </row>
    <row r="5255" spans="11:12" ht="12.75">
      <c r="K5255" s="12"/>
      <c r="L5255" s="12"/>
    </row>
    <row r="5256" spans="11:12" ht="12.75">
      <c r="K5256" s="12"/>
      <c r="L5256" s="12"/>
    </row>
    <row r="5257" spans="11:12" ht="12.75">
      <c r="K5257" s="12"/>
      <c r="L5257" s="12"/>
    </row>
    <row r="5258" spans="11:12" ht="12.75">
      <c r="K5258" s="12"/>
      <c r="L5258" s="12"/>
    </row>
    <row r="5259" spans="11:12" ht="12.75">
      <c r="K5259" s="12"/>
      <c r="L5259" s="12"/>
    </row>
    <row r="5260" spans="11:12" ht="12.75">
      <c r="K5260" s="12"/>
      <c r="L5260" s="12"/>
    </row>
    <row r="5261" spans="11:12" ht="12.75">
      <c r="K5261" s="12"/>
      <c r="L5261" s="12"/>
    </row>
    <row r="5262" spans="11:12" ht="12.75">
      <c r="K5262" s="12"/>
      <c r="L5262" s="12"/>
    </row>
    <row r="5263" spans="11:12" ht="12.75">
      <c r="K5263" s="12"/>
      <c r="L5263" s="12"/>
    </row>
    <row r="5264" spans="11:12" ht="12.75">
      <c r="K5264" s="12"/>
      <c r="L5264" s="12"/>
    </row>
    <row r="5265" spans="11:12" ht="12.75">
      <c r="K5265" s="12"/>
      <c r="L5265" s="12"/>
    </row>
    <row r="5266" spans="11:12" ht="12.75">
      <c r="K5266" s="12"/>
      <c r="L5266" s="12"/>
    </row>
    <row r="5267" spans="11:12" ht="12.75">
      <c r="K5267" s="12"/>
      <c r="L5267" s="12"/>
    </row>
    <row r="5268" spans="11:12" ht="12.75">
      <c r="K5268" s="12"/>
      <c r="L5268" s="12"/>
    </row>
    <row r="5269" spans="11:12" ht="12.75">
      <c r="K5269" s="12"/>
      <c r="L5269" s="12"/>
    </row>
    <row r="5270" spans="11:12" ht="12.75">
      <c r="K5270" s="12"/>
      <c r="L5270" s="12"/>
    </row>
    <row r="5271" spans="11:12" ht="12.75">
      <c r="K5271" s="12"/>
      <c r="L5271" s="12"/>
    </row>
    <row r="5272" spans="11:12" ht="12.75">
      <c r="K5272" s="12"/>
      <c r="L5272" s="12"/>
    </row>
    <row r="5273" spans="11:12" ht="12.75">
      <c r="K5273" s="12"/>
      <c r="L5273" s="12"/>
    </row>
    <row r="5274" spans="11:12" ht="12.75">
      <c r="K5274" s="12"/>
      <c r="L5274" s="12"/>
    </row>
    <row r="5275" spans="11:12" ht="12.75">
      <c r="K5275" s="12"/>
      <c r="L5275" s="12"/>
    </row>
    <row r="5276" spans="11:12" ht="12.75">
      <c r="K5276" s="12"/>
      <c r="L5276" s="12"/>
    </row>
    <row r="5277" spans="11:12" ht="12.75">
      <c r="K5277" s="12"/>
      <c r="L5277" s="12"/>
    </row>
    <row r="5278" spans="11:12" ht="12.75">
      <c r="K5278" s="12"/>
      <c r="L5278" s="12"/>
    </row>
    <row r="5279" spans="11:12" ht="12.75">
      <c r="K5279" s="12"/>
      <c r="L5279" s="12"/>
    </row>
    <row r="5280" spans="11:12" ht="12.75">
      <c r="K5280" s="12"/>
      <c r="L5280" s="12"/>
    </row>
    <row r="5281" spans="11:12" ht="12.75">
      <c r="K5281" s="12"/>
      <c r="L5281" s="12"/>
    </row>
    <row r="5282" spans="11:12" ht="12.75">
      <c r="K5282" s="12"/>
      <c r="L5282" s="12"/>
    </row>
    <row r="5283" spans="11:12" ht="12.75">
      <c r="K5283" s="12"/>
      <c r="L5283" s="12"/>
    </row>
    <row r="5284" spans="11:12" ht="12.75">
      <c r="K5284" s="12"/>
      <c r="L5284" s="12"/>
    </row>
    <row r="5285" spans="11:12" ht="12.75">
      <c r="K5285" s="12"/>
      <c r="L5285" s="12"/>
    </row>
    <row r="5286" spans="11:12" ht="12.75">
      <c r="K5286" s="12"/>
      <c r="L5286" s="12"/>
    </row>
    <row r="5287" spans="11:12" ht="12.75">
      <c r="K5287" s="12"/>
      <c r="L5287" s="12"/>
    </row>
    <row r="5288" spans="11:12" ht="12.75">
      <c r="K5288" s="12"/>
      <c r="L5288" s="12"/>
    </row>
    <row r="5289" spans="11:12" ht="12.75">
      <c r="K5289" s="12"/>
      <c r="L5289" s="12"/>
    </row>
    <row r="5290" spans="11:12" ht="12.75">
      <c r="K5290" s="12"/>
      <c r="L5290" s="12"/>
    </row>
    <row r="5291" spans="11:12" ht="12.75">
      <c r="K5291" s="12"/>
      <c r="L5291" s="12"/>
    </row>
    <row r="5292" spans="11:12" ht="12.75">
      <c r="K5292" s="12"/>
      <c r="L5292" s="12"/>
    </row>
    <row r="5293" spans="11:12" ht="12.75">
      <c r="K5293" s="12"/>
      <c r="L5293" s="12"/>
    </row>
    <row r="5294" spans="11:12" ht="12.75">
      <c r="K5294" s="12"/>
      <c r="L5294" s="12"/>
    </row>
    <row r="5295" spans="11:12" ht="12.75">
      <c r="K5295" s="12"/>
      <c r="L5295" s="12"/>
    </row>
    <row r="5296" spans="11:12" ht="12.75">
      <c r="K5296" s="12"/>
      <c r="L5296" s="12"/>
    </row>
    <row r="5297" spans="11:12" ht="12.75">
      <c r="K5297" s="12"/>
      <c r="L5297" s="12"/>
    </row>
    <row r="5298" spans="11:12" ht="12.75">
      <c r="K5298" s="12"/>
      <c r="L5298" s="12"/>
    </row>
    <row r="5299" spans="11:12" ht="12.75">
      <c r="K5299" s="12"/>
      <c r="L5299" s="12"/>
    </row>
    <row r="5300" spans="11:12" ht="12.75">
      <c r="K5300" s="12"/>
      <c r="L5300" s="12"/>
    </row>
    <row r="5301" spans="11:12" ht="12.75">
      <c r="K5301" s="12"/>
      <c r="L5301" s="12"/>
    </row>
    <row r="5302" spans="11:12" ht="12.75">
      <c r="K5302" s="12"/>
      <c r="L5302" s="12"/>
    </row>
    <row r="5303" spans="11:12" ht="12.75">
      <c r="K5303" s="12"/>
      <c r="L5303" s="12"/>
    </row>
    <row r="5304" spans="11:12" ht="12.75">
      <c r="K5304" s="12"/>
      <c r="L5304" s="12"/>
    </row>
    <row r="5305" spans="11:12" ht="12.75">
      <c r="K5305" s="12"/>
      <c r="L5305" s="12"/>
    </row>
    <row r="5306" spans="11:12" ht="12.75">
      <c r="K5306" s="12"/>
      <c r="L5306" s="12"/>
    </row>
    <row r="5307" spans="11:12" ht="12.75">
      <c r="K5307" s="12"/>
      <c r="L5307" s="12"/>
    </row>
    <row r="5308" spans="11:12" ht="12.75">
      <c r="K5308" s="12"/>
      <c r="L5308" s="12"/>
    </row>
    <row r="5309" spans="11:12" ht="12.75">
      <c r="K5309" s="12"/>
      <c r="L5309" s="12"/>
    </row>
    <row r="5310" spans="11:12" ht="12.75">
      <c r="K5310" s="12"/>
      <c r="L5310" s="12"/>
    </row>
    <row r="5311" spans="11:12" ht="12.75">
      <c r="K5311" s="12"/>
      <c r="L5311" s="12"/>
    </row>
    <row r="5312" spans="11:12" ht="12.75">
      <c r="K5312" s="12"/>
      <c r="L5312" s="12"/>
    </row>
    <row r="5313" spans="11:12" ht="12.75">
      <c r="K5313" s="12"/>
      <c r="L5313" s="12"/>
    </row>
    <row r="5314" spans="11:12" ht="12.75">
      <c r="K5314" s="12"/>
      <c r="L5314" s="12"/>
    </row>
    <row r="5315" spans="11:12" ht="12.75">
      <c r="K5315" s="12"/>
      <c r="L5315" s="12"/>
    </row>
    <row r="5316" spans="11:12" ht="12.75">
      <c r="K5316" s="12"/>
      <c r="L5316" s="12"/>
    </row>
    <row r="5317" spans="11:12" ht="12.75">
      <c r="K5317" s="12"/>
      <c r="L5317" s="12"/>
    </row>
    <row r="5318" spans="11:12" ht="12.75">
      <c r="K5318" s="12"/>
      <c r="L5318" s="12"/>
    </row>
    <row r="5319" spans="11:12" ht="12.75">
      <c r="K5319" s="12"/>
      <c r="L5319" s="12"/>
    </row>
    <row r="5320" spans="11:12" ht="12.75">
      <c r="K5320" s="12"/>
      <c r="L5320" s="12"/>
    </row>
    <row r="5321" spans="11:12" ht="12.75">
      <c r="K5321" s="12"/>
      <c r="L5321" s="12"/>
    </row>
    <row r="5322" spans="11:12" ht="12.75">
      <c r="K5322" s="12"/>
      <c r="L5322" s="12"/>
    </row>
    <row r="5323" spans="11:12" ht="12.75">
      <c r="K5323" s="12"/>
      <c r="L5323" s="12"/>
    </row>
    <row r="5324" spans="11:12" ht="12.75">
      <c r="K5324" s="12"/>
      <c r="L5324" s="12"/>
    </row>
    <row r="5325" spans="11:12" ht="12.75">
      <c r="K5325" s="12"/>
      <c r="L5325" s="12"/>
    </row>
    <row r="5326" spans="11:12" ht="12.75">
      <c r="K5326" s="12"/>
      <c r="L5326" s="12"/>
    </row>
    <row r="5327" spans="11:12" ht="12.75">
      <c r="K5327" s="12"/>
      <c r="L5327" s="12"/>
    </row>
    <row r="5328" spans="11:12" ht="12.75">
      <c r="K5328" s="12"/>
      <c r="L5328" s="12"/>
    </row>
    <row r="5329" spans="11:12" ht="12.75">
      <c r="K5329" s="12"/>
      <c r="L5329" s="12"/>
    </row>
    <row r="5330" spans="11:12" ht="12.75">
      <c r="K5330" s="12"/>
      <c r="L5330" s="12"/>
    </row>
    <row r="5331" spans="11:12" ht="12.75">
      <c r="K5331" s="12"/>
      <c r="L5331" s="12"/>
    </row>
    <row r="5332" spans="11:12" ht="12.75">
      <c r="K5332" s="12"/>
      <c r="L5332" s="12"/>
    </row>
    <row r="5333" spans="11:12" ht="12.75">
      <c r="K5333" s="12"/>
      <c r="L5333" s="12"/>
    </row>
    <row r="5334" spans="11:12" ht="12.75">
      <c r="K5334" s="12"/>
      <c r="L5334" s="12"/>
    </row>
    <row r="5335" spans="11:12" ht="12.75">
      <c r="K5335" s="12"/>
      <c r="L5335" s="12"/>
    </row>
    <row r="5336" spans="11:12" ht="12.75">
      <c r="K5336" s="12"/>
      <c r="L5336" s="12"/>
    </row>
    <row r="5337" spans="11:12" ht="12.75">
      <c r="K5337" s="12"/>
      <c r="L5337" s="12"/>
    </row>
    <row r="5338" spans="11:12" ht="12.75">
      <c r="K5338" s="12"/>
      <c r="L5338" s="12"/>
    </row>
    <row r="5339" spans="11:12" ht="12.75">
      <c r="K5339" s="12"/>
      <c r="L5339" s="12"/>
    </row>
    <row r="5340" spans="11:12" ht="12.75">
      <c r="K5340" s="12"/>
      <c r="L5340" s="12"/>
    </row>
    <row r="5341" spans="11:12" ht="12.75">
      <c r="K5341" s="12"/>
      <c r="L5341" s="12"/>
    </row>
    <row r="5342" spans="11:12" ht="12.75">
      <c r="K5342" s="12"/>
      <c r="L5342" s="12"/>
    </row>
    <row r="5343" spans="11:12" ht="12.75">
      <c r="K5343" s="12"/>
      <c r="L5343" s="12"/>
    </row>
    <row r="5344" spans="11:12" ht="12.75">
      <c r="K5344" s="12"/>
      <c r="L5344" s="12"/>
    </row>
    <row r="5345" spans="11:12" ht="12.75">
      <c r="K5345" s="12"/>
      <c r="L5345" s="12"/>
    </row>
    <row r="5346" spans="11:12" ht="12.75">
      <c r="K5346" s="12"/>
      <c r="L5346" s="12"/>
    </row>
    <row r="5347" spans="11:12" ht="12.75">
      <c r="K5347" s="12"/>
      <c r="L5347" s="12"/>
    </row>
    <row r="5348" spans="11:12" ht="12.75">
      <c r="K5348" s="12"/>
      <c r="L5348" s="12"/>
    </row>
    <row r="5349" spans="11:12" ht="12.75">
      <c r="K5349" s="12"/>
      <c r="L5349" s="12"/>
    </row>
    <row r="5350" spans="11:12" ht="12.75">
      <c r="K5350" s="12"/>
      <c r="L5350" s="12"/>
    </row>
    <row r="5351" spans="11:12" ht="12.75">
      <c r="K5351" s="12"/>
      <c r="L5351" s="12"/>
    </row>
    <row r="5352" spans="11:12" ht="12.75">
      <c r="K5352" s="12"/>
      <c r="L5352" s="12"/>
    </row>
    <row r="5353" spans="11:12" ht="12.75">
      <c r="K5353" s="12"/>
      <c r="L5353" s="12"/>
    </row>
    <row r="5354" spans="11:12" ht="12.75">
      <c r="K5354" s="12"/>
      <c r="L5354" s="12"/>
    </row>
    <row r="5355" spans="11:12" ht="12.75">
      <c r="K5355" s="12"/>
      <c r="L5355" s="12"/>
    </row>
    <row r="5356" spans="11:12" ht="12.75">
      <c r="K5356" s="12"/>
      <c r="L5356" s="12"/>
    </row>
    <row r="5357" spans="11:12" ht="12.75">
      <c r="K5357" s="12"/>
      <c r="L5357" s="12"/>
    </row>
    <row r="5358" spans="11:12" ht="12.75">
      <c r="K5358" s="12"/>
      <c r="L5358" s="12"/>
    </row>
    <row r="5359" spans="11:12" ht="12.75">
      <c r="K5359" s="12"/>
      <c r="L5359" s="12"/>
    </row>
    <row r="5360" spans="11:12" ht="12.75">
      <c r="K5360" s="12"/>
      <c r="L5360" s="12"/>
    </row>
    <row r="5361" spans="11:12" ht="12.75">
      <c r="K5361" s="12"/>
      <c r="L5361" s="12"/>
    </row>
    <row r="5362" spans="11:12" ht="12.75">
      <c r="K5362" s="12"/>
      <c r="L5362" s="12"/>
    </row>
    <row r="5363" spans="11:12" ht="12.75">
      <c r="K5363" s="12"/>
      <c r="L5363" s="12"/>
    </row>
    <row r="5364" spans="11:12" ht="12.75">
      <c r="K5364" s="12"/>
      <c r="L5364" s="12"/>
    </row>
    <row r="5365" spans="11:12" ht="12.75">
      <c r="K5365" s="12"/>
      <c r="L5365" s="12"/>
    </row>
    <row r="5366" spans="11:12" ht="12.75">
      <c r="K5366" s="12"/>
      <c r="L5366" s="12"/>
    </row>
    <row r="5367" spans="11:12" ht="12.75">
      <c r="K5367" s="12"/>
      <c r="L5367" s="12"/>
    </row>
    <row r="5368" spans="11:12" ht="12.75">
      <c r="K5368" s="12"/>
      <c r="L5368" s="12"/>
    </row>
    <row r="5369" spans="11:12" ht="12.75">
      <c r="K5369" s="12"/>
      <c r="L5369" s="12"/>
    </row>
    <row r="5370" spans="11:12" ht="12.75">
      <c r="K5370" s="12"/>
      <c r="L5370" s="12"/>
    </row>
    <row r="5371" spans="11:12" ht="12.75">
      <c r="K5371" s="12"/>
      <c r="L5371" s="12"/>
    </row>
    <row r="5372" spans="11:12" ht="12.75">
      <c r="K5372" s="12"/>
      <c r="L5372" s="12"/>
    </row>
    <row r="5373" spans="11:12" ht="12.75">
      <c r="K5373" s="12"/>
      <c r="L5373" s="12"/>
    </row>
    <row r="5374" spans="11:12" ht="12.75">
      <c r="K5374" s="12"/>
      <c r="L5374" s="12"/>
    </row>
    <row r="5375" spans="11:12" ht="12.75">
      <c r="K5375" s="12"/>
      <c r="L5375" s="12"/>
    </row>
    <row r="5376" spans="11:12" ht="12.75">
      <c r="K5376" s="12"/>
      <c r="L5376" s="12"/>
    </row>
    <row r="5377" spans="11:12" ht="12.75">
      <c r="K5377" s="12"/>
      <c r="L5377" s="12"/>
    </row>
    <row r="5378" spans="11:12" ht="12.75">
      <c r="K5378" s="12"/>
      <c r="L5378" s="12"/>
    </row>
    <row r="5379" spans="11:12" ht="12.75">
      <c r="K5379" s="12"/>
      <c r="L5379" s="12"/>
    </row>
    <row r="5380" spans="11:12" ht="12.75">
      <c r="K5380" s="12"/>
      <c r="L5380" s="12"/>
    </row>
    <row r="5381" spans="11:12" ht="12.75">
      <c r="K5381" s="12"/>
      <c r="L5381" s="12"/>
    </row>
    <row r="5382" spans="11:12" ht="12.75">
      <c r="K5382" s="12"/>
      <c r="L5382" s="12"/>
    </row>
    <row r="5383" spans="11:12" ht="12.75">
      <c r="K5383" s="12"/>
      <c r="L5383" s="12"/>
    </row>
    <row r="5384" spans="11:12" ht="12.75">
      <c r="K5384" s="12"/>
      <c r="L5384" s="12"/>
    </row>
    <row r="5385" spans="11:12" ht="12.75">
      <c r="K5385" s="12"/>
      <c r="L5385" s="12"/>
    </row>
    <row r="5386" spans="11:12" ht="12.75">
      <c r="K5386" s="12"/>
      <c r="L5386" s="12"/>
    </row>
    <row r="5387" spans="11:12" ht="12.75">
      <c r="K5387" s="12"/>
      <c r="L5387" s="12"/>
    </row>
    <row r="5388" spans="11:12" ht="12.75">
      <c r="K5388" s="12"/>
      <c r="L5388" s="12"/>
    </row>
    <row r="5389" spans="11:12" ht="12.75">
      <c r="K5389" s="12"/>
      <c r="L5389" s="12"/>
    </row>
    <row r="5390" spans="11:12" ht="12.75">
      <c r="K5390" s="12"/>
      <c r="L5390" s="12"/>
    </row>
    <row r="5391" spans="11:12" ht="12.75">
      <c r="K5391" s="12"/>
      <c r="L5391" s="12"/>
    </row>
    <row r="5392" spans="11:12" ht="12.75">
      <c r="K5392" s="12"/>
      <c r="L5392" s="12"/>
    </row>
    <row r="5393" spans="11:12" ht="12.75">
      <c r="K5393" s="12"/>
      <c r="L5393" s="12"/>
    </row>
    <row r="5394" spans="11:12" ht="12.75">
      <c r="K5394" s="12"/>
      <c r="L5394" s="12"/>
    </row>
    <row r="5395" spans="11:12" ht="12.75">
      <c r="K5395" s="12"/>
      <c r="L5395" s="12"/>
    </row>
    <row r="5396" spans="11:12" ht="12.75">
      <c r="K5396" s="12"/>
      <c r="L5396" s="12"/>
    </row>
    <row r="5397" spans="11:12" ht="12.75">
      <c r="K5397" s="12"/>
      <c r="L5397" s="12"/>
    </row>
    <row r="5398" spans="11:12" ht="12.75">
      <c r="K5398" s="12"/>
      <c r="L5398" s="12"/>
    </row>
    <row r="5399" spans="11:12" ht="12.75">
      <c r="K5399" s="12"/>
      <c r="L5399" s="12"/>
    </row>
    <row r="5400" spans="11:12" ht="12.75">
      <c r="K5400" s="12"/>
      <c r="L5400" s="12"/>
    </row>
    <row r="5401" spans="11:12" ht="12.75">
      <c r="K5401" s="12"/>
      <c r="L5401" s="12"/>
    </row>
    <row r="5402" spans="11:12" ht="12.75">
      <c r="K5402" s="12"/>
      <c r="L5402" s="12"/>
    </row>
    <row r="5403" spans="11:12" ht="12.75">
      <c r="K5403" s="12"/>
      <c r="L5403" s="12"/>
    </row>
    <row r="5404" spans="11:12" ht="12.75">
      <c r="K5404" s="12"/>
      <c r="L5404" s="12"/>
    </row>
    <row r="5405" spans="11:12" ht="12.75">
      <c r="K5405" s="12"/>
      <c r="L5405" s="12"/>
    </row>
    <row r="5406" spans="11:12" ht="12.75">
      <c r="K5406" s="12"/>
      <c r="L5406" s="12"/>
    </row>
    <row r="5407" spans="11:12" ht="12.75">
      <c r="K5407" s="12"/>
      <c r="L5407" s="12"/>
    </row>
    <row r="5408" spans="11:12" ht="12.75">
      <c r="K5408" s="12"/>
      <c r="L5408" s="12"/>
    </row>
    <row r="5409" spans="11:12" ht="12.75">
      <c r="K5409" s="12"/>
      <c r="L5409" s="12"/>
    </row>
    <row r="5410" spans="11:12" ht="12.75">
      <c r="K5410" s="12"/>
      <c r="L5410" s="12"/>
    </row>
    <row r="5411" spans="11:12" ht="12.75">
      <c r="K5411" s="12"/>
      <c r="L5411" s="12"/>
    </row>
    <row r="5412" spans="11:12" ht="12.75">
      <c r="K5412" s="12"/>
      <c r="L5412" s="12"/>
    </row>
    <row r="5413" spans="11:12" ht="12.75">
      <c r="K5413" s="12"/>
      <c r="L5413" s="12"/>
    </row>
    <row r="5414" spans="11:12" ht="12.75">
      <c r="K5414" s="12"/>
      <c r="L5414" s="12"/>
    </row>
    <row r="5415" spans="11:12" ht="12.75">
      <c r="K5415" s="12"/>
      <c r="L5415" s="12"/>
    </row>
    <row r="5416" spans="11:12" ht="12.75">
      <c r="K5416" s="12"/>
      <c r="L5416" s="12"/>
    </row>
    <row r="5417" spans="11:12" ht="12.75">
      <c r="K5417" s="12"/>
      <c r="L5417" s="12"/>
    </row>
    <row r="5418" spans="11:12" ht="12.75">
      <c r="K5418" s="12"/>
      <c r="L5418" s="12"/>
    </row>
    <row r="5419" spans="11:12" ht="12.75">
      <c r="K5419" s="12"/>
      <c r="L5419" s="12"/>
    </row>
    <row r="5420" spans="11:12" ht="12.75">
      <c r="K5420" s="12"/>
      <c r="L5420" s="12"/>
    </row>
    <row r="5421" spans="11:12" ht="12.75">
      <c r="K5421" s="12"/>
      <c r="L5421" s="12"/>
    </row>
    <row r="5422" spans="11:12" ht="12.75">
      <c r="K5422" s="12"/>
      <c r="L5422" s="12"/>
    </row>
    <row r="5423" spans="11:12" ht="12.75">
      <c r="K5423" s="12"/>
      <c r="L5423" s="12"/>
    </row>
    <row r="5424" spans="11:12" ht="12.75">
      <c r="K5424" s="12"/>
      <c r="L5424" s="12"/>
    </row>
    <row r="5425" spans="11:12" ht="12.75">
      <c r="K5425" s="12"/>
      <c r="L5425" s="12"/>
    </row>
    <row r="5426" spans="11:12" ht="12.75">
      <c r="K5426" s="12"/>
      <c r="L5426" s="12"/>
    </row>
    <row r="5427" spans="11:12" ht="12.75">
      <c r="K5427" s="12"/>
      <c r="L5427" s="12"/>
    </row>
    <row r="5428" spans="11:12" ht="12.75">
      <c r="K5428" s="12"/>
      <c r="L5428" s="12"/>
    </row>
    <row r="5429" spans="11:12" ht="12.75">
      <c r="K5429" s="12"/>
      <c r="L5429" s="12"/>
    </row>
    <row r="5430" spans="11:12" ht="12.75">
      <c r="K5430" s="12"/>
      <c r="L5430" s="12"/>
    </row>
    <row r="5431" spans="11:12" ht="12.75">
      <c r="K5431" s="12"/>
      <c r="L5431" s="12"/>
    </row>
    <row r="5432" spans="11:12" ht="12.75">
      <c r="K5432" s="12"/>
      <c r="L5432" s="12"/>
    </row>
    <row r="5433" spans="11:12" ht="12.75">
      <c r="K5433" s="12"/>
      <c r="L5433" s="12"/>
    </row>
    <row r="5434" spans="11:12" ht="12.75">
      <c r="K5434" s="12"/>
      <c r="L5434" s="12"/>
    </row>
    <row r="5435" spans="11:12" ht="12.75">
      <c r="K5435" s="12"/>
      <c r="L5435" s="12"/>
    </row>
    <row r="5436" spans="11:12" ht="12.75">
      <c r="K5436" s="12"/>
      <c r="L5436" s="12"/>
    </row>
    <row r="5437" spans="11:12" ht="12.75">
      <c r="K5437" s="12"/>
      <c r="L5437" s="12"/>
    </row>
    <row r="5438" spans="11:12" ht="12.75">
      <c r="K5438" s="12"/>
      <c r="L5438" s="12"/>
    </row>
    <row r="5439" spans="11:12" ht="12.75">
      <c r="K5439" s="12"/>
      <c r="L5439" s="12"/>
    </row>
    <row r="5440" spans="11:12" ht="12.75">
      <c r="K5440" s="12"/>
      <c r="L5440" s="12"/>
    </row>
    <row r="5441" spans="11:12" ht="12.75">
      <c r="K5441" s="12"/>
      <c r="L5441" s="12"/>
    </row>
    <row r="5442" spans="11:12" ht="12.75">
      <c r="K5442" s="12"/>
      <c r="L5442" s="12"/>
    </row>
    <row r="5443" spans="11:12" ht="12.75">
      <c r="K5443" s="12"/>
      <c r="L5443" s="12"/>
    </row>
    <row r="5444" spans="11:12" ht="12.75">
      <c r="K5444" s="12"/>
      <c r="L5444" s="12"/>
    </row>
    <row r="5445" spans="11:12" ht="12.75">
      <c r="K5445" s="12"/>
      <c r="L5445" s="12"/>
    </row>
    <row r="5446" spans="11:12" ht="12.75">
      <c r="K5446" s="12"/>
      <c r="L5446" s="12"/>
    </row>
    <row r="5447" spans="11:12" ht="12.75">
      <c r="K5447" s="12"/>
      <c r="L5447" s="12"/>
    </row>
    <row r="5448" spans="11:12" ht="12.75">
      <c r="K5448" s="12"/>
      <c r="L5448" s="12"/>
    </row>
    <row r="5449" spans="11:12" ht="12.75">
      <c r="K5449" s="12"/>
      <c r="L5449" s="12"/>
    </row>
    <row r="5450" spans="11:12" ht="12.75">
      <c r="K5450" s="12"/>
      <c r="L5450" s="12"/>
    </row>
    <row r="5451" spans="11:12" ht="12.75">
      <c r="K5451" s="12"/>
      <c r="L5451" s="12"/>
    </row>
    <row r="5452" spans="11:12" ht="12.75">
      <c r="K5452" s="12"/>
      <c r="L5452" s="12"/>
    </row>
    <row r="5453" spans="11:12" ht="12.75">
      <c r="K5453" s="12"/>
      <c r="L5453" s="12"/>
    </row>
    <row r="5454" spans="11:12" ht="12.75">
      <c r="K5454" s="12"/>
      <c r="L5454" s="12"/>
    </row>
    <row r="5455" spans="11:12" ht="12.75">
      <c r="K5455" s="12"/>
      <c r="L5455" s="12"/>
    </row>
    <row r="5456" spans="11:12" ht="12.75">
      <c r="K5456" s="12"/>
      <c r="L5456" s="12"/>
    </row>
    <row r="5457" spans="11:12" ht="12.75">
      <c r="K5457" s="12"/>
      <c r="L5457" s="12"/>
    </row>
    <row r="5458" spans="11:12" ht="12.75">
      <c r="K5458" s="12"/>
      <c r="L5458" s="12"/>
    </row>
    <row r="5459" spans="11:12" ht="12.75">
      <c r="K5459" s="12"/>
      <c r="L5459" s="12"/>
    </row>
    <row r="5460" spans="11:12" ht="12.75">
      <c r="K5460" s="12"/>
      <c r="L5460" s="12"/>
    </row>
    <row r="5461" spans="11:12" ht="12.75">
      <c r="K5461" s="12"/>
      <c r="L5461" s="12"/>
    </row>
    <row r="5462" spans="11:12" ht="12.75">
      <c r="K5462" s="12"/>
      <c r="L5462" s="12"/>
    </row>
    <row r="5463" spans="11:12" ht="12.75">
      <c r="K5463" s="12"/>
      <c r="L5463" s="12"/>
    </row>
    <row r="5464" spans="11:12" ht="12.75">
      <c r="K5464" s="12"/>
      <c r="L5464" s="12"/>
    </row>
    <row r="5465" spans="11:12" ht="12.75">
      <c r="K5465" s="12"/>
      <c r="L5465" s="12"/>
    </row>
    <row r="5466" spans="11:12" ht="12.75">
      <c r="K5466" s="12"/>
      <c r="L5466" s="12"/>
    </row>
    <row r="5467" spans="11:12" ht="12.75">
      <c r="K5467" s="12"/>
      <c r="L5467" s="12"/>
    </row>
    <row r="5468" spans="11:12" ht="12.75">
      <c r="K5468" s="12"/>
      <c r="L5468" s="12"/>
    </row>
    <row r="5469" spans="11:12" ht="12.75">
      <c r="K5469" s="12"/>
      <c r="L5469" s="12"/>
    </row>
    <row r="5470" spans="11:12" ht="12.75">
      <c r="K5470" s="12"/>
      <c r="L5470" s="12"/>
    </row>
    <row r="5471" spans="11:12" ht="12.75">
      <c r="K5471" s="12"/>
      <c r="L5471" s="12"/>
    </row>
    <row r="5472" spans="11:12" ht="12.75">
      <c r="K5472" s="12"/>
      <c r="L5472" s="12"/>
    </row>
    <row r="5473" spans="11:12" ht="12.75">
      <c r="K5473" s="12"/>
      <c r="L5473" s="12"/>
    </row>
    <row r="5474" spans="11:12" ht="12.75">
      <c r="K5474" s="12"/>
      <c r="L5474" s="12"/>
    </row>
    <row r="5475" spans="11:12" ht="12.75">
      <c r="K5475" s="12"/>
      <c r="L5475" s="12"/>
    </row>
    <row r="5476" spans="11:12" ht="12.75">
      <c r="K5476" s="12"/>
      <c r="L5476" s="12"/>
    </row>
    <row r="5477" spans="11:12" ht="12.75">
      <c r="K5477" s="12"/>
      <c r="L5477" s="12"/>
    </row>
    <row r="5478" spans="11:12" ht="12.75">
      <c r="K5478" s="12"/>
      <c r="L5478" s="12"/>
    </row>
    <row r="5479" spans="11:12" ht="12.75">
      <c r="K5479" s="12"/>
      <c r="L5479" s="12"/>
    </row>
    <row r="5480" spans="11:12" ht="12.75">
      <c r="K5480" s="12"/>
      <c r="L5480" s="12"/>
    </row>
    <row r="5481" spans="11:12" ht="12.75">
      <c r="K5481" s="12"/>
      <c r="L5481" s="12"/>
    </row>
    <row r="5482" spans="11:12" ht="12.75">
      <c r="K5482" s="12"/>
      <c r="L5482" s="12"/>
    </row>
    <row r="5483" spans="11:12" ht="12.75">
      <c r="K5483" s="12"/>
      <c r="L5483" s="12"/>
    </row>
    <row r="5484" spans="11:12" ht="12.75">
      <c r="K5484" s="12"/>
      <c r="L5484" s="12"/>
    </row>
    <row r="5485" spans="11:12" ht="12.75">
      <c r="K5485" s="12"/>
      <c r="L5485" s="12"/>
    </row>
    <row r="5486" spans="11:12" ht="12.75">
      <c r="K5486" s="12"/>
      <c r="L5486" s="12"/>
    </row>
    <row r="5487" spans="11:12" ht="12.75">
      <c r="K5487" s="12"/>
      <c r="L5487" s="12"/>
    </row>
    <row r="5488" spans="11:12" ht="12.75">
      <c r="K5488" s="12"/>
      <c r="L5488" s="12"/>
    </row>
    <row r="5489" spans="11:12" ht="12.75">
      <c r="K5489" s="12"/>
      <c r="L5489" s="12"/>
    </row>
    <row r="5490" spans="11:12" ht="12.75">
      <c r="K5490" s="12"/>
      <c r="L5490" s="12"/>
    </row>
    <row r="5491" spans="11:12" ht="12.75">
      <c r="K5491" s="12"/>
      <c r="L5491" s="12"/>
    </row>
    <row r="5492" spans="11:12" ht="12.75">
      <c r="K5492" s="12"/>
      <c r="L5492" s="12"/>
    </row>
    <row r="5493" spans="11:12" ht="12.75">
      <c r="K5493" s="12"/>
      <c r="L5493" s="12"/>
    </row>
    <row r="5494" spans="11:12" ht="12.75">
      <c r="K5494" s="12"/>
      <c r="L5494" s="12"/>
    </row>
    <row r="5495" spans="11:12" ht="12.75">
      <c r="K5495" s="12"/>
      <c r="L5495" s="12"/>
    </row>
    <row r="5496" spans="11:12" ht="12.75">
      <c r="K5496" s="12"/>
      <c r="L5496" s="12"/>
    </row>
    <row r="5497" spans="11:12" ht="12.75">
      <c r="K5497" s="12"/>
      <c r="L5497" s="12"/>
    </row>
    <row r="5498" spans="11:12" ht="12.75">
      <c r="K5498" s="12"/>
      <c r="L5498" s="12"/>
    </row>
    <row r="5499" spans="11:12" ht="12.75">
      <c r="K5499" s="12"/>
      <c r="L5499" s="12"/>
    </row>
    <row r="5500" spans="11:12" ht="12.75">
      <c r="K5500" s="12"/>
      <c r="L5500" s="12"/>
    </row>
    <row r="5501" spans="11:12" ht="12.75">
      <c r="K5501" s="12"/>
      <c r="L5501" s="12"/>
    </row>
    <row r="5502" spans="11:12" ht="12.75">
      <c r="K5502" s="12"/>
      <c r="L5502" s="12"/>
    </row>
    <row r="5503" spans="11:12" ht="12.75">
      <c r="K5503" s="12"/>
      <c r="L5503" s="12"/>
    </row>
    <row r="5504" spans="11:12" ht="12.75">
      <c r="K5504" s="12"/>
      <c r="L5504" s="12"/>
    </row>
    <row r="5505" spans="11:12" ht="12.75">
      <c r="K5505" s="12"/>
      <c r="L5505" s="12"/>
    </row>
    <row r="5506" spans="11:12" ht="12.75">
      <c r="K5506" s="12"/>
      <c r="L5506" s="12"/>
    </row>
    <row r="5507" spans="11:12" ht="12.75">
      <c r="K5507" s="12"/>
      <c r="L5507" s="12"/>
    </row>
    <row r="5508" spans="11:12" ht="12.75">
      <c r="K5508" s="12"/>
      <c r="L5508" s="12"/>
    </row>
    <row r="5509" spans="11:12" ht="12.75">
      <c r="K5509" s="12"/>
      <c r="L5509" s="12"/>
    </row>
    <row r="5510" spans="11:12" ht="12.75">
      <c r="K5510" s="12"/>
      <c r="L5510" s="12"/>
    </row>
    <row r="5511" spans="11:12" ht="12.75">
      <c r="K5511" s="12"/>
      <c r="L5511" s="12"/>
    </row>
    <row r="5512" spans="11:12" ht="12.75">
      <c r="K5512" s="12"/>
      <c r="L5512" s="12"/>
    </row>
    <row r="5513" spans="11:12" ht="12.75">
      <c r="K5513" s="12"/>
      <c r="L5513" s="12"/>
    </row>
    <row r="5514" spans="11:12" ht="12.75">
      <c r="K5514" s="12"/>
      <c r="L5514" s="12"/>
    </row>
    <row r="5515" spans="11:12" ht="12.75">
      <c r="K5515" s="12"/>
      <c r="L5515" s="12"/>
    </row>
    <row r="5516" spans="11:12" ht="12.75">
      <c r="K5516" s="12"/>
      <c r="L5516" s="12"/>
    </row>
    <row r="5517" spans="11:12" ht="12.75">
      <c r="K5517" s="12"/>
      <c r="L5517" s="12"/>
    </row>
    <row r="5518" spans="11:12" ht="12.75">
      <c r="K5518" s="12"/>
      <c r="L5518" s="12"/>
    </row>
    <row r="5519" spans="11:12" ht="12.75">
      <c r="K5519" s="12"/>
      <c r="L5519" s="12"/>
    </row>
    <row r="5520" spans="11:12" ht="12.75">
      <c r="K5520" s="12"/>
      <c r="L5520" s="12"/>
    </row>
    <row r="5521" spans="11:12" ht="12.75">
      <c r="K5521" s="12"/>
      <c r="L5521" s="12"/>
    </row>
    <row r="5522" spans="11:12" ht="12.75">
      <c r="K5522" s="12"/>
      <c r="L5522" s="12"/>
    </row>
    <row r="5523" spans="11:12" ht="12.75">
      <c r="K5523" s="12"/>
      <c r="L5523" s="12"/>
    </row>
    <row r="5524" spans="11:12" ht="12.75">
      <c r="K5524" s="12"/>
      <c r="L5524" s="12"/>
    </row>
    <row r="5525" spans="11:12" ht="12.75">
      <c r="K5525" s="12"/>
      <c r="L5525" s="12"/>
    </row>
    <row r="5526" spans="11:12" ht="12.75">
      <c r="K5526" s="12"/>
      <c r="L5526" s="12"/>
    </row>
    <row r="5527" spans="11:12" ht="12.75">
      <c r="K5527" s="12"/>
      <c r="L5527" s="12"/>
    </row>
    <row r="5528" spans="11:12" ht="12.75">
      <c r="K5528" s="12"/>
      <c r="L5528" s="12"/>
    </row>
    <row r="5529" spans="11:12" ht="12.75">
      <c r="K5529" s="12"/>
      <c r="L5529" s="12"/>
    </row>
    <row r="5530" spans="11:12" ht="12.75">
      <c r="K5530" s="12"/>
      <c r="L5530" s="12"/>
    </row>
    <row r="5531" spans="11:12" ht="12.75">
      <c r="K5531" s="12"/>
      <c r="L5531" s="12"/>
    </row>
    <row r="5532" spans="11:12" ht="12.75">
      <c r="K5532" s="12"/>
      <c r="L5532" s="12"/>
    </row>
    <row r="5533" spans="11:12" ht="12.75">
      <c r="K5533" s="12"/>
      <c r="L5533" s="12"/>
    </row>
    <row r="5534" spans="11:12" ht="12.75">
      <c r="K5534" s="12"/>
      <c r="L5534" s="12"/>
    </row>
    <row r="5535" spans="11:12" ht="12.75">
      <c r="K5535" s="12"/>
      <c r="L5535" s="12"/>
    </row>
    <row r="5536" spans="11:12" ht="12.75">
      <c r="K5536" s="12"/>
      <c r="L5536" s="12"/>
    </row>
    <row r="5537" spans="11:12" ht="12.75">
      <c r="K5537" s="12"/>
      <c r="L5537" s="12"/>
    </row>
    <row r="5538" spans="11:12" ht="12.75">
      <c r="K5538" s="12"/>
      <c r="L5538" s="12"/>
    </row>
    <row r="5539" spans="11:12" ht="12.75">
      <c r="K5539" s="12"/>
      <c r="L5539" s="12"/>
    </row>
    <row r="5540" spans="11:12" ht="12.75">
      <c r="K5540" s="12"/>
      <c r="L5540" s="12"/>
    </row>
    <row r="5541" spans="11:12" ht="12.75">
      <c r="K5541" s="12"/>
      <c r="L5541" s="12"/>
    </row>
    <row r="5542" spans="11:12" ht="12.75">
      <c r="K5542" s="12"/>
      <c r="L5542" s="12"/>
    </row>
    <row r="5543" spans="11:12" ht="12.75">
      <c r="K5543" s="12"/>
      <c r="L5543" s="12"/>
    </row>
    <row r="5544" spans="11:12" ht="12.75">
      <c r="K5544" s="12"/>
      <c r="L5544" s="12"/>
    </row>
    <row r="5545" spans="11:12" ht="12.75">
      <c r="K5545" s="12"/>
      <c r="L5545" s="12"/>
    </row>
    <row r="5546" spans="11:12" ht="12.75">
      <c r="K5546" s="12"/>
      <c r="L5546" s="12"/>
    </row>
    <row r="5547" spans="11:12" ht="12.75">
      <c r="K5547" s="12"/>
      <c r="L5547" s="12"/>
    </row>
    <row r="5548" spans="11:12" ht="12.75">
      <c r="K5548" s="12"/>
      <c r="L5548" s="12"/>
    </row>
    <row r="5549" spans="11:12" ht="12.75">
      <c r="K5549" s="12"/>
      <c r="L5549" s="12"/>
    </row>
    <row r="5550" spans="11:12" ht="12.75">
      <c r="K5550" s="12"/>
      <c r="L5550" s="12"/>
    </row>
    <row r="5551" spans="11:12" ht="12.75">
      <c r="K5551" s="12"/>
      <c r="L5551" s="12"/>
    </row>
    <row r="5552" spans="11:12" ht="12.75">
      <c r="K5552" s="12"/>
      <c r="L5552" s="12"/>
    </row>
    <row r="5553" spans="11:12" ht="12.75">
      <c r="K5553" s="12"/>
      <c r="L5553" s="12"/>
    </row>
    <row r="5554" spans="11:12" ht="12.75">
      <c r="K5554" s="12"/>
      <c r="L5554" s="12"/>
    </row>
    <row r="5555" spans="11:12" ht="12.75">
      <c r="K5555" s="12"/>
      <c r="L5555" s="12"/>
    </row>
    <row r="5556" spans="11:12" ht="12.75">
      <c r="K5556" s="12"/>
      <c r="L5556" s="12"/>
    </row>
    <row r="5557" spans="11:12" ht="12.75">
      <c r="K5557" s="12"/>
      <c r="L5557" s="12"/>
    </row>
    <row r="5558" spans="11:12" ht="12.75">
      <c r="K5558" s="12"/>
      <c r="L5558" s="12"/>
    </row>
    <row r="5559" spans="11:12" ht="12.75">
      <c r="K5559" s="12"/>
      <c r="L5559" s="12"/>
    </row>
    <row r="5560" spans="11:12" ht="12.75">
      <c r="K5560" s="12"/>
      <c r="L5560" s="12"/>
    </row>
    <row r="5561" spans="11:12" ht="12.75">
      <c r="K5561" s="12"/>
      <c r="L5561" s="12"/>
    </row>
    <row r="5562" spans="11:12" ht="12.75">
      <c r="K5562" s="12"/>
      <c r="L5562" s="12"/>
    </row>
    <row r="5563" spans="11:12" ht="12.75">
      <c r="K5563" s="12"/>
      <c r="L5563" s="12"/>
    </row>
    <row r="5564" spans="11:12" ht="12.75">
      <c r="K5564" s="12"/>
      <c r="L5564" s="12"/>
    </row>
    <row r="5565" spans="11:12" ht="12.75">
      <c r="K5565" s="12"/>
      <c r="L5565" s="12"/>
    </row>
    <row r="5566" spans="11:12" ht="12.75">
      <c r="K5566" s="12"/>
      <c r="L5566" s="12"/>
    </row>
    <row r="5567" spans="11:12" ht="12.75">
      <c r="K5567" s="12"/>
      <c r="L5567" s="12"/>
    </row>
    <row r="5568" spans="11:12" ht="12.75">
      <c r="K5568" s="12"/>
      <c r="L5568" s="12"/>
    </row>
    <row r="5569" spans="11:12" ht="12.75">
      <c r="K5569" s="12"/>
      <c r="L5569" s="12"/>
    </row>
    <row r="5570" spans="11:12" ht="12.75">
      <c r="K5570" s="12"/>
      <c r="L5570" s="12"/>
    </row>
    <row r="5571" spans="11:12" ht="12.75">
      <c r="K5571" s="12"/>
      <c r="L5571" s="12"/>
    </row>
    <row r="5572" spans="11:12" ht="12.75">
      <c r="K5572" s="12"/>
      <c r="L5572" s="12"/>
    </row>
    <row r="5573" spans="11:12" ht="12.75">
      <c r="K5573" s="12"/>
      <c r="L5573" s="12"/>
    </row>
    <row r="5574" spans="11:12" ht="12.75">
      <c r="K5574" s="12"/>
      <c r="L5574" s="12"/>
    </row>
    <row r="5575" spans="11:12" ht="12.75">
      <c r="K5575" s="12"/>
      <c r="L5575" s="12"/>
    </row>
    <row r="5576" spans="11:12" ht="12.75">
      <c r="K5576" s="12"/>
      <c r="L5576" s="12"/>
    </row>
    <row r="5577" spans="11:12" ht="12.75">
      <c r="K5577" s="12"/>
      <c r="L5577" s="12"/>
    </row>
    <row r="5578" spans="11:12" ht="12.75">
      <c r="K5578" s="12"/>
      <c r="L5578" s="12"/>
    </row>
    <row r="5579" spans="11:12" ht="12.75">
      <c r="K5579" s="12"/>
      <c r="L5579" s="12"/>
    </row>
    <row r="5580" spans="11:12" ht="12.75">
      <c r="K5580" s="12"/>
      <c r="L5580" s="12"/>
    </row>
    <row r="5581" spans="11:12" ht="12.75">
      <c r="K5581" s="12"/>
      <c r="L5581" s="12"/>
    </row>
    <row r="5582" spans="11:12" ht="12.75">
      <c r="K5582" s="12"/>
      <c r="L5582" s="12"/>
    </row>
    <row r="5583" spans="11:12" ht="12.75">
      <c r="K5583" s="12"/>
      <c r="L5583" s="12"/>
    </row>
    <row r="5584" spans="11:12" ht="12.75">
      <c r="K5584" s="12"/>
      <c r="L5584" s="12"/>
    </row>
    <row r="5585" spans="11:12" ht="12.75">
      <c r="K5585" s="12"/>
      <c r="L5585" s="12"/>
    </row>
    <row r="5586" spans="11:12" ht="12.75">
      <c r="K5586" s="12"/>
      <c r="L5586" s="12"/>
    </row>
    <row r="5587" spans="11:12" ht="12.75">
      <c r="K5587" s="12"/>
      <c r="L5587" s="12"/>
    </row>
    <row r="5588" spans="11:12" ht="12.75">
      <c r="K5588" s="12"/>
      <c r="L5588" s="12"/>
    </row>
    <row r="5589" spans="11:12" ht="12.75">
      <c r="K5589" s="12"/>
      <c r="L5589" s="12"/>
    </row>
    <row r="5590" spans="11:12" ht="12.75">
      <c r="K5590" s="12"/>
      <c r="L5590" s="12"/>
    </row>
    <row r="5591" spans="11:12" ht="12.75">
      <c r="K5591" s="12"/>
      <c r="L5591" s="12"/>
    </row>
    <row r="5592" spans="11:12" ht="12.75">
      <c r="K5592" s="12"/>
      <c r="L5592" s="12"/>
    </row>
    <row r="5593" spans="11:12" ht="12.75">
      <c r="K5593" s="12"/>
      <c r="L5593" s="12"/>
    </row>
    <row r="5594" spans="11:12" ht="12.75">
      <c r="K5594" s="12"/>
      <c r="L5594" s="12"/>
    </row>
    <row r="5595" spans="11:12" ht="12.75">
      <c r="K5595" s="12"/>
      <c r="L5595" s="12"/>
    </row>
    <row r="5596" spans="11:12" ht="12.75">
      <c r="K5596" s="12"/>
      <c r="L5596" s="12"/>
    </row>
    <row r="5597" spans="11:12" ht="12.75">
      <c r="K5597" s="12"/>
      <c r="L5597" s="12"/>
    </row>
    <row r="5598" spans="11:12" ht="12.75">
      <c r="K5598" s="12"/>
      <c r="L5598" s="12"/>
    </row>
    <row r="5599" spans="11:12" ht="12.75">
      <c r="K5599" s="12"/>
      <c r="L5599" s="12"/>
    </row>
    <row r="5600" spans="11:12" ht="12.75">
      <c r="K5600" s="12"/>
      <c r="L5600" s="12"/>
    </row>
    <row r="5601" spans="11:12" ht="12.75">
      <c r="K5601" s="12"/>
      <c r="L5601" s="12"/>
    </row>
    <row r="5602" spans="11:12" ht="12.75">
      <c r="K5602" s="12"/>
      <c r="L5602" s="12"/>
    </row>
    <row r="5603" spans="11:12" ht="12.75">
      <c r="K5603" s="12"/>
      <c r="L5603" s="12"/>
    </row>
    <row r="5604" spans="11:12" ht="12.75">
      <c r="K5604" s="12"/>
      <c r="L5604" s="12"/>
    </row>
    <row r="5605" spans="11:12" ht="12.75">
      <c r="K5605" s="12"/>
      <c r="L5605" s="12"/>
    </row>
    <row r="5606" spans="11:12" ht="12.75">
      <c r="K5606" s="12"/>
      <c r="L5606" s="12"/>
    </row>
    <row r="5607" spans="11:12" ht="12.75">
      <c r="K5607" s="12"/>
      <c r="L5607" s="12"/>
    </row>
    <row r="5608" spans="11:12" ht="12.75">
      <c r="K5608" s="12"/>
      <c r="L5608" s="12"/>
    </row>
    <row r="5609" spans="11:12" ht="12.75">
      <c r="K5609" s="12"/>
      <c r="L5609" s="12"/>
    </row>
    <row r="5610" spans="11:12" ht="12.75">
      <c r="K5610" s="12"/>
      <c r="L5610" s="12"/>
    </row>
    <row r="5611" spans="11:12" ht="12.75">
      <c r="K5611" s="12"/>
      <c r="L5611" s="12"/>
    </row>
    <row r="5612" spans="11:12" ht="12.75">
      <c r="K5612" s="12"/>
      <c r="L5612" s="12"/>
    </row>
    <row r="5613" spans="11:12" ht="12.75">
      <c r="K5613" s="12"/>
      <c r="L5613" s="12"/>
    </row>
    <row r="5614" spans="11:12" ht="12.75">
      <c r="K5614" s="12"/>
      <c r="L5614" s="12"/>
    </row>
    <row r="5615" spans="11:12" ht="12.75">
      <c r="K5615" s="12"/>
      <c r="L5615" s="12"/>
    </row>
    <row r="5616" spans="11:12" ht="12.75">
      <c r="K5616" s="12"/>
      <c r="L5616" s="12"/>
    </row>
    <row r="5617" spans="11:12" ht="12.75">
      <c r="K5617" s="12"/>
      <c r="L5617" s="12"/>
    </row>
    <row r="5618" spans="11:12" ht="12.75">
      <c r="K5618" s="12"/>
      <c r="L5618" s="12"/>
    </row>
    <row r="5619" spans="11:12" ht="12.75">
      <c r="K5619" s="12"/>
      <c r="L5619" s="12"/>
    </row>
    <row r="5620" spans="11:12" ht="12.75">
      <c r="K5620" s="12"/>
      <c r="L5620" s="12"/>
    </row>
    <row r="5621" spans="11:12" ht="12.75">
      <c r="K5621" s="12"/>
      <c r="L5621" s="12"/>
    </row>
    <row r="5622" spans="11:12" ht="12.75">
      <c r="K5622" s="12"/>
      <c r="L5622" s="12"/>
    </row>
    <row r="5623" spans="11:12" ht="12.75">
      <c r="K5623" s="12"/>
      <c r="L5623" s="12"/>
    </row>
    <row r="5624" spans="11:12" ht="12.75">
      <c r="K5624" s="12"/>
      <c r="L5624" s="12"/>
    </row>
    <row r="5625" spans="11:12" ht="12.75">
      <c r="K5625" s="12"/>
      <c r="L5625" s="12"/>
    </row>
    <row r="5626" spans="11:12" ht="12.75">
      <c r="K5626" s="12"/>
      <c r="L5626" s="12"/>
    </row>
    <row r="5627" spans="11:12" ht="12.75">
      <c r="K5627" s="12"/>
      <c r="L5627" s="12"/>
    </row>
    <row r="5628" spans="11:12" ht="12.75">
      <c r="K5628" s="12"/>
      <c r="L5628" s="12"/>
    </row>
    <row r="5629" spans="11:12" ht="12.75">
      <c r="K5629" s="12"/>
      <c r="L5629" s="12"/>
    </row>
    <row r="5630" spans="11:12" ht="12.75">
      <c r="K5630" s="12"/>
      <c r="L5630" s="12"/>
    </row>
    <row r="5631" spans="11:12" ht="12.75">
      <c r="K5631" s="12"/>
      <c r="L5631" s="12"/>
    </row>
    <row r="5632" spans="11:12" ht="12.75">
      <c r="K5632" s="12"/>
      <c r="L5632" s="12"/>
    </row>
    <row r="5633" spans="11:12" ht="12.75">
      <c r="K5633" s="12"/>
      <c r="L5633" s="12"/>
    </row>
    <row r="5634" spans="11:12" ht="12.75">
      <c r="K5634" s="12"/>
      <c r="L5634" s="12"/>
    </row>
    <row r="5635" spans="11:12" ht="12.75">
      <c r="K5635" s="12"/>
      <c r="L5635" s="12"/>
    </row>
    <row r="5636" spans="11:12" ht="12.75">
      <c r="K5636" s="12"/>
      <c r="L5636" s="12"/>
    </row>
    <row r="5637" spans="11:12" ht="12.75">
      <c r="K5637" s="12"/>
      <c r="L5637" s="12"/>
    </row>
    <row r="5638" spans="11:12" ht="12.75">
      <c r="K5638" s="12"/>
      <c r="L5638" s="12"/>
    </row>
    <row r="5639" spans="11:12" ht="12.75">
      <c r="K5639" s="12"/>
      <c r="L5639" s="12"/>
    </row>
    <row r="5640" spans="11:12" ht="12.75">
      <c r="K5640" s="12"/>
      <c r="L5640" s="12"/>
    </row>
    <row r="5641" spans="11:12" ht="12.75">
      <c r="K5641" s="12"/>
      <c r="L5641" s="12"/>
    </row>
    <row r="5642" spans="11:12" ht="12.75">
      <c r="K5642" s="12"/>
      <c r="L5642" s="12"/>
    </row>
    <row r="5643" spans="11:12" ht="12.75">
      <c r="K5643" s="12"/>
      <c r="L5643" s="12"/>
    </row>
    <row r="5644" spans="11:12" ht="12.75">
      <c r="K5644" s="12"/>
      <c r="L5644" s="12"/>
    </row>
    <row r="5645" spans="11:12" ht="12.75">
      <c r="K5645" s="12"/>
      <c r="L5645" s="12"/>
    </row>
    <row r="5646" spans="11:12" ht="12.75">
      <c r="K5646" s="12"/>
      <c r="L5646" s="12"/>
    </row>
    <row r="5647" spans="11:12" ht="12.75">
      <c r="K5647" s="12"/>
      <c r="L5647" s="12"/>
    </row>
    <row r="5648" spans="11:12" ht="12.75">
      <c r="K5648" s="12"/>
      <c r="L5648" s="12"/>
    </row>
    <row r="5649" spans="11:12" ht="12.75">
      <c r="K5649" s="12"/>
      <c r="L5649" s="12"/>
    </row>
    <row r="5650" spans="11:12" ht="12.75">
      <c r="K5650" s="12"/>
      <c r="L5650" s="12"/>
    </row>
    <row r="5651" spans="11:12" ht="12.75">
      <c r="K5651" s="12"/>
      <c r="L5651" s="12"/>
    </row>
    <row r="5652" spans="11:12" ht="12.75">
      <c r="K5652" s="12"/>
      <c r="L5652" s="12"/>
    </row>
    <row r="5653" spans="11:12" ht="12.75">
      <c r="K5653" s="12"/>
      <c r="L5653" s="12"/>
    </row>
    <row r="5654" spans="11:12" ht="12.75">
      <c r="K5654" s="12"/>
      <c r="L5654" s="12"/>
    </row>
    <row r="5655" spans="11:12" ht="12.75">
      <c r="K5655" s="12"/>
      <c r="L5655" s="12"/>
    </row>
    <row r="5656" spans="11:12" ht="12.75">
      <c r="K5656" s="12"/>
      <c r="L5656" s="12"/>
    </row>
    <row r="5657" spans="11:12" ht="12.75">
      <c r="K5657" s="12"/>
      <c r="L5657" s="12"/>
    </row>
    <row r="5658" spans="11:12" ht="12.75">
      <c r="K5658" s="12"/>
      <c r="L5658" s="12"/>
    </row>
    <row r="5659" spans="11:12" ht="12.75">
      <c r="K5659" s="12"/>
      <c r="L5659" s="12"/>
    </row>
    <row r="5660" spans="11:12" ht="12.75">
      <c r="K5660" s="12"/>
      <c r="L5660" s="12"/>
    </row>
    <row r="5661" spans="11:12" ht="12.75">
      <c r="K5661" s="12"/>
      <c r="L5661" s="12"/>
    </row>
    <row r="5662" spans="11:12" ht="12.75">
      <c r="K5662" s="12"/>
      <c r="L5662" s="12"/>
    </row>
    <row r="5663" spans="11:12" ht="12.75">
      <c r="K5663" s="12"/>
      <c r="L5663" s="12"/>
    </row>
    <row r="5664" spans="11:12" ht="12.75">
      <c r="K5664" s="12"/>
      <c r="L5664" s="12"/>
    </row>
    <row r="5665" spans="11:12" ht="12.75">
      <c r="K5665" s="12"/>
      <c r="L5665" s="12"/>
    </row>
    <row r="5666" spans="11:12" ht="12.75">
      <c r="K5666" s="12"/>
      <c r="L5666" s="12"/>
    </row>
    <row r="5667" spans="11:12" ht="12.75">
      <c r="K5667" s="12"/>
      <c r="L5667" s="12"/>
    </row>
    <row r="5668" spans="11:12" ht="12.75">
      <c r="K5668" s="12"/>
      <c r="L5668" s="12"/>
    </row>
    <row r="5669" spans="11:12" ht="12.75">
      <c r="K5669" s="12"/>
      <c r="L5669" s="12"/>
    </row>
    <row r="5670" spans="11:12" ht="12.75">
      <c r="K5670" s="12"/>
      <c r="L5670" s="12"/>
    </row>
    <row r="5671" spans="11:12" ht="12.75">
      <c r="K5671" s="12"/>
      <c r="L5671" s="12"/>
    </row>
    <row r="5672" spans="11:12" ht="12.75">
      <c r="K5672" s="12"/>
      <c r="L5672" s="12"/>
    </row>
    <row r="5673" spans="11:12" ht="12.75">
      <c r="K5673" s="12"/>
      <c r="L5673" s="12"/>
    </row>
    <row r="5674" spans="11:12" ht="12.75">
      <c r="K5674" s="12"/>
      <c r="L5674" s="12"/>
    </row>
    <row r="5675" spans="11:12" ht="12.75">
      <c r="K5675" s="12"/>
      <c r="L5675" s="12"/>
    </row>
    <row r="5676" spans="11:12" ht="12.75">
      <c r="K5676" s="12"/>
      <c r="L5676" s="12"/>
    </row>
    <row r="5677" spans="11:12" ht="12.75">
      <c r="K5677" s="12"/>
      <c r="L5677" s="12"/>
    </row>
    <row r="5678" spans="11:12" ht="12.75">
      <c r="K5678" s="12"/>
      <c r="L5678" s="12"/>
    </row>
    <row r="5679" spans="11:12" ht="12.75">
      <c r="K5679" s="12"/>
      <c r="L5679" s="12"/>
    </row>
    <row r="5680" spans="11:12" ht="12.75">
      <c r="K5680" s="12"/>
      <c r="L5680" s="12"/>
    </row>
    <row r="5681" spans="11:12" ht="12.75">
      <c r="K5681" s="12"/>
      <c r="L5681" s="12"/>
    </row>
    <row r="5682" spans="11:12" ht="12.75">
      <c r="K5682" s="12"/>
      <c r="L5682" s="12"/>
    </row>
    <row r="5683" spans="11:12" ht="12.75">
      <c r="K5683" s="12"/>
      <c r="L5683" s="12"/>
    </row>
    <row r="5684" spans="11:12" ht="12.75">
      <c r="K5684" s="12"/>
      <c r="L5684" s="12"/>
    </row>
    <row r="5685" spans="11:12" ht="12.75">
      <c r="K5685" s="12"/>
      <c r="L5685" s="12"/>
    </row>
    <row r="5686" spans="11:12" ht="12.75">
      <c r="K5686" s="12"/>
      <c r="L5686" s="12"/>
    </row>
    <row r="5687" spans="11:12" ht="12.75">
      <c r="K5687" s="12"/>
      <c r="L5687" s="12"/>
    </row>
    <row r="5688" spans="11:12" ht="12.75">
      <c r="K5688" s="12"/>
      <c r="L5688" s="12"/>
    </row>
    <row r="5689" spans="11:12" ht="12.75">
      <c r="K5689" s="12"/>
      <c r="L5689" s="12"/>
    </row>
    <row r="5690" spans="11:12" ht="12.75">
      <c r="K5690" s="12"/>
      <c r="L5690" s="12"/>
    </row>
    <row r="5691" spans="11:12" ht="12.75">
      <c r="K5691" s="12"/>
      <c r="L5691" s="12"/>
    </row>
    <row r="5692" spans="11:12" ht="12.75">
      <c r="K5692" s="12"/>
      <c r="L5692" s="12"/>
    </row>
    <row r="5693" spans="11:12" ht="12.75">
      <c r="K5693" s="12"/>
      <c r="L5693" s="12"/>
    </row>
    <row r="5694" spans="11:12" ht="12.75">
      <c r="K5694" s="12"/>
      <c r="L5694" s="12"/>
    </row>
    <row r="5695" spans="11:12" ht="12.75">
      <c r="K5695" s="12"/>
      <c r="L5695" s="12"/>
    </row>
    <row r="5696" spans="11:12" ht="12.75">
      <c r="K5696" s="12"/>
      <c r="L5696" s="12"/>
    </row>
    <row r="5697" spans="11:12" ht="12.75">
      <c r="K5697" s="12"/>
      <c r="L5697" s="12"/>
    </row>
    <row r="5698" spans="11:12" ht="12.75">
      <c r="K5698" s="12"/>
      <c r="L5698" s="12"/>
    </row>
    <row r="5699" spans="11:12" ht="12.75">
      <c r="K5699" s="12"/>
      <c r="L5699" s="12"/>
    </row>
    <row r="5700" spans="11:12" ht="12.75">
      <c r="K5700" s="12"/>
      <c r="L5700" s="12"/>
    </row>
    <row r="5701" spans="11:12" ht="12.75">
      <c r="K5701" s="12"/>
      <c r="L5701" s="12"/>
    </row>
    <row r="5702" spans="11:12" ht="12.75">
      <c r="K5702" s="12"/>
      <c r="L5702" s="12"/>
    </row>
    <row r="5703" spans="11:12" ht="12.75">
      <c r="K5703" s="12"/>
      <c r="L5703" s="12"/>
    </row>
    <row r="5704" spans="11:12" ht="12.75">
      <c r="K5704" s="12"/>
      <c r="L5704" s="12"/>
    </row>
    <row r="5705" spans="11:12" ht="12.75">
      <c r="K5705" s="12"/>
      <c r="L5705" s="12"/>
    </row>
    <row r="5706" spans="11:12" ht="12.75">
      <c r="K5706" s="12"/>
      <c r="L5706" s="12"/>
    </row>
    <row r="5707" spans="11:12" ht="12.75">
      <c r="K5707" s="12"/>
      <c r="L5707" s="12"/>
    </row>
    <row r="5708" spans="11:12" ht="12.75">
      <c r="K5708" s="12"/>
      <c r="L5708" s="12"/>
    </row>
    <row r="5709" spans="11:12" ht="12.75">
      <c r="K5709" s="12"/>
      <c r="L5709" s="12"/>
    </row>
    <row r="5710" spans="11:12" ht="12.75">
      <c r="K5710" s="12"/>
      <c r="L5710" s="12"/>
    </row>
    <row r="5711" spans="11:12" ht="12.75">
      <c r="K5711" s="12"/>
      <c r="L5711" s="12"/>
    </row>
    <row r="5712" spans="11:12" ht="12.75">
      <c r="K5712" s="12"/>
      <c r="L5712" s="12"/>
    </row>
    <row r="5713" spans="11:12" ht="12.75">
      <c r="K5713" s="12"/>
      <c r="L5713" s="12"/>
    </row>
    <row r="5714" spans="11:12" ht="12.75">
      <c r="K5714" s="12"/>
      <c r="L5714" s="12"/>
    </row>
    <row r="5715" spans="11:12" ht="12.75">
      <c r="K5715" s="12"/>
      <c r="L5715" s="12"/>
    </row>
    <row r="5716" spans="11:12" ht="12.75">
      <c r="K5716" s="12"/>
      <c r="L5716" s="12"/>
    </row>
    <row r="5717" spans="11:12" ht="12.75">
      <c r="K5717" s="12"/>
      <c r="L5717" s="12"/>
    </row>
    <row r="5718" spans="11:12" ht="12.75">
      <c r="K5718" s="12"/>
      <c r="L5718" s="12"/>
    </row>
    <row r="5719" spans="11:12" ht="12.75">
      <c r="K5719" s="12"/>
      <c r="L5719" s="12"/>
    </row>
    <row r="5720" spans="11:12" ht="12.75">
      <c r="K5720" s="12"/>
      <c r="L5720" s="12"/>
    </row>
    <row r="5721" spans="11:12" ht="12.75">
      <c r="K5721" s="12"/>
      <c r="L5721" s="12"/>
    </row>
    <row r="5722" spans="11:12" ht="12.75">
      <c r="K5722" s="12"/>
      <c r="L5722" s="12"/>
    </row>
    <row r="5723" spans="11:12" ht="12.75">
      <c r="K5723" s="12"/>
      <c r="L5723" s="12"/>
    </row>
    <row r="5724" spans="11:12" ht="12.75">
      <c r="K5724" s="12"/>
      <c r="L5724" s="12"/>
    </row>
    <row r="5725" spans="11:12" ht="12.75">
      <c r="K5725" s="12"/>
      <c r="L5725" s="12"/>
    </row>
    <row r="5726" spans="11:12" ht="12.75">
      <c r="K5726" s="12"/>
      <c r="L5726" s="12"/>
    </row>
    <row r="5727" spans="11:12" ht="12.75">
      <c r="K5727" s="12"/>
      <c r="L5727" s="12"/>
    </row>
    <row r="5728" spans="11:12" ht="12.75">
      <c r="K5728" s="12"/>
      <c r="L5728" s="12"/>
    </row>
    <row r="5729" spans="11:12" ht="12.75">
      <c r="K5729" s="12"/>
      <c r="L5729" s="12"/>
    </row>
    <row r="5730" spans="11:12" ht="12.75">
      <c r="K5730" s="12"/>
      <c r="L5730" s="12"/>
    </row>
    <row r="5731" spans="11:12" ht="12.75">
      <c r="K5731" s="12"/>
      <c r="L5731" s="12"/>
    </row>
    <row r="5732" spans="11:12" ht="12.75">
      <c r="K5732" s="12"/>
      <c r="L5732" s="12"/>
    </row>
    <row r="5733" spans="11:12" ht="12.75">
      <c r="K5733" s="12"/>
      <c r="L5733" s="12"/>
    </row>
    <row r="5734" spans="11:12" ht="12.75">
      <c r="K5734" s="12"/>
      <c r="L5734" s="12"/>
    </row>
    <row r="5735" spans="11:12" ht="12.75">
      <c r="K5735" s="12"/>
      <c r="L5735" s="12"/>
    </row>
    <row r="5736" spans="11:12" ht="12.75">
      <c r="K5736" s="12"/>
      <c r="L5736" s="12"/>
    </row>
    <row r="5737" spans="11:12" ht="12.75">
      <c r="K5737" s="12"/>
      <c r="L5737" s="12"/>
    </row>
    <row r="5738" spans="11:12" ht="12.75">
      <c r="K5738" s="12"/>
      <c r="L5738" s="12"/>
    </row>
    <row r="5739" spans="11:12" ht="12.75">
      <c r="K5739" s="12"/>
      <c r="L5739" s="12"/>
    </row>
    <row r="5740" spans="11:12" ht="12.75">
      <c r="K5740" s="12"/>
      <c r="L5740" s="12"/>
    </row>
    <row r="5741" spans="11:12" ht="12.75">
      <c r="K5741" s="12"/>
      <c r="L5741" s="12"/>
    </row>
    <row r="5742" spans="11:12" ht="12.75">
      <c r="K5742" s="12"/>
      <c r="L5742" s="12"/>
    </row>
    <row r="5743" spans="11:12" ht="12.75">
      <c r="K5743" s="12"/>
      <c r="L5743" s="12"/>
    </row>
    <row r="5744" spans="11:12" ht="12.75">
      <c r="K5744" s="12"/>
      <c r="L5744" s="12"/>
    </row>
    <row r="5745" spans="11:12" ht="12.75">
      <c r="K5745" s="12"/>
      <c r="L5745" s="12"/>
    </row>
    <row r="5746" spans="11:12" ht="12.75">
      <c r="K5746" s="12"/>
      <c r="L5746" s="12"/>
    </row>
    <row r="5747" spans="11:12" ht="12.75">
      <c r="K5747" s="12"/>
      <c r="L5747" s="12"/>
    </row>
    <row r="5748" spans="11:12" ht="12.75">
      <c r="K5748" s="12"/>
      <c r="L5748" s="12"/>
    </row>
    <row r="5749" spans="11:12" ht="12.75">
      <c r="K5749" s="12"/>
      <c r="L5749" s="12"/>
    </row>
    <row r="5750" spans="11:12" ht="12.75">
      <c r="K5750" s="12"/>
      <c r="L5750" s="12"/>
    </row>
    <row r="5751" spans="11:12" ht="12.75">
      <c r="K5751" s="12"/>
      <c r="L5751" s="12"/>
    </row>
    <row r="5752" spans="11:12" ht="12.75">
      <c r="K5752" s="12"/>
      <c r="L5752" s="12"/>
    </row>
    <row r="5753" spans="11:12" ht="12.75">
      <c r="K5753" s="12"/>
      <c r="L5753" s="12"/>
    </row>
    <row r="5754" spans="11:12" ht="12.75">
      <c r="K5754" s="12"/>
      <c r="L5754" s="12"/>
    </row>
    <row r="5755" spans="11:12" ht="12.75">
      <c r="K5755" s="12"/>
      <c r="L5755" s="12"/>
    </row>
    <row r="5756" spans="11:12" ht="12.75">
      <c r="K5756" s="12"/>
      <c r="L5756" s="12"/>
    </row>
    <row r="5757" spans="11:12" ht="12.75">
      <c r="K5757" s="12"/>
      <c r="L5757" s="12"/>
    </row>
    <row r="5758" spans="11:12" ht="12.75">
      <c r="K5758" s="12"/>
      <c r="L5758" s="12"/>
    </row>
    <row r="5759" spans="11:12" ht="12.75">
      <c r="K5759" s="12"/>
      <c r="L5759" s="12"/>
    </row>
    <row r="5760" spans="11:12" ht="12.75">
      <c r="K5760" s="12"/>
      <c r="L5760" s="12"/>
    </row>
    <row r="5761" spans="11:12" ht="12.75">
      <c r="K5761" s="12"/>
      <c r="L5761" s="12"/>
    </row>
    <row r="5762" spans="11:12" ht="12.75">
      <c r="K5762" s="12"/>
      <c r="L5762" s="12"/>
    </row>
    <row r="5763" spans="11:12" ht="12.75">
      <c r="K5763" s="12"/>
      <c r="L5763" s="12"/>
    </row>
    <row r="5764" spans="11:12" ht="12.75">
      <c r="K5764" s="12"/>
      <c r="L5764" s="12"/>
    </row>
    <row r="5765" spans="11:12" ht="12.75">
      <c r="K5765" s="12"/>
      <c r="L5765" s="12"/>
    </row>
    <row r="5766" spans="11:12" ht="12.75">
      <c r="K5766" s="12"/>
      <c r="L5766" s="12"/>
    </row>
    <row r="5767" spans="11:12" ht="12.75">
      <c r="K5767" s="12"/>
      <c r="L5767" s="12"/>
    </row>
    <row r="5768" spans="11:12" ht="12.75">
      <c r="K5768" s="12"/>
      <c r="L5768" s="12"/>
    </row>
    <row r="5769" spans="11:12" ht="12.75">
      <c r="K5769" s="12"/>
      <c r="L5769" s="12"/>
    </row>
    <row r="5770" spans="11:12" ht="12.75">
      <c r="K5770" s="12"/>
      <c r="L5770" s="12"/>
    </row>
    <row r="5771" spans="11:12" ht="12.75">
      <c r="K5771" s="12"/>
      <c r="L5771" s="12"/>
    </row>
    <row r="5772" spans="11:12" ht="12.75">
      <c r="K5772" s="12"/>
      <c r="L5772" s="12"/>
    </row>
    <row r="5773" spans="11:12" ht="12.75">
      <c r="K5773" s="12"/>
      <c r="L5773" s="12"/>
    </row>
    <row r="5774" spans="11:12" ht="12.75">
      <c r="K5774" s="12"/>
      <c r="L5774" s="12"/>
    </row>
    <row r="5775" spans="11:12" ht="12.75">
      <c r="K5775" s="12"/>
      <c r="L5775" s="12"/>
    </row>
    <row r="5776" spans="11:12" ht="12.75">
      <c r="K5776" s="12"/>
      <c r="L5776" s="12"/>
    </row>
    <row r="5777" spans="11:12" ht="12.75">
      <c r="K5777" s="12"/>
      <c r="L5777" s="12"/>
    </row>
    <row r="5778" spans="11:12" ht="12.75">
      <c r="K5778" s="12"/>
      <c r="L5778" s="12"/>
    </row>
    <row r="5779" spans="11:12" ht="12.75">
      <c r="K5779" s="12"/>
      <c r="L5779" s="12"/>
    </row>
    <row r="5780" spans="11:12" ht="12.75">
      <c r="K5780" s="12"/>
      <c r="L5780" s="12"/>
    </row>
    <row r="5781" spans="11:12" ht="12.75">
      <c r="K5781" s="12"/>
      <c r="L5781" s="12"/>
    </row>
    <row r="5782" spans="11:12" ht="12.75">
      <c r="K5782" s="12"/>
      <c r="L5782" s="12"/>
    </row>
    <row r="5783" spans="11:12" ht="12.75">
      <c r="K5783" s="12"/>
      <c r="L5783" s="12"/>
    </row>
    <row r="5784" spans="11:12" ht="12.75">
      <c r="K5784" s="12"/>
      <c r="L5784" s="12"/>
    </row>
    <row r="5785" spans="11:12" ht="12.75">
      <c r="K5785" s="12"/>
      <c r="L5785" s="12"/>
    </row>
    <row r="5786" spans="11:12" ht="12.75">
      <c r="K5786" s="12"/>
      <c r="L5786" s="12"/>
    </row>
    <row r="5787" spans="11:12" ht="12.75">
      <c r="K5787" s="12"/>
      <c r="L5787" s="12"/>
    </row>
    <row r="5788" spans="11:12" ht="12.75">
      <c r="K5788" s="12"/>
      <c r="L5788" s="12"/>
    </row>
    <row r="5789" spans="11:12" ht="12.75">
      <c r="K5789" s="12"/>
      <c r="L5789" s="12"/>
    </row>
    <row r="5790" spans="11:12" ht="12.75">
      <c r="K5790" s="12"/>
      <c r="L5790" s="12"/>
    </row>
    <row r="5791" spans="11:12" ht="12.75">
      <c r="K5791" s="12"/>
      <c r="L5791" s="12"/>
    </row>
    <row r="5792" spans="11:12" ht="12.75">
      <c r="K5792" s="12"/>
      <c r="L5792" s="12"/>
    </row>
    <row r="5793" spans="11:12" ht="12.75">
      <c r="K5793" s="12"/>
      <c r="L5793" s="12"/>
    </row>
    <row r="5794" spans="11:12" ht="12.75">
      <c r="K5794" s="12"/>
      <c r="L5794" s="12"/>
    </row>
    <row r="5795" spans="11:12" ht="12.75">
      <c r="K5795" s="12"/>
      <c r="L5795" s="12"/>
    </row>
    <row r="5796" spans="11:12" ht="12.75">
      <c r="K5796" s="12"/>
      <c r="L5796" s="12"/>
    </row>
    <row r="5797" spans="11:12" ht="12.75">
      <c r="K5797" s="12"/>
      <c r="L5797" s="12"/>
    </row>
    <row r="5798" spans="11:12" ht="12.75">
      <c r="K5798" s="12"/>
      <c r="L5798" s="12"/>
    </row>
    <row r="5799" spans="11:12" ht="12.75">
      <c r="K5799" s="12"/>
      <c r="L5799" s="12"/>
    </row>
    <row r="5800" spans="11:12" ht="12.75">
      <c r="K5800" s="12"/>
      <c r="L5800" s="12"/>
    </row>
    <row r="5801" spans="11:12" ht="12.75">
      <c r="K5801" s="12"/>
      <c r="L5801" s="12"/>
    </row>
    <row r="5802" spans="11:12" ht="12.75">
      <c r="K5802" s="12"/>
      <c r="L5802" s="12"/>
    </row>
    <row r="5803" spans="11:12" ht="12.75">
      <c r="K5803" s="12"/>
      <c r="L5803" s="12"/>
    </row>
    <row r="5804" spans="11:12" ht="12.75">
      <c r="K5804" s="12"/>
      <c r="L5804" s="12"/>
    </row>
    <row r="5805" spans="11:12" ht="12.75">
      <c r="K5805" s="12"/>
      <c r="L5805" s="12"/>
    </row>
    <row r="5806" spans="11:12" ht="12.75">
      <c r="K5806" s="12"/>
      <c r="L5806" s="12"/>
    </row>
    <row r="5807" spans="11:12" ht="12.75">
      <c r="K5807" s="12"/>
      <c r="L5807" s="12"/>
    </row>
    <row r="5808" spans="11:12" ht="12.75">
      <c r="K5808" s="12"/>
      <c r="L5808" s="12"/>
    </row>
    <row r="5809" spans="11:12" ht="12.75">
      <c r="K5809" s="12"/>
      <c r="L5809" s="12"/>
    </row>
    <row r="5810" spans="11:12" ht="12.75">
      <c r="K5810" s="12"/>
      <c r="L5810" s="12"/>
    </row>
    <row r="5811" spans="11:12" ht="12.75">
      <c r="K5811" s="12"/>
      <c r="L5811" s="12"/>
    </row>
    <row r="5812" spans="11:12" ht="12.75">
      <c r="K5812" s="12"/>
      <c r="L5812" s="12"/>
    </row>
    <row r="5813" spans="11:12" ht="12.75">
      <c r="K5813" s="12"/>
      <c r="L5813" s="12"/>
    </row>
    <row r="5814" spans="11:12" ht="12.75">
      <c r="K5814" s="12"/>
      <c r="L5814" s="12"/>
    </row>
    <row r="5815" spans="11:12" ht="12.75">
      <c r="K5815" s="12"/>
      <c r="L5815" s="12"/>
    </row>
    <row r="5816" spans="11:12" ht="12.75">
      <c r="K5816" s="12"/>
      <c r="L5816" s="12"/>
    </row>
    <row r="5817" spans="11:12" ht="12.75">
      <c r="K5817" s="12"/>
      <c r="L5817" s="12"/>
    </row>
    <row r="5818" spans="11:12" ht="12.75">
      <c r="K5818" s="12"/>
      <c r="L5818" s="12"/>
    </row>
    <row r="5819" spans="11:12" ht="12.75">
      <c r="K5819" s="12"/>
      <c r="L5819" s="12"/>
    </row>
    <row r="5820" spans="11:12" ht="12.75">
      <c r="K5820" s="12"/>
      <c r="L5820" s="12"/>
    </row>
    <row r="5821" spans="11:12" ht="12.75">
      <c r="K5821" s="12"/>
      <c r="L5821" s="12"/>
    </row>
    <row r="5822" spans="11:12" ht="12.75">
      <c r="K5822" s="12"/>
      <c r="L5822" s="12"/>
    </row>
    <row r="5823" spans="11:12" ht="12.75">
      <c r="K5823" s="12"/>
      <c r="L5823" s="12"/>
    </row>
    <row r="5824" spans="11:12" ht="12.75">
      <c r="K5824" s="12"/>
      <c r="L5824" s="12"/>
    </row>
    <row r="5825" spans="11:12" ht="12.75">
      <c r="K5825" s="12"/>
      <c r="L5825" s="12"/>
    </row>
    <row r="5826" spans="11:12" ht="12.75">
      <c r="K5826" s="12"/>
      <c r="L5826" s="12"/>
    </row>
    <row r="5827" spans="11:12" ht="12.75">
      <c r="K5827" s="12"/>
      <c r="L5827" s="12"/>
    </row>
    <row r="5828" spans="11:12" ht="12.75">
      <c r="K5828" s="12"/>
      <c r="L5828" s="12"/>
    </row>
    <row r="5829" spans="11:12" ht="12.75">
      <c r="K5829" s="12"/>
      <c r="L5829" s="12"/>
    </row>
    <row r="5830" spans="11:12" ht="12.75">
      <c r="K5830" s="12"/>
      <c r="L5830" s="12"/>
    </row>
    <row r="5831" spans="11:12" ht="12.75">
      <c r="K5831" s="12"/>
      <c r="L5831" s="12"/>
    </row>
    <row r="5832" spans="11:12" ht="12.75">
      <c r="K5832" s="12"/>
      <c r="L5832" s="12"/>
    </row>
    <row r="5833" spans="11:12" ht="12.75">
      <c r="K5833" s="12"/>
      <c r="L5833" s="12"/>
    </row>
    <row r="5834" spans="11:12" ht="12.75">
      <c r="K5834" s="12"/>
      <c r="L5834" s="12"/>
    </row>
    <row r="5835" spans="11:12" ht="12.75">
      <c r="K5835" s="12"/>
      <c r="L5835" s="12"/>
    </row>
    <row r="5836" spans="11:12" ht="12.75">
      <c r="K5836" s="12"/>
      <c r="L5836" s="12"/>
    </row>
    <row r="5837" spans="11:12" ht="12.75">
      <c r="K5837" s="12"/>
      <c r="L5837" s="12"/>
    </row>
    <row r="5838" spans="11:12" ht="12.75">
      <c r="K5838" s="12"/>
      <c r="L5838" s="12"/>
    </row>
    <row r="5839" spans="11:12" ht="12.75">
      <c r="K5839" s="12"/>
      <c r="L5839" s="12"/>
    </row>
    <row r="5840" spans="11:12" ht="12.75">
      <c r="K5840" s="12"/>
      <c r="L5840" s="12"/>
    </row>
    <row r="5841" spans="11:12" ht="12.75">
      <c r="K5841" s="12"/>
      <c r="L5841" s="12"/>
    </row>
    <row r="5842" spans="11:12" ht="12.75">
      <c r="K5842" s="12"/>
      <c r="L5842" s="12"/>
    </row>
    <row r="5843" spans="11:12" ht="12.75">
      <c r="K5843" s="12"/>
      <c r="L5843" s="12"/>
    </row>
    <row r="5844" spans="11:12" ht="12.75">
      <c r="K5844" s="12"/>
      <c r="L5844" s="12"/>
    </row>
    <row r="5845" spans="11:12" ht="12.75">
      <c r="K5845" s="12"/>
      <c r="L5845" s="12"/>
    </row>
    <row r="5846" spans="11:12" ht="12.75">
      <c r="K5846" s="12"/>
      <c r="L5846" s="12"/>
    </row>
    <row r="5847" spans="11:12" ht="12.75">
      <c r="K5847" s="12"/>
      <c r="L5847" s="12"/>
    </row>
    <row r="5848" spans="11:12" ht="12.75">
      <c r="K5848" s="12"/>
      <c r="L5848" s="12"/>
    </row>
    <row r="5849" spans="11:12" ht="12.75">
      <c r="K5849" s="12"/>
      <c r="L5849" s="12"/>
    </row>
    <row r="5850" spans="11:12" ht="12.75">
      <c r="K5850" s="12"/>
      <c r="L5850" s="12"/>
    </row>
    <row r="5851" spans="11:12" ht="12.75">
      <c r="K5851" s="12"/>
      <c r="L5851" s="12"/>
    </row>
    <row r="5852" spans="11:12" ht="12.75">
      <c r="K5852" s="12"/>
      <c r="L5852" s="12"/>
    </row>
    <row r="5853" spans="11:12" ht="12.75">
      <c r="K5853" s="12"/>
      <c r="L5853" s="12"/>
    </row>
    <row r="5854" spans="11:12" ht="12.75">
      <c r="K5854" s="12"/>
      <c r="L5854" s="12"/>
    </row>
    <row r="5855" spans="11:12" ht="12.75">
      <c r="K5855" s="12"/>
      <c r="L5855" s="12"/>
    </row>
    <row r="5856" spans="11:12" ht="12.75">
      <c r="K5856" s="12"/>
      <c r="L5856" s="12"/>
    </row>
    <row r="5857" spans="11:12" ht="12.75">
      <c r="K5857" s="12"/>
      <c r="L5857" s="12"/>
    </row>
    <row r="5858" spans="11:12" ht="12.75">
      <c r="K5858" s="12"/>
      <c r="L5858" s="12"/>
    </row>
    <row r="5859" spans="11:12" ht="12.75">
      <c r="K5859" s="12"/>
      <c r="L5859" s="12"/>
    </row>
    <row r="5860" spans="11:12" ht="12.75">
      <c r="K5860" s="12"/>
      <c r="L5860" s="12"/>
    </row>
    <row r="5861" spans="11:12" ht="12.75">
      <c r="K5861" s="12"/>
      <c r="L5861" s="12"/>
    </row>
    <row r="5862" spans="11:12" ht="12.75">
      <c r="K5862" s="12"/>
      <c r="L5862" s="12"/>
    </row>
    <row r="5863" spans="11:12" ht="12.75">
      <c r="K5863" s="12"/>
      <c r="L5863" s="12"/>
    </row>
    <row r="5864" spans="11:12" ht="12.75">
      <c r="K5864" s="12"/>
      <c r="L5864" s="12"/>
    </row>
    <row r="5865" spans="11:12" ht="12.75">
      <c r="K5865" s="12"/>
      <c r="L5865" s="12"/>
    </row>
    <row r="5866" spans="11:12" ht="12.75">
      <c r="K5866" s="12"/>
      <c r="L5866" s="12"/>
    </row>
    <row r="5867" spans="11:12" ht="12.75">
      <c r="K5867" s="12"/>
      <c r="L5867" s="12"/>
    </row>
    <row r="5868" spans="11:12" ht="12.75">
      <c r="K5868" s="12"/>
      <c r="L5868" s="12"/>
    </row>
    <row r="5869" spans="11:12" ht="12.75">
      <c r="K5869" s="12"/>
      <c r="L5869" s="12"/>
    </row>
    <row r="5870" spans="11:12" ht="12.75">
      <c r="K5870" s="12"/>
      <c r="L5870" s="12"/>
    </row>
    <row r="5871" spans="11:12" ht="12.75">
      <c r="K5871" s="12"/>
      <c r="L5871" s="12"/>
    </row>
    <row r="5872" spans="11:12" ht="12.75">
      <c r="K5872" s="12"/>
      <c r="L5872" s="12"/>
    </row>
    <row r="5873" spans="11:12" ht="12.75">
      <c r="K5873" s="12"/>
      <c r="L5873" s="12"/>
    </row>
    <row r="5874" spans="11:12" ht="12.75">
      <c r="K5874" s="12"/>
      <c r="L5874" s="12"/>
    </row>
    <row r="5875" spans="11:12" ht="12.75">
      <c r="K5875" s="12"/>
      <c r="L5875" s="12"/>
    </row>
    <row r="5876" spans="11:12" ht="12.75">
      <c r="K5876" s="12"/>
      <c r="L5876" s="12"/>
    </row>
    <row r="5877" spans="11:12" ht="12.75">
      <c r="K5877" s="12"/>
      <c r="L5877" s="12"/>
    </row>
    <row r="5878" spans="11:12" ht="12.75">
      <c r="K5878" s="12"/>
      <c r="L5878" s="12"/>
    </row>
    <row r="5879" spans="11:12" ht="12.75">
      <c r="K5879" s="12"/>
      <c r="L5879" s="12"/>
    </row>
    <row r="5880" spans="11:12" ht="12.75">
      <c r="K5880" s="12"/>
      <c r="L5880" s="12"/>
    </row>
    <row r="5881" spans="11:12" ht="12.75">
      <c r="K5881" s="12"/>
      <c r="L5881" s="12"/>
    </row>
    <row r="5882" spans="11:12" ht="12.75">
      <c r="K5882" s="12"/>
      <c r="L5882" s="12"/>
    </row>
    <row r="5883" spans="11:12" ht="12.75">
      <c r="K5883" s="12"/>
      <c r="L5883" s="12"/>
    </row>
    <row r="5884" spans="11:12" ht="12.75">
      <c r="K5884" s="12"/>
      <c r="L5884" s="12"/>
    </row>
    <row r="5885" spans="11:12" ht="12.75">
      <c r="K5885" s="12"/>
      <c r="L5885" s="12"/>
    </row>
    <row r="5886" spans="11:12" ht="12.75">
      <c r="K5886" s="12"/>
      <c r="L5886" s="12"/>
    </row>
    <row r="5887" spans="11:12" ht="12.75">
      <c r="K5887" s="12"/>
      <c r="L5887" s="12"/>
    </row>
    <row r="5888" spans="11:12" ht="12.75">
      <c r="K5888" s="12"/>
      <c r="L5888" s="12"/>
    </row>
    <row r="5889" spans="11:12" ht="12.75">
      <c r="K5889" s="12"/>
      <c r="L5889" s="12"/>
    </row>
    <row r="5890" spans="11:12" ht="12.75">
      <c r="K5890" s="12"/>
      <c r="L5890" s="12"/>
    </row>
    <row r="5891" spans="11:12" ht="12.75">
      <c r="K5891" s="12"/>
      <c r="L5891" s="12"/>
    </row>
    <row r="5892" spans="11:12" ht="12.75">
      <c r="K5892" s="12"/>
      <c r="L5892" s="12"/>
    </row>
    <row r="5893" spans="11:12" ht="12.75">
      <c r="K5893" s="12"/>
      <c r="L5893" s="12"/>
    </row>
    <row r="5894" spans="11:12" ht="12.75">
      <c r="K5894" s="12"/>
      <c r="L5894" s="12"/>
    </row>
    <row r="5895" spans="11:12" ht="12.75">
      <c r="K5895" s="12"/>
      <c r="L5895" s="12"/>
    </row>
    <row r="5896" spans="11:12" ht="12.75">
      <c r="K5896" s="12"/>
      <c r="L5896" s="12"/>
    </row>
    <row r="5897" spans="11:12" ht="12.75">
      <c r="K5897" s="12"/>
      <c r="L5897" s="12"/>
    </row>
    <row r="5898" spans="11:12" ht="12.75">
      <c r="K5898" s="12"/>
      <c r="L5898" s="12"/>
    </row>
    <row r="5899" spans="11:12" ht="12.75">
      <c r="K5899" s="12"/>
      <c r="L5899" s="12"/>
    </row>
    <row r="5900" spans="11:12" ht="12.75">
      <c r="K5900" s="12"/>
      <c r="L5900" s="12"/>
    </row>
    <row r="5901" spans="11:12" ht="12.75">
      <c r="K5901" s="12"/>
      <c r="L5901" s="12"/>
    </row>
    <row r="5902" spans="11:12" ht="12.75">
      <c r="K5902" s="12"/>
      <c r="L5902" s="12"/>
    </row>
    <row r="5903" spans="11:12" ht="12.75">
      <c r="K5903" s="12"/>
      <c r="L5903" s="12"/>
    </row>
    <row r="5904" spans="11:12" ht="12.75">
      <c r="K5904" s="12"/>
      <c r="L5904" s="12"/>
    </row>
    <row r="5905" spans="11:12" ht="12.75">
      <c r="K5905" s="12"/>
      <c r="L5905" s="12"/>
    </row>
    <row r="5906" spans="11:12" ht="12.75">
      <c r="K5906" s="12"/>
      <c r="L5906" s="12"/>
    </row>
    <row r="5907" spans="11:12" ht="12.75">
      <c r="K5907" s="12"/>
      <c r="L5907" s="12"/>
    </row>
    <row r="5908" spans="11:12" ht="12.75">
      <c r="K5908" s="12"/>
      <c r="L5908" s="12"/>
    </row>
    <row r="5909" spans="11:12" ht="12.75">
      <c r="K5909" s="12"/>
      <c r="L5909" s="12"/>
    </row>
    <row r="5910" spans="11:12" ht="12.75">
      <c r="K5910" s="12"/>
      <c r="L5910" s="12"/>
    </row>
    <row r="5911" spans="11:12" ht="12.75">
      <c r="K5911" s="12"/>
      <c r="L5911" s="12"/>
    </row>
    <row r="5912" spans="11:12" ht="12.75">
      <c r="K5912" s="12"/>
      <c r="L5912" s="12"/>
    </row>
    <row r="5913" spans="11:12" ht="12.75">
      <c r="K5913" s="12"/>
      <c r="L5913" s="12"/>
    </row>
    <row r="5914" spans="11:12" ht="12.75">
      <c r="K5914" s="12"/>
      <c r="L5914" s="12"/>
    </row>
    <row r="5915" spans="11:12" ht="12.75">
      <c r="K5915" s="12"/>
      <c r="L5915" s="12"/>
    </row>
    <row r="5916" spans="11:12" ht="12.75">
      <c r="K5916" s="12"/>
      <c r="L5916" s="12"/>
    </row>
    <row r="5917" spans="11:12" ht="12.75">
      <c r="K5917" s="12"/>
      <c r="L5917" s="12"/>
    </row>
    <row r="5918" spans="11:12" ht="12.75">
      <c r="K5918" s="12"/>
      <c r="L5918" s="12"/>
    </row>
    <row r="5919" spans="11:12" ht="12.75">
      <c r="K5919" s="12"/>
      <c r="L5919" s="12"/>
    </row>
    <row r="5920" spans="11:12" ht="12.75">
      <c r="K5920" s="12"/>
      <c r="L5920" s="12"/>
    </row>
    <row r="5921" spans="11:12" ht="12.75">
      <c r="K5921" s="12"/>
      <c r="L5921" s="12"/>
    </row>
    <row r="5922" spans="11:12" ht="12.75">
      <c r="K5922" s="12"/>
      <c r="L5922" s="12"/>
    </row>
    <row r="5923" spans="11:12" ht="12.75">
      <c r="K5923" s="12"/>
      <c r="L5923" s="12"/>
    </row>
    <row r="5924" spans="11:12" ht="12.75">
      <c r="K5924" s="12"/>
      <c r="L5924" s="12"/>
    </row>
    <row r="5925" spans="11:12" ht="12.75">
      <c r="K5925" s="12"/>
      <c r="L5925" s="12"/>
    </row>
    <row r="5926" spans="11:12" ht="12.75">
      <c r="K5926" s="12"/>
      <c r="L5926" s="12"/>
    </row>
    <row r="5927" spans="11:12" ht="12.75">
      <c r="K5927" s="12"/>
      <c r="L5927" s="12"/>
    </row>
    <row r="5928" spans="11:12" ht="12.75">
      <c r="K5928" s="12"/>
      <c r="L5928" s="12"/>
    </row>
    <row r="5929" spans="11:12" ht="12.75">
      <c r="K5929" s="12"/>
      <c r="L5929" s="12"/>
    </row>
    <row r="5930" spans="11:12" ht="12.75">
      <c r="K5930" s="12"/>
      <c r="L5930" s="12"/>
    </row>
    <row r="5931" spans="11:12" ht="12.75">
      <c r="K5931" s="12"/>
      <c r="L5931" s="12"/>
    </row>
    <row r="5932" spans="11:12" ht="12.75">
      <c r="K5932" s="12"/>
      <c r="L5932" s="12"/>
    </row>
    <row r="5933" spans="11:12" ht="12.75">
      <c r="K5933" s="12"/>
      <c r="L5933" s="12"/>
    </row>
    <row r="5934" spans="11:12" ht="12.75">
      <c r="K5934" s="12"/>
      <c r="L5934" s="12"/>
    </row>
    <row r="5935" spans="11:12" ht="12.75">
      <c r="K5935" s="12"/>
      <c r="L5935" s="12"/>
    </row>
    <row r="5936" spans="11:12" ht="12.75">
      <c r="K5936" s="12"/>
      <c r="L5936" s="12"/>
    </row>
    <row r="5937" spans="11:12" ht="12.75">
      <c r="K5937" s="12"/>
      <c r="L5937" s="12"/>
    </row>
    <row r="5938" spans="11:12" ht="12.75">
      <c r="K5938" s="12"/>
      <c r="L5938" s="12"/>
    </row>
    <row r="5939" spans="11:12" ht="12.75">
      <c r="K5939" s="12"/>
      <c r="L5939" s="12"/>
    </row>
    <row r="5940" spans="11:12" ht="12.75">
      <c r="K5940" s="12"/>
      <c r="L5940" s="12"/>
    </row>
    <row r="5941" spans="11:12" ht="12.75">
      <c r="K5941" s="12"/>
      <c r="L5941" s="12"/>
    </row>
    <row r="5942" spans="11:12" ht="12.75">
      <c r="K5942" s="12"/>
      <c r="L5942" s="12"/>
    </row>
    <row r="5943" spans="11:12" ht="12.75">
      <c r="K5943" s="12"/>
      <c r="L5943" s="12"/>
    </row>
    <row r="5944" spans="11:12" ht="12.75">
      <c r="K5944" s="12"/>
      <c r="L5944" s="12"/>
    </row>
    <row r="5945" spans="11:12" ht="12.75">
      <c r="K5945" s="12"/>
      <c r="L5945" s="12"/>
    </row>
    <row r="5946" spans="11:12" ht="12.75">
      <c r="K5946" s="12"/>
      <c r="L5946" s="12"/>
    </row>
    <row r="5947" spans="11:12" ht="12.75">
      <c r="K5947" s="12"/>
      <c r="L5947" s="12"/>
    </row>
    <row r="5948" spans="11:12" ht="12.75">
      <c r="K5948" s="12"/>
      <c r="L5948" s="12"/>
    </row>
    <row r="5949" spans="11:12" ht="12.75">
      <c r="K5949" s="12"/>
      <c r="L5949" s="12"/>
    </row>
    <row r="5950" spans="11:12" ht="12.75">
      <c r="K5950" s="12"/>
      <c r="L5950" s="12"/>
    </row>
    <row r="5951" spans="11:12" ht="12.75">
      <c r="K5951" s="12"/>
      <c r="L5951" s="12"/>
    </row>
    <row r="5952" spans="11:12" ht="12.75">
      <c r="K5952" s="12"/>
      <c r="L5952" s="12"/>
    </row>
    <row r="5953" spans="11:12" ht="12.75">
      <c r="K5953" s="12"/>
      <c r="L5953" s="12"/>
    </row>
    <row r="5954" spans="11:12" ht="12.75">
      <c r="K5954" s="12"/>
      <c r="L5954" s="12"/>
    </row>
    <row r="5955" spans="11:12" ht="12.75">
      <c r="K5955" s="12"/>
      <c r="L5955" s="12"/>
    </row>
    <row r="5956" spans="11:12" ht="12.75">
      <c r="K5956" s="12"/>
      <c r="L5956" s="12"/>
    </row>
    <row r="5957" spans="11:12" ht="12.75">
      <c r="K5957" s="12"/>
      <c r="L5957" s="12"/>
    </row>
    <row r="5958" spans="11:12" ht="12.75">
      <c r="K5958" s="12"/>
      <c r="L5958" s="12"/>
    </row>
    <row r="5959" spans="11:12" ht="12.75">
      <c r="K5959" s="12"/>
      <c r="L5959" s="12"/>
    </row>
    <row r="5960" spans="11:12" ht="12.75">
      <c r="K5960" s="12"/>
      <c r="L5960" s="12"/>
    </row>
    <row r="5961" spans="11:12" ht="12.75">
      <c r="K5961" s="12"/>
      <c r="L5961" s="12"/>
    </row>
    <row r="5962" spans="11:12" ht="12.75">
      <c r="K5962" s="12"/>
      <c r="L5962" s="12"/>
    </row>
    <row r="5963" spans="11:12" ht="12.75">
      <c r="K5963" s="12"/>
      <c r="L5963" s="12"/>
    </row>
    <row r="5964" spans="11:12" ht="12.75">
      <c r="K5964" s="12"/>
      <c r="L5964" s="12"/>
    </row>
    <row r="5965" spans="11:12" ht="12.75">
      <c r="K5965" s="12"/>
      <c r="L5965" s="12"/>
    </row>
    <row r="5966" spans="11:12" ht="12.75">
      <c r="K5966" s="12"/>
      <c r="L5966" s="12"/>
    </row>
    <row r="5967" spans="11:12" ht="12.75">
      <c r="K5967" s="12"/>
      <c r="L5967" s="12"/>
    </row>
    <row r="5968" spans="11:12" ht="12.75">
      <c r="K5968" s="12"/>
      <c r="L5968" s="12"/>
    </row>
    <row r="5969" spans="11:12" ht="12.75">
      <c r="K5969" s="12"/>
      <c r="L5969" s="12"/>
    </row>
    <row r="5970" spans="11:12" ht="12.75">
      <c r="K5970" s="12"/>
      <c r="L5970" s="12"/>
    </row>
    <row r="5971" spans="11:12" ht="12.75">
      <c r="K5971" s="12"/>
      <c r="L5971" s="12"/>
    </row>
    <row r="5972" spans="11:12" ht="12.75">
      <c r="K5972" s="12"/>
      <c r="L5972" s="12"/>
    </row>
    <row r="5973" spans="11:12" ht="12.75">
      <c r="K5973" s="12"/>
      <c r="L5973" s="12"/>
    </row>
    <row r="5974" spans="11:12" ht="12.75">
      <c r="K5974" s="12"/>
      <c r="L5974" s="12"/>
    </row>
    <row r="5975" spans="11:12" ht="12.75">
      <c r="K5975" s="12"/>
      <c r="L5975" s="12"/>
    </row>
    <row r="5976" spans="11:12" ht="12.75">
      <c r="K5976" s="12"/>
      <c r="L5976" s="12"/>
    </row>
    <row r="5977" spans="11:12" ht="12.75">
      <c r="K5977" s="12"/>
      <c r="L5977" s="12"/>
    </row>
    <row r="5978" spans="11:12" ht="12.75">
      <c r="K5978" s="12"/>
      <c r="L5978" s="12"/>
    </row>
    <row r="5979" spans="11:12" ht="12.75">
      <c r="K5979" s="12"/>
      <c r="L5979" s="12"/>
    </row>
    <row r="5980" spans="11:12" ht="12.75">
      <c r="K5980" s="12"/>
      <c r="L5980" s="12"/>
    </row>
    <row r="5981" spans="11:12" ht="12.75">
      <c r="K5981" s="12"/>
      <c r="L5981" s="12"/>
    </row>
    <row r="5982" spans="11:12" ht="12.75">
      <c r="K5982" s="12"/>
      <c r="L5982" s="12"/>
    </row>
    <row r="5983" spans="11:12" ht="12.75">
      <c r="K5983" s="12"/>
      <c r="L5983" s="12"/>
    </row>
    <row r="5984" spans="11:12" ht="12.75">
      <c r="K5984" s="12"/>
      <c r="L5984" s="12"/>
    </row>
    <row r="5985" spans="11:12" ht="12.75">
      <c r="K5985" s="12"/>
      <c r="L5985" s="12"/>
    </row>
    <row r="5986" spans="11:12" ht="12.75">
      <c r="K5986" s="12"/>
      <c r="L5986" s="12"/>
    </row>
    <row r="5987" spans="11:12" ht="12.75">
      <c r="K5987" s="12"/>
      <c r="L5987" s="12"/>
    </row>
    <row r="5988" spans="11:12" ht="12.75">
      <c r="K5988" s="12"/>
      <c r="L5988" s="12"/>
    </row>
    <row r="5989" spans="11:12" ht="12.75">
      <c r="K5989" s="12"/>
      <c r="L5989" s="12"/>
    </row>
    <row r="5990" spans="11:12" ht="12.75">
      <c r="K5990" s="12"/>
      <c r="L5990" s="12"/>
    </row>
    <row r="5991" spans="11:12" ht="12.75">
      <c r="K5991" s="12"/>
      <c r="L5991" s="12"/>
    </row>
    <row r="5992" spans="11:12" ht="12.75">
      <c r="K5992" s="12"/>
      <c r="L5992" s="12"/>
    </row>
    <row r="5993" spans="11:12" ht="12.75">
      <c r="K5993" s="12"/>
      <c r="L5993" s="12"/>
    </row>
    <row r="5994" spans="11:12" ht="12.75">
      <c r="K5994" s="12"/>
      <c r="L5994" s="12"/>
    </row>
    <row r="5995" spans="11:12" ht="12.75">
      <c r="K5995" s="12"/>
      <c r="L5995" s="12"/>
    </row>
    <row r="5996" spans="11:12" ht="12.75">
      <c r="K5996" s="12"/>
      <c r="L5996" s="12"/>
    </row>
    <row r="5997" spans="11:12" ht="12.75">
      <c r="K5997" s="12"/>
      <c r="L5997" s="12"/>
    </row>
    <row r="5998" spans="11:12" ht="12.75">
      <c r="K5998" s="12"/>
      <c r="L5998" s="12"/>
    </row>
    <row r="5999" spans="11:12" ht="12.75">
      <c r="K5999" s="12"/>
      <c r="L5999" s="12"/>
    </row>
    <row r="6000" spans="11:12" ht="12.75">
      <c r="K6000" s="12"/>
      <c r="L6000" s="12"/>
    </row>
    <row r="6001" spans="11:12" ht="12.75">
      <c r="K6001" s="12"/>
      <c r="L6001" s="12"/>
    </row>
    <row r="6002" spans="11:12" ht="12.75">
      <c r="K6002" s="12"/>
      <c r="L6002" s="12"/>
    </row>
    <row r="6003" spans="11:12" ht="12.75">
      <c r="K6003" s="12"/>
      <c r="L6003" s="12"/>
    </row>
    <row r="6004" spans="11:12" ht="12.75">
      <c r="K6004" s="12"/>
      <c r="L6004" s="12"/>
    </row>
    <row r="6005" spans="11:12" ht="12.75">
      <c r="K6005" s="12"/>
      <c r="L6005" s="12"/>
    </row>
    <row r="6006" spans="11:12" ht="12.75">
      <c r="K6006" s="12"/>
      <c r="L6006" s="12"/>
    </row>
    <row r="6007" spans="11:12" ht="12.75">
      <c r="K6007" s="12"/>
      <c r="L6007" s="12"/>
    </row>
    <row r="6008" spans="11:12" ht="12.75">
      <c r="K6008" s="12"/>
      <c r="L6008" s="12"/>
    </row>
    <row r="6009" spans="11:12" ht="12.75">
      <c r="K6009" s="12"/>
      <c r="L6009" s="12"/>
    </row>
    <row r="6010" spans="11:12" ht="12.75">
      <c r="K6010" s="12"/>
      <c r="L6010" s="12"/>
    </row>
    <row r="6011" spans="11:12" ht="12.75">
      <c r="K6011" s="12"/>
      <c r="L6011" s="12"/>
    </row>
    <row r="6012" spans="11:12" ht="12.75">
      <c r="K6012" s="12"/>
      <c r="L6012" s="12"/>
    </row>
    <row r="6013" spans="11:12" ht="12.75">
      <c r="K6013" s="12"/>
      <c r="L6013" s="12"/>
    </row>
    <row r="6014" spans="11:12" ht="12.75">
      <c r="K6014" s="12"/>
      <c r="L6014" s="12"/>
    </row>
    <row r="6015" spans="11:12" ht="12.75">
      <c r="K6015" s="12"/>
      <c r="L6015" s="12"/>
    </row>
    <row r="6016" spans="11:12" ht="12.75">
      <c r="K6016" s="12"/>
      <c r="L6016" s="12"/>
    </row>
    <row r="6017" spans="11:12" ht="12.75">
      <c r="K6017" s="12"/>
      <c r="L6017" s="12"/>
    </row>
    <row r="6018" spans="11:12" ht="12.75">
      <c r="K6018" s="12"/>
      <c r="L6018" s="12"/>
    </row>
    <row r="6019" spans="11:12" ht="12.75">
      <c r="K6019" s="12"/>
      <c r="L6019" s="12"/>
    </row>
    <row r="6020" spans="11:12" ht="12.75">
      <c r="K6020" s="12"/>
      <c r="L6020" s="12"/>
    </row>
    <row r="6021" spans="11:12" ht="12.75">
      <c r="K6021" s="12"/>
      <c r="L6021" s="12"/>
    </row>
    <row r="6022" spans="11:12" ht="12.75">
      <c r="K6022" s="12"/>
      <c r="L6022" s="12"/>
    </row>
    <row r="6023" spans="11:12" ht="12.75">
      <c r="K6023" s="12"/>
      <c r="L6023" s="12"/>
    </row>
    <row r="6024" spans="11:12" ht="12.75">
      <c r="K6024" s="12"/>
      <c r="L6024" s="12"/>
    </row>
    <row r="6025" spans="11:12" ht="12.75">
      <c r="K6025" s="12"/>
      <c r="L6025" s="12"/>
    </row>
    <row r="6026" spans="11:12" ht="12.75">
      <c r="K6026" s="12"/>
      <c r="L6026" s="12"/>
    </row>
    <row r="6027" spans="11:12" ht="12.75">
      <c r="K6027" s="12"/>
      <c r="L6027" s="12"/>
    </row>
    <row r="6028" spans="11:12" ht="12.75">
      <c r="K6028" s="12"/>
      <c r="L6028" s="12"/>
    </row>
    <row r="6029" spans="11:12" ht="12.75">
      <c r="K6029" s="12"/>
      <c r="L6029" s="12"/>
    </row>
    <row r="6030" spans="11:12" ht="12.75">
      <c r="K6030" s="12"/>
      <c r="L6030" s="12"/>
    </row>
    <row r="6031" spans="11:12" ht="12.75">
      <c r="K6031" s="12"/>
      <c r="L6031" s="12"/>
    </row>
    <row r="6032" spans="11:12" ht="12.75">
      <c r="K6032" s="12"/>
      <c r="L6032" s="12"/>
    </row>
    <row r="6033" spans="11:12" ht="12.75">
      <c r="K6033" s="12"/>
      <c r="L6033" s="12"/>
    </row>
    <row r="6034" spans="11:12" ht="12.75">
      <c r="K6034" s="12"/>
      <c r="L6034" s="12"/>
    </row>
    <row r="6035" spans="11:12" ht="12.75">
      <c r="K6035" s="12"/>
      <c r="L6035" s="12"/>
    </row>
    <row r="6036" spans="11:12" ht="12.75">
      <c r="K6036" s="12"/>
      <c r="L6036" s="12"/>
    </row>
    <row r="6037" spans="11:12" ht="12.75">
      <c r="K6037" s="12"/>
      <c r="L6037" s="12"/>
    </row>
    <row r="6038" spans="11:12" ht="12.75">
      <c r="K6038" s="12"/>
      <c r="L6038" s="12"/>
    </row>
    <row r="6039" spans="11:12" ht="12.75">
      <c r="K6039" s="12"/>
      <c r="L6039" s="12"/>
    </row>
    <row r="6040" spans="11:12" ht="12.75">
      <c r="K6040" s="12"/>
      <c r="L6040" s="12"/>
    </row>
    <row r="6041" spans="11:12" ht="12.75">
      <c r="K6041" s="12"/>
      <c r="L6041" s="12"/>
    </row>
    <row r="6042" spans="11:12" ht="12.75">
      <c r="K6042" s="12"/>
      <c r="L6042" s="12"/>
    </row>
    <row r="6043" spans="11:12" ht="12.75">
      <c r="K6043" s="12"/>
      <c r="L6043" s="12"/>
    </row>
    <row r="6044" spans="11:12" ht="12.75">
      <c r="K6044" s="12"/>
      <c r="L6044" s="12"/>
    </row>
    <row r="6045" spans="11:12" ht="12.75">
      <c r="K6045" s="12"/>
      <c r="L6045" s="12"/>
    </row>
    <row r="6046" spans="11:12" ht="12.75">
      <c r="K6046" s="12"/>
      <c r="L6046" s="12"/>
    </row>
    <row r="6047" spans="11:12" ht="12.75">
      <c r="K6047" s="12"/>
      <c r="L6047" s="12"/>
    </row>
    <row r="6048" spans="11:12" ht="12.75">
      <c r="K6048" s="12"/>
      <c r="L6048" s="12"/>
    </row>
    <row r="6049" spans="11:12" ht="12.75">
      <c r="K6049" s="12"/>
      <c r="L6049" s="12"/>
    </row>
    <row r="6050" spans="11:12" ht="12.75">
      <c r="K6050" s="12"/>
      <c r="L6050" s="12"/>
    </row>
    <row r="6051" spans="11:12" ht="12.75">
      <c r="K6051" s="12"/>
      <c r="L6051" s="12"/>
    </row>
    <row r="6052" spans="11:12" ht="12.75">
      <c r="K6052" s="12"/>
      <c r="L6052" s="12"/>
    </row>
    <row r="6053" spans="11:12" ht="12.75">
      <c r="K6053" s="12"/>
      <c r="L6053" s="12"/>
    </row>
    <row r="6054" spans="11:12" ht="12.75">
      <c r="K6054" s="12"/>
      <c r="L6054" s="12"/>
    </row>
    <row r="6055" spans="11:12" ht="12.75">
      <c r="K6055" s="12"/>
      <c r="L6055" s="12"/>
    </row>
    <row r="6056" spans="11:12" ht="12.75">
      <c r="K6056" s="12"/>
      <c r="L6056" s="12"/>
    </row>
    <row r="6057" spans="11:12" ht="12.75">
      <c r="K6057" s="12"/>
      <c r="L6057" s="12"/>
    </row>
    <row r="6058" spans="11:12" ht="12.75">
      <c r="K6058" s="12"/>
      <c r="L6058" s="12"/>
    </row>
    <row r="6059" spans="11:12" ht="12.75">
      <c r="K6059" s="12"/>
      <c r="L6059" s="12"/>
    </row>
    <row r="6060" spans="11:12" ht="12.75">
      <c r="K6060" s="12"/>
      <c r="L6060" s="12"/>
    </row>
    <row r="6061" spans="11:12" ht="12.75">
      <c r="K6061" s="12"/>
      <c r="L6061" s="12"/>
    </row>
    <row r="6062" spans="11:12" ht="12.75">
      <c r="K6062" s="12"/>
      <c r="L6062" s="12"/>
    </row>
    <row r="6063" spans="11:12" ht="12.75">
      <c r="K6063" s="12"/>
      <c r="L6063" s="12"/>
    </row>
    <row r="6064" spans="11:12" ht="12.75">
      <c r="K6064" s="12"/>
      <c r="L6064" s="12"/>
    </row>
    <row r="6065" spans="11:12" ht="12.75">
      <c r="K6065" s="12"/>
      <c r="L6065" s="12"/>
    </row>
    <row r="6066" spans="11:12" ht="12.75">
      <c r="K6066" s="12"/>
      <c r="L6066" s="12"/>
    </row>
    <row r="6067" spans="11:12" ht="12.75">
      <c r="K6067" s="12"/>
      <c r="L6067" s="12"/>
    </row>
    <row r="6068" spans="11:12" ht="12.75">
      <c r="K6068" s="12"/>
      <c r="L6068" s="12"/>
    </row>
    <row r="6069" spans="11:12" ht="12.75">
      <c r="K6069" s="12"/>
      <c r="L6069" s="12"/>
    </row>
    <row r="6070" spans="11:12" ht="12.75">
      <c r="K6070" s="12"/>
      <c r="L6070" s="12"/>
    </row>
    <row r="6071" spans="11:12" ht="12.75">
      <c r="K6071" s="12"/>
      <c r="L6071" s="12"/>
    </row>
    <row r="6072" spans="11:12" ht="12.75">
      <c r="K6072" s="12"/>
      <c r="L6072" s="12"/>
    </row>
    <row r="6073" spans="11:12" ht="12.75">
      <c r="K6073" s="12"/>
      <c r="L6073" s="12"/>
    </row>
    <row r="6074" spans="11:12" ht="12.75">
      <c r="K6074" s="12"/>
      <c r="L6074" s="12"/>
    </row>
    <row r="6075" spans="11:12" ht="12.75">
      <c r="K6075" s="12"/>
      <c r="L6075" s="12"/>
    </row>
    <row r="6076" spans="11:12" ht="12.75">
      <c r="K6076" s="12"/>
      <c r="L6076" s="12"/>
    </row>
    <row r="6077" spans="11:12" ht="12.75">
      <c r="K6077" s="12"/>
      <c r="L6077" s="12"/>
    </row>
    <row r="6078" spans="11:12" ht="12.75">
      <c r="K6078" s="12"/>
      <c r="L6078" s="12"/>
    </row>
    <row r="6079" spans="11:12" ht="12.75">
      <c r="K6079" s="12"/>
      <c r="L6079" s="12"/>
    </row>
    <row r="6080" spans="11:12" ht="12.75">
      <c r="K6080" s="12"/>
      <c r="L6080" s="12"/>
    </row>
    <row r="6081" spans="11:12" ht="12.75">
      <c r="K6081" s="12"/>
      <c r="L6081" s="12"/>
    </row>
    <row r="6082" spans="11:12" ht="12.75">
      <c r="K6082" s="12"/>
      <c r="L6082" s="12"/>
    </row>
    <row r="6083" spans="11:12" ht="12.75">
      <c r="K6083" s="12"/>
      <c r="L6083" s="12"/>
    </row>
    <row r="6084" spans="11:12" ht="12.75">
      <c r="K6084" s="12"/>
      <c r="L6084" s="12"/>
    </row>
    <row r="6085" spans="11:12" ht="12.75">
      <c r="K6085" s="12"/>
      <c r="L6085" s="12"/>
    </row>
    <row r="6086" spans="11:12" ht="12.75">
      <c r="K6086" s="12"/>
      <c r="L6086" s="12"/>
    </row>
    <row r="6087" spans="11:12" ht="12.75">
      <c r="K6087" s="12"/>
      <c r="L6087" s="12"/>
    </row>
    <row r="6088" spans="11:12" ht="12.75">
      <c r="K6088" s="12"/>
      <c r="L6088" s="12"/>
    </row>
    <row r="6089" spans="11:12" ht="12.75">
      <c r="K6089" s="12"/>
      <c r="L6089" s="12"/>
    </row>
    <row r="6090" spans="11:12" ht="12.75">
      <c r="K6090" s="12"/>
      <c r="L6090" s="12"/>
    </row>
    <row r="6091" spans="11:12" ht="12.75">
      <c r="K6091" s="12"/>
      <c r="L6091" s="12"/>
    </row>
    <row r="6092" spans="11:12" ht="12.75">
      <c r="K6092" s="12"/>
      <c r="L6092" s="12"/>
    </row>
    <row r="6093" spans="11:12" ht="12.75">
      <c r="K6093" s="12"/>
      <c r="L6093" s="12"/>
    </row>
    <row r="6094" spans="11:12" ht="12.75">
      <c r="K6094" s="12"/>
      <c r="L6094" s="12"/>
    </row>
    <row r="6095" spans="11:12" ht="12.75">
      <c r="K6095" s="12"/>
      <c r="L6095" s="12"/>
    </row>
    <row r="6096" spans="11:12" ht="12.75">
      <c r="K6096" s="12"/>
      <c r="L6096" s="12"/>
    </row>
    <row r="6097" spans="11:12" ht="12.75">
      <c r="K6097" s="12"/>
      <c r="L6097" s="12"/>
    </row>
    <row r="6098" spans="11:12" ht="12.75">
      <c r="K6098" s="12"/>
      <c r="L6098" s="12"/>
    </row>
    <row r="6099" spans="11:12" ht="12.75">
      <c r="K6099" s="12"/>
      <c r="L6099" s="12"/>
    </row>
    <row r="6100" spans="11:12" ht="12.75">
      <c r="K6100" s="12"/>
      <c r="L6100" s="12"/>
    </row>
    <row r="6101" spans="11:12" ht="12.75">
      <c r="K6101" s="12"/>
      <c r="L6101" s="12"/>
    </row>
    <row r="6102" spans="11:12" ht="12.75">
      <c r="K6102" s="12"/>
      <c r="L6102" s="12"/>
    </row>
    <row r="6103" spans="11:12" ht="12.75">
      <c r="K6103" s="12"/>
      <c r="L6103" s="12"/>
    </row>
    <row r="6104" spans="11:12" ht="12.75">
      <c r="K6104" s="12"/>
      <c r="L6104" s="12"/>
    </row>
    <row r="6105" spans="11:12" ht="12.75">
      <c r="K6105" s="12"/>
      <c r="L6105" s="12"/>
    </row>
    <row r="6106" spans="11:12" ht="12.75">
      <c r="K6106" s="12"/>
      <c r="L6106" s="12"/>
    </row>
    <row r="6107" spans="11:12" ht="12.75">
      <c r="K6107" s="12"/>
      <c r="L6107" s="12"/>
    </row>
    <row r="6108" spans="11:12" ht="12.75">
      <c r="K6108" s="12"/>
      <c r="L6108" s="12"/>
    </row>
    <row r="6109" spans="11:12" ht="12.75">
      <c r="K6109" s="12"/>
      <c r="L6109" s="12"/>
    </row>
    <row r="6110" spans="11:12" ht="12.75">
      <c r="K6110" s="12"/>
      <c r="L6110" s="12"/>
    </row>
    <row r="6111" spans="11:12" ht="12.75">
      <c r="K6111" s="12"/>
      <c r="L6111" s="12"/>
    </row>
    <row r="6112" spans="11:12" ht="12.75">
      <c r="K6112" s="12"/>
      <c r="L6112" s="12"/>
    </row>
    <row r="6113" spans="11:12" ht="12.75">
      <c r="K6113" s="12"/>
      <c r="L6113" s="12"/>
    </row>
    <row r="6114" spans="11:12" ht="12.75">
      <c r="K6114" s="12"/>
      <c r="L6114" s="12"/>
    </row>
    <row r="6115" spans="11:12" ht="12.75">
      <c r="K6115" s="12"/>
      <c r="L6115" s="12"/>
    </row>
    <row r="6116" spans="11:12" ht="12.75">
      <c r="K6116" s="12"/>
      <c r="L6116" s="12"/>
    </row>
    <row r="6117" spans="11:12" ht="12.75">
      <c r="K6117" s="12"/>
      <c r="L6117" s="12"/>
    </row>
    <row r="6118" spans="11:12" ht="12.75">
      <c r="K6118" s="12"/>
      <c r="L6118" s="12"/>
    </row>
    <row r="6119" spans="11:12" ht="12.75">
      <c r="K6119" s="12"/>
      <c r="L6119" s="12"/>
    </row>
    <row r="6120" spans="11:12" ht="12.75">
      <c r="K6120" s="12"/>
      <c r="L6120" s="12"/>
    </row>
    <row r="6121" spans="11:12" ht="12.75">
      <c r="K6121" s="12"/>
      <c r="L6121" s="12"/>
    </row>
    <row r="6122" spans="11:12" ht="12.75">
      <c r="K6122" s="12"/>
      <c r="L6122" s="12"/>
    </row>
    <row r="6123" spans="11:12" ht="12.75">
      <c r="K6123" s="12"/>
      <c r="L6123" s="12"/>
    </row>
    <row r="6124" spans="11:12" ht="12.75">
      <c r="K6124" s="12"/>
      <c r="L6124" s="12"/>
    </row>
    <row r="6125" spans="11:12" ht="12.75">
      <c r="K6125" s="12"/>
      <c r="L6125" s="12"/>
    </row>
    <row r="6126" spans="11:12" ht="12.75">
      <c r="K6126" s="12"/>
      <c r="L6126" s="12"/>
    </row>
    <row r="6127" spans="11:12" ht="12.75">
      <c r="K6127" s="12"/>
      <c r="L6127" s="12"/>
    </row>
    <row r="6128" spans="11:12" ht="12.75">
      <c r="K6128" s="12"/>
      <c r="L6128" s="12"/>
    </row>
    <row r="6129" spans="11:12" ht="12.75">
      <c r="K6129" s="12"/>
      <c r="L6129" s="12"/>
    </row>
    <row r="6130" spans="11:12" ht="12.75">
      <c r="K6130" s="12"/>
      <c r="L6130" s="12"/>
    </row>
    <row r="6131" spans="11:12" ht="12.75">
      <c r="K6131" s="12"/>
      <c r="L6131" s="12"/>
    </row>
    <row r="6132" spans="11:12" ht="12.75">
      <c r="K6132" s="12"/>
      <c r="L6132" s="12"/>
    </row>
    <row r="6133" spans="11:12" ht="12.75">
      <c r="K6133" s="12"/>
      <c r="L6133" s="12"/>
    </row>
    <row r="6134" spans="11:12" ht="12.75">
      <c r="K6134" s="12"/>
      <c r="L6134" s="12"/>
    </row>
    <row r="6135" spans="11:12" ht="12.75">
      <c r="K6135" s="12"/>
      <c r="L6135" s="12"/>
    </row>
    <row r="6136" spans="11:12" ht="12.75">
      <c r="K6136" s="12"/>
      <c r="L6136" s="12"/>
    </row>
    <row r="6137" spans="11:12" ht="12.75">
      <c r="K6137" s="12"/>
      <c r="L6137" s="12"/>
    </row>
    <row r="6138" spans="11:12" ht="12.75">
      <c r="K6138" s="12"/>
      <c r="L6138" s="12"/>
    </row>
    <row r="6139" spans="11:12" ht="12.75">
      <c r="K6139" s="12"/>
      <c r="L6139" s="12"/>
    </row>
    <row r="6140" spans="11:12" ht="12.75">
      <c r="K6140" s="12"/>
      <c r="L6140" s="12"/>
    </row>
    <row r="6141" spans="11:12" ht="12.75">
      <c r="K6141" s="12"/>
      <c r="L6141" s="12"/>
    </row>
    <row r="6142" spans="11:12" ht="12.75">
      <c r="K6142" s="12"/>
      <c r="L6142" s="12"/>
    </row>
    <row r="6143" spans="11:12" ht="12.75">
      <c r="K6143" s="12"/>
      <c r="L6143" s="12"/>
    </row>
    <row r="6144" spans="11:12" ht="12.75">
      <c r="K6144" s="12"/>
      <c r="L6144" s="12"/>
    </row>
    <row r="6145" spans="11:12" ht="12.75">
      <c r="K6145" s="12"/>
      <c r="L6145" s="12"/>
    </row>
    <row r="6146" spans="11:12" ht="12.75">
      <c r="K6146" s="12"/>
      <c r="L6146" s="12"/>
    </row>
    <row r="6147" spans="11:12" ht="12.75">
      <c r="K6147" s="12"/>
      <c r="L6147" s="12"/>
    </row>
    <row r="6148" spans="11:12" ht="12.75">
      <c r="K6148" s="12"/>
      <c r="L6148" s="12"/>
    </row>
    <row r="6149" spans="11:12" ht="12.75">
      <c r="K6149" s="12"/>
      <c r="L6149" s="12"/>
    </row>
    <row r="6150" spans="11:12" ht="12.75">
      <c r="K6150" s="12"/>
      <c r="L6150" s="12"/>
    </row>
    <row r="6151" spans="11:12" ht="12.75">
      <c r="K6151" s="12"/>
      <c r="L6151" s="12"/>
    </row>
    <row r="6152" spans="11:12" ht="12.75">
      <c r="K6152" s="12"/>
      <c r="L6152" s="12"/>
    </row>
    <row r="6153" spans="11:12" ht="12.75">
      <c r="K6153" s="12"/>
      <c r="L6153" s="12"/>
    </row>
    <row r="6154" spans="11:12" ht="12.75">
      <c r="K6154" s="12"/>
      <c r="L6154" s="12"/>
    </row>
    <row r="6155" spans="11:12" ht="12.75">
      <c r="K6155" s="12"/>
      <c r="L6155" s="12"/>
    </row>
    <row r="6156" spans="11:12" ht="12.75">
      <c r="K6156" s="12"/>
      <c r="L6156" s="12"/>
    </row>
    <row r="6157" spans="11:12" ht="12.75">
      <c r="K6157" s="12"/>
      <c r="L6157" s="12"/>
    </row>
    <row r="6158" spans="11:12" ht="12.75">
      <c r="K6158" s="12"/>
      <c r="L6158" s="12"/>
    </row>
    <row r="6159" spans="11:12" ht="12.75">
      <c r="K6159" s="12"/>
      <c r="L6159" s="12"/>
    </row>
    <row r="6160" spans="11:12" ht="12.75">
      <c r="K6160" s="12"/>
      <c r="L6160" s="12"/>
    </row>
    <row r="6161" spans="11:12" ht="12.75">
      <c r="K6161" s="12"/>
      <c r="L6161" s="12"/>
    </row>
    <row r="6162" spans="11:12" ht="12.75">
      <c r="K6162" s="12"/>
      <c r="L6162" s="12"/>
    </row>
    <row r="6163" spans="11:12" ht="12.75">
      <c r="K6163" s="12"/>
      <c r="L6163" s="12"/>
    </row>
    <row r="6164" spans="11:12" ht="12.75">
      <c r="K6164" s="12"/>
      <c r="L6164" s="12"/>
    </row>
    <row r="6165" spans="11:12" ht="12.75">
      <c r="K6165" s="12"/>
      <c r="L6165" s="12"/>
    </row>
    <row r="6166" spans="11:12" ht="12.75">
      <c r="K6166" s="12"/>
      <c r="L6166" s="12"/>
    </row>
    <row r="6167" spans="11:12" ht="12.75">
      <c r="K6167" s="12"/>
      <c r="L6167" s="12"/>
    </row>
    <row r="6168" spans="11:12" ht="12.75">
      <c r="K6168" s="12"/>
      <c r="L6168" s="12"/>
    </row>
    <row r="6169" spans="11:12" ht="12.75">
      <c r="K6169" s="12"/>
      <c r="L6169" s="12"/>
    </row>
    <row r="6170" spans="11:12" ht="12.75">
      <c r="K6170" s="12"/>
      <c r="L6170" s="12"/>
    </row>
    <row r="6171" spans="11:12" ht="12.75">
      <c r="K6171" s="12"/>
      <c r="L6171" s="12"/>
    </row>
    <row r="6172" spans="11:12" ht="12.75">
      <c r="K6172" s="12"/>
      <c r="L6172" s="12"/>
    </row>
    <row r="6173" spans="11:12" ht="12.75">
      <c r="K6173" s="12"/>
      <c r="L6173" s="12"/>
    </row>
    <row r="6174" spans="11:12" ht="12.75">
      <c r="K6174" s="12"/>
      <c r="L6174" s="12"/>
    </row>
    <row r="6175" spans="11:12" ht="12.75">
      <c r="K6175" s="12"/>
      <c r="L6175" s="12"/>
    </row>
    <row r="6176" spans="11:12" ht="12.75">
      <c r="K6176" s="12"/>
      <c r="L6176" s="12"/>
    </row>
    <row r="6177" spans="11:12" ht="12.75">
      <c r="K6177" s="12"/>
      <c r="L6177" s="12"/>
    </row>
    <row r="6178" spans="11:12" ht="12.75">
      <c r="K6178" s="12"/>
      <c r="L6178" s="12"/>
    </row>
    <row r="6179" spans="11:12" ht="12.75">
      <c r="K6179" s="12"/>
      <c r="L6179" s="12"/>
    </row>
    <row r="6180" spans="11:12" ht="12.75">
      <c r="K6180" s="12"/>
      <c r="L6180" s="12"/>
    </row>
    <row r="6181" spans="11:12" ht="12.75">
      <c r="K6181" s="12"/>
      <c r="L6181" s="12"/>
    </row>
    <row r="6182" spans="11:12" ht="12.75">
      <c r="K6182" s="12"/>
      <c r="L6182" s="12"/>
    </row>
    <row r="6183" spans="11:12" ht="12.75">
      <c r="K6183" s="12"/>
      <c r="L6183" s="12"/>
    </row>
    <row r="6184" spans="11:12" ht="12.75">
      <c r="K6184" s="12"/>
      <c r="L6184" s="12"/>
    </row>
    <row r="6185" spans="11:12" ht="12.75">
      <c r="K6185" s="12"/>
      <c r="L6185" s="12"/>
    </row>
    <row r="6186" spans="11:12" ht="12.75">
      <c r="K6186" s="12"/>
      <c r="L6186" s="12"/>
    </row>
    <row r="6187" spans="11:12" ht="12.75">
      <c r="K6187" s="12"/>
      <c r="L6187" s="12"/>
    </row>
    <row r="6188" spans="11:12" ht="12.75">
      <c r="K6188" s="12"/>
      <c r="L6188" s="12"/>
    </row>
    <row r="6189" spans="11:12" ht="12.75">
      <c r="K6189" s="12"/>
      <c r="L6189" s="12"/>
    </row>
    <row r="6190" spans="11:12" ht="12.75">
      <c r="K6190" s="12"/>
      <c r="L6190" s="12"/>
    </row>
    <row r="6191" spans="11:12" ht="12.75">
      <c r="K6191" s="12"/>
      <c r="L6191" s="12"/>
    </row>
    <row r="6192" spans="11:12" ht="12.75">
      <c r="K6192" s="12"/>
      <c r="L6192" s="12"/>
    </row>
    <row r="6193" spans="11:12" ht="12.75">
      <c r="K6193" s="12"/>
      <c r="L6193" s="12"/>
    </row>
    <row r="6194" spans="11:12" ht="12.75">
      <c r="K6194" s="12"/>
      <c r="L6194" s="12"/>
    </row>
    <row r="6195" spans="11:12" ht="12.75">
      <c r="K6195" s="12"/>
      <c r="L6195" s="12"/>
    </row>
    <row r="6196" spans="11:12" ht="12.75">
      <c r="K6196" s="12"/>
      <c r="L6196" s="12"/>
    </row>
    <row r="6197" spans="11:12" ht="12.75">
      <c r="K6197" s="12"/>
      <c r="L6197" s="12"/>
    </row>
    <row r="6198" spans="11:12" ht="12.75">
      <c r="K6198" s="12"/>
      <c r="L6198" s="12"/>
    </row>
    <row r="6199" spans="11:12" ht="12.75">
      <c r="K6199" s="12"/>
      <c r="L6199" s="12"/>
    </row>
    <row r="6200" spans="11:12" ht="12.75">
      <c r="K6200" s="12"/>
      <c r="L6200" s="12"/>
    </row>
    <row r="6201" spans="11:12" ht="12.75">
      <c r="K6201" s="12"/>
      <c r="L6201" s="12"/>
    </row>
    <row r="6202" spans="11:12" ht="12.75">
      <c r="K6202" s="12"/>
      <c r="L6202" s="12"/>
    </row>
    <row r="6203" spans="11:12" ht="12.75">
      <c r="K6203" s="12"/>
      <c r="L6203" s="12"/>
    </row>
    <row r="6204" spans="11:12" ht="12.75">
      <c r="K6204" s="12"/>
      <c r="L6204" s="12"/>
    </row>
    <row r="6205" spans="11:12" ht="12.75">
      <c r="K6205" s="12"/>
      <c r="L6205" s="12"/>
    </row>
    <row r="6206" spans="11:12" ht="12.75">
      <c r="K6206" s="12"/>
      <c r="L6206" s="12"/>
    </row>
    <row r="6207" spans="11:12" ht="12.75">
      <c r="K6207" s="12"/>
      <c r="L6207" s="12"/>
    </row>
    <row r="6208" spans="11:12" ht="12.75">
      <c r="K6208" s="12"/>
      <c r="L6208" s="12"/>
    </row>
    <row r="6209" spans="11:12" ht="12.75">
      <c r="K6209" s="12"/>
      <c r="L6209" s="12"/>
    </row>
    <row r="6210" spans="11:12" ht="12.75">
      <c r="K6210" s="12"/>
      <c r="L6210" s="12"/>
    </row>
    <row r="6211" spans="11:12" ht="12.75">
      <c r="K6211" s="12"/>
      <c r="L6211" s="12"/>
    </row>
    <row r="6212" spans="11:12" ht="12.75">
      <c r="K6212" s="12"/>
      <c r="L6212" s="12"/>
    </row>
    <row r="6213" spans="11:12" ht="12.75">
      <c r="K6213" s="12"/>
      <c r="L6213" s="12"/>
    </row>
    <row r="6214" spans="11:12" ht="12.75">
      <c r="K6214" s="12"/>
      <c r="L6214" s="12"/>
    </row>
    <row r="6215" spans="11:12" ht="12.75">
      <c r="K6215" s="12"/>
      <c r="L6215" s="12"/>
    </row>
    <row r="6216" spans="11:12" ht="12.75">
      <c r="K6216" s="12"/>
      <c r="L6216" s="12"/>
    </row>
    <row r="6217" spans="11:12" ht="12.75">
      <c r="K6217" s="12"/>
      <c r="L6217" s="12"/>
    </row>
    <row r="6218" spans="11:12" ht="12.75">
      <c r="K6218" s="12"/>
      <c r="L6218" s="12"/>
    </row>
    <row r="6219" spans="11:12" ht="12.75">
      <c r="K6219" s="12"/>
      <c r="L6219" s="12"/>
    </row>
    <row r="6220" spans="11:12" ht="12.75">
      <c r="K6220" s="12"/>
      <c r="L6220" s="12"/>
    </row>
    <row r="6221" spans="11:12" ht="12.75">
      <c r="K6221" s="12"/>
      <c r="L6221" s="12"/>
    </row>
    <row r="6222" spans="11:12" ht="12.75">
      <c r="K6222" s="12"/>
      <c r="L6222" s="12"/>
    </row>
    <row r="6223" spans="11:12" ht="12.75">
      <c r="K6223" s="12"/>
      <c r="L6223" s="12"/>
    </row>
    <row r="6224" spans="11:12" ht="12.75">
      <c r="K6224" s="12"/>
      <c r="L6224" s="12"/>
    </row>
    <row r="6225" spans="11:12" ht="12.75">
      <c r="K6225" s="12"/>
      <c r="L6225" s="12"/>
    </row>
    <row r="6226" spans="11:12" ht="12.75">
      <c r="K6226" s="12"/>
      <c r="L6226" s="12"/>
    </row>
    <row r="6227" spans="11:12" ht="12.75">
      <c r="K6227" s="12"/>
      <c r="L6227" s="12"/>
    </row>
    <row r="6228" spans="11:12" ht="12.75">
      <c r="K6228" s="12"/>
      <c r="L6228" s="12"/>
    </row>
    <row r="6229" spans="11:12" ht="12.75">
      <c r="K6229" s="12"/>
      <c r="L6229" s="12"/>
    </row>
    <row r="6230" spans="11:12" ht="12.75">
      <c r="K6230" s="12"/>
      <c r="L6230" s="12"/>
    </row>
    <row r="6231" spans="11:12" ht="12.75">
      <c r="K6231" s="12"/>
      <c r="L6231" s="12"/>
    </row>
    <row r="6232" spans="11:12" ht="12.75">
      <c r="K6232" s="12"/>
      <c r="L6232" s="12"/>
    </row>
    <row r="6233" spans="11:12" ht="12.75">
      <c r="K6233" s="12"/>
      <c r="L6233" s="12"/>
    </row>
    <row r="6234" spans="11:12" ht="12.75">
      <c r="K6234" s="12"/>
      <c r="L6234" s="12"/>
    </row>
    <row r="6235" spans="11:12" ht="12.75">
      <c r="K6235" s="12"/>
      <c r="L6235" s="12"/>
    </row>
    <row r="6236" spans="11:12" ht="12.75">
      <c r="K6236" s="12"/>
      <c r="L6236" s="12"/>
    </row>
    <row r="6237" spans="11:12" ht="12.75">
      <c r="K6237" s="12"/>
      <c r="L6237" s="12"/>
    </row>
    <row r="6238" spans="11:12" ht="12.75">
      <c r="K6238" s="12"/>
      <c r="L6238" s="12"/>
    </row>
    <row r="6239" spans="11:12" ht="12.75">
      <c r="K6239" s="12"/>
      <c r="L6239" s="12"/>
    </row>
    <row r="6240" spans="11:12" ht="12.75">
      <c r="K6240" s="12"/>
      <c r="L6240" s="12"/>
    </row>
    <row r="6241" spans="11:12" ht="12.75">
      <c r="K6241" s="12"/>
      <c r="L6241" s="12"/>
    </row>
    <row r="6242" spans="11:12" ht="12.75">
      <c r="K6242" s="12"/>
      <c r="L6242" s="12"/>
    </row>
    <row r="6243" spans="11:12" ht="12.75">
      <c r="K6243" s="12"/>
      <c r="L6243" s="12"/>
    </row>
    <row r="6244" spans="11:12" ht="12.75">
      <c r="K6244" s="12"/>
      <c r="L6244" s="12"/>
    </row>
    <row r="6245" spans="11:12" ht="12.75">
      <c r="K6245" s="12"/>
      <c r="L6245" s="12"/>
    </row>
    <row r="6246" spans="11:12" ht="12.75">
      <c r="K6246" s="12"/>
      <c r="L6246" s="12"/>
    </row>
    <row r="6247" spans="11:12" ht="12.75">
      <c r="K6247" s="12"/>
      <c r="L6247" s="12"/>
    </row>
    <row r="6248" spans="11:12" ht="12.75">
      <c r="K6248" s="12"/>
      <c r="L6248" s="12"/>
    </row>
    <row r="6249" spans="11:12" ht="12.75">
      <c r="K6249" s="12"/>
      <c r="L6249" s="12"/>
    </row>
    <row r="6250" spans="11:12" ht="12.75">
      <c r="K6250" s="12"/>
      <c r="L6250" s="12"/>
    </row>
    <row r="6251" spans="11:12" ht="12.75">
      <c r="K6251" s="12"/>
      <c r="L6251" s="12"/>
    </row>
    <row r="6252" spans="11:12" ht="12.75">
      <c r="K6252" s="12"/>
      <c r="L6252" s="12"/>
    </row>
    <row r="6253" spans="11:12" ht="12.75">
      <c r="K6253" s="12"/>
      <c r="L6253" s="12"/>
    </row>
    <row r="6254" spans="11:12" ht="12.75">
      <c r="K6254" s="12"/>
      <c r="L6254" s="12"/>
    </row>
    <row r="6255" spans="11:12" ht="12.75">
      <c r="K6255" s="12"/>
      <c r="L6255" s="12"/>
    </row>
    <row r="6256" spans="11:12" ht="12.75">
      <c r="K6256" s="12"/>
      <c r="L6256" s="12"/>
    </row>
    <row r="6257" spans="11:12" ht="12.75">
      <c r="K6257" s="12"/>
      <c r="L6257" s="12"/>
    </row>
    <row r="6258" spans="11:12" ht="12.75">
      <c r="K6258" s="12"/>
      <c r="L6258" s="12"/>
    </row>
    <row r="6259" spans="11:12" ht="12.75">
      <c r="K6259" s="12"/>
      <c r="L6259" s="12"/>
    </row>
    <row r="6260" spans="11:12" ht="12.75">
      <c r="K6260" s="12"/>
      <c r="L6260" s="12"/>
    </row>
    <row r="6261" spans="11:12" ht="12.75">
      <c r="K6261" s="12"/>
      <c r="L6261" s="12"/>
    </row>
    <row r="6262" spans="11:12" ht="12.75">
      <c r="K6262" s="12"/>
      <c r="L6262" s="12"/>
    </row>
    <row r="6263" spans="11:12" ht="12.75">
      <c r="K6263" s="12"/>
      <c r="L6263" s="12"/>
    </row>
    <row r="6264" spans="11:12" ht="12.75">
      <c r="K6264" s="12"/>
      <c r="L6264" s="12"/>
    </row>
    <row r="6265" spans="11:12" ht="12.75">
      <c r="K6265" s="12"/>
      <c r="L6265" s="12"/>
    </row>
    <row r="6266" spans="11:12" ht="12.75">
      <c r="K6266" s="12"/>
      <c r="L6266" s="12"/>
    </row>
    <row r="6267" spans="11:12" ht="12.75">
      <c r="K6267" s="12"/>
      <c r="L6267" s="12"/>
    </row>
    <row r="6268" spans="11:12" ht="12.75">
      <c r="K6268" s="12"/>
      <c r="L6268" s="12"/>
    </row>
    <row r="6269" spans="11:12" ht="12.75">
      <c r="K6269" s="12"/>
      <c r="L6269" s="12"/>
    </row>
    <row r="6270" spans="11:12" ht="12.75">
      <c r="K6270" s="12"/>
      <c r="L6270" s="12"/>
    </row>
    <row r="6271" spans="11:12" ht="12.75">
      <c r="K6271" s="12"/>
      <c r="L6271" s="12"/>
    </row>
    <row r="6272" spans="11:12" ht="12.75">
      <c r="K6272" s="12"/>
      <c r="L6272" s="12"/>
    </row>
    <row r="6273" spans="11:12" ht="12.75">
      <c r="K6273" s="12"/>
      <c r="L6273" s="12"/>
    </row>
    <row r="6274" spans="11:12" ht="12.75">
      <c r="K6274" s="12"/>
      <c r="L6274" s="12"/>
    </row>
    <row r="6275" spans="11:12" ht="12.75">
      <c r="K6275" s="12"/>
      <c r="L6275" s="12"/>
    </row>
    <row r="6276" spans="11:12" ht="12.75">
      <c r="K6276" s="12"/>
      <c r="L6276" s="12"/>
    </row>
    <row r="6277" spans="11:12" ht="12.75">
      <c r="K6277" s="12"/>
      <c r="L6277" s="12"/>
    </row>
    <row r="6278" spans="11:12" ht="12.75">
      <c r="K6278" s="12"/>
      <c r="L6278" s="12"/>
    </row>
    <row r="6279" spans="11:12" ht="12.75">
      <c r="K6279" s="12"/>
      <c r="L6279" s="12"/>
    </row>
    <row r="6280" spans="11:12" ht="12.75">
      <c r="K6280" s="12"/>
      <c r="L6280" s="12"/>
    </row>
    <row r="6281" spans="11:12" ht="12.75">
      <c r="K6281" s="12"/>
      <c r="L6281" s="12"/>
    </row>
    <row r="6282" spans="11:12" ht="12.75">
      <c r="K6282" s="12"/>
      <c r="L6282" s="12"/>
    </row>
    <row r="6283" spans="11:12" ht="12.75">
      <c r="K6283" s="12"/>
      <c r="L6283" s="12"/>
    </row>
    <row r="6284" spans="11:12" ht="12.75">
      <c r="K6284" s="12"/>
      <c r="L6284" s="12"/>
    </row>
    <row r="6285" spans="11:12" ht="12.75">
      <c r="K6285" s="12"/>
      <c r="L6285" s="12"/>
    </row>
    <row r="6286" spans="11:12" ht="12.75">
      <c r="K6286" s="12"/>
      <c r="L6286" s="12"/>
    </row>
    <row r="6287" spans="11:12" ht="12.75">
      <c r="K6287" s="12"/>
      <c r="L6287" s="12"/>
    </row>
    <row r="6288" spans="11:12" ht="12.75">
      <c r="K6288" s="12"/>
      <c r="L6288" s="12"/>
    </row>
    <row r="6289" spans="11:12" ht="12.75">
      <c r="K6289" s="12"/>
      <c r="L6289" s="12"/>
    </row>
    <row r="6290" spans="11:12" ht="12.75">
      <c r="K6290" s="12"/>
      <c r="L6290" s="12"/>
    </row>
    <row r="6291" spans="11:12" ht="12.75">
      <c r="K6291" s="12"/>
      <c r="L6291" s="12"/>
    </row>
    <row r="6292" spans="11:12" ht="12.75">
      <c r="K6292" s="12"/>
      <c r="L6292" s="12"/>
    </row>
    <row r="6293" spans="11:12" ht="12.75">
      <c r="K6293" s="12"/>
      <c r="L6293" s="12"/>
    </row>
    <row r="6294" spans="11:12" ht="12.75">
      <c r="K6294" s="12"/>
      <c r="L6294" s="12"/>
    </row>
    <row r="6295" spans="11:12" ht="12.75">
      <c r="K6295" s="12"/>
      <c r="L6295" s="12"/>
    </row>
    <row r="6296" spans="11:12" ht="12.75">
      <c r="K6296" s="12"/>
      <c r="L6296" s="12"/>
    </row>
    <row r="6297" spans="11:12" ht="12.75">
      <c r="K6297" s="12"/>
      <c r="L6297" s="12"/>
    </row>
    <row r="6298" spans="11:12" ht="12.75">
      <c r="K6298" s="12"/>
      <c r="L6298" s="12"/>
    </row>
    <row r="6299" spans="11:12" ht="12.75">
      <c r="K6299" s="12"/>
      <c r="L6299" s="12"/>
    </row>
    <row r="6300" spans="11:12" ht="12.75">
      <c r="K6300" s="12"/>
      <c r="L6300" s="12"/>
    </row>
    <row r="6301" spans="11:12" ht="12.75">
      <c r="K6301" s="12"/>
      <c r="L6301" s="12"/>
    </row>
    <row r="6302" spans="11:12" ht="12.75">
      <c r="K6302" s="12"/>
      <c r="L6302" s="12"/>
    </row>
    <row r="6303" spans="11:12" ht="12.75">
      <c r="K6303" s="12"/>
      <c r="L6303" s="12"/>
    </row>
    <row r="6304" spans="11:12" ht="12.75">
      <c r="K6304" s="12"/>
      <c r="L6304" s="12"/>
    </row>
    <row r="6305" spans="11:12" ht="12.75">
      <c r="K6305" s="12"/>
      <c r="L6305" s="12"/>
    </row>
    <row r="6306" spans="11:12" ht="12.75">
      <c r="K6306" s="12"/>
      <c r="L6306" s="12"/>
    </row>
    <row r="6307" spans="11:12" ht="12.75">
      <c r="K6307" s="12"/>
      <c r="L6307" s="12"/>
    </row>
    <row r="6308" spans="11:12" ht="12.75">
      <c r="K6308" s="12"/>
      <c r="L6308" s="12"/>
    </row>
    <row r="6309" spans="11:12" ht="12.75">
      <c r="K6309" s="12"/>
      <c r="L6309" s="12"/>
    </row>
    <row r="6310" spans="11:12" ht="12.75">
      <c r="K6310" s="12"/>
      <c r="L6310" s="12"/>
    </row>
    <row r="6311" spans="11:12" ht="12.75">
      <c r="K6311" s="12"/>
      <c r="L6311" s="12"/>
    </row>
    <row r="6312" spans="11:12" ht="12.75">
      <c r="K6312" s="12"/>
      <c r="L6312" s="12"/>
    </row>
    <row r="6313" spans="11:12" ht="12.75">
      <c r="K6313" s="12"/>
      <c r="L6313" s="12"/>
    </row>
    <row r="6314" spans="11:12" ht="12.75">
      <c r="K6314" s="12"/>
      <c r="L6314" s="12"/>
    </row>
    <row r="6315" spans="11:12" ht="12.75">
      <c r="K6315" s="12"/>
      <c r="L6315" s="12"/>
    </row>
    <row r="6316" spans="11:12" ht="12.75">
      <c r="K6316" s="12"/>
      <c r="L6316" s="12"/>
    </row>
    <row r="6317" spans="11:12" ht="12.75">
      <c r="K6317" s="12"/>
      <c r="L6317" s="12"/>
    </row>
    <row r="6318" spans="11:12" ht="12.75">
      <c r="K6318" s="12"/>
      <c r="L6318" s="12"/>
    </row>
    <row r="6319" spans="11:12" ht="12.75">
      <c r="K6319" s="12"/>
      <c r="L6319" s="12"/>
    </row>
    <row r="6320" spans="11:12" ht="12.75">
      <c r="K6320" s="12"/>
      <c r="L6320" s="12"/>
    </row>
    <row r="6321" spans="11:12" ht="12.75">
      <c r="K6321" s="12"/>
      <c r="L6321" s="12"/>
    </row>
    <row r="6322" spans="11:12" ht="12.75">
      <c r="K6322" s="12"/>
      <c r="L6322" s="12"/>
    </row>
    <row r="6323" spans="11:12" ht="12.75">
      <c r="K6323" s="12"/>
      <c r="L6323" s="12"/>
    </row>
    <row r="6324" spans="11:12" ht="12.75">
      <c r="K6324" s="12"/>
      <c r="L6324" s="12"/>
    </row>
    <row r="6325" spans="11:12" ht="12.75">
      <c r="K6325" s="12"/>
      <c r="L6325" s="12"/>
    </row>
    <row r="6326" spans="11:12" ht="12.75">
      <c r="K6326" s="12"/>
      <c r="L6326" s="12"/>
    </row>
    <row r="6327" spans="11:12" ht="12.75">
      <c r="K6327" s="12"/>
      <c r="L6327" s="12"/>
    </row>
    <row r="6328" spans="11:12" ht="12.75">
      <c r="K6328" s="12"/>
      <c r="L6328" s="12"/>
    </row>
    <row r="6329" spans="11:12" ht="12.75">
      <c r="K6329" s="12"/>
      <c r="L6329" s="12"/>
    </row>
    <row r="6330" spans="11:12" ht="12.75">
      <c r="K6330" s="12"/>
      <c r="L6330" s="12"/>
    </row>
    <row r="6331" spans="11:12" ht="12.75">
      <c r="K6331" s="12"/>
      <c r="L6331" s="12"/>
    </row>
    <row r="6332" spans="11:12" ht="12.75">
      <c r="K6332" s="12"/>
      <c r="L6332" s="12"/>
    </row>
    <row r="6333" spans="11:12" ht="12.75">
      <c r="K6333" s="12"/>
      <c r="L6333" s="12"/>
    </row>
    <row r="6334" spans="11:12" ht="12.75">
      <c r="K6334" s="12"/>
      <c r="L6334" s="12"/>
    </row>
    <row r="6335" spans="11:12" ht="12.75">
      <c r="K6335" s="12"/>
      <c r="L6335" s="12"/>
    </row>
    <row r="6336" spans="11:12" ht="12.75">
      <c r="K6336" s="12"/>
      <c r="L6336" s="12"/>
    </row>
    <row r="6337" spans="11:12" ht="12.75">
      <c r="K6337" s="12"/>
      <c r="L6337" s="12"/>
    </row>
    <row r="6338" spans="11:12" ht="12.75">
      <c r="K6338" s="12"/>
      <c r="L6338" s="12"/>
    </row>
    <row r="6339" spans="11:12" ht="12.75">
      <c r="K6339" s="12"/>
      <c r="L6339" s="12"/>
    </row>
    <row r="6340" spans="11:12" ht="12.75">
      <c r="K6340" s="12"/>
      <c r="L6340" s="12"/>
    </row>
    <row r="6341" spans="11:12" ht="12.75">
      <c r="K6341" s="12"/>
      <c r="L6341" s="12"/>
    </row>
    <row r="6342" spans="11:12" ht="12.75">
      <c r="K6342" s="12"/>
      <c r="L6342" s="12"/>
    </row>
    <row r="6343" spans="11:12" ht="12.75">
      <c r="K6343" s="12"/>
      <c r="L6343" s="12"/>
    </row>
    <row r="6344" spans="11:12" ht="12.75">
      <c r="K6344" s="12"/>
      <c r="L6344" s="12"/>
    </row>
    <row r="6345" spans="11:12" ht="12.75">
      <c r="K6345" s="12"/>
      <c r="L6345" s="12"/>
    </row>
    <row r="6346" spans="11:12" ht="12.75">
      <c r="K6346" s="12"/>
      <c r="L6346" s="12"/>
    </row>
    <row r="6347" spans="11:12" ht="12.75">
      <c r="K6347" s="12"/>
      <c r="L6347" s="12"/>
    </row>
    <row r="6348" spans="11:12" ht="12.75">
      <c r="K6348" s="12"/>
      <c r="L6348" s="12"/>
    </row>
    <row r="6349" spans="11:12" ht="12.75">
      <c r="K6349" s="12"/>
      <c r="L6349" s="12"/>
    </row>
    <row r="6350" spans="11:12" ht="12.75">
      <c r="K6350" s="12"/>
      <c r="L6350" s="12"/>
    </row>
    <row r="6351" spans="11:12" ht="12.75">
      <c r="K6351" s="12"/>
      <c r="L6351" s="12"/>
    </row>
    <row r="6352" spans="11:12" ht="12.75">
      <c r="K6352" s="12"/>
      <c r="L6352" s="12"/>
    </row>
    <row r="6353" spans="11:12" ht="12.75">
      <c r="K6353" s="12"/>
      <c r="L6353" s="12"/>
    </row>
    <row r="6354" spans="11:12" ht="12.75">
      <c r="K6354" s="12"/>
      <c r="L6354" s="12"/>
    </row>
    <row r="6355" spans="11:12" ht="12.75">
      <c r="K6355" s="12"/>
      <c r="L6355" s="12"/>
    </row>
    <row r="6356" spans="11:12" ht="12.75">
      <c r="K6356" s="12"/>
      <c r="L6356" s="12"/>
    </row>
    <row r="6357" spans="11:12" ht="12.75">
      <c r="K6357" s="12"/>
      <c r="L6357" s="12"/>
    </row>
    <row r="6358" spans="11:12" ht="12.75">
      <c r="K6358" s="12"/>
      <c r="L6358" s="12"/>
    </row>
    <row r="6359" spans="11:12" ht="12.75">
      <c r="K6359" s="12"/>
      <c r="L6359" s="12"/>
    </row>
    <row r="6360" spans="11:12" ht="12.75">
      <c r="K6360" s="12"/>
      <c r="L6360" s="12"/>
    </row>
    <row r="6361" spans="11:12" ht="12.75">
      <c r="K6361" s="12"/>
      <c r="L6361" s="12"/>
    </row>
    <row r="6362" spans="11:12" ht="12.75">
      <c r="K6362" s="12"/>
      <c r="L6362" s="12"/>
    </row>
    <row r="6363" spans="11:12" ht="12.75">
      <c r="K6363" s="12"/>
      <c r="L6363" s="12"/>
    </row>
    <row r="6364" spans="11:12" ht="12.75">
      <c r="K6364" s="12"/>
      <c r="L6364" s="12"/>
    </row>
    <row r="6365" spans="11:12" ht="12.75">
      <c r="K6365" s="12"/>
      <c r="L6365" s="12"/>
    </row>
    <row r="6366" spans="11:12" ht="12.75">
      <c r="K6366" s="12"/>
      <c r="L6366" s="12"/>
    </row>
    <row r="6367" spans="11:12" ht="12.75">
      <c r="K6367" s="12"/>
      <c r="L6367" s="12"/>
    </row>
    <row r="6368" spans="11:12" ht="12.75">
      <c r="K6368" s="12"/>
      <c r="L6368" s="12"/>
    </row>
    <row r="6369" spans="11:12" ht="12.75">
      <c r="K6369" s="12"/>
      <c r="L6369" s="12"/>
    </row>
    <row r="6370" spans="11:12" ht="12.75">
      <c r="K6370" s="12"/>
      <c r="L6370" s="12"/>
    </row>
    <row r="6371" spans="11:12" ht="12.75">
      <c r="K6371" s="12"/>
      <c r="L6371" s="12"/>
    </row>
    <row r="6372" spans="11:12" ht="12.75">
      <c r="K6372" s="12"/>
      <c r="L6372" s="12"/>
    </row>
    <row r="6373" spans="11:12" ht="12.75">
      <c r="K6373" s="12"/>
      <c r="L6373" s="12"/>
    </row>
    <row r="6374" spans="11:12" ht="12.75">
      <c r="K6374" s="12"/>
      <c r="L6374" s="12"/>
    </row>
    <row r="6375" spans="11:12" ht="12.75">
      <c r="K6375" s="12"/>
      <c r="L6375" s="12"/>
    </row>
    <row r="6376" spans="11:12" ht="12.75">
      <c r="K6376" s="12"/>
      <c r="L6376" s="12"/>
    </row>
    <row r="6377" spans="11:12" ht="12.75">
      <c r="K6377" s="12"/>
      <c r="L6377" s="12"/>
    </row>
    <row r="6378" spans="11:12" ht="12.75">
      <c r="K6378" s="12"/>
      <c r="L6378" s="12"/>
    </row>
    <row r="6379" spans="11:12" ht="12.75">
      <c r="K6379" s="12"/>
      <c r="L6379" s="12"/>
    </row>
    <row r="6380" spans="11:12" ht="12.75">
      <c r="K6380" s="12"/>
      <c r="L6380" s="12"/>
    </row>
    <row r="6381" spans="11:12" ht="12.75">
      <c r="K6381" s="12"/>
      <c r="L6381" s="12"/>
    </row>
    <row r="6382" spans="11:12" ht="12.75">
      <c r="K6382" s="12"/>
      <c r="L6382" s="12"/>
    </row>
    <row r="6383" spans="11:12" ht="12.75">
      <c r="K6383" s="12"/>
      <c r="L6383" s="12"/>
    </row>
    <row r="6384" spans="11:12" ht="12.75">
      <c r="K6384" s="12"/>
      <c r="L6384" s="12"/>
    </row>
    <row r="6385" spans="11:12" ht="12.75">
      <c r="K6385" s="12"/>
      <c r="L6385" s="12"/>
    </row>
    <row r="6386" spans="11:12" ht="12.75">
      <c r="K6386" s="12"/>
      <c r="L6386" s="12"/>
    </row>
    <row r="6387" spans="11:12" ht="12.75">
      <c r="K6387" s="12"/>
      <c r="L6387" s="12"/>
    </row>
    <row r="6388" spans="11:12" ht="12.75">
      <c r="K6388" s="12"/>
      <c r="L6388" s="12"/>
    </row>
    <row r="6389" spans="11:12" ht="12.75">
      <c r="K6389" s="12"/>
      <c r="L6389" s="12"/>
    </row>
    <row r="6390" spans="11:12" ht="12.75">
      <c r="K6390" s="12"/>
      <c r="L6390" s="12"/>
    </row>
    <row r="6391" spans="11:12" ht="12.75">
      <c r="K6391" s="12"/>
      <c r="L6391" s="12"/>
    </row>
    <row r="6392" spans="11:12" ht="12.75">
      <c r="K6392" s="12"/>
      <c r="L6392" s="12"/>
    </row>
    <row r="6393" spans="11:12" ht="12.75">
      <c r="K6393" s="12"/>
      <c r="L6393" s="12"/>
    </row>
    <row r="6394" spans="11:12" ht="12.75">
      <c r="K6394" s="12"/>
      <c r="L6394" s="12"/>
    </row>
    <row r="6395" spans="11:12" ht="12.75">
      <c r="K6395" s="12"/>
      <c r="L6395" s="12"/>
    </row>
    <row r="6396" spans="11:12" ht="12.75">
      <c r="K6396" s="12"/>
      <c r="L6396" s="12"/>
    </row>
    <row r="6397" spans="11:12" ht="12.75">
      <c r="K6397" s="12"/>
      <c r="L6397" s="12"/>
    </row>
    <row r="6398" spans="11:12" ht="12.75">
      <c r="K6398" s="12"/>
      <c r="L6398" s="12"/>
    </row>
    <row r="6399" spans="11:12" ht="12.75">
      <c r="K6399" s="12"/>
      <c r="L6399" s="12"/>
    </row>
    <row r="6400" spans="11:12" ht="12.75">
      <c r="K6400" s="12"/>
      <c r="L6400" s="12"/>
    </row>
    <row r="6401" spans="11:12" ht="12.75">
      <c r="K6401" s="12"/>
      <c r="L6401" s="12"/>
    </row>
    <row r="6402" spans="11:12" ht="12.75">
      <c r="K6402" s="12"/>
      <c r="L6402" s="12"/>
    </row>
    <row r="6403" spans="11:12" ht="12.75">
      <c r="K6403" s="12"/>
      <c r="L6403" s="12"/>
    </row>
    <row r="6404" spans="11:12" ht="12.75">
      <c r="K6404" s="12"/>
      <c r="L6404" s="12"/>
    </row>
    <row r="6405" spans="11:12" ht="12.75">
      <c r="K6405" s="12"/>
      <c r="L6405" s="12"/>
    </row>
    <row r="6406" spans="11:12" ht="12.75">
      <c r="K6406" s="12"/>
      <c r="L6406" s="12"/>
    </row>
    <row r="6407" spans="11:12" ht="12.75">
      <c r="K6407" s="12"/>
      <c r="L6407" s="12"/>
    </row>
    <row r="6408" spans="11:12" ht="12.75">
      <c r="K6408" s="12"/>
      <c r="L6408" s="12"/>
    </row>
    <row r="6409" spans="11:12" ht="12.75">
      <c r="K6409" s="12"/>
      <c r="L6409" s="12"/>
    </row>
    <row r="6410" spans="11:12" ht="12.75">
      <c r="K6410" s="12"/>
      <c r="L6410" s="12"/>
    </row>
    <row r="6411" spans="11:12" ht="12.75">
      <c r="K6411" s="12"/>
      <c r="L6411" s="12"/>
    </row>
    <row r="6412" spans="11:12" ht="12.75">
      <c r="K6412" s="12"/>
      <c r="L6412" s="12"/>
    </row>
    <row r="6413" spans="11:12" ht="12.75">
      <c r="K6413" s="12"/>
      <c r="L6413" s="12"/>
    </row>
    <row r="6414" spans="11:12" ht="12.75">
      <c r="K6414" s="12"/>
      <c r="L6414" s="12"/>
    </row>
    <row r="6415" spans="11:12" ht="12.75">
      <c r="K6415" s="12"/>
      <c r="L6415" s="12"/>
    </row>
    <row r="6416" spans="11:12" ht="12.75">
      <c r="K6416" s="12"/>
      <c r="L6416" s="12"/>
    </row>
    <row r="6417" spans="11:12" ht="12.75">
      <c r="K6417" s="12"/>
      <c r="L6417" s="12"/>
    </row>
    <row r="6418" spans="11:12" ht="12.75">
      <c r="K6418" s="12"/>
      <c r="L6418" s="12"/>
    </row>
    <row r="6419" spans="11:12" ht="12.75">
      <c r="K6419" s="12"/>
      <c r="L6419" s="12"/>
    </row>
    <row r="6420" spans="11:12" ht="12.75">
      <c r="K6420" s="12"/>
      <c r="L6420" s="12"/>
    </row>
    <row r="6421" spans="11:12" ht="12.75">
      <c r="K6421" s="12"/>
      <c r="L6421" s="12"/>
    </row>
    <row r="6422" spans="11:12" ht="12.75">
      <c r="K6422" s="12"/>
      <c r="L6422" s="12"/>
    </row>
    <row r="6423" spans="11:12" ht="12.75">
      <c r="K6423" s="12"/>
      <c r="L6423" s="12"/>
    </row>
    <row r="6424" spans="11:12" ht="12.75">
      <c r="K6424" s="12"/>
      <c r="L6424" s="12"/>
    </row>
    <row r="6425" spans="11:12" ht="12.75">
      <c r="K6425" s="12"/>
      <c r="L6425" s="12"/>
    </row>
    <row r="6426" spans="11:12" ht="12.75">
      <c r="K6426" s="12"/>
      <c r="L6426" s="12"/>
    </row>
    <row r="6427" spans="11:12" ht="12.75">
      <c r="K6427" s="12"/>
      <c r="L6427" s="12"/>
    </row>
    <row r="6428" spans="11:12" ht="12.75">
      <c r="K6428" s="12"/>
      <c r="L6428" s="12"/>
    </row>
    <row r="6429" spans="11:12" ht="12.75">
      <c r="K6429" s="12"/>
      <c r="L6429" s="12"/>
    </row>
    <row r="6430" spans="11:12" ht="12.75">
      <c r="K6430" s="12"/>
      <c r="L6430" s="12"/>
    </row>
    <row r="6431" spans="11:12" ht="12.75">
      <c r="K6431" s="12"/>
      <c r="L6431" s="12"/>
    </row>
    <row r="6432" spans="11:12" ht="12.75">
      <c r="K6432" s="12"/>
      <c r="L6432" s="12"/>
    </row>
    <row r="6433" spans="11:12" ht="12.75">
      <c r="K6433" s="12"/>
      <c r="L6433" s="12"/>
    </row>
    <row r="6434" spans="11:12" ht="12.75">
      <c r="K6434" s="12"/>
      <c r="L6434" s="12"/>
    </row>
    <row r="6435" spans="11:12" ht="12.75">
      <c r="K6435" s="12"/>
      <c r="L6435" s="12"/>
    </row>
    <row r="6436" spans="11:12" ht="12.75">
      <c r="K6436" s="12"/>
      <c r="L6436" s="12"/>
    </row>
    <row r="6437" spans="11:12" ht="12.75">
      <c r="K6437" s="12"/>
      <c r="L6437" s="12"/>
    </row>
    <row r="6438" spans="11:12" ht="12.75">
      <c r="K6438" s="12"/>
      <c r="L6438" s="12"/>
    </row>
    <row r="6439" spans="11:12" ht="12.75">
      <c r="K6439" s="12"/>
      <c r="L6439" s="12"/>
    </row>
    <row r="6440" spans="11:12" ht="12.75">
      <c r="K6440" s="12"/>
      <c r="L6440" s="12"/>
    </row>
    <row r="6441" spans="11:12" ht="12.75">
      <c r="K6441" s="12"/>
      <c r="L6441" s="12"/>
    </row>
    <row r="6442" spans="11:12" ht="12.75">
      <c r="K6442" s="12"/>
      <c r="L6442" s="12"/>
    </row>
    <row r="6443" spans="11:12" ht="12.75">
      <c r="K6443" s="12"/>
      <c r="L6443" s="12"/>
    </row>
    <row r="6444" spans="11:12" ht="12.75">
      <c r="K6444" s="12"/>
      <c r="L6444" s="12"/>
    </row>
    <row r="6445" spans="11:12" ht="12.75">
      <c r="K6445" s="12"/>
      <c r="L6445" s="12"/>
    </row>
    <row r="6446" spans="11:12" ht="12.75">
      <c r="K6446" s="12"/>
      <c r="L6446" s="12"/>
    </row>
    <row r="6447" spans="11:12" ht="12.75">
      <c r="K6447" s="12"/>
      <c r="L6447" s="12"/>
    </row>
    <row r="6448" spans="11:12" ht="12.75">
      <c r="K6448" s="12"/>
      <c r="L6448" s="12"/>
    </row>
    <row r="6449" spans="11:12" ht="12.75">
      <c r="K6449" s="12"/>
      <c r="L6449" s="12"/>
    </row>
    <row r="6450" spans="11:12" ht="12.75">
      <c r="K6450" s="12"/>
      <c r="L6450" s="12"/>
    </row>
    <row r="6451" spans="11:12" ht="12.75">
      <c r="K6451" s="12"/>
      <c r="L6451" s="12"/>
    </row>
    <row r="6452" spans="11:12" ht="12.75">
      <c r="K6452" s="12"/>
      <c r="L6452" s="12"/>
    </row>
    <row r="6453" spans="11:12" ht="12.75">
      <c r="K6453" s="12"/>
      <c r="L6453" s="12"/>
    </row>
    <row r="6454" spans="11:12" ht="12.75">
      <c r="K6454" s="12"/>
      <c r="L6454" s="12"/>
    </row>
    <row r="6455" spans="11:12" ht="12.75">
      <c r="K6455" s="12"/>
      <c r="L6455" s="12"/>
    </row>
    <row r="6456" spans="11:12" ht="12.75">
      <c r="K6456" s="12"/>
      <c r="L6456" s="12"/>
    </row>
    <row r="6457" spans="11:12" ht="12.75">
      <c r="K6457" s="12"/>
      <c r="L6457" s="12"/>
    </row>
    <row r="6458" spans="11:12" ht="12.75">
      <c r="K6458" s="12"/>
      <c r="L6458" s="12"/>
    </row>
    <row r="6459" spans="11:12" ht="12.75">
      <c r="K6459" s="12"/>
      <c r="L6459" s="12"/>
    </row>
    <row r="6460" spans="11:12" ht="12.75">
      <c r="K6460" s="12"/>
      <c r="L6460" s="12"/>
    </row>
    <row r="6461" spans="11:12" ht="12.75">
      <c r="K6461" s="12"/>
      <c r="L6461" s="12"/>
    </row>
    <row r="6462" spans="11:12" ht="12.75">
      <c r="K6462" s="12"/>
      <c r="L6462" s="12"/>
    </row>
    <row r="6463" spans="11:12" ht="12.75">
      <c r="K6463" s="12"/>
      <c r="L6463" s="12"/>
    </row>
    <row r="6464" spans="11:12" ht="12.75">
      <c r="K6464" s="12"/>
      <c r="L6464" s="12"/>
    </row>
    <row r="6465" spans="11:12" ht="12.75">
      <c r="K6465" s="12"/>
      <c r="L6465" s="12"/>
    </row>
    <row r="6466" spans="11:12" ht="12.75">
      <c r="K6466" s="12"/>
      <c r="L6466" s="12"/>
    </row>
    <row r="6467" spans="11:12" ht="12.75">
      <c r="K6467" s="12"/>
      <c r="L6467" s="12"/>
    </row>
    <row r="6468" spans="11:12" ht="12.75">
      <c r="K6468" s="12"/>
      <c r="L6468" s="12"/>
    </row>
    <row r="6469" spans="11:12" ht="12.75">
      <c r="K6469" s="12"/>
      <c r="L6469" s="12"/>
    </row>
    <row r="6470" spans="11:12" ht="12.75">
      <c r="K6470" s="12"/>
      <c r="L6470" s="12"/>
    </row>
    <row r="6471" spans="11:12" ht="12.75">
      <c r="K6471" s="12"/>
      <c r="L6471" s="12"/>
    </row>
    <row r="6472" spans="11:12" ht="12.75">
      <c r="K6472" s="12"/>
      <c r="L6472" s="12"/>
    </row>
    <row r="6473" spans="11:12" ht="12.75">
      <c r="K6473" s="12"/>
      <c r="L6473" s="12"/>
    </row>
    <row r="6474" spans="11:12" ht="12.75">
      <c r="K6474" s="12"/>
      <c r="L6474" s="12"/>
    </row>
    <row r="6475" spans="11:12" ht="12.75">
      <c r="K6475" s="12"/>
      <c r="L6475" s="12"/>
    </row>
    <row r="6476" spans="11:12" ht="12.75">
      <c r="K6476" s="12"/>
      <c r="L6476" s="12"/>
    </row>
    <row r="6477" spans="11:12" ht="12.75">
      <c r="K6477" s="12"/>
      <c r="L6477" s="12"/>
    </row>
    <row r="6478" spans="11:12" ht="12.75">
      <c r="K6478" s="12"/>
      <c r="L6478" s="12"/>
    </row>
    <row r="6479" spans="11:12" ht="12.75">
      <c r="K6479" s="12"/>
      <c r="L6479" s="12"/>
    </row>
    <row r="6480" spans="11:12" ht="12.75">
      <c r="K6480" s="12"/>
      <c r="L6480" s="12"/>
    </row>
    <row r="6481" spans="11:12" ht="12.75">
      <c r="K6481" s="12"/>
      <c r="L6481" s="12"/>
    </row>
    <row r="6482" spans="11:12" ht="12.75">
      <c r="K6482" s="12"/>
      <c r="L6482" s="12"/>
    </row>
    <row r="6483" spans="11:12" ht="12.75">
      <c r="K6483" s="12"/>
      <c r="L6483" s="12"/>
    </row>
    <row r="6484" spans="11:12" ht="12.75">
      <c r="K6484" s="12"/>
      <c r="L6484" s="12"/>
    </row>
    <row r="6485" spans="11:12" ht="12.75">
      <c r="K6485" s="12"/>
      <c r="L6485" s="12"/>
    </row>
    <row r="6486" spans="11:12" ht="12.75">
      <c r="K6486" s="12"/>
      <c r="L6486" s="12"/>
    </row>
    <row r="6487" spans="11:12" ht="12.75">
      <c r="K6487" s="12"/>
      <c r="L6487" s="12"/>
    </row>
    <row r="6488" spans="11:12" ht="12.75">
      <c r="K6488" s="12"/>
      <c r="L6488" s="12"/>
    </row>
    <row r="6489" spans="11:12" ht="12.75">
      <c r="K6489" s="12"/>
      <c r="L6489" s="12"/>
    </row>
    <row r="6490" spans="11:12" ht="12.75">
      <c r="K6490" s="12"/>
      <c r="L6490" s="12"/>
    </row>
    <row r="6491" spans="11:12" ht="12.75">
      <c r="K6491" s="12"/>
      <c r="L6491" s="12"/>
    </row>
    <row r="6492" spans="11:12" ht="12.75">
      <c r="K6492" s="12"/>
      <c r="L6492" s="12"/>
    </row>
    <row r="6493" spans="11:12" ht="12.75">
      <c r="K6493" s="12"/>
      <c r="L6493" s="12"/>
    </row>
    <row r="6494" spans="11:12" ht="12.75">
      <c r="K6494" s="12"/>
      <c r="L6494" s="12"/>
    </row>
    <row r="6495" spans="11:12" ht="12.75">
      <c r="K6495" s="12"/>
      <c r="L6495" s="12"/>
    </row>
    <row r="6496" spans="11:12" ht="12.75">
      <c r="K6496" s="12"/>
      <c r="L6496" s="12"/>
    </row>
    <row r="6497" spans="11:12" ht="12.75">
      <c r="K6497" s="12"/>
      <c r="L6497" s="12"/>
    </row>
    <row r="6498" spans="11:12" ht="12.75">
      <c r="K6498" s="12"/>
      <c r="L6498" s="12"/>
    </row>
    <row r="6499" spans="11:12" ht="12.75">
      <c r="K6499" s="12"/>
      <c r="L6499" s="12"/>
    </row>
    <row r="6500" spans="11:12" ht="12.75">
      <c r="K6500" s="12"/>
      <c r="L6500" s="12"/>
    </row>
    <row r="6501" spans="11:12" ht="12.75">
      <c r="K6501" s="12"/>
      <c r="L6501" s="12"/>
    </row>
    <row r="6502" spans="11:12" ht="12.75">
      <c r="K6502" s="12"/>
      <c r="L6502" s="12"/>
    </row>
    <row r="6503" spans="11:12" ht="12.75">
      <c r="K6503" s="12"/>
      <c r="L6503" s="12"/>
    </row>
    <row r="6504" spans="11:12" ht="12.75">
      <c r="K6504" s="12"/>
      <c r="L6504" s="12"/>
    </row>
    <row r="6505" spans="11:12" ht="12.75">
      <c r="K6505" s="12"/>
      <c r="L6505" s="12"/>
    </row>
    <row r="6506" spans="11:12" ht="12.75">
      <c r="K6506" s="12"/>
      <c r="L6506" s="12"/>
    </row>
    <row r="6507" spans="11:12" ht="12.75">
      <c r="K6507" s="12"/>
      <c r="L6507" s="12"/>
    </row>
    <row r="6508" spans="11:12" ht="12.75">
      <c r="K6508" s="12"/>
      <c r="L6508" s="12"/>
    </row>
    <row r="6509" spans="11:12" ht="12.75">
      <c r="K6509" s="12"/>
      <c r="L6509" s="12"/>
    </row>
    <row r="6510" spans="11:12" ht="12.75">
      <c r="K6510" s="12"/>
      <c r="L6510" s="12"/>
    </row>
    <row r="6511" spans="11:12" ht="12.75">
      <c r="K6511" s="12"/>
      <c r="L6511" s="12"/>
    </row>
    <row r="6512" spans="11:12" ht="12.75">
      <c r="K6512" s="12"/>
      <c r="L6512" s="12"/>
    </row>
    <row r="6513" spans="11:12" ht="12.75">
      <c r="K6513" s="12"/>
      <c r="L6513" s="12"/>
    </row>
    <row r="6514" spans="11:12" ht="12.75">
      <c r="K6514" s="12"/>
      <c r="L6514" s="12"/>
    </row>
    <row r="6515" spans="11:12" ht="12.75">
      <c r="K6515" s="12"/>
      <c r="L6515" s="12"/>
    </row>
    <row r="6516" spans="11:12" ht="12.75">
      <c r="K6516" s="12"/>
      <c r="L6516" s="12"/>
    </row>
    <row r="6517" spans="11:12" ht="12.75">
      <c r="K6517" s="12"/>
      <c r="L6517" s="12"/>
    </row>
    <row r="6518" spans="11:12" ht="12.75">
      <c r="K6518" s="12"/>
      <c r="L6518" s="12"/>
    </row>
    <row r="6519" spans="11:12" ht="12.75">
      <c r="K6519" s="12"/>
      <c r="L6519" s="12"/>
    </row>
    <row r="6520" spans="11:12" ht="12.75">
      <c r="K6520" s="12"/>
      <c r="L6520" s="12"/>
    </row>
    <row r="6521" spans="11:12" ht="12.75">
      <c r="K6521" s="12"/>
      <c r="L6521" s="12"/>
    </row>
    <row r="6522" spans="11:12" ht="12.75">
      <c r="K6522" s="12"/>
      <c r="L6522" s="12"/>
    </row>
    <row r="6523" spans="11:12" ht="12.75">
      <c r="K6523" s="12"/>
      <c r="L6523" s="12"/>
    </row>
    <row r="6524" spans="11:12" ht="12.75">
      <c r="K6524" s="12"/>
      <c r="L6524" s="12"/>
    </row>
    <row r="6525" spans="11:12" ht="12.75">
      <c r="K6525" s="12"/>
      <c r="L6525" s="12"/>
    </row>
    <row r="6526" spans="11:12" ht="12.75">
      <c r="K6526" s="12"/>
      <c r="L6526" s="12"/>
    </row>
    <row r="6527" spans="11:12" ht="12.75">
      <c r="K6527" s="12"/>
      <c r="L6527" s="12"/>
    </row>
    <row r="6528" spans="11:12" ht="12.75">
      <c r="K6528" s="12"/>
      <c r="L6528" s="12"/>
    </row>
    <row r="6529" spans="11:12" ht="12.75">
      <c r="K6529" s="12"/>
      <c r="L6529" s="12"/>
    </row>
    <row r="6530" spans="11:12" ht="12.75">
      <c r="K6530" s="12"/>
      <c r="L6530" s="12"/>
    </row>
    <row r="6531" spans="11:12" ht="12.75">
      <c r="K6531" s="12"/>
      <c r="L6531" s="12"/>
    </row>
    <row r="6532" spans="11:12" ht="12.75">
      <c r="K6532" s="12"/>
      <c r="L6532" s="12"/>
    </row>
    <row r="6533" spans="11:12" ht="12.75">
      <c r="K6533" s="12"/>
      <c r="L6533" s="12"/>
    </row>
    <row r="6534" spans="11:12" ht="12.75">
      <c r="K6534" s="12"/>
      <c r="L6534" s="12"/>
    </row>
    <row r="6535" spans="11:12" ht="12.75">
      <c r="K6535" s="12"/>
      <c r="L6535" s="12"/>
    </row>
    <row r="6536" spans="11:12" ht="12.75">
      <c r="K6536" s="12"/>
      <c r="L6536" s="12"/>
    </row>
    <row r="6537" spans="11:12" ht="12.75">
      <c r="K6537" s="12"/>
      <c r="L6537" s="12"/>
    </row>
    <row r="6538" spans="11:12" ht="12.75">
      <c r="K6538" s="12"/>
      <c r="L6538" s="12"/>
    </row>
    <row r="6539" spans="11:12" ht="12.75">
      <c r="K6539" s="12"/>
      <c r="L6539" s="12"/>
    </row>
    <row r="6540" spans="11:12" ht="12.75">
      <c r="K6540" s="12"/>
      <c r="L6540" s="12"/>
    </row>
    <row r="6541" spans="11:12" ht="12.75">
      <c r="K6541" s="12"/>
      <c r="L6541" s="12"/>
    </row>
    <row r="6542" spans="11:12" ht="12.75">
      <c r="K6542" s="12"/>
      <c r="L6542" s="12"/>
    </row>
    <row r="6543" spans="11:12" ht="12.75">
      <c r="K6543" s="12"/>
      <c r="L6543" s="12"/>
    </row>
    <row r="6544" spans="11:12" ht="12.75">
      <c r="K6544" s="12"/>
      <c r="L6544" s="12"/>
    </row>
    <row r="6545" spans="11:12" ht="12.75">
      <c r="K6545" s="12"/>
      <c r="L6545" s="12"/>
    </row>
    <row r="6546" spans="11:12" ht="12.75">
      <c r="K6546" s="12"/>
      <c r="L6546" s="12"/>
    </row>
    <row r="6547" spans="11:12" ht="12.75">
      <c r="K6547" s="12"/>
      <c r="L6547" s="12"/>
    </row>
    <row r="6548" spans="11:12" ht="12.75">
      <c r="K6548" s="12"/>
      <c r="L6548" s="12"/>
    </row>
    <row r="6549" spans="11:12" ht="12.75">
      <c r="K6549" s="12"/>
      <c r="L6549" s="12"/>
    </row>
    <row r="6550" spans="11:12" ht="12.75">
      <c r="K6550" s="12"/>
      <c r="L6550" s="12"/>
    </row>
    <row r="6551" spans="11:12" ht="12.75">
      <c r="K6551" s="12"/>
      <c r="L6551" s="12"/>
    </row>
    <row r="6552" spans="11:12" ht="12.75">
      <c r="K6552" s="12"/>
      <c r="L6552" s="12"/>
    </row>
    <row r="6553" spans="11:12" ht="12.75">
      <c r="K6553" s="12"/>
      <c r="L6553" s="12"/>
    </row>
    <row r="6554" spans="11:12" ht="12.75">
      <c r="K6554" s="12"/>
      <c r="L6554" s="12"/>
    </row>
    <row r="6555" spans="11:12" ht="12.75">
      <c r="K6555" s="12"/>
      <c r="L6555" s="12"/>
    </row>
    <row r="6556" spans="11:12" ht="12.75">
      <c r="K6556" s="12"/>
      <c r="L6556" s="12"/>
    </row>
    <row r="6557" spans="11:12" ht="12.75">
      <c r="K6557" s="12"/>
      <c r="L6557" s="12"/>
    </row>
    <row r="6558" spans="11:12" ht="12.75">
      <c r="K6558" s="12"/>
      <c r="L6558" s="12"/>
    </row>
    <row r="6559" spans="11:12" ht="12.75">
      <c r="K6559" s="12"/>
      <c r="L6559" s="12"/>
    </row>
    <row r="6560" spans="11:12" ht="12.75">
      <c r="K6560" s="12"/>
      <c r="L6560" s="12"/>
    </row>
    <row r="6561" spans="11:12" ht="12.75">
      <c r="K6561" s="12"/>
      <c r="L6561" s="12"/>
    </row>
    <row r="6562" spans="11:12" ht="12.75">
      <c r="K6562" s="12"/>
      <c r="L6562" s="12"/>
    </row>
    <row r="6563" spans="11:12" ht="12.75">
      <c r="K6563" s="12"/>
      <c r="L6563" s="12"/>
    </row>
    <row r="6564" spans="11:12" ht="12.75">
      <c r="K6564" s="12"/>
      <c r="L6564" s="12"/>
    </row>
    <row r="6565" spans="11:12" ht="12.75">
      <c r="K6565" s="12"/>
      <c r="L6565" s="12"/>
    </row>
    <row r="6566" spans="11:12" ht="12.75">
      <c r="K6566" s="12"/>
      <c r="L6566" s="12"/>
    </row>
    <row r="6567" spans="11:12" ht="12.75">
      <c r="K6567" s="12"/>
      <c r="L6567" s="12"/>
    </row>
    <row r="6568" spans="11:12" ht="12.75">
      <c r="K6568" s="12"/>
      <c r="L6568" s="12"/>
    </row>
    <row r="6569" spans="11:12" ht="12.75">
      <c r="K6569" s="12"/>
      <c r="L6569" s="12"/>
    </row>
    <row r="6570" spans="11:12" ht="12.75">
      <c r="K6570" s="12"/>
      <c r="L6570" s="12"/>
    </row>
    <row r="6571" spans="11:12" ht="12.75">
      <c r="K6571" s="12"/>
      <c r="L6571" s="12"/>
    </row>
    <row r="6572" spans="11:12" ht="12.75">
      <c r="K6572" s="12"/>
      <c r="L6572" s="12"/>
    </row>
    <row r="6573" spans="11:12" ht="12.75">
      <c r="K6573" s="12"/>
      <c r="L6573" s="12"/>
    </row>
    <row r="6574" spans="11:12" ht="12.75">
      <c r="K6574" s="12"/>
      <c r="L6574" s="12"/>
    </row>
    <row r="6575" spans="11:12" ht="12.75">
      <c r="K6575" s="12"/>
      <c r="L6575" s="12"/>
    </row>
    <row r="6576" spans="11:12" ht="12.75">
      <c r="K6576" s="12"/>
      <c r="L6576" s="12"/>
    </row>
    <row r="6577" spans="11:12" ht="12.75">
      <c r="K6577" s="12"/>
      <c r="L6577" s="12"/>
    </row>
    <row r="6578" spans="11:12" ht="12.75">
      <c r="K6578" s="12"/>
      <c r="L6578" s="12"/>
    </row>
    <row r="6579" spans="11:12" ht="12.75">
      <c r="K6579" s="12"/>
      <c r="L6579" s="12"/>
    </row>
    <row r="6580" spans="11:12" ht="12.75">
      <c r="K6580" s="12"/>
      <c r="L6580" s="12"/>
    </row>
    <row r="6581" spans="11:12" ht="12.75">
      <c r="K6581" s="12"/>
      <c r="L6581" s="12"/>
    </row>
    <row r="6582" spans="11:12" ht="12.75">
      <c r="K6582" s="12"/>
      <c r="L6582" s="12"/>
    </row>
    <row r="6583" spans="11:12" ht="12.75">
      <c r="K6583" s="12"/>
      <c r="L6583" s="12"/>
    </row>
    <row r="6584" spans="11:12" ht="12.75">
      <c r="K6584" s="12"/>
      <c r="L6584" s="12"/>
    </row>
    <row r="6585" spans="11:12" ht="12.75">
      <c r="K6585" s="12"/>
      <c r="L6585" s="12"/>
    </row>
    <row r="6586" spans="11:12" ht="12.75">
      <c r="K6586" s="12"/>
      <c r="L6586" s="12"/>
    </row>
    <row r="6587" spans="11:12" ht="12.75">
      <c r="K6587" s="12"/>
      <c r="L6587" s="12"/>
    </row>
    <row r="6588" spans="11:12" ht="12.75">
      <c r="K6588" s="12"/>
      <c r="L6588" s="12"/>
    </row>
    <row r="6589" spans="11:12" ht="12.75">
      <c r="K6589" s="12"/>
      <c r="L6589" s="12"/>
    </row>
    <row r="6590" spans="11:12" ht="12.75">
      <c r="K6590" s="12"/>
      <c r="L6590" s="12"/>
    </row>
    <row r="6591" spans="11:12" ht="12.75">
      <c r="K6591" s="12"/>
      <c r="L6591" s="12"/>
    </row>
    <row r="6592" spans="11:12" ht="12.75">
      <c r="K6592" s="12"/>
      <c r="L6592" s="12"/>
    </row>
    <row r="6593" spans="11:12" ht="12.75">
      <c r="K6593" s="12"/>
      <c r="L6593" s="12"/>
    </row>
    <row r="6594" spans="11:12" ht="12.75">
      <c r="K6594" s="12"/>
      <c r="L6594" s="12"/>
    </row>
    <row r="6595" spans="11:12" ht="12.75">
      <c r="K6595" s="12"/>
      <c r="L6595" s="12"/>
    </row>
    <row r="6596" spans="11:12" ht="12.75">
      <c r="K6596" s="12"/>
      <c r="L6596" s="12"/>
    </row>
    <row r="6597" spans="11:12" ht="12.75">
      <c r="K6597" s="12"/>
      <c r="L6597" s="12"/>
    </row>
    <row r="6598" spans="11:12" ht="12.75">
      <c r="K6598" s="12"/>
      <c r="L6598" s="12"/>
    </row>
    <row r="6599" spans="11:12" ht="12.75">
      <c r="K6599" s="12"/>
      <c r="L6599" s="12"/>
    </row>
    <row r="6600" spans="11:12" ht="12.75">
      <c r="K6600" s="12"/>
      <c r="L6600" s="12"/>
    </row>
    <row r="6601" spans="11:12" ht="12.75">
      <c r="K6601" s="12"/>
      <c r="L6601" s="12"/>
    </row>
    <row r="6602" spans="11:12" ht="12.75">
      <c r="K6602" s="12"/>
      <c r="L6602" s="12"/>
    </row>
    <row r="6603" spans="11:12" ht="12.75">
      <c r="K6603" s="12"/>
      <c r="L6603" s="12"/>
    </row>
    <row r="6604" spans="11:12" ht="12.75">
      <c r="K6604" s="12"/>
      <c r="L6604" s="12"/>
    </row>
    <row r="6605" spans="11:12" ht="12.75">
      <c r="K6605" s="12"/>
      <c r="L6605" s="12"/>
    </row>
    <row r="6606" spans="11:12" ht="12.75">
      <c r="K6606" s="12"/>
      <c r="L6606" s="12"/>
    </row>
    <row r="6607" spans="11:12" ht="12.75">
      <c r="K6607" s="12"/>
      <c r="L6607" s="12"/>
    </row>
    <row r="6608" spans="11:12" ht="12.75">
      <c r="K6608" s="12"/>
      <c r="L6608" s="12"/>
    </row>
    <row r="6609" spans="11:12" ht="12.75">
      <c r="K6609" s="12"/>
      <c r="L6609" s="12"/>
    </row>
    <row r="6610" spans="11:12" ht="12.75">
      <c r="K6610" s="12"/>
      <c r="L6610" s="12"/>
    </row>
    <row r="6611" spans="11:12" ht="12.75">
      <c r="K6611" s="12"/>
      <c r="L6611" s="12"/>
    </row>
    <row r="6612" spans="11:12" ht="12.75">
      <c r="K6612" s="12"/>
      <c r="L6612" s="12"/>
    </row>
    <row r="6613" spans="11:12" ht="12.75">
      <c r="K6613" s="12"/>
      <c r="L6613" s="12"/>
    </row>
    <row r="6614" spans="11:12" ht="12.75">
      <c r="K6614" s="12"/>
      <c r="L6614" s="12"/>
    </row>
    <row r="6615" spans="11:12" ht="12.75">
      <c r="K6615" s="12"/>
      <c r="L6615" s="12"/>
    </row>
    <row r="6616" spans="11:12" ht="12.75">
      <c r="K6616" s="12"/>
      <c r="L6616" s="12"/>
    </row>
    <row r="6617" spans="11:12" ht="12.75">
      <c r="K6617" s="12"/>
      <c r="L6617" s="12"/>
    </row>
    <row r="6618" spans="11:12" ht="12.75">
      <c r="K6618" s="12"/>
      <c r="L6618" s="12"/>
    </row>
    <row r="6619" spans="11:12" ht="12.75">
      <c r="K6619" s="12"/>
      <c r="L6619" s="12"/>
    </row>
    <row r="6620" spans="11:12" ht="12.75">
      <c r="K6620" s="12"/>
      <c r="L6620" s="12"/>
    </row>
    <row r="6621" spans="11:12" ht="12.75">
      <c r="K6621" s="12"/>
      <c r="L6621" s="12"/>
    </row>
    <row r="6622" spans="11:12" ht="12.75">
      <c r="K6622" s="12"/>
      <c r="L6622" s="12"/>
    </row>
    <row r="6623" spans="11:12" ht="12.75">
      <c r="K6623" s="12"/>
      <c r="L6623" s="12"/>
    </row>
    <row r="6624" spans="11:12" ht="12.75">
      <c r="K6624" s="12"/>
      <c r="L6624" s="12"/>
    </row>
    <row r="6625" spans="11:12" ht="12.75">
      <c r="K6625" s="12"/>
      <c r="L6625" s="12"/>
    </row>
    <row r="6626" spans="11:12" ht="12.75">
      <c r="K6626" s="12"/>
      <c r="L6626" s="12"/>
    </row>
    <row r="6627" spans="11:12" ht="12.75">
      <c r="K6627" s="12"/>
      <c r="L6627" s="12"/>
    </row>
    <row r="6628" spans="11:12" ht="12.75">
      <c r="K6628" s="12"/>
      <c r="L6628" s="12"/>
    </row>
    <row r="6629" spans="11:12" ht="12.75">
      <c r="K6629" s="12"/>
      <c r="L6629" s="12"/>
    </row>
    <row r="6630" spans="11:12" ht="12.75">
      <c r="K6630" s="12"/>
      <c r="L6630" s="12"/>
    </row>
    <row r="6631" spans="11:12" ht="12.75">
      <c r="K6631" s="12"/>
      <c r="L6631" s="12"/>
    </row>
    <row r="6632" spans="11:12" ht="12.75">
      <c r="K6632" s="12"/>
      <c r="L6632" s="12"/>
    </row>
    <row r="6633" spans="11:12" ht="12.75">
      <c r="K6633" s="12"/>
      <c r="L6633" s="12"/>
    </row>
    <row r="6634" spans="11:12" ht="12.75">
      <c r="K6634" s="12"/>
      <c r="L6634" s="12"/>
    </row>
    <row r="6635" spans="11:12" ht="12.75">
      <c r="K6635" s="12"/>
      <c r="L6635" s="12"/>
    </row>
    <row r="6636" spans="11:12" ht="12.75">
      <c r="K6636" s="12"/>
      <c r="L6636" s="12"/>
    </row>
    <row r="6637" spans="11:12" ht="12.75">
      <c r="K6637" s="12"/>
      <c r="L6637" s="12"/>
    </row>
    <row r="6638" spans="11:12" ht="12.75">
      <c r="K6638" s="12"/>
      <c r="L6638" s="12"/>
    </row>
    <row r="6639" spans="11:12" ht="12.75">
      <c r="K6639" s="12"/>
      <c r="L6639" s="12"/>
    </row>
    <row r="6640" spans="11:12" ht="12.75">
      <c r="K6640" s="12"/>
      <c r="L6640" s="12"/>
    </row>
    <row r="6641" spans="11:12" ht="12.75">
      <c r="K6641" s="12"/>
      <c r="L6641" s="12"/>
    </row>
    <row r="6642" spans="11:12" ht="12.75">
      <c r="K6642" s="12"/>
      <c r="L6642" s="12"/>
    </row>
    <row r="6643" spans="11:12" ht="12.75">
      <c r="K6643" s="12"/>
      <c r="L6643" s="12"/>
    </row>
    <row r="6644" spans="11:12" ht="12.75">
      <c r="K6644" s="12"/>
      <c r="L6644" s="12"/>
    </row>
    <row r="6645" spans="11:12" ht="12.75">
      <c r="K6645" s="12"/>
      <c r="L6645" s="12"/>
    </row>
    <row r="6646" spans="11:12" ht="12.75">
      <c r="K6646" s="12"/>
      <c r="L6646" s="12"/>
    </row>
    <row r="6647" spans="11:12" ht="12.75">
      <c r="K6647" s="12"/>
      <c r="L6647" s="12"/>
    </row>
    <row r="6648" spans="11:12" ht="12.75">
      <c r="K6648" s="12"/>
      <c r="L6648" s="12"/>
    </row>
    <row r="6649" spans="11:12" ht="12.75">
      <c r="K6649" s="12"/>
      <c r="L6649" s="12"/>
    </row>
    <row r="6650" spans="11:12" ht="12.75">
      <c r="K6650" s="12"/>
      <c r="L6650" s="12"/>
    </row>
    <row r="6651" spans="11:12" ht="12.75">
      <c r="K6651" s="12"/>
      <c r="L6651" s="12"/>
    </row>
    <row r="6652" spans="11:12" ht="12.75">
      <c r="K6652" s="12"/>
      <c r="L6652" s="12"/>
    </row>
    <row r="6653" spans="11:12" ht="12.75">
      <c r="K6653" s="12"/>
      <c r="L6653" s="12"/>
    </row>
    <row r="6654" spans="11:12" ht="12.75">
      <c r="K6654" s="12"/>
      <c r="L6654" s="12"/>
    </row>
    <row r="6655" spans="11:12" ht="12.75">
      <c r="K6655" s="12"/>
      <c r="L6655" s="12"/>
    </row>
    <row r="6656" spans="11:12" ht="12.75">
      <c r="K6656" s="12"/>
      <c r="L6656" s="12"/>
    </row>
    <row r="6657" spans="11:12" ht="12.75">
      <c r="K6657" s="12"/>
      <c r="L6657" s="12"/>
    </row>
    <row r="6658" spans="11:12" ht="12.75">
      <c r="K6658" s="12"/>
      <c r="L6658" s="12"/>
    </row>
    <row r="6659" spans="11:12" ht="12.75">
      <c r="K6659" s="12"/>
      <c r="L6659" s="12"/>
    </row>
    <row r="6660" spans="11:12" ht="12.75">
      <c r="K6660" s="12"/>
      <c r="L6660" s="12"/>
    </row>
    <row r="6661" spans="11:12" ht="12.75">
      <c r="K6661" s="12"/>
      <c r="L6661" s="12"/>
    </row>
    <row r="6662" spans="11:12" ht="12.75">
      <c r="K6662" s="12"/>
      <c r="L6662" s="12"/>
    </row>
    <row r="6663" spans="11:12" ht="12.75">
      <c r="K6663" s="12"/>
      <c r="L6663" s="12"/>
    </row>
    <row r="6664" spans="11:12" ht="12.75">
      <c r="K6664" s="12"/>
      <c r="L6664" s="12"/>
    </row>
    <row r="6665" spans="11:12" ht="12.75">
      <c r="K6665" s="12"/>
      <c r="L6665" s="12"/>
    </row>
    <row r="6666" spans="11:12" ht="12.75">
      <c r="K6666" s="12"/>
      <c r="L6666" s="12"/>
    </row>
    <row r="6667" spans="11:12" ht="12.75">
      <c r="K6667" s="12"/>
      <c r="L6667" s="12"/>
    </row>
    <row r="6668" spans="11:12" ht="12.75">
      <c r="K6668" s="12"/>
      <c r="L6668" s="12"/>
    </row>
    <row r="6669" spans="11:12" ht="12.75">
      <c r="K6669" s="12"/>
      <c r="L6669" s="12"/>
    </row>
    <row r="6670" spans="11:12" ht="12.75">
      <c r="K6670" s="12"/>
      <c r="L6670" s="12"/>
    </row>
    <row r="6671" spans="11:12" ht="12.75">
      <c r="K6671" s="12"/>
      <c r="L6671" s="12"/>
    </row>
    <row r="6672" spans="11:12" ht="12.75">
      <c r="K6672" s="12"/>
      <c r="L6672" s="12"/>
    </row>
    <row r="6673" spans="11:12" ht="12.75">
      <c r="K6673" s="12"/>
      <c r="L6673" s="12"/>
    </row>
    <row r="6674" spans="11:12" ht="12.75">
      <c r="K6674" s="12"/>
      <c r="L6674" s="12"/>
    </row>
    <row r="6675" spans="11:12" ht="12.75">
      <c r="K6675" s="12"/>
      <c r="L6675" s="12"/>
    </row>
    <row r="6676" spans="11:12" ht="12.75">
      <c r="K6676" s="12"/>
      <c r="L6676" s="12"/>
    </row>
    <row r="6677" spans="11:12" ht="12.75">
      <c r="K6677" s="12"/>
      <c r="L6677" s="12"/>
    </row>
    <row r="6678" spans="11:12" ht="12.75">
      <c r="K6678" s="12"/>
      <c r="L6678" s="12"/>
    </row>
    <row r="6679" spans="11:12" ht="12.75">
      <c r="K6679" s="12"/>
      <c r="L6679" s="12"/>
    </row>
    <row r="6680" spans="11:12" ht="12.75">
      <c r="K6680" s="12"/>
      <c r="L6680" s="12"/>
    </row>
    <row r="6681" spans="11:12" ht="12.75">
      <c r="K6681" s="12"/>
      <c r="L6681" s="12"/>
    </row>
    <row r="6682" spans="11:12" ht="12.75">
      <c r="K6682" s="12"/>
      <c r="L6682" s="12"/>
    </row>
    <row r="6683" spans="11:12" ht="12.75">
      <c r="K6683" s="12"/>
      <c r="L6683" s="12"/>
    </row>
    <row r="6684" spans="11:12" ht="12.75">
      <c r="K6684" s="12"/>
      <c r="L6684" s="12"/>
    </row>
    <row r="6685" spans="11:12" ht="12.75">
      <c r="K6685" s="12"/>
      <c r="L6685" s="12"/>
    </row>
    <row r="6686" spans="11:12" ht="12.75">
      <c r="K6686" s="12"/>
      <c r="L6686" s="12"/>
    </row>
    <row r="6687" spans="11:12" ht="12.75">
      <c r="K6687" s="12"/>
      <c r="L6687" s="12"/>
    </row>
    <row r="6688" spans="11:12" ht="12.75">
      <c r="K6688" s="12"/>
      <c r="L6688" s="12"/>
    </row>
    <row r="6689" spans="11:12" ht="12.75">
      <c r="K6689" s="12"/>
      <c r="L6689" s="12"/>
    </row>
    <row r="6690" spans="11:12" ht="12.75">
      <c r="K6690" s="12"/>
      <c r="L6690" s="12"/>
    </row>
    <row r="6691" spans="11:12" ht="12.75">
      <c r="K6691" s="12"/>
      <c r="L6691" s="12"/>
    </row>
    <row r="6692" spans="11:12" ht="12.75">
      <c r="K6692" s="12"/>
      <c r="L6692" s="12"/>
    </row>
    <row r="6693" spans="11:12" ht="12.75">
      <c r="K6693" s="12"/>
      <c r="L6693" s="12"/>
    </row>
    <row r="6694" spans="11:12" ht="12.75">
      <c r="K6694" s="12"/>
      <c r="L6694" s="12"/>
    </row>
    <row r="6695" spans="11:12" ht="12.75">
      <c r="K6695" s="12"/>
      <c r="L6695" s="12"/>
    </row>
    <row r="6696" spans="11:12" ht="12.75">
      <c r="K6696" s="12"/>
      <c r="L6696" s="12"/>
    </row>
    <row r="6697" spans="11:12" ht="12.75">
      <c r="K6697" s="12"/>
      <c r="L6697" s="12"/>
    </row>
    <row r="6698" spans="11:12" ht="12.75">
      <c r="K6698" s="12"/>
      <c r="L6698" s="12"/>
    </row>
    <row r="6699" spans="11:12" ht="12.75">
      <c r="K6699" s="12"/>
      <c r="L6699" s="12"/>
    </row>
    <row r="6700" spans="11:12" ht="12.75">
      <c r="K6700" s="12"/>
      <c r="L6700" s="12"/>
    </row>
    <row r="6701" spans="11:12" ht="12.75">
      <c r="K6701" s="12"/>
      <c r="L6701" s="12"/>
    </row>
    <row r="6702" spans="11:12" ht="12.75">
      <c r="K6702" s="12"/>
      <c r="L6702" s="12"/>
    </row>
    <row r="6703" spans="11:12" ht="12.75">
      <c r="K6703" s="12"/>
      <c r="L6703" s="12"/>
    </row>
    <row r="6704" spans="11:12" ht="12.75">
      <c r="K6704" s="12"/>
      <c r="L6704" s="12"/>
    </row>
    <row r="6705" spans="11:12" ht="12.75">
      <c r="K6705" s="12"/>
      <c r="L6705" s="12"/>
    </row>
    <row r="6706" spans="11:12" ht="12.75">
      <c r="K6706" s="12"/>
      <c r="L6706" s="12"/>
    </row>
    <row r="6707" spans="11:12" ht="12.75">
      <c r="K6707" s="12"/>
      <c r="L6707" s="12"/>
    </row>
    <row r="6708" spans="11:12" ht="12.75">
      <c r="K6708" s="12"/>
      <c r="L6708" s="12"/>
    </row>
    <row r="6709" spans="11:12" ht="12.75">
      <c r="K6709" s="12"/>
      <c r="L6709" s="12"/>
    </row>
    <row r="6710" spans="11:12" ht="12.75">
      <c r="K6710" s="12"/>
      <c r="L6710" s="12"/>
    </row>
    <row r="6711" spans="11:12" ht="12.75">
      <c r="K6711" s="12"/>
      <c r="L6711" s="12"/>
    </row>
    <row r="6712" spans="11:12" ht="12.75">
      <c r="K6712" s="12"/>
      <c r="L6712" s="12"/>
    </row>
    <row r="6713" spans="11:12" ht="12.75">
      <c r="K6713" s="12"/>
      <c r="L6713" s="12"/>
    </row>
    <row r="6714" spans="11:12" ht="12.75">
      <c r="K6714" s="12"/>
      <c r="L6714" s="12"/>
    </row>
    <row r="6715" spans="11:12" ht="12.75">
      <c r="K6715" s="12"/>
      <c r="L6715" s="12"/>
    </row>
    <row r="6716" spans="11:12" ht="12.75">
      <c r="K6716" s="12"/>
      <c r="L6716" s="12"/>
    </row>
    <row r="6717" spans="11:12" ht="12.75">
      <c r="K6717" s="12"/>
      <c r="L6717" s="12"/>
    </row>
    <row r="6718" spans="11:12" ht="12.75">
      <c r="K6718" s="12"/>
      <c r="L6718" s="12"/>
    </row>
    <row r="6719" spans="11:12" ht="12.75">
      <c r="K6719" s="12"/>
      <c r="L6719" s="12"/>
    </row>
    <row r="6720" spans="11:12" ht="12.75">
      <c r="K6720" s="12"/>
      <c r="L6720" s="12"/>
    </row>
    <row r="6721" spans="11:12" ht="12.75">
      <c r="K6721" s="12"/>
      <c r="L6721" s="12"/>
    </row>
    <row r="6722" spans="11:12" ht="12.75">
      <c r="K6722" s="12"/>
      <c r="L6722" s="12"/>
    </row>
    <row r="6723" spans="11:12" ht="12.75">
      <c r="K6723" s="12"/>
      <c r="L6723" s="12"/>
    </row>
    <row r="6724" spans="11:12" ht="12.75">
      <c r="K6724" s="12"/>
      <c r="L6724" s="12"/>
    </row>
    <row r="6725" spans="11:12" ht="12.75">
      <c r="K6725" s="12"/>
      <c r="L6725" s="12"/>
    </row>
    <row r="6726" spans="11:12" ht="12.75">
      <c r="K6726" s="12"/>
      <c r="L6726" s="12"/>
    </row>
    <row r="6727" spans="11:12" ht="12.75">
      <c r="K6727" s="12"/>
      <c r="L6727" s="12"/>
    </row>
    <row r="6728" spans="11:12" ht="12.75">
      <c r="K6728" s="12"/>
      <c r="L6728" s="12"/>
    </row>
    <row r="6729" spans="11:12" ht="12.75">
      <c r="K6729" s="12"/>
      <c r="L6729" s="12"/>
    </row>
    <row r="6730" spans="11:12" ht="12.75">
      <c r="K6730" s="12"/>
      <c r="L6730" s="12"/>
    </row>
    <row r="6731" spans="11:12" ht="12.75">
      <c r="K6731" s="12"/>
      <c r="L6731" s="12"/>
    </row>
    <row r="6732" spans="11:12" ht="12.75">
      <c r="K6732" s="12"/>
      <c r="L6732" s="12"/>
    </row>
    <row r="6733" spans="11:12" ht="12.75">
      <c r="K6733" s="12"/>
      <c r="L6733" s="12"/>
    </row>
    <row r="6734" spans="11:12" ht="12.75">
      <c r="K6734" s="12"/>
      <c r="L6734" s="12"/>
    </row>
    <row r="6735" spans="11:12" ht="12.75">
      <c r="K6735" s="12"/>
      <c r="L6735" s="12"/>
    </row>
    <row r="6736" spans="11:12" ht="12.75">
      <c r="K6736" s="12"/>
      <c r="L6736" s="12"/>
    </row>
    <row r="6737" spans="11:12" ht="12.75">
      <c r="K6737" s="12"/>
      <c r="L6737" s="12"/>
    </row>
    <row r="6738" spans="11:12" ht="12.75">
      <c r="K6738" s="12"/>
      <c r="L6738" s="12"/>
    </row>
    <row r="6739" spans="11:12" ht="12.75">
      <c r="K6739" s="12"/>
      <c r="L6739" s="12"/>
    </row>
    <row r="6740" spans="11:12" ht="12.75">
      <c r="K6740" s="12"/>
      <c r="L6740" s="12"/>
    </row>
    <row r="6741" spans="11:12" ht="12.75">
      <c r="K6741" s="12"/>
      <c r="L6741" s="12"/>
    </row>
    <row r="6742" spans="11:12" ht="12.75">
      <c r="K6742" s="12"/>
      <c r="L6742" s="12"/>
    </row>
    <row r="6743" spans="11:12" ht="12.75">
      <c r="K6743" s="12"/>
      <c r="L6743" s="12"/>
    </row>
    <row r="6744" spans="11:12" ht="12.75">
      <c r="K6744" s="12"/>
      <c r="L6744" s="12"/>
    </row>
    <row r="6745" spans="11:12" ht="12.75">
      <c r="K6745" s="12"/>
      <c r="L6745" s="12"/>
    </row>
    <row r="6746" spans="11:12" ht="12.75">
      <c r="K6746" s="12"/>
      <c r="L6746" s="12"/>
    </row>
    <row r="6747" spans="11:12" ht="12.75">
      <c r="K6747" s="12"/>
      <c r="L6747" s="12"/>
    </row>
    <row r="6748" spans="11:12" ht="12.75">
      <c r="K6748" s="12"/>
      <c r="L6748" s="12"/>
    </row>
    <row r="6749" spans="11:12" ht="12.75">
      <c r="K6749" s="12"/>
      <c r="L6749" s="12"/>
    </row>
    <row r="6750" spans="11:12" ht="12.75">
      <c r="K6750" s="12"/>
      <c r="L6750" s="12"/>
    </row>
    <row r="6751" spans="11:12" ht="12.75">
      <c r="K6751" s="12"/>
      <c r="L6751" s="12"/>
    </row>
    <row r="6752" spans="11:12" ht="12.75">
      <c r="K6752" s="12"/>
      <c r="L6752" s="12"/>
    </row>
    <row r="6753" spans="11:12" ht="12.75">
      <c r="K6753" s="12"/>
      <c r="L6753" s="12"/>
    </row>
    <row r="6754" spans="11:12" ht="12.75">
      <c r="K6754" s="12"/>
      <c r="L6754" s="12"/>
    </row>
    <row r="6755" spans="11:12" ht="12.75">
      <c r="K6755" s="12"/>
      <c r="L6755" s="12"/>
    </row>
    <row r="6756" spans="11:12" ht="12.75">
      <c r="K6756" s="12"/>
      <c r="L6756" s="12"/>
    </row>
    <row r="6757" spans="11:12" ht="12.75">
      <c r="K6757" s="12"/>
      <c r="L6757" s="12"/>
    </row>
    <row r="6758" spans="11:12" ht="12.75">
      <c r="K6758" s="12"/>
      <c r="L6758" s="12"/>
    </row>
    <row r="6759" spans="11:12" ht="12.75">
      <c r="K6759" s="12"/>
      <c r="L6759" s="12"/>
    </row>
    <row r="6760" spans="11:12" ht="12.75">
      <c r="K6760" s="12"/>
      <c r="L6760" s="12"/>
    </row>
    <row r="6761" spans="11:12" ht="12.75">
      <c r="K6761" s="12"/>
      <c r="L6761" s="12"/>
    </row>
    <row r="6762" spans="11:12" ht="12.75">
      <c r="K6762" s="12"/>
      <c r="L6762" s="12"/>
    </row>
    <row r="6763" spans="11:12" ht="12.75">
      <c r="K6763" s="12"/>
      <c r="L6763" s="12"/>
    </row>
    <row r="6764" spans="11:12" ht="12.75">
      <c r="K6764" s="12"/>
      <c r="L6764" s="12"/>
    </row>
    <row r="6765" spans="11:12" ht="12.75">
      <c r="K6765" s="12"/>
      <c r="L6765" s="12"/>
    </row>
    <row r="6766" spans="11:12" ht="12.75">
      <c r="K6766" s="12"/>
      <c r="L6766" s="12"/>
    </row>
    <row r="6767" spans="11:12" ht="12.75">
      <c r="K6767" s="12"/>
      <c r="L6767" s="12"/>
    </row>
    <row r="6768" spans="11:12" ht="12.75">
      <c r="K6768" s="12"/>
      <c r="L6768" s="12"/>
    </row>
    <row r="6769" spans="11:12" ht="12.75">
      <c r="K6769" s="12"/>
      <c r="L6769" s="12"/>
    </row>
    <row r="6770" spans="11:12" ht="12.75">
      <c r="K6770" s="12"/>
      <c r="L6770" s="12"/>
    </row>
    <row r="6771" spans="11:12" ht="12.75">
      <c r="K6771" s="12"/>
      <c r="L6771" s="12"/>
    </row>
    <row r="6772" spans="11:12" ht="12.75">
      <c r="K6772" s="12"/>
      <c r="L6772" s="12"/>
    </row>
    <row r="6773" spans="11:12" ht="12.75">
      <c r="K6773" s="12"/>
      <c r="L6773" s="12"/>
    </row>
    <row r="6774" spans="11:12" ht="12.75">
      <c r="K6774" s="12"/>
      <c r="L6774" s="12"/>
    </row>
    <row r="6775" spans="11:12" ht="12.75">
      <c r="K6775" s="12"/>
      <c r="L6775" s="12"/>
    </row>
    <row r="6776" spans="11:12" ht="12.75">
      <c r="K6776" s="12"/>
      <c r="L6776" s="12"/>
    </row>
    <row r="6777" spans="11:12" ht="12.75">
      <c r="K6777" s="12"/>
      <c r="L6777" s="12"/>
    </row>
    <row r="6778" spans="11:12" ht="12.75">
      <c r="K6778" s="12"/>
      <c r="L6778" s="12"/>
    </row>
    <row r="6779" spans="11:12" ht="12.75">
      <c r="K6779" s="12"/>
      <c r="L6779" s="12"/>
    </row>
    <row r="6780" spans="11:12" ht="12.75">
      <c r="K6780" s="12"/>
      <c r="L6780" s="12"/>
    </row>
    <row r="6781" spans="11:12" ht="12.75">
      <c r="K6781" s="12"/>
      <c r="L6781" s="12"/>
    </row>
    <row r="6782" spans="11:12" ht="12.75">
      <c r="K6782" s="12"/>
      <c r="L6782" s="12"/>
    </row>
    <row r="6783" spans="11:12" ht="12.75">
      <c r="K6783" s="12"/>
      <c r="L6783" s="12"/>
    </row>
    <row r="6784" spans="11:12" ht="12.75">
      <c r="K6784" s="12"/>
      <c r="L6784" s="12"/>
    </row>
    <row r="6785" spans="11:12" ht="12.75">
      <c r="K6785" s="12"/>
      <c r="L6785" s="12"/>
    </row>
    <row r="6786" spans="11:12" ht="12.75">
      <c r="K6786" s="12"/>
      <c r="L6786" s="12"/>
    </row>
    <row r="6787" spans="11:12" ht="12.75">
      <c r="K6787" s="12"/>
      <c r="L6787" s="12"/>
    </row>
    <row r="6788" spans="11:12" ht="12.75">
      <c r="K6788" s="12"/>
      <c r="L6788" s="12"/>
    </row>
    <row r="6789" spans="11:12" ht="12.75">
      <c r="K6789" s="12"/>
      <c r="L6789" s="12"/>
    </row>
    <row r="6790" spans="11:12" ht="12.75">
      <c r="K6790" s="12"/>
      <c r="L6790" s="12"/>
    </row>
    <row r="6791" spans="11:12" ht="12.75">
      <c r="K6791" s="12"/>
      <c r="L6791" s="12"/>
    </row>
    <row r="6792" spans="11:12" ht="12.75">
      <c r="K6792" s="12"/>
      <c r="L6792" s="12"/>
    </row>
    <row r="6793" spans="11:12" ht="12.75">
      <c r="K6793" s="12"/>
      <c r="L6793" s="12"/>
    </row>
    <row r="6794" spans="11:12" ht="12.75">
      <c r="K6794" s="12"/>
      <c r="L6794" s="12"/>
    </row>
    <row r="6795" spans="11:12" ht="12.75">
      <c r="K6795" s="12"/>
      <c r="L6795" s="12"/>
    </row>
    <row r="6796" spans="11:12" ht="12.75">
      <c r="K6796" s="12"/>
      <c r="L6796" s="12"/>
    </row>
    <row r="6797" spans="11:12" ht="12.75">
      <c r="K6797" s="12"/>
      <c r="L6797" s="12"/>
    </row>
    <row r="6798" spans="11:12" ht="12.75">
      <c r="K6798" s="12"/>
      <c r="L6798" s="12"/>
    </row>
    <row r="6799" spans="11:12" ht="12.75">
      <c r="K6799" s="12"/>
      <c r="L6799" s="12"/>
    </row>
    <row r="6800" spans="11:12" ht="12.75">
      <c r="K6800" s="12"/>
      <c r="L6800" s="12"/>
    </row>
    <row r="6801" spans="11:12" ht="12.75">
      <c r="K6801" s="12"/>
      <c r="L6801" s="12"/>
    </row>
    <row r="6802" spans="11:12" ht="12.75">
      <c r="K6802" s="12"/>
      <c r="L6802" s="12"/>
    </row>
    <row r="6803" spans="11:12" ht="12.75">
      <c r="K6803" s="12"/>
      <c r="L6803" s="12"/>
    </row>
    <row r="6804" spans="11:12" ht="12.75">
      <c r="K6804" s="12"/>
      <c r="L6804" s="12"/>
    </row>
    <row r="6805" spans="11:12" ht="12.75">
      <c r="K6805" s="12"/>
      <c r="L6805" s="12"/>
    </row>
    <row r="6806" spans="11:12" ht="12.75">
      <c r="K6806" s="12"/>
      <c r="L6806" s="12"/>
    </row>
    <row r="6807" spans="11:12" ht="12.75">
      <c r="K6807" s="12"/>
      <c r="L6807" s="12"/>
    </row>
    <row r="6808" spans="11:12" ht="12.75">
      <c r="K6808" s="12"/>
      <c r="L6808" s="12"/>
    </row>
    <row r="6809" spans="11:12" ht="12.75">
      <c r="K6809" s="12"/>
      <c r="L6809" s="12"/>
    </row>
    <row r="6810" spans="11:12" ht="12.75">
      <c r="K6810" s="12"/>
      <c r="L6810" s="12"/>
    </row>
    <row r="6811" spans="11:12" ht="12.75">
      <c r="K6811" s="12"/>
      <c r="L6811" s="12"/>
    </row>
    <row r="6812" spans="11:12" ht="12.75">
      <c r="K6812" s="12"/>
      <c r="L6812" s="12"/>
    </row>
    <row r="6813" spans="11:12" ht="12.75">
      <c r="K6813" s="12"/>
      <c r="L6813" s="12"/>
    </row>
    <row r="6814" spans="11:12" ht="12.75">
      <c r="K6814" s="12"/>
      <c r="L6814" s="12"/>
    </row>
    <row r="6815" spans="11:12" ht="12.75">
      <c r="K6815" s="12"/>
      <c r="L6815" s="12"/>
    </row>
    <row r="6816" spans="11:12" ht="12.75">
      <c r="K6816" s="12"/>
      <c r="L6816" s="12"/>
    </row>
    <row r="6817" spans="11:12" ht="12.75">
      <c r="K6817" s="12"/>
      <c r="L6817" s="12"/>
    </row>
    <row r="6818" spans="11:12" ht="12.75">
      <c r="K6818" s="12"/>
      <c r="L6818" s="12"/>
    </row>
    <row r="6819" spans="11:12" ht="12.75">
      <c r="K6819" s="12"/>
      <c r="L6819" s="12"/>
    </row>
    <row r="6820" spans="11:12" ht="12.75">
      <c r="K6820" s="12"/>
      <c r="L6820" s="12"/>
    </row>
    <row r="6821" spans="11:12" ht="12.75">
      <c r="K6821" s="12"/>
      <c r="L6821" s="12"/>
    </row>
    <row r="6822" spans="11:12" ht="12.75">
      <c r="K6822" s="12"/>
      <c r="L6822" s="12"/>
    </row>
    <row r="6823" spans="11:12" ht="12.75">
      <c r="K6823" s="12"/>
      <c r="L6823" s="12"/>
    </row>
    <row r="6824" spans="11:12" ht="12.75">
      <c r="K6824" s="12"/>
      <c r="L6824" s="12"/>
    </row>
    <row r="6825" spans="11:12" ht="12.75">
      <c r="K6825" s="12"/>
      <c r="L6825" s="12"/>
    </row>
    <row r="6826" spans="11:12" ht="12.75">
      <c r="K6826" s="12"/>
      <c r="L6826" s="12"/>
    </row>
    <row r="6827" spans="11:12" ht="12.75">
      <c r="K6827" s="12"/>
      <c r="L6827" s="12"/>
    </row>
    <row r="6828" spans="11:12" ht="12.75">
      <c r="K6828" s="12"/>
      <c r="L6828" s="12"/>
    </row>
    <row r="6829" spans="11:12" ht="12.75">
      <c r="K6829" s="12"/>
      <c r="L6829" s="12"/>
    </row>
    <row r="6830" spans="11:12" ht="12.75">
      <c r="K6830" s="12"/>
      <c r="L6830" s="12"/>
    </row>
    <row r="6831" spans="11:12" ht="12.75">
      <c r="K6831" s="12"/>
      <c r="L6831" s="12"/>
    </row>
    <row r="6832" spans="11:12" ht="12.75">
      <c r="K6832" s="12"/>
      <c r="L6832" s="12"/>
    </row>
    <row r="6833" spans="11:12" ht="12.75">
      <c r="K6833" s="12"/>
      <c r="L6833" s="12"/>
    </row>
    <row r="6834" spans="11:12" ht="12.75">
      <c r="K6834" s="12"/>
      <c r="L6834" s="12"/>
    </row>
    <row r="6835" spans="11:12" ht="12.75">
      <c r="K6835" s="12"/>
      <c r="L6835" s="12"/>
    </row>
    <row r="6836" spans="11:12" ht="12.75">
      <c r="K6836" s="12"/>
      <c r="L6836" s="12"/>
    </row>
    <row r="6837" spans="11:12" ht="12.75">
      <c r="K6837" s="12"/>
      <c r="L6837" s="12"/>
    </row>
    <row r="6838" spans="11:12" ht="12.75">
      <c r="K6838" s="12"/>
      <c r="L6838" s="12"/>
    </row>
    <row r="6839" spans="11:12" ht="12.75">
      <c r="K6839" s="12"/>
      <c r="L6839" s="12"/>
    </row>
    <row r="6840" spans="11:12" ht="12.75">
      <c r="K6840" s="12"/>
      <c r="L6840" s="12"/>
    </row>
    <row r="6841" spans="11:12" ht="12.75">
      <c r="K6841" s="12"/>
      <c r="L6841" s="12"/>
    </row>
    <row r="6842" spans="11:12" ht="12.75">
      <c r="K6842" s="12"/>
      <c r="L6842" s="12"/>
    </row>
    <row r="6843" spans="11:12" ht="12.75">
      <c r="K6843" s="12"/>
      <c r="L6843" s="12"/>
    </row>
    <row r="6844" spans="11:12" ht="12.75">
      <c r="K6844" s="12"/>
      <c r="L6844" s="12"/>
    </row>
    <row r="6845" spans="11:12" ht="12.75">
      <c r="K6845" s="12"/>
      <c r="L6845" s="12"/>
    </row>
    <row r="6846" spans="11:12" ht="12.75">
      <c r="K6846" s="12"/>
      <c r="L6846" s="12"/>
    </row>
    <row r="6847" spans="11:12" ht="12.75">
      <c r="K6847" s="12"/>
      <c r="L6847" s="12"/>
    </row>
    <row r="6848" spans="11:12" ht="12.75">
      <c r="K6848" s="12"/>
      <c r="L6848" s="12"/>
    </row>
    <row r="6849" spans="11:12" ht="12.75">
      <c r="K6849" s="12"/>
      <c r="L6849" s="12"/>
    </row>
    <row r="6850" spans="11:12" ht="12.75">
      <c r="K6850" s="12"/>
      <c r="L6850" s="12"/>
    </row>
    <row r="6851" spans="11:12" ht="12.75">
      <c r="K6851" s="12"/>
      <c r="L6851" s="12"/>
    </row>
    <row r="6852" spans="11:12" ht="12.75">
      <c r="K6852" s="12"/>
      <c r="L6852" s="12"/>
    </row>
    <row r="6853" spans="11:12" ht="12.75">
      <c r="K6853" s="12"/>
      <c r="L6853" s="12"/>
    </row>
    <row r="6854" spans="11:12" ht="12.75">
      <c r="K6854" s="12"/>
      <c r="L6854" s="12"/>
    </row>
    <row r="6855" spans="11:12" ht="12.75">
      <c r="K6855" s="12"/>
      <c r="L6855" s="12"/>
    </row>
    <row r="6856" spans="11:12" ht="12.75">
      <c r="K6856" s="12"/>
      <c r="L6856" s="12"/>
    </row>
    <row r="6857" spans="11:12" ht="12.75">
      <c r="K6857" s="12"/>
      <c r="L6857" s="12"/>
    </row>
    <row r="6858" spans="11:12" ht="12.75">
      <c r="K6858" s="12"/>
      <c r="L6858" s="12"/>
    </row>
    <row r="6859" spans="11:12" ht="12.75">
      <c r="K6859" s="12"/>
      <c r="L6859" s="12"/>
    </row>
    <row r="6860" spans="11:12" ht="12.75">
      <c r="K6860" s="12"/>
      <c r="L6860" s="12"/>
    </row>
    <row r="6861" spans="11:12" ht="12.75">
      <c r="K6861" s="12"/>
      <c r="L6861" s="12"/>
    </row>
    <row r="6862" spans="11:12" ht="12.75">
      <c r="K6862" s="12"/>
      <c r="L6862" s="12"/>
    </row>
    <row r="6863" spans="11:12" ht="12.75">
      <c r="K6863" s="12"/>
      <c r="L6863" s="12"/>
    </row>
    <row r="6864" spans="11:12" ht="12.75">
      <c r="K6864" s="12"/>
      <c r="L6864" s="12"/>
    </row>
    <row r="6865" spans="11:12" ht="12.75">
      <c r="K6865" s="12"/>
      <c r="L6865" s="12"/>
    </row>
    <row r="6866" spans="11:12" ht="12.75">
      <c r="K6866" s="12"/>
      <c r="L6866" s="12"/>
    </row>
    <row r="6867" spans="11:12" ht="12.75">
      <c r="K6867" s="12"/>
      <c r="L6867" s="12"/>
    </row>
    <row r="6868" spans="11:12" ht="12.75">
      <c r="K6868" s="12"/>
      <c r="L6868" s="12"/>
    </row>
    <row r="6869" spans="11:12" ht="12.75">
      <c r="K6869" s="12"/>
      <c r="L6869" s="12"/>
    </row>
    <row r="6870" spans="11:12" ht="12.75">
      <c r="K6870" s="12"/>
      <c r="L6870" s="12"/>
    </row>
    <row r="6871" spans="11:12" ht="12.75">
      <c r="K6871" s="12"/>
      <c r="L6871" s="12"/>
    </row>
    <row r="6872" spans="11:12" ht="12.75">
      <c r="K6872" s="12"/>
      <c r="L6872" s="12"/>
    </row>
    <row r="6873" spans="11:12" ht="12.75">
      <c r="K6873" s="12"/>
      <c r="L6873" s="12"/>
    </row>
    <row r="6874" spans="11:12" ht="12.75">
      <c r="K6874" s="12"/>
      <c r="L6874" s="12"/>
    </row>
    <row r="6875" spans="11:12" ht="12.75">
      <c r="K6875" s="12"/>
      <c r="L6875" s="12"/>
    </row>
    <row r="6876" spans="11:12" ht="12.75">
      <c r="K6876" s="12"/>
      <c r="L6876" s="12"/>
    </row>
    <row r="6877" spans="11:12" ht="12.75">
      <c r="K6877" s="12"/>
      <c r="L6877" s="12"/>
    </row>
    <row r="6878" spans="11:12" ht="12.75">
      <c r="K6878" s="12"/>
      <c r="L6878" s="12"/>
    </row>
    <row r="6879" spans="11:12" ht="12.75">
      <c r="K6879" s="12"/>
      <c r="L6879" s="12"/>
    </row>
    <row r="6880" spans="11:12" ht="12.75">
      <c r="K6880" s="12"/>
      <c r="L6880" s="12"/>
    </row>
    <row r="6881" spans="11:12" ht="12.75">
      <c r="K6881" s="12"/>
      <c r="L6881" s="12"/>
    </row>
    <row r="6882" spans="11:12" ht="12.75">
      <c r="K6882" s="12"/>
      <c r="L6882" s="12"/>
    </row>
    <row r="6883" spans="11:12" ht="12.75">
      <c r="K6883" s="12"/>
      <c r="L6883" s="12"/>
    </row>
    <row r="6884" spans="11:12" ht="12.75">
      <c r="K6884" s="12"/>
      <c r="L6884" s="12"/>
    </row>
    <row r="6885" spans="11:12" ht="12.75">
      <c r="K6885" s="12"/>
      <c r="L6885" s="12"/>
    </row>
    <row r="6886" spans="11:12" ht="12.75">
      <c r="K6886" s="12"/>
      <c r="L6886" s="12"/>
    </row>
    <row r="6887" spans="11:12" ht="12.75">
      <c r="K6887" s="12"/>
      <c r="L6887" s="12"/>
    </row>
    <row r="6888" spans="11:12" ht="12.75">
      <c r="K6888" s="12"/>
      <c r="L6888" s="12"/>
    </row>
    <row r="6889" spans="11:12" ht="12.75">
      <c r="K6889" s="12"/>
      <c r="L6889" s="12"/>
    </row>
    <row r="6890" spans="11:12" ht="12.75">
      <c r="K6890" s="12"/>
      <c r="L6890" s="12"/>
    </row>
    <row r="6891" spans="11:12" ht="12.75">
      <c r="K6891" s="12"/>
      <c r="L6891" s="12"/>
    </row>
    <row r="6892" spans="11:12" ht="12.75">
      <c r="K6892" s="12"/>
      <c r="L6892" s="12"/>
    </row>
    <row r="6893" spans="11:12" ht="12.75">
      <c r="K6893" s="12"/>
      <c r="L6893" s="12"/>
    </row>
    <row r="6894" spans="11:12" ht="12.75">
      <c r="K6894" s="12"/>
      <c r="L6894" s="12"/>
    </row>
    <row r="6895" spans="11:12" ht="12.75">
      <c r="K6895" s="12"/>
      <c r="L6895" s="12"/>
    </row>
    <row r="6896" spans="11:12" ht="12.75">
      <c r="K6896" s="12"/>
      <c r="L6896" s="12"/>
    </row>
    <row r="6897" spans="11:12" ht="12.75">
      <c r="K6897" s="12"/>
      <c r="L6897" s="12"/>
    </row>
    <row r="6898" spans="11:12" ht="12.75">
      <c r="K6898" s="12"/>
      <c r="L6898" s="12"/>
    </row>
    <row r="6899" spans="11:12" ht="12.75">
      <c r="K6899" s="12"/>
      <c r="L6899" s="12"/>
    </row>
    <row r="6900" spans="11:12" ht="12.75">
      <c r="K6900" s="12"/>
      <c r="L6900" s="12"/>
    </row>
    <row r="6901" spans="11:12" ht="12.75">
      <c r="K6901" s="12"/>
      <c r="L6901" s="12"/>
    </row>
    <row r="6902" spans="11:12" ht="12.75">
      <c r="K6902" s="12"/>
      <c r="L6902" s="12"/>
    </row>
    <row r="6903" spans="11:12" ht="12.75">
      <c r="K6903" s="12"/>
      <c r="L6903" s="12"/>
    </row>
    <row r="6904" spans="11:12" ht="12.75">
      <c r="K6904" s="12"/>
      <c r="L6904" s="12"/>
    </row>
    <row r="6905" spans="11:12" ht="12.75">
      <c r="K6905" s="12"/>
      <c r="L6905" s="12"/>
    </row>
    <row r="6906" spans="11:12" ht="12.75">
      <c r="K6906" s="12"/>
      <c r="L6906" s="12"/>
    </row>
    <row r="6907" spans="11:12" ht="12.75">
      <c r="K6907" s="12"/>
      <c r="L6907" s="12"/>
    </row>
    <row r="6908" spans="11:12" ht="12.75">
      <c r="K6908" s="12"/>
      <c r="L6908" s="12"/>
    </row>
    <row r="6909" spans="11:12" ht="12.75">
      <c r="K6909" s="12"/>
      <c r="L6909" s="12"/>
    </row>
    <row r="6910" spans="11:12" ht="12.75">
      <c r="K6910" s="12"/>
      <c r="L6910" s="12"/>
    </row>
    <row r="6911" spans="11:12" ht="12.75">
      <c r="K6911" s="12"/>
      <c r="L6911" s="12"/>
    </row>
    <row r="6912" spans="11:12" ht="12.75">
      <c r="K6912" s="12"/>
      <c r="L6912" s="12"/>
    </row>
    <row r="6913" spans="11:12" ht="12.75">
      <c r="K6913" s="12"/>
      <c r="L6913" s="12"/>
    </row>
    <row r="6914" spans="11:12" ht="12.75">
      <c r="K6914" s="12"/>
      <c r="L6914" s="12"/>
    </row>
    <row r="6915" spans="11:12" ht="12.75">
      <c r="K6915" s="12"/>
      <c r="L6915" s="12"/>
    </row>
    <row r="6916" spans="11:12" ht="12.75">
      <c r="K6916" s="12"/>
      <c r="L6916" s="12"/>
    </row>
    <row r="6917" spans="11:12" ht="12.75">
      <c r="K6917" s="12"/>
      <c r="L6917" s="12"/>
    </row>
    <row r="6918" spans="11:12" ht="12.75">
      <c r="K6918" s="12"/>
      <c r="L6918" s="12"/>
    </row>
    <row r="6919" spans="11:12" ht="12.75">
      <c r="K6919" s="12"/>
      <c r="L6919" s="12"/>
    </row>
    <row r="6920" spans="11:12" ht="12.75">
      <c r="K6920" s="12"/>
      <c r="L6920" s="12"/>
    </row>
    <row r="6921" spans="11:12" ht="12.75">
      <c r="K6921" s="12"/>
      <c r="L6921" s="12"/>
    </row>
    <row r="6922" spans="11:12" ht="12.75">
      <c r="K6922" s="12"/>
      <c r="L6922" s="12"/>
    </row>
    <row r="6923" spans="11:12" ht="12.75">
      <c r="K6923" s="12"/>
      <c r="L6923" s="12"/>
    </row>
    <row r="6924" spans="11:12" ht="12.75">
      <c r="K6924" s="12"/>
      <c r="L6924" s="12"/>
    </row>
    <row r="6925" spans="11:12" ht="12.75">
      <c r="K6925" s="12"/>
      <c r="L6925" s="12"/>
    </row>
    <row r="6926" spans="11:12" ht="12.75">
      <c r="K6926" s="12"/>
      <c r="L6926" s="12"/>
    </row>
    <row r="6927" spans="11:12" ht="12.75">
      <c r="K6927" s="12"/>
      <c r="L6927" s="12"/>
    </row>
    <row r="6928" spans="11:12" ht="12.75">
      <c r="K6928" s="12"/>
      <c r="L6928" s="12"/>
    </row>
    <row r="6929" spans="11:12" ht="12.75">
      <c r="K6929" s="12"/>
      <c r="L6929" s="12"/>
    </row>
    <row r="6930" spans="11:12" ht="12.75">
      <c r="K6930" s="12"/>
      <c r="L6930" s="12"/>
    </row>
    <row r="6931" spans="11:12" ht="12.75">
      <c r="K6931" s="12"/>
      <c r="L6931" s="12"/>
    </row>
    <row r="6932" spans="11:12" ht="12.75">
      <c r="K6932" s="12"/>
      <c r="L6932" s="12"/>
    </row>
    <row r="6933" spans="11:12" ht="12.75">
      <c r="K6933" s="12"/>
      <c r="L6933" s="12"/>
    </row>
    <row r="6934" spans="11:12" ht="12.75">
      <c r="K6934" s="12"/>
      <c r="L6934" s="12"/>
    </row>
    <row r="6935" spans="11:12" ht="12.75">
      <c r="K6935" s="12"/>
      <c r="L6935" s="12"/>
    </row>
    <row r="6936" spans="11:12" ht="12.75">
      <c r="K6936" s="12"/>
      <c r="L6936" s="12"/>
    </row>
    <row r="6937" spans="11:12" ht="12.75">
      <c r="K6937" s="12"/>
      <c r="L6937" s="12"/>
    </row>
    <row r="6938" spans="11:12" ht="12.75">
      <c r="K6938" s="12"/>
      <c r="L6938" s="12"/>
    </row>
    <row r="6939" spans="11:12" ht="12.75">
      <c r="K6939" s="12"/>
      <c r="L6939" s="12"/>
    </row>
    <row r="6940" spans="11:12" ht="12.75">
      <c r="K6940" s="12"/>
      <c r="L6940" s="12"/>
    </row>
    <row r="6941" spans="11:12" ht="12.75">
      <c r="K6941" s="12"/>
      <c r="L6941" s="12"/>
    </row>
    <row r="6942" spans="11:12" ht="12.75">
      <c r="K6942" s="12"/>
      <c r="L6942" s="12"/>
    </row>
    <row r="6943" spans="11:12" ht="12.75">
      <c r="K6943" s="12"/>
      <c r="L6943" s="12"/>
    </row>
    <row r="6944" spans="11:12" ht="12.75">
      <c r="K6944" s="12"/>
      <c r="L6944" s="12"/>
    </row>
    <row r="6945" spans="11:12" ht="12.75">
      <c r="K6945" s="12"/>
      <c r="L6945" s="12"/>
    </row>
    <row r="6946" spans="11:12" ht="12.75">
      <c r="K6946" s="12"/>
      <c r="L6946" s="12"/>
    </row>
    <row r="6947" spans="11:12" ht="12.75">
      <c r="K6947" s="12"/>
      <c r="L6947" s="12"/>
    </row>
    <row r="6948" spans="11:12" ht="12.75">
      <c r="K6948" s="12"/>
      <c r="L6948" s="12"/>
    </row>
    <row r="6949" spans="11:12" ht="12.75">
      <c r="K6949" s="12"/>
      <c r="L6949" s="12"/>
    </row>
    <row r="6950" spans="11:12" ht="12.75">
      <c r="K6950" s="12"/>
      <c r="L6950" s="12"/>
    </row>
    <row r="6951" spans="11:12" ht="12.75">
      <c r="K6951" s="12"/>
      <c r="L6951" s="12"/>
    </row>
    <row r="6952" spans="11:12" ht="12.75">
      <c r="K6952" s="12"/>
      <c r="L6952" s="12"/>
    </row>
    <row r="6953" spans="11:12" ht="12.75">
      <c r="K6953" s="12"/>
      <c r="L6953" s="12"/>
    </row>
    <row r="6954" spans="11:12" ht="12.75">
      <c r="K6954" s="12"/>
      <c r="L6954" s="12"/>
    </row>
    <row r="6955" spans="11:12" ht="12.75">
      <c r="K6955" s="12"/>
      <c r="L6955" s="12"/>
    </row>
    <row r="6956" spans="11:12" ht="12.75">
      <c r="K6956" s="12"/>
      <c r="L6956" s="12"/>
    </row>
    <row r="6957" spans="11:12" ht="12.75">
      <c r="K6957" s="12"/>
      <c r="L6957" s="12"/>
    </row>
    <row r="6958" spans="11:12" ht="12.75">
      <c r="K6958" s="12"/>
      <c r="L6958" s="12"/>
    </row>
    <row r="6959" spans="11:12" ht="12.75">
      <c r="K6959" s="12"/>
      <c r="L6959" s="12"/>
    </row>
    <row r="6960" spans="11:12" ht="12.75">
      <c r="K6960" s="12"/>
      <c r="L6960" s="12"/>
    </row>
    <row r="6961" spans="11:12" ht="12.75">
      <c r="K6961" s="12"/>
      <c r="L6961" s="12"/>
    </row>
    <row r="6962" spans="11:12" ht="12.75">
      <c r="K6962" s="12"/>
      <c r="L6962" s="12"/>
    </row>
    <row r="6963" spans="11:12" ht="12.75">
      <c r="K6963" s="12"/>
      <c r="L6963" s="12"/>
    </row>
    <row r="6964" spans="11:12" ht="12.75">
      <c r="K6964" s="12"/>
      <c r="L6964" s="12"/>
    </row>
    <row r="6965" spans="11:12" ht="12.75">
      <c r="K6965" s="12"/>
      <c r="L6965" s="12"/>
    </row>
    <row r="6966" spans="11:12" ht="12.75">
      <c r="K6966" s="12"/>
      <c r="L6966" s="12"/>
    </row>
    <row r="6967" spans="11:12" ht="12.75">
      <c r="K6967" s="12"/>
      <c r="L6967" s="12"/>
    </row>
    <row r="6968" spans="11:12" ht="12.75">
      <c r="K6968" s="12"/>
      <c r="L6968" s="12"/>
    </row>
    <row r="6969" spans="11:12" ht="12.75">
      <c r="K6969" s="12"/>
      <c r="L6969" s="12"/>
    </row>
    <row r="6970" spans="11:12" ht="12.75">
      <c r="K6970" s="12"/>
      <c r="L6970" s="12"/>
    </row>
    <row r="6971" spans="11:12" ht="12.75">
      <c r="K6971" s="12"/>
      <c r="L6971" s="12"/>
    </row>
    <row r="6972" spans="11:12" ht="12.75">
      <c r="K6972" s="12"/>
      <c r="L6972" s="12"/>
    </row>
    <row r="6973" spans="11:12" ht="12.75">
      <c r="K6973" s="12"/>
      <c r="L6973" s="12"/>
    </row>
    <row r="6974" spans="11:12" ht="12.75">
      <c r="K6974" s="12"/>
      <c r="L6974" s="12"/>
    </row>
    <row r="6975" spans="11:12" ht="12.75">
      <c r="K6975" s="12"/>
      <c r="L6975" s="12"/>
    </row>
    <row r="6976" spans="11:12" ht="12.75">
      <c r="K6976" s="12"/>
      <c r="L6976" s="12"/>
    </row>
    <row r="6977" spans="11:12" ht="12.75">
      <c r="K6977" s="12"/>
      <c r="L6977" s="12"/>
    </row>
    <row r="6978" spans="11:12" ht="12.75">
      <c r="K6978" s="12"/>
      <c r="L6978" s="12"/>
    </row>
    <row r="6979" spans="11:12" ht="12.75">
      <c r="K6979" s="12"/>
      <c r="L6979" s="12"/>
    </row>
    <row r="6980" spans="11:12" ht="12.75">
      <c r="K6980" s="12"/>
      <c r="L6980" s="12"/>
    </row>
    <row r="6981" spans="11:12" ht="12.75">
      <c r="K6981" s="12"/>
      <c r="L6981" s="12"/>
    </row>
    <row r="6982" spans="11:12" ht="12.75">
      <c r="K6982" s="12"/>
      <c r="L6982" s="12"/>
    </row>
    <row r="6983" spans="11:12" ht="12.75">
      <c r="K6983" s="12"/>
      <c r="L6983" s="12"/>
    </row>
    <row r="6984" spans="11:12" ht="12.75">
      <c r="K6984" s="12"/>
      <c r="L6984" s="12"/>
    </row>
    <row r="6985" spans="11:12" ht="12.75">
      <c r="K6985" s="12"/>
      <c r="L6985" s="12"/>
    </row>
    <row r="6986" spans="11:12" ht="12.75">
      <c r="K6986" s="12"/>
      <c r="L6986" s="12"/>
    </row>
    <row r="6987" spans="11:12" ht="12.75">
      <c r="K6987" s="12"/>
      <c r="L6987" s="12"/>
    </row>
    <row r="6988" spans="11:12" ht="12.75">
      <c r="K6988" s="12"/>
      <c r="L6988" s="12"/>
    </row>
    <row r="6989" spans="11:12" ht="12.75">
      <c r="K6989" s="12"/>
      <c r="L6989" s="12"/>
    </row>
    <row r="6990" spans="11:12" ht="12.75">
      <c r="K6990" s="12"/>
      <c r="L6990" s="12"/>
    </row>
    <row r="6991" spans="11:12" ht="12.75">
      <c r="K6991" s="12"/>
      <c r="L6991" s="12"/>
    </row>
    <row r="6992" spans="11:12" ht="12.75">
      <c r="K6992" s="12"/>
      <c r="L6992" s="12"/>
    </row>
    <row r="6993" spans="11:12" ht="12.75">
      <c r="K6993" s="12"/>
      <c r="L6993" s="12"/>
    </row>
    <row r="6994" spans="11:12" ht="12.75">
      <c r="K6994" s="12"/>
      <c r="L6994" s="12"/>
    </row>
    <row r="6995" spans="11:12" ht="12.75">
      <c r="K6995" s="12"/>
      <c r="L6995" s="12"/>
    </row>
    <row r="6996" spans="11:12" ht="12.75">
      <c r="K6996" s="12"/>
      <c r="L6996" s="12"/>
    </row>
    <row r="6997" spans="11:12" ht="12.75">
      <c r="K6997" s="12"/>
      <c r="L6997" s="12"/>
    </row>
    <row r="6998" spans="11:12" ht="12.75">
      <c r="K6998" s="12"/>
      <c r="L6998" s="12"/>
    </row>
    <row r="6999" spans="11:12" ht="12.75">
      <c r="K6999" s="12"/>
      <c r="L6999" s="12"/>
    </row>
    <row r="7000" spans="11:12" ht="12.75">
      <c r="K7000" s="12"/>
      <c r="L7000" s="12"/>
    </row>
    <row r="7001" spans="11:12" ht="12.75">
      <c r="K7001" s="12"/>
      <c r="L7001" s="12"/>
    </row>
    <row r="7002" spans="11:12" ht="12.75">
      <c r="K7002" s="12"/>
      <c r="L7002" s="12"/>
    </row>
    <row r="7003" spans="11:12" ht="12.75">
      <c r="K7003" s="12"/>
      <c r="L7003" s="12"/>
    </row>
    <row r="7004" spans="11:12" ht="12.75">
      <c r="K7004" s="12"/>
      <c r="L7004" s="12"/>
    </row>
    <row r="7005" spans="11:12" ht="12.75">
      <c r="K7005" s="12"/>
      <c r="L7005" s="12"/>
    </row>
    <row r="7006" spans="11:12" ht="12.75">
      <c r="K7006" s="12"/>
      <c r="L7006" s="12"/>
    </row>
    <row r="7007" spans="11:12" ht="12.75">
      <c r="K7007" s="12"/>
      <c r="L7007" s="12"/>
    </row>
    <row r="7008" spans="11:12" ht="12.75">
      <c r="K7008" s="12"/>
      <c r="L7008" s="12"/>
    </row>
    <row r="7009" spans="11:12" ht="12.75">
      <c r="K7009" s="12"/>
      <c r="L7009" s="12"/>
    </row>
    <row r="7010" spans="11:12" ht="12.75">
      <c r="K7010" s="12"/>
      <c r="L7010" s="12"/>
    </row>
    <row r="7011" spans="11:12" ht="12.75">
      <c r="K7011" s="12"/>
      <c r="L7011" s="12"/>
    </row>
    <row r="7012" spans="11:12" ht="12.75">
      <c r="K7012" s="12"/>
      <c r="L7012" s="12"/>
    </row>
    <row r="7013" spans="11:12" ht="12.75">
      <c r="K7013" s="12"/>
      <c r="L7013" s="12"/>
    </row>
    <row r="7014" spans="11:12" ht="12.75">
      <c r="K7014" s="12"/>
      <c r="L7014" s="12"/>
    </row>
    <row r="7015" spans="11:12" ht="12.75">
      <c r="K7015" s="12"/>
      <c r="L7015" s="12"/>
    </row>
    <row r="7016" spans="11:12" ht="12.75">
      <c r="K7016" s="12"/>
      <c r="L7016" s="12"/>
    </row>
    <row r="7017" spans="11:12" ht="12.75">
      <c r="K7017" s="12"/>
      <c r="L7017" s="12"/>
    </row>
    <row r="7018" spans="11:12" ht="12.75">
      <c r="K7018" s="12"/>
      <c r="L7018" s="12"/>
    </row>
    <row r="7019" spans="11:12" ht="12.75">
      <c r="K7019" s="12"/>
      <c r="L7019" s="12"/>
    </row>
    <row r="7020" spans="11:12" ht="12.75">
      <c r="K7020" s="12"/>
      <c r="L7020" s="12"/>
    </row>
    <row r="7021" spans="11:12" ht="12.75">
      <c r="K7021" s="12"/>
      <c r="L7021" s="12"/>
    </row>
    <row r="7022" spans="11:12" ht="12.75">
      <c r="K7022" s="12"/>
      <c r="L7022" s="12"/>
    </row>
    <row r="7023" spans="11:12" ht="12.75">
      <c r="K7023" s="12"/>
      <c r="L7023" s="12"/>
    </row>
    <row r="7024" spans="11:12" ht="12.75">
      <c r="K7024" s="12"/>
      <c r="L7024" s="12"/>
    </row>
    <row r="7025" spans="11:12" ht="12.75">
      <c r="K7025" s="12"/>
      <c r="L7025" s="12"/>
    </row>
    <row r="7026" spans="11:12" ht="12.75">
      <c r="K7026" s="12"/>
      <c r="L7026" s="12"/>
    </row>
    <row r="7027" spans="11:12" ht="12.75">
      <c r="K7027" s="12"/>
      <c r="L7027" s="12"/>
    </row>
    <row r="7028" spans="11:12" ht="12.75">
      <c r="K7028" s="12"/>
      <c r="L7028" s="12"/>
    </row>
    <row r="7029" spans="11:12" ht="12.75">
      <c r="K7029" s="12"/>
      <c r="L7029" s="12"/>
    </row>
    <row r="7030" spans="11:12" ht="12.75">
      <c r="K7030" s="12"/>
      <c r="L7030" s="12"/>
    </row>
    <row r="7031" spans="11:12" ht="12.75">
      <c r="K7031" s="12"/>
      <c r="L7031" s="12"/>
    </row>
    <row r="7032" spans="11:12" ht="12.75">
      <c r="K7032" s="12"/>
      <c r="L7032" s="12"/>
    </row>
    <row r="7033" spans="11:12" ht="12.75">
      <c r="K7033" s="12"/>
      <c r="L7033" s="12"/>
    </row>
    <row r="7034" spans="11:12" ht="12.75">
      <c r="K7034" s="12"/>
      <c r="L7034" s="12"/>
    </row>
    <row r="7035" spans="11:12" ht="12.75">
      <c r="K7035" s="12"/>
      <c r="L7035" s="12"/>
    </row>
    <row r="7036" spans="11:12" ht="12.75">
      <c r="K7036" s="12"/>
      <c r="L7036" s="12"/>
    </row>
    <row r="7037" spans="11:12" ht="12.75">
      <c r="K7037" s="12"/>
      <c r="L7037" s="12"/>
    </row>
    <row r="7038" spans="11:12" ht="12.75">
      <c r="K7038" s="12"/>
      <c r="L7038" s="12"/>
    </row>
    <row r="7039" spans="11:12" ht="12.75">
      <c r="K7039" s="12"/>
      <c r="L7039" s="12"/>
    </row>
    <row r="7040" spans="11:12" ht="12.75">
      <c r="K7040" s="12"/>
      <c r="L7040" s="12"/>
    </row>
    <row r="7041" spans="11:12" ht="12.75">
      <c r="K7041" s="12"/>
      <c r="L7041" s="12"/>
    </row>
    <row r="7042" spans="11:12" ht="12.75">
      <c r="K7042" s="12"/>
      <c r="L7042" s="12"/>
    </row>
    <row r="7043" spans="11:12" ht="12.75">
      <c r="K7043" s="12"/>
      <c r="L7043" s="12"/>
    </row>
    <row r="7044" spans="11:12" ht="12.75">
      <c r="K7044" s="12"/>
      <c r="L7044" s="12"/>
    </row>
    <row r="7045" spans="11:12" ht="12.75">
      <c r="K7045" s="12"/>
      <c r="L7045" s="12"/>
    </row>
    <row r="7046" spans="11:12" ht="12.75">
      <c r="K7046" s="12"/>
      <c r="L7046" s="12"/>
    </row>
    <row r="7047" spans="11:12" ht="12.75">
      <c r="K7047" s="12"/>
      <c r="L7047" s="12"/>
    </row>
    <row r="7048" spans="11:12" ht="12.75">
      <c r="K7048" s="12"/>
      <c r="L7048" s="12"/>
    </row>
    <row r="7049" spans="11:12" ht="12.75">
      <c r="K7049" s="12"/>
      <c r="L7049" s="12"/>
    </row>
    <row r="7050" spans="11:12" ht="12.75">
      <c r="K7050" s="12"/>
      <c r="L7050" s="12"/>
    </row>
    <row r="7051" spans="11:12" ht="12.75">
      <c r="K7051" s="12"/>
      <c r="L7051" s="12"/>
    </row>
    <row r="7052" spans="11:12" ht="12.75">
      <c r="K7052" s="12"/>
      <c r="L7052" s="12"/>
    </row>
    <row r="7053" spans="11:12" ht="12.75">
      <c r="K7053" s="12"/>
      <c r="L7053" s="12"/>
    </row>
    <row r="7054" spans="11:12" ht="12.75">
      <c r="K7054" s="12"/>
      <c r="L7054" s="12"/>
    </row>
    <row r="7055" spans="11:12" ht="12.75">
      <c r="K7055" s="12"/>
      <c r="L7055" s="12"/>
    </row>
    <row r="7056" spans="11:12" ht="12.75">
      <c r="K7056" s="12"/>
      <c r="L7056" s="12"/>
    </row>
    <row r="7057" spans="11:12" ht="12.75">
      <c r="K7057" s="12"/>
      <c r="L7057" s="12"/>
    </row>
    <row r="7058" spans="11:12" ht="12.75">
      <c r="K7058" s="12"/>
      <c r="L7058" s="12"/>
    </row>
    <row r="7059" spans="11:12" ht="12.75">
      <c r="K7059" s="12"/>
      <c r="L7059" s="12"/>
    </row>
    <row r="7060" spans="11:12" ht="12.75">
      <c r="K7060" s="12"/>
      <c r="L7060" s="12"/>
    </row>
    <row r="7061" spans="11:12" ht="12.75">
      <c r="K7061" s="12"/>
      <c r="L7061" s="12"/>
    </row>
    <row r="7062" spans="11:12" ht="12.75">
      <c r="K7062" s="12"/>
      <c r="L7062" s="12"/>
    </row>
    <row r="7063" spans="11:12" ht="12.75">
      <c r="K7063" s="12"/>
      <c r="L7063" s="12"/>
    </row>
    <row r="7064" spans="11:12" ht="12.75">
      <c r="K7064" s="12"/>
      <c r="L7064" s="12"/>
    </row>
    <row r="7065" spans="11:12" ht="12.75">
      <c r="K7065" s="12"/>
      <c r="L7065" s="12"/>
    </row>
    <row r="7066" spans="11:12" ht="12.75">
      <c r="K7066" s="12"/>
      <c r="L7066" s="12"/>
    </row>
    <row r="7067" spans="11:12" ht="12.75">
      <c r="K7067" s="12"/>
      <c r="L7067" s="12"/>
    </row>
    <row r="7068" spans="11:12" ht="12.75">
      <c r="K7068" s="12"/>
      <c r="L7068" s="12"/>
    </row>
    <row r="7069" spans="11:12" ht="12.75">
      <c r="K7069" s="12"/>
      <c r="L7069" s="12"/>
    </row>
    <row r="7070" spans="11:12" ht="12.75">
      <c r="K7070" s="12"/>
      <c r="L7070" s="12"/>
    </row>
    <row r="7071" spans="11:12" ht="12.75">
      <c r="K7071" s="12"/>
      <c r="L7071" s="12"/>
    </row>
    <row r="7072" spans="11:12" ht="12.75">
      <c r="K7072" s="12"/>
      <c r="L7072" s="12"/>
    </row>
    <row r="7073" spans="11:12" ht="12.75">
      <c r="K7073" s="12"/>
      <c r="L7073" s="12"/>
    </row>
    <row r="7074" spans="11:12" ht="12.75">
      <c r="K7074" s="12"/>
      <c r="L7074" s="12"/>
    </row>
    <row r="7075" spans="11:12" ht="12.75">
      <c r="K7075" s="12"/>
      <c r="L7075" s="12"/>
    </row>
    <row r="7076" spans="11:12" ht="12.75">
      <c r="K7076" s="12"/>
      <c r="L7076" s="12"/>
    </row>
    <row r="7077" spans="11:12" ht="12.75">
      <c r="K7077" s="12"/>
      <c r="L7077" s="12"/>
    </row>
    <row r="7078" spans="11:12" ht="12.75">
      <c r="K7078" s="12"/>
      <c r="L7078" s="12"/>
    </row>
    <row r="7079" spans="11:12" ht="12.75">
      <c r="K7079" s="12"/>
      <c r="L7079" s="12"/>
    </row>
    <row r="7080" spans="11:12" ht="12.75">
      <c r="K7080" s="12"/>
      <c r="L7080" s="12"/>
    </row>
    <row r="7081" spans="11:12" ht="12.75">
      <c r="K7081" s="12"/>
      <c r="L7081" s="12"/>
    </row>
    <row r="7082" spans="11:12" ht="12.75">
      <c r="K7082" s="12"/>
      <c r="L7082" s="12"/>
    </row>
    <row r="7083" spans="11:12" ht="12.75">
      <c r="K7083" s="12"/>
      <c r="L7083" s="12"/>
    </row>
    <row r="7084" spans="11:12" ht="12.75">
      <c r="K7084" s="12"/>
      <c r="L7084" s="12"/>
    </row>
    <row r="7085" spans="11:12" ht="12.75">
      <c r="K7085" s="12"/>
      <c r="L7085" s="12"/>
    </row>
    <row r="7086" spans="11:12" ht="12.75">
      <c r="K7086" s="12"/>
      <c r="L7086" s="12"/>
    </row>
    <row r="7087" spans="11:12" ht="12.75">
      <c r="K7087" s="12"/>
      <c r="L7087" s="12"/>
    </row>
    <row r="7088" spans="11:12" ht="12.75">
      <c r="K7088" s="12"/>
      <c r="L7088" s="12"/>
    </row>
    <row r="7089" spans="11:12" ht="12.75">
      <c r="K7089" s="12"/>
      <c r="L7089" s="12"/>
    </row>
    <row r="7090" spans="11:12" ht="12.75">
      <c r="K7090" s="12"/>
      <c r="L7090" s="12"/>
    </row>
    <row r="7091" spans="11:12" ht="12.75">
      <c r="K7091" s="12"/>
      <c r="L7091" s="12"/>
    </row>
    <row r="7092" spans="11:12" ht="12.75">
      <c r="K7092" s="12"/>
      <c r="L7092" s="12"/>
    </row>
    <row r="7093" spans="11:12" ht="12.75">
      <c r="K7093" s="12"/>
      <c r="L7093" s="12"/>
    </row>
    <row r="7094" spans="11:12" ht="12.75">
      <c r="K7094" s="12"/>
      <c r="L7094" s="12"/>
    </row>
    <row r="7095" spans="11:12" ht="12.75">
      <c r="K7095" s="12"/>
      <c r="L7095" s="12"/>
    </row>
    <row r="7096" spans="11:12" ht="12.75">
      <c r="K7096" s="12"/>
      <c r="L7096" s="12"/>
    </row>
    <row r="7097" spans="11:12" ht="12.75">
      <c r="K7097" s="12"/>
      <c r="L7097" s="12"/>
    </row>
    <row r="7098" spans="11:12" ht="12.75">
      <c r="K7098" s="12"/>
      <c r="L7098" s="12"/>
    </row>
    <row r="7099" spans="11:12" ht="12.75">
      <c r="K7099" s="12"/>
      <c r="L7099" s="12"/>
    </row>
    <row r="7100" spans="11:12" ht="12.75">
      <c r="K7100" s="12"/>
      <c r="L7100" s="12"/>
    </row>
    <row r="7101" spans="11:12" ht="12.75">
      <c r="K7101" s="12"/>
      <c r="L7101" s="12"/>
    </row>
    <row r="7102" spans="11:12" ht="12.75">
      <c r="K7102" s="12"/>
      <c r="L7102" s="12"/>
    </row>
    <row r="7103" spans="11:12" ht="12.75">
      <c r="K7103" s="12"/>
      <c r="L7103" s="12"/>
    </row>
    <row r="7104" spans="11:12" ht="12.75">
      <c r="K7104" s="12"/>
      <c r="L7104" s="12"/>
    </row>
    <row r="7105" spans="11:12" ht="12.75">
      <c r="K7105" s="12"/>
      <c r="L7105" s="12"/>
    </row>
    <row r="7106" spans="11:12" ht="12.75">
      <c r="K7106" s="12"/>
      <c r="L7106" s="12"/>
    </row>
    <row r="7107" spans="11:12" ht="12.75">
      <c r="K7107" s="12"/>
      <c r="L7107" s="12"/>
    </row>
    <row r="7108" spans="11:12" ht="12.75">
      <c r="K7108" s="12"/>
      <c r="L7108" s="12"/>
    </row>
    <row r="7109" spans="11:12" ht="12.75">
      <c r="K7109" s="12"/>
      <c r="L7109" s="12"/>
    </row>
    <row r="7110" spans="11:12" ht="12.75">
      <c r="K7110" s="12"/>
      <c r="L7110" s="12"/>
    </row>
    <row r="7111" spans="11:12" ht="12.75">
      <c r="K7111" s="12"/>
      <c r="L7111" s="12"/>
    </row>
    <row r="7112" spans="11:12" ht="12.75">
      <c r="K7112" s="12"/>
      <c r="L7112" s="12"/>
    </row>
    <row r="7113" spans="11:12" ht="12.75">
      <c r="K7113" s="12"/>
      <c r="L7113" s="12"/>
    </row>
    <row r="7114" spans="11:12" ht="12.75">
      <c r="K7114" s="12"/>
      <c r="L7114" s="12"/>
    </row>
    <row r="7115" spans="11:12" ht="12.75">
      <c r="K7115" s="12"/>
      <c r="L7115" s="12"/>
    </row>
    <row r="7116" spans="11:12" ht="12.75">
      <c r="K7116" s="12"/>
      <c r="L7116" s="12"/>
    </row>
    <row r="7117" spans="11:12" ht="12.75">
      <c r="K7117" s="12"/>
      <c r="L7117" s="12"/>
    </row>
    <row r="7118" spans="11:12" ht="12.75">
      <c r="K7118" s="12"/>
      <c r="L7118" s="12"/>
    </row>
    <row r="7119" spans="11:12" ht="12.75">
      <c r="K7119" s="12"/>
      <c r="L7119" s="12"/>
    </row>
    <row r="7120" spans="11:12" ht="12.75">
      <c r="K7120" s="12"/>
      <c r="L7120" s="12"/>
    </row>
    <row r="7121" spans="11:12" ht="12.75">
      <c r="K7121" s="12"/>
      <c r="L7121" s="12"/>
    </row>
    <row r="7122" spans="11:12" ht="12.75">
      <c r="K7122" s="12"/>
      <c r="L7122" s="12"/>
    </row>
    <row r="7123" spans="11:12" ht="12.75">
      <c r="K7123" s="12"/>
      <c r="L7123" s="12"/>
    </row>
    <row r="7124" spans="11:12" ht="12.75">
      <c r="K7124" s="12"/>
      <c r="L7124" s="12"/>
    </row>
    <row r="7125" spans="11:12" ht="12.75">
      <c r="K7125" s="12"/>
      <c r="L7125" s="12"/>
    </row>
    <row r="7126" spans="11:12" ht="12.75">
      <c r="K7126" s="12"/>
      <c r="L7126" s="12"/>
    </row>
    <row r="7127" spans="11:12" ht="12.75">
      <c r="K7127" s="12"/>
      <c r="L7127" s="12"/>
    </row>
    <row r="7128" spans="11:12" ht="12.75">
      <c r="K7128" s="12"/>
      <c r="L7128" s="12"/>
    </row>
    <row r="7129" spans="11:12" ht="12.75">
      <c r="K7129" s="12"/>
      <c r="L7129" s="12"/>
    </row>
    <row r="7130" spans="11:12" ht="12.75">
      <c r="K7130" s="12"/>
      <c r="L7130" s="12"/>
    </row>
    <row r="7131" spans="11:12" ht="12.75">
      <c r="K7131" s="12"/>
      <c r="L7131" s="12"/>
    </row>
    <row r="7132" spans="11:12" ht="12.75">
      <c r="K7132" s="12"/>
      <c r="L7132" s="12"/>
    </row>
    <row r="7133" spans="11:12" ht="12.75">
      <c r="K7133" s="12"/>
      <c r="L7133" s="12"/>
    </row>
    <row r="7134" spans="11:12" ht="12.75">
      <c r="K7134" s="12"/>
      <c r="L7134" s="12"/>
    </row>
    <row r="7135" spans="11:12" ht="12.75">
      <c r="K7135" s="12"/>
      <c r="L7135" s="12"/>
    </row>
    <row r="7136" spans="11:12" ht="12.75">
      <c r="K7136" s="12"/>
      <c r="L7136" s="12"/>
    </row>
    <row r="7137" spans="11:12" ht="12.75">
      <c r="K7137" s="12"/>
      <c r="L7137" s="12"/>
    </row>
    <row r="7138" spans="11:12" ht="12.75">
      <c r="K7138" s="12"/>
      <c r="L7138" s="12"/>
    </row>
    <row r="7139" spans="11:12" ht="12.75">
      <c r="K7139" s="12"/>
      <c r="L7139" s="12"/>
    </row>
    <row r="7140" spans="11:12" ht="12.75">
      <c r="K7140" s="12"/>
      <c r="L7140" s="12"/>
    </row>
    <row r="7141" spans="11:12" ht="12.75">
      <c r="K7141" s="12"/>
      <c r="L7141" s="12"/>
    </row>
    <row r="7142" spans="11:12" ht="12.75">
      <c r="K7142" s="12"/>
      <c r="L7142" s="12"/>
    </row>
    <row r="7143" spans="11:12" ht="12.75">
      <c r="K7143" s="12"/>
      <c r="L7143" s="12"/>
    </row>
    <row r="7144" spans="11:12" ht="12.75">
      <c r="K7144" s="12"/>
      <c r="L7144" s="12"/>
    </row>
    <row r="7145" spans="11:12" ht="12.75">
      <c r="K7145" s="12"/>
      <c r="L7145" s="12"/>
    </row>
    <row r="7146" spans="11:12" ht="12.75">
      <c r="K7146" s="12"/>
      <c r="L7146" s="12"/>
    </row>
    <row r="7147" spans="11:12" ht="12.75">
      <c r="K7147" s="12"/>
      <c r="L7147" s="12"/>
    </row>
    <row r="7148" spans="11:12" ht="12.75">
      <c r="K7148" s="12"/>
      <c r="L7148" s="12"/>
    </row>
    <row r="7149" spans="11:12" ht="12.75">
      <c r="K7149" s="12"/>
      <c r="L7149" s="12"/>
    </row>
    <row r="7150" spans="11:12" ht="12.75">
      <c r="K7150" s="12"/>
      <c r="L7150" s="12"/>
    </row>
    <row r="7151" spans="11:12" ht="12.75">
      <c r="K7151" s="12"/>
      <c r="L7151" s="12"/>
    </row>
    <row r="7152" spans="11:12" ht="12.75">
      <c r="K7152" s="12"/>
      <c r="L7152" s="12"/>
    </row>
    <row r="7153" spans="11:12" ht="12.75">
      <c r="K7153" s="12"/>
      <c r="L7153" s="12"/>
    </row>
    <row r="7154" spans="11:12" ht="12.75">
      <c r="K7154" s="12"/>
      <c r="L7154" s="12"/>
    </row>
    <row r="7155" spans="11:12" ht="12.75">
      <c r="K7155" s="12"/>
      <c r="L7155" s="12"/>
    </row>
    <row r="7156" spans="11:12" ht="12.75">
      <c r="K7156" s="12"/>
      <c r="L7156" s="12"/>
    </row>
    <row r="7157" spans="11:12" ht="12.75">
      <c r="K7157" s="12"/>
      <c r="L7157" s="12"/>
    </row>
    <row r="7158" spans="11:12" ht="12.75">
      <c r="K7158" s="12"/>
      <c r="L7158" s="12"/>
    </row>
    <row r="7159" spans="11:12" ht="12.75">
      <c r="K7159" s="12"/>
      <c r="L7159" s="12"/>
    </row>
    <row r="7160" spans="11:12" ht="12.75">
      <c r="K7160" s="12"/>
      <c r="L7160" s="12"/>
    </row>
    <row r="7161" spans="11:12" ht="12.75">
      <c r="K7161" s="12"/>
      <c r="L7161" s="12"/>
    </row>
    <row r="7162" spans="11:12" ht="12.75">
      <c r="K7162" s="12"/>
      <c r="L7162" s="12"/>
    </row>
    <row r="7163" spans="11:12" ht="12.75">
      <c r="K7163" s="12"/>
      <c r="L7163" s="12"/>
    </row>
    <row r="7164" spans="11:12" ht="12.75">
      <c r="K7164" s="12"/>
      <c r="L7164" s="12"/>
    </row>
    <row r="7165" spans="11:12" ht="12.75">
      <c r="K7165" s="12"/>
      <c r="L7165" s="12"/>
    </row>
    <row r="7166" spans="11:12" ht="12.75">
      <c r="K7166" s="12"/>
      <c r="L7166" s="12"/>
    </row>
    <row r="7167" spans="11:12" ht="12.75">
      <c r="K7167" s="12"/>
      <c r="L7167" s="12"/>
    </row>
    <row r="7168" spans="11:12" ht="12.75">
      <c r="K7168" s="12"/>
      <c r="L7168" s="12"/>
    </row>
    <row r="7169" spans="11:12" ht="12.75">
      <c r="K7169" s="12"/>
      <c r="L7169" s="12"/>
    </row>
    <row r="7170" spans="11:12" ht="12.75">
      <c r="K7170" s="12"/>
      <c r="L7170" s="12"/>
    </row>
    <row r="7171" spans="11:12" ht="12.75">
      <c r="K7171" s="12"/>
      <c r="L7171" s="12"/>
    </row>
    <row r="7172" spans="11:12" ht="12.75">
      <c r="K7172" s="12"/>
      <c r="L7172" s="12"/>
    </row>
    <row r="7173" spans="11:12" ht="12.75">
      <c r="K7173" s="12"/>
      <c r="L7173" s="12"/>
    </row>
    <row r="7174" spans="11:12" ht="12.75">
      <c r="K7174" s="12"/>
      <c r="L7174" s="12"/>
    </row>
    <row r="7175" spans="11:12" ht="12.75">
      <c r="K7175" s="12"/>
      <c r="L7175" s="12"/>
    </row>
    <row r="7176" spans="11:12" ht="12.75">
      <c r="K7176" s="12"/>
      <c r="L7176" s="12"/>
    </row>
    <row r="7177" spans="11:12" ht="12.75">
      <c r="K7177" s="12"/>
      <c r="L7177" s="12"/>
    </row>
    <row r="7178" spans="11:12" ht="12.75">
      <c r="K7178" s="12"/>
      <c r="L7178" s="12"/>
    </row>
    <row r="7179" spans="11:12" ht="12.75">
      <c r="K7179" s="12"/>
      <c r="L7179" s="12"/>
    </row>
    <row r="7180" spans="11:12" ht="12.75">
      <c r="K7180" s="12"/>
      <c r="L7180" s="12"/>
    </row>
    <row r="7181" spans="11:12" ht="12.75">
      <c r="K7181" s="12"/>
      <c r="L7181" s="12"/>
    </row>
    <row r="7182" spans="11:12" ht="12.75">
      <c r="K7182" s="12"/>
      <c r="L7182" s="12"/>
    </row>
    <row r="7183" spans="11:12" ht="12.75">
      <c r="K7183" s="12"/>
      <c r="L7183" s="12"/>
    </row>
    <row r="7184" spans="11:12" ht="12.75">
      <c r="K7184" s="12"/>
      <c r="L7184" s="12"/>
    </row>
    <row r="7185" spans="11:12" ht="12.75">
      <c r="K7185" s="12"/>
      <c r="L7185" s="12"/>
    </row>
    <row r="7186" spans="11:12" ht="12.75">
      <c r="K7186" s="12"/>
      <c r="L7186" s="12"/>
    </row>
    <row r="7187" spans="11:12" ht="12.75">
      <c r="K7187" s="12"/>
      <c r="L7187" s="12"/>
    </row>
    <row r="7188" spans="11:12" ht="12.75">
      <c r="K7188" s="12"/>
      <c r="L7188" s="12"/>
    </row>
    <row r="7189" spans="11:12" ht="12.75">
      <c r="K7189" s="12"/>
      <c r="L7189" s="12"/>
    </row>
    <row r="7190" spans="11:12" ht="12.75">
      <c r="K7190" s="12"/>
      <c r="L7190" s="12"/>
    </row>
    <row r="7191" spans="11:12" ht="12.75">
      <c r="K7191" s="12"/>
      <c r="L7191" s="12"/>
    </row>
    <row r="7192" spans="11:12" ht="12.75">
      <c r="K7192" s="12"/>
      <c r="L7192" s="12"/>
    </row>
    <row r="7193" spans="11:12" ht="12.75">
      <c r="K7193" s="12"/>
      <c r="L7193" s="12"/>
    </row>
    <row r="7194" spans="11:12" ht="12.75">
      <c r="K7194" s="12"/>
      <c r="L7194" s="12"/>
    </row>
    <row r="7195" spans="11:12" ht="12.75">
      <c r="K7195" s="12"/>
      <c r="L7195" s="12"/>
    </row>
    <row r="7196" spans="11:12" ht="12.75">
      <c r="K7196" s="12"/>
      <c r="L7196" s="12"/>
    </row>
    <row r="7197" spans="11:12" ht="12.75">
      <c r="K7197" s="12"/>
      <c r="L7197" s="12"/>
    </row>
    <row r="7198" spans="11:12" ht="12.75">
      <c r="K7198" s="12"/>
      <c r="L7198" s="12"/>
    </row>
    <row r="7199" spans="11:12" ht="12.75">
      <c r="K7199" s="12"/>
      <c r="L7199" s="12"/>
    </row>
    <row r="7200" spans="11:12" ht="12.75">
      <c r="K7200" s="12"/>
      <c r="L7200" s="12"/>
    </row>
    <row r="7201" spans="11:12" ht="12.75">
      <c r="K7201" s="12"/>
      <c r="L7201" s="12"/>
    </row>
    <row r="7202" spans="11:12" ht="12.75">
      <c r="K7202" s="12"/>
      <c r="L7202" s="12"/>
    </row>
    <row r="7203" spans="11:12" ht="12.75">
      <c r="K7203" s="12"/>
      <c r="L7203" s="12"/>
    </row>
    <row r="7204" spans="11:12" ht="12.75">
      <c r="K7204" s="12"/>
      <c r="L7204" s="12"/>
    </row>
    <row r="7205" spans="11:12" ht="12.75">
      <c r="K7205" s="12"/>
      <c r="L7205" s="12"/>
    </row>
    <row r="7206" spans="11:12" ht="12.75">
      <c r="K7206" s="12"/>
      <c r="L7206" s="12"/>
    </row>
    <row r="7207" spans="11:12" ht="12.75">
      <c r="K7207" s="12"/>
      <c r="L7207" s="12"/>
    </row>
    <row r="7208" spans="11:12" ht="12.75">
      <c r="K7208" s="12"/>
      <c r="L7208" s="12"/>
    </row>
    <row r="7209" spans="11:12" ht="12.75">
      <c r="K7209" s="12"/>
      <c r="L7209" s="12"/>
    </row>
    <row r="7210" spans="11:12" ht="12.75">
      <c r="K7210" s="12"/>
      <c r="L7210" s="12"/>
    </row>
    <row r="7211" spans="11:12" ht="12.75">
      <c r="K7211" s="12"/>
      <c r="L7211" s="12"/>
    </row>
    <row r="7212" spans="11:12" ht="12.75">
      <c r="K7212" s="12"/>
      <c r="L7212" s="12"/>
    </row>
    <row r="7213" spans="11:12" ht="12.75">
      <c r="K7213" s="12"/>
      <c r="L7213" s="12"/>
    </row>
    <row r="7214" spans="11:12" ht="12.75">
      <c r="K7214" s="12"/>
      <c r="L7214" s="12"/>
    </row>
    <row r="7215" spans="11:12" ht="12.75">
      <c r="K7215" s="12"/>
      <c r="L7215" s="12"/>
    </row>
    <row r="7216" spans="11:12" ht="12.75">
      <c r="K7216" s="12"/>
      <c r="L7216" s="12"/>
    </row>
    <row r="7217" spans="11:12" ht="12.75">
      <c r="K7217" s="12"/>
      <c r="L7217" s="12"/>
    </row>
    <row r="7218" spans="11:12" ht="12.75">
      <c r="K7218" s="12"/>
      <c r="L7218" s="12"/>
    </row>
    <row r="7219" spans="11:12" ht="12.75">
      <c r="K7219" s="12"/>
      <c r="L7219" s="12"/>
    </row>
    <row r="7220" spans="11:12" ht="12.75">
      <c r="K7220" s="12"/>
      <c r="L7220" s="12"/>
    </row>
    <row r="7221" spans="11:12" ht="12.75">
      <c r="K7221" s="12"/>
      <c r="L7221" s="12"/>
    </row>
    <row r="7222" spans="11:12" ht="12.75">
      <c r="K7222" s="12"/>
      <c r="L7222" s="12"/>
    </row>
    <row r="7223" spans="11:12" ht="12.75">
      <c r="K7223" s="12"/>
      <c r="L7223" s="12"/>
    </row>
    <row r="7224" spans="11:12" ht="12.75">
      <c r="K7224" s="12"/>
      <c r="L7224" s="12"/>
    </row>
    <row r="7225" spans="11:12" ht="12.75">
      <c r="K7225" s="12"/>
      <c r="L7225" s="12"/>
    </row>
    <row r="7226" spans="11:12" ht="12.75">
      <c r="K7226" s="12"/>
      <c r="L7226" s="12"/>
    </row>
    <row r="7227" spans="11:12" ht="12.75">
      <c r="K7227" s="12"/>
      <c r="L7227" s="12"/>
    </row>
    <row r="7228" spans="11:12" ht="12.75">
      <c r="K7228" s="12"/>
      <c r="L7228" s="12"/>
    </row>
    <row r="7229" spans="11:12" ht="12.75">
      <c r="K7229" s="12"/>
      <c r="L7229" s="12"/>
    </row>
    <row r="7230" spans="11:12" ht="12.75">
      <c r="K7230" s="12"/>
      <c r="L7230" s="12"/>
    </row>
    <row r="7231" spans="11:12" ht="12.75">
      <c r="K7231" s="12"/>
      <c r="L7231" s="12"/>
    </row>
    <row r="7232" spans="11:12" ht="12.75">
      <c r="K7232" s="12"/>
      <c r="L7232" s="12"/>
    </row>
    <row r="7233" spans="11:12" ht="12.75">
      <c r="K7233" s="12"/>
      <c r="L7233" s="12"/>
    </row>
    <row r="7234" spans="11:12" ht="12.75">
      <c r="K7234" s="12"/>
      <c r="L7234" s="12"/>
    </row>
    <row r="7235" spans="11:12" ht="12.75">
      <c r="K7235" s="12"/>
      <c r="L7235" s="12"/>
    </row>
    <row r="7236" spans="11:12" ht="12.75">
      <c r="K7236" s="12"/>
      <c r="L7236" s="12"/>
    </row>
    <row r="7237" spans="11:12" ht="12.75">
      <c r="K7237" s="12"/>
      <c r="L7237" s="12"/>
    </row>
    <row r="7238" spans="11:12" ht="12.75">
      <c r="K7238" s="12"/>
      <c r="L7238" s="12"/>
    </row>
    <row r="7239" spans="11:12" ht="12.75">
      <c r="K7239" s="12"/>
      <c r="L7239" s="12"/>
    </row>
    <row r="7240" spans="11:12" ht="12.75">
      <c r="K7240" s="12"/>
      <c r="L7240" s="12"/>
    </row>
    <row r="7241" spans="11:12" ht="12.75">
      <c r="K7241" s="12"/>
      <c r="L7241" s="12"/>
    </row>
    <row r="7242" spans="11:12" ht="12.75">
      <c r="K7242" s="12"/>
      <c r="L7242" s="12"/>
    </row>
    <row r="7243" spans="11:12" ht="12.75">
      <c r="K7243" s="12"/>
      <c r="L7243" s="12"/>
    </row>
    <row r="7244" spans="11:12" ht="12.75">
      <c r="K7244" s="12"/>
      <c r="L7244" s="12"/>
    </row>
    <row r="7245" spans="11:12" ht="12.75">
      <c r="K7245" s="12"/>
      <c r="L7245" s="12"/>
    </row>
    <row r="7246" spans="11:12" ht="12.75">
      <c r="K7246" s="12"/>
      <c r="L7246" s="12"/>
    </row>
    <row r="7247" spans="11:12" ht="12.75">
      <c r="K7247" s="12"/>
      <c r="L7247" s="12"/>
    </row>
    <row r="7248" spans="11:12" ht="12.75">
      <c r="K7248" s="12"/>
      <c r="L7248" s="12"/>
    </row>
    <row r="7249" spans="11:12" ht="12.75">
      <c r="K7249" s="12"/>
      <c r="L7249" s="12"/>
    </row>
    <row r="7250" spans="11:12" ht="12.75">
      <c r="K7250" s="12"/>
      <c r="L7250" s="12"/>
    </row>
    <row r="7251" spans="11:12" ht="12.75">
      <c r="K7251" s="12"/>
      <c r="L7251" s="12"/>
    </row>
    <row r="7252" spans="11:12" ht="12.75">
      <c r="K7252" s="12"/>
      <c r="L7252" s="12"/>
    </row>
    <row r="7253" spans="11:12" ht="12.75">
      <c r="K7253" s="12"/>
      <c r="L7253" s="12"/>
    </row>
    <row r="7254" spans="11:12" ht="12.75">
      <c r="K7254" s="12"/>
      <c r="L7254" s="12"/>
    </row>
    <row r="7255" spans="11:12" ht="12.75">
      <c r="K7255" s="12"/>
      <c r="L7255" s="12"/>
    </row>
    <row r="7256" spans="11:12" ht="12.75">
      <c r="K7256" s="12"/>
      <c r="L7256" s="12"/>
    </row>
    <row r="7257" spans="11:12" ht="12.75">
      <c r="K7257" s="12"/>
      <c r="L7257" s="12"/>
    </row>
    <row r="7258" spans="11:12" ht="12.75">
      <c r="K7258" s="12"/>
      <c r="L7258" s="12"/>
    </row>
    <row r="7259" spans="11:12" ht="12.75">
      <c r="K7259" s="12"/>
      <c r="L7259" s="12"/>
    </row>
    <row r="7260" spans="11:12" ht="12.75">
      <c r="K7260" s="12"/>
      <c r="L7260" s="12"/>
    </row>
    <row r="7261" spans="11:12" ht="12.75">
      <c r="K7261" s="12"/>
      <c r="L7261" s="12"/>
    </row>
    <row r="7262" spans="11:12" ht="12.75">
      <c r="K7262" s="12"/>
      <c r="L7262" s="12"/>
    </row>
    <row r="7263" spans="11:12" ht="12.75">
      <c r="K7263" s="12"/>
      <c r="L7263" s="12"/>
    </row>
    <row r="7264" spans="11:12" ht="12.75">
      <c r="K7264" s="12"/>
      <c r="L7264" s="12"/>
    </row>
    <row r="7265" spans="11:12" ht="12.75">
      <c r="K7265" s="12"/>
      <c r="L7265" s="12"/>
    </row>
    <row r="7266" spans="11:12" ht="12.75">
      <c r="K7266" s="12"/>
      <c r="L7266" s="12"/>
    </row>
    <row r="7267" spans="11:12" ht="12.75">
      <c r="K7267" s="12"/>
      <c r="L7267" s="12"/>
    </row>
    <row r="7268" spans="11:12" ht="12.75">
      <c r="K7268" s="12"/>
      <c r="L7268" s="12"/>
    </row>
    <row r="7269" spans="11:12" ht="12.75">
      <c r="K7269" s="12"/>
      <c r="L7269" s="12"/>
    </row>
    <row r="7270" spans="11:12" ht="12.75">
      <c r="K7270" s="12"/>
      <c r="L7270" s="12"/>
    </row>
    <row r="7271" spans="11:12" ht="12.75">
      <c r="K7271" s="12"/>
      <c r="L7271" s="12"/>
    </row>
    <row r="7272" spans="11:12" ht="12.75">
      <c r="K7272" s="12"/>
      <c r="L7272" s="12"/>
    </row>
    <row r="7273" spans="11:12" ht="12.75">
      <c r="K7273" s="12"/>
      <c r="L7273" s="12"/>
    </row>
    <row r="7274" spans="11:12" ht="12.75">
      <c r="K7274" s="12"/>
      <c r="L7274" s="12"/>
    </row>
    <row r="7275" spans="11:12" ht="12.75">
      <c r="K7275" s="12"/>
      <c r="L7275" s="12"/>
    </row>
    <row r="7276" spans="11:12" ht="12.75">
      <c r="K7276" s="12"/>
      <c r="L7276" s="12"/>
    </row>
    <row r="7277" spans="11:12" ht="12.75">
      <c r="K7277" s="12"/>
      <c r="L7277" s="12"/>
    </row>
    <row r="7278" spans="11:12" ht="12.75">
      <c r="K7278" s="12"/>
      <c r="L7278" s="12"/>
    </row>
    <row r="7279" spans="11:12" ht="12.75">
      <c r="K7279" s="12"/>
      <c r="L7279" s="12"/>
    </row>
    <row r="7280" spans="11:12" ht="12.75">
      <c r="K7280" s="12"/>
      <c r="L7280" s="12"/>
    </row>
    <row r="7281" spans="11:12" ht="12.75">
      <c r="K7281" s="12"/>
      <c r="L7281" s="12"/>
    </row>
    <row r="7282" spans="11:12" ht="12.75">
      <c r="K7282" s="12"/>
      <c r="L7282" s="12"/>
    </row>
    <row r="7283" spans="11:12" ht="12.75">
      <c r="K7283" s="12"/>
      <c r="L7283" s="12"/>
    </row>
    <row r="7284" spans="11:12" ht="12.75">
      <c r="K7284" s="12"/>
      <c r="L7284" s="12"/>
    </row>
    <row r="7285" spans="11:12" ht="12.75">
      <c r="K7285" s="12"/>
      <c r="L7285" s="12"/>
    </row>
    <row r="7286" spans="11:12" ht="12.75">
      <c r="K7286" s="12"/>
      <c r="L7286" s="12"/>
    </row>
    <row r="7287" spans="11:12" ht="12.75">
      <c r="K7287" s="12"/>
      <c r="L7287" s="12"/>
    </row>
    <row r="7288" spans="11:12" ht="12.75">
      <c r="K7288" s="12"/>
      <c r="L7288" s="12"/>
    </row>
    <row r="7289" spans="11:12" ht="12.75">
      <c r="K7289" s="12"/>
      <c r="L7289" s="12"/>
    </row>
    <row r="7290" spans="11:12" ht="12.75">
      <c r="K7290" s="12"/>
      <c r="L7290" s="12"/>
    </row>
    <row r="7291" spans="11:12" ht="12.75">
      <c r="K7291" s="12"/>
      <c r="L7291" s="12"/>
    </row>
    <row r="7292" spans="11:12" ht="12.75">
      <c r="K7292" s="12"/>
      <c r="L7292" s="12"/>
    </row>
    <row r="7293" spans="11:12" ht="12.75">
      <c r="K7293" s="12"/>
      <c r="L7293" s="12"/>
    </row>
    <row r="7294" spans="11:12" ht="12.75">
      <c r="K7294" s="12"/>
      <c r="L7294" s="12"/>
    </row>
    <row r="7295" spans="11:12" ht="12.75">
      <c r="K7295" s="12"/>
      <c r="L7295" s="12"/>
    </row>
    <row r="7296" spans="11:12" ht="12.75">
      <c r="K7296" s="12"/>
      <c r="L7296" s="12"/>
    </row>
    <row r="7297" spans="11:12" ht="12.75">
      <c r="K7297" s="12"/>
      <c r="L7297" s="12"/>
    </row>
    <row r="7298" spans="11:12" ht="12.75">
      <c r="K7298" s="12"/>
      <c r="L7298" s="12"/>
    </row>
    <row r="7299" spans="11:12" ht="12.75">
      <c r="K7299" s="12"/>
      <c r="L7299" s="12"/>
    </row>
    <row r="7300" spans="11:12" ht="12.75">
      <c r="K7300" s="12"/>
      <c r="L7300" s="12"/>
    </row>
    <row r="7301" spans="11:12" ht="12.75">
      <c r="K7301" s="12"/>
      <c r="L7301" s="12"/>
    </row>
    <row r="7302" spans="11:12" ht="12.75">
      <c r="K7302" s="12"/>
      <c r="L7302" s="12"/>
    </row>
    <row r="7303" spans="11:12" ht="12.75">
      <c r="K7303" s="12"/>
      <c r="L7303" s="12"/>
    </row>
    <row r="7304" spans="11:12" ht="12.75">
      <c r="K7304" s="12"/>
      <c r="L7304" s="12"/>
    </row>
    <row r="7305" spans="11:12" ht="12.75">
      <c r="K7305" s="12"/>
      <c r="L7305" s="12"/>
    </row>
    <row r="7306" spans="11:12" ht="12.75">
      <c r="K7306" s="12"/>
      <c r="L7306" s="12"/>
    </row>
    <row r="7307" spans="11:12" ht="12.75">
      <c r="K7307" s="12"/>
      <c r="L7307" s="12"/>
    </row>
    <row r="7308" spans="11:12" ht="12.75">
      <c r="K7308" s="12"/>
      <c r="L7308" s="12"/>
    </row>
    <row r="7309" spans="11:12" ht="12.75">
      <c r="K7309" s="12"/>
      <c r="L7309" s="12"/>
    </row>
    <row r="7310" spans="11:12" ht="12.75">
      <c r="K7310" s="12"/>
      <c r="L7310" s="12"/>
    </row>
    <row r="7311" spans="11:12" ht="12.75">
      <c r="K7311" s="12"/>
      <c r="L7311" s="12"/>
    </row>
    <row r="7312" spans="11:12" ht="12.75">
      <c r="K7312" s="12"/>
      <c r="L7312" s="12"/>
    </row>
    <row r="7313" spans="11:12" ht="12.75">
      <c r="K7313" s="12"/>
      <c r="L7313" s="12"/>
    </row>
    <row r="7314" spans="11:12" ht="12.75">
      <c r="K7314" s="12"/>
      <c r="L7314" s="12"/>
    </row>
    <row r="7315" spans="11:12" ht="12.75">
      <c r="K7315" s="12"/>
      <c r="L7315" s="12"/>
    </row>
    <row r="7316" spans="11:12" ht="12.75">
      <c r="K7316" s="12"/>
      <c r="L7316" s="12"/>
    </row>
    <row r="7317" spans="11:12" ht="12.75">
      <c r="K7317" s="12"/>
      <c r="L7317" s="12"/>
    </row>
    <row r="7318" spans="11:12" ht="12.75">
      <c r="K7318" s="12"/>
      <c r="L7318" s="12"/>
    </row>
    <row r="7319" spans="11:12" ht="12.75">
      <c r="K7319" s="12"/>
      <c r="L7319" s="12"/>
    </row>
    <row r="7320" spans="11:12" ht="12.75">
      <c r="K7320" s="12"/>
      <c r="L7320" s="12"/>
    </row>
    <row r="7321" spans="11:12" ht="12.75">
      <c r="K7321" s="12"/>
      <c r="L7321" s="12"/>
    </row>
    <row r="7322" spans="11:12" ht="12.75">
      <c r="K7322" s="12"/>
      <c r="L7322" s="12"/>
    </row>
    <row r="7323" spans="11:12" ht="12.75">
      <c r="K7323" s="12"/>
      <c r="L7323" s="12"/>
    </row>
    <row r="7324" spans="11:12" ht="12.75">
      <c r="K7324" s="12"/>
      <c r="L7324" s="12"/>
    </row>
    <row r="7325" spans="11:12" ht="12.75">
      <c r="K7325" s="12"/>
      <c r="L7325" s="12"/>
    </row>
    <row r="7326" spans="11:12" ht="12.75">
      <c r="K7326" s="12"/>
      <c r="L7326" s="12"/>
    </row>
    <row r="7327" spans="11:12" ht="12.75">
      <c r="K7327" s="12"/>
      <c r="L7327" s="12"/>
    </row>
    <row r="7328" spans="11:12" ht="12.75">
      <c r="K7328" s="12"/>
      <c r="L7328" s="12"/>
    </row>
    <row r="7329" spans="11:12" ht="12.75">
      <c r="K7329" s="12"/>
      <c r="L7329" s="12"/>
    </row>
    <row r="7330" spans="11:12" ht="12.75">
      <c r="K7330" s="12"/>
      <c r="L7330" s="12"/>
    </row>
    <row r="7331" spans="11:12" ht="12.75">
      <c r="K7331" s="12"/>
      <c r="L7331" s="12"/>
    </row>
    <row r="7332" spans="11:12" ht="12.75">
      <c r="K7332" s="12"/>
      <c r="L7332" s="12"/>
    </row>
    <row r="7333" spans="11:12" ht="12.75">
      <c r="K7333" s="12"/>
      <c r="L7333" s="12"/>
    </row>
    <row r="7334" spans="11:12" ht="12.75">
      <c r="K7334" s="12"/>
      <c r="L7334" s="12"/>
    </row>
    <row r="7335" spans="11:12" ht="12.75">
      <c r="K7335" s="12"/>
      <c r="L7335" s="12"/>
    </row>
    <row r="7336" spans="11:12" ht="12.75">
      <c r="K7336" s="12"/>
      <c r="L7336" s="12"/>
    </row>
    <row r="7337" spans="11:12" ht="12.75">
      <c r="K7337" s="12"/>
      <c r="L7337" s="12"/>
    </row>
    <row r="7338" spans="11:12" ht="12.75">
      <c r="K7338" s="12"/>
      <c r="L7338" s="12"/>
    </row>
    <row r="7339" spans="11:12" ht="12.75">
      <c r="K7339" s="12"/>
      <c r="L7339" s="12"/>
    </row>
    <row r="7340" spans="11:12" ht="12.75">
      <c r="K7340" s="12"/>
      <c r="L7340" s="12"/>
    </row>
    <row r="7341" spans="11:12" ht="12.75">
      <c r="K7341" s="12"/>
      <c r="L7341" s="12"/>
    </row>
    <row r="7342" spans="11:12" ht="12.75">
      <c r="K7342" s="12"/>
      <c r="L7342" s="12"/>
    </row>
    <row r="7343" spans="11:12" ht="12.75">
      <c r="K7343" s="12"/>
      <c r="L7343" s="12"/>
    </row>
    <row r="7344" spans="11:12" ht="12.75">
      <c r="K7344" s="12"/>
      <c r="L7344" s="12"/>
    </row>
    <row r="7345" spans="11:12" ht="12.75">
      <c r="K7345" s="12"/>
      <c r="L7345" s="12"/>
    </row>
    <row r="7346" spans="11:12" ht="12.75">
      <c r="K7346" s="12"/>
      <c r="L7346" s="12"/>
    </row>
    <row r="7347" spans="11:12" ht="12.75">
      <c r="K7347" s="12"/>
      <c r="L7347" s="12"/>
    </row>
    <row r="7348" spans="11:12" ht="12.75">
      <c r="K7348" s="12"/>
      <c r="L7348" s="12"/>
    </row>
    <row r="7349" spans="11:12" ht="12.75">
      <c r="K7349" s="12"/>
      <c r="L7349" s="12"/>
    </row>
    <row r="7350" spans="11:12" ht="12.75">
      <c r="K7350" s="12"/>
      <c r="L7350" s="12"/>
    </row>
    <row r="7351" spans="11:12" ht="12.75">
      <c r="K7351" s="12"/>
      <c r="L7351" s="12"/>
    </row>
    <row r="7352" spans="11:12" ht="12.75">
      <c r="K7352" s="12"/>
      <c r="L7352" s="12"/>
    </row>
    <row r="7353" spans="11:12" ht="12.75">
      <c r="K7353" s="12"/>
      <c r="L7353" s="12"/>
    </row>
    <row r="7354" spans="11:12" ht="12.75">
      <c r="K7354" s="12"/>
      <c r="L7354" s="12"/>
    </row>
    <row r="7355" spans="11:12" ht="12.75">
      <c r="K7355" s="12"/>
      <c r="L7355" s="12"/>
    </row>
    <row r="7356" spans="11:12" ht="12.75">
      <c r="K7356" s="12"/>
      <c r="L7356" s="12"/>
    </row>
    <row r="7357" spans="11:12" ht="12.75">
      <c r="K7357" s="12"/>
      <c r="L7357" s="12"/>
    </row>
    <row r="7358" spans="11:12" ht="12.75">
      <c r="K7358" s="12"/>
      <c r="L7358" s="12"/>
    </row>
    <row r="7359" spans="11:12" ht="12.75">
      <c r="K7359" s="12"/>
      <c r="L7359" s="12"/>
    </row>
    <row r="7360" spans="11:12" ht="12.75">
      <c r="K7360" s="12"/>
      <c r="L7360" s="12"/>
    </row>
    <row r="7361" spans="11:12" ht="12.75">
      <c r="K7361" s="12"/>
      <c r="L7361" s="12"/>
    </row>
    <row r="7362" spans="11:12" ht="12.75">
      <c r="K7362" s="12"/>
      <c r="L7362" s="12"/>
    </row>
    <row r="7363" spans="11:12" ht="12.75">
      <c r="K7363" s="12"/>
      <c r="L7363" s="12"/>
    </row>
    <row r="7364" spans="11:12" ht="12.75">
      <c r="K7364" s="12"/>
      <c r="L7364" s="12"/>
    </row>
    <row r="7365" spans="11:12" ht="12.75">
      <c r="K7365" s="12"/>
      <c r="L7365" s="12"/>
    </row>
    <row r="7366" spans="11:12" ht="12.75">
      <c r="K7366" s="12"/>
      <c r="L7366" s="12"/>
    </row>
    <row r="7367" spans="11:12" ht="12.75">
      <c r="K7367" s="12"/>
      <c r="L7367" s="12"/>
    </row>
    <row r="7368" spans="11:12" ht="12.75">
      <c r="K7368" s="12"/>
      <c r="L7368" s="12"/>
    </row>
    <row r="7369" spans="11:12" ht="12.75">
      <c r="K7369" s="12"/>
      <c r="L7369" s="12"/>
    </row>
    <row r="7370" spans="11:12" ht="12.75">
      <c r="K7370" s="12"/>
      <c r="L7370" s="12"/>
    </row>
    <row r="7371" spans="11:12" ht="12.75">
      <c r="K7371" s="12"/>
      <c r="L7371" s="12"/>
    </row>
    <row r="7372" spans="11:12" ht="12.75">
      <c r="K7372" s="12"/>
      <c r="L7372" s="12"/>
    </row>
    <row r="7373" spans="11:12" ht="12.75">
      <c r="K7373" s="12"/>
      <c r="L7373" s="12"/>
    </row>
    <row r="7374" spans="11:12" ht="12.75">
      <c r="K7374" s="12"/>
      <c r="L7374" s="12"/>
    </row>
    <row r="7375" spans="11:12" ht="12.75">
      <c r="K7375" s="12"/>
      <c r="L7375" s="12"/>
    </row>
    <row r="7376" spans="11:12" ht="12.75">
      <c r="K7376" s="12"/>
      <c r="L7376" s="12"/>
    </row>
    <row r="7377" spans="11:12" ht="12.75">
      <c r="K7377" s="12"/>
      <c r="L7377" s="12"/>
    </row>
    <row r="7378" spans="11:12" ht="12.75">
      <c r="K7378" s="12"/>
      <c r="L7378" s="12"/>
    </row>
    <row r="7379" spans="11:12" ht="12.75">
      <c r="K7379" s="12"/>
      <c r="L7379" s="12"/>
    </row>
    <row r="7380" spans="11:12" ht="12.75">
      <c r="K7380" s="12"/>
      <c r="L7380" s="12"/>
    </row>
    <row r="7381" spans="11:12" ht="12.75">
      <c r="K7381" s="12"/>
      <c r="L7381" s="12"/>
    </row>
    <row r="7382" spans="11:12" ht="12.75">
      <c r="K7382" s="12"/>
      <c r="L7382" s="12"/>
    </row>
    <row r="7383" spans="11:12" ht="12.75">
      <c r="K7383" s="12"/>
      <c r="L7383" s="12"/>
    </row>
    <row r="7384" spans="11:12" ht="12.75">
      <c r="K7384" s="12"/>
      <c r="L7384" s="12"/>
    </row>
    <row r="7385" spans="11:12" ht="12.75">
      <c r="K7385" s="12"/>
      <c r="L7385" s="12"/>
    </row>
    <row r="7386" spans="11:12" ht="12.75">
      <c r="K7386" s="12"/>
      <c r="L7386" s="12"/>
    </row>
    <row r="7387" spans="11:12" ht="12.75">
      <c r="K7387" s="12"/>
      <c r="L7387" s="12"/>
    </row>
    <row r="7388" spans="11:12" ht="12.75">
      <c r="K7388" s="12"/>
      <c r="L7388" s="12"/>
    </row>
    <row r="7389" spans="11:12" ht="12.75">
      <c r="K7389" s="12"/>
      <c r="L7389" s="12"/>
    </row>
    <row r="7390" spans="11:12" ht="12.75">
      <c r="K7390" s="12"/>
      <c r="L7390" s="12"/>
    </row>
    <row r="7391" spans="11:12" ht="12.75">
      <c r="K7391" s="12"/>
      <c r="L7391" s="12"/>
    </row>
    <row r="7392" spans="11:12" ht="12.75">
      <c r="K7392" s="12"/>
      <c r="L7392" s="12"/>
    </row>
    <row r="7393" spans="11:12" ht="12.75">
      <c r="K7393" s="12"/>
      <c r="L7393" s="12"/>
    </row>
    <row r="7394" spans="11:12" ht="12.75">
      <c r="K7394" s="12"/>
      <c r="L7394" s="12"/>
    </row>
    <row r="7395" spans="11:12" ht="12.75">
      <c r="K7395" s="12"/>
      <c r="L7395" s="12"/>
    </row>
    <row r="7396" spans="11:12" ht="12.75">
      <c r="K7396" s="12"/>
      <c r="L7396" s="12"/>
    </row>
    <row r="7397" spans="11:12" ht="12.75">
      <c r="K7397" s="12"/>
      <c r="L7397" s="12"/>
    </row>
    <row r="7398" spans="11:12" ht="12.75">
      <c r="K7398" s="12"/>
      <c r="L7398" s="12"/>
    </row>
    <row r="7399" spans="11:12" ht="12.75">
      <c r="K7399" s="12"/>
      <c r="L7399" s="12"/>
    </row>
    <row r="7400" spans="11:12" ht="12.75">
      <c r="K7400" s="12"/>
      <c r="L7400" s="12"/>
    </row>
    <row r="7401" spans="11:12" ht="12.75">
      <c r="K7401" s="12"/>
      <c r="L7401" s="12"/>
    </row>
    <row r="7402" spans="11:12" ht="12.75">
      <c r="K7402" s="12"/>
      <c r="L7402" s="12"/>
    </row>
    <row r="7403" spans="11:12" ht="12.75">
      <c r="K7403" s="12"/>
      <c r="L7403" s="12"/>
    </row>
    <row r="7404" spans="11:12" ht="12.75">
      <c r="K7404" s="12"/>
      <c r="L7404" s="12"/>
    </row>
    <row r="7405" spans="11:12" ht="12.75">
      <c r="K7405" s="12"/>
      <c r="L7405" s="12"/>
    </row>
    <row r="7406" spans="11:12" ht="12.75">
      <c r="K7406" s="12"/>
      <c r="L7406" s="12"/>
    </row>
    <row r="7407" spans="11:12" ht="12.75">
      <c r="K7407" s="12"/>
      <c r="L7407" s="12"/>
    </row>
    <row r="7408" spans="11:12" ht="12.75">
      <c r="K7408" s="12"/>
      <c r="L7408" s="12"/>
    </row>
    <row r="7409" spans="11:12" ht="12.75">
      <c r="K7409" s="12"/>
      <c r="L7409" s="12"/>
    </row>
    <row r="7410" spans="11:12" ht="12.75">
      <c r="K7410" s="12"/>
      <c r="L7410" s="12"/>
    </row>
    <row r="7411" spans="11:12" ht="12.75">
      <c r="K7411" s="12"/>
      <c r="L7411" s="12"/>
    </row>
    <row r="7412" spans="11:12" ht="12.75">
      <c r="K7412" s="12"/>
      <c r="L7412" s="12"/>
    </row>
    <row r="7413" spans="11:12" ht="12.75">
      <c r="K7413" s="12"/>
      <c r="L7413" s="12"/>
    </row>
    <row r="7414" spans="11:12" ht="12.75">
      <c r="K7414" s="12"/>
      <c r="L7414" s="12"/>
    </row>
    <row r="7415" spans="11:12" ht="12.75">
      <c r="K7415" s="12"/>
      <c r="L7415" s="12"/>
    </row>
    <row r="7416" spans="11:12" ht="12.75">
      <c r="K7416" s="12"/>
      <c r="L7416" s="12"/>
    </row>
    <row r="7417" spans="11:12" ht="12.75">
      <c r="K7417" s="12"/>
      <c r="L7417" s="12"/>
    </row>
    <row r="7418" spans="11:12" ht="12.75">
      <c r="K7418" s="12"/>
      <c r="L7418" s="12"/>
    </row>
    <row r="7419" spans="11:12" ht="12.75">
      <c r="K7419" s="12"/>
      <c r="L7419" s="12"/>
    </row>
    <row r="7420" spans="11:12" ht="12.75">
      <c r="K7420" s="12"/>
      <c r="L7420" s="12"/>
    </row>
    <row r="7421" spans="11:12" ht="12.75">
      <c r="K7421" s="12"/>
      <c r="L7421" s="12"/>
    </row>
    <row r="7422" spans="11:12" ht="12.75">
      <c r="K7422" s="12"/>
      <c r="L7422" s="12"/>
    </row>
    <row r="7423" spans="11:12" ht="12.75">
      <c r="K7423" s="12"/>
      <c r="L7423" s="12"/>
    </row>
    <row r="7424" spans="11:12" ht="12.75">
      <c r="K7424" s="12"/>
      <c r="L7424" s="12"/>
    </row>
    <row r="7425" spans="11:12" ht="12.75">
      <c r="K7425" s="12"/>
      <c r="L7425" s="12"/>
    </row>
    <row r="7426" spans="11:12" ht="12.75">
      <c r="K7426" s="12"/>
      <c r="L7426" s="12"/>
    </row>
    <row r="7427" spans="11:12" ht="12.75">
      <c r="K7427" s="12"/>
      <c r="L7427" s="12"/>
    </row>
    <row r="7428" spans="11:12" ht="12.75">
      <c r="K7428" s="12"/>
      <c r="L7428" s="12"/>
    </row>
    <row r="7429" spans="11:12" ht="12.75">
      <c r="K7429" s="12"/>
      <c r="L7429" s="12"/>
    </row>
    <row r="7430" spans="11:12" ht="12.75">
      <c r="K7430" s="12"/>
      <c r="L7430" s="12"/>
    </row>
    <row r="7431" spans="11:12" ht="12.75">
      <c r="K7431" s="12"/>
      <c r="L7431" s="12"/>
    </row>
    <row r="7432" spans="11:12" ht="12.75">
      <c r="K7432" s="12"/>
      <c r="L7432" s="12"/>
    </row>
    <row r="7433" spans="11:12" ht="12.75">
      <c r="K7433" s="12"/>
      <c r="L7433" s="12"/>
    </row>
    <row r="7434" spans="11:12" ht="12.75">
      <c r="K7434" s="12"/>
      <c r="L7434" s="12"/>
    </row>
    <row r="7435" spans="11:12" ht="12.75">
      <c r="K7435" s="12"/>
      <c r="L7435" s="12"/>
    </row>
    <row r="7436" spans="11:12" ht="12.75">
      <c r="K7436" s="12"/>
      <c r="L7436" s="12"/>
    </row>
    <row r="7437" spans="11:12" ht="12.75">
      <c r="K7437" s="12"/>
      <c r="L7437" s="12"/>
    </row>
    <row r="7438" spans="11:12" ht="12.75">
      <c r="K7438" s="12"/>
      <c r="L7438" s="12"/>
    </row>
    <row r="7439" spans="11:12" ht="12.75">
      <c r="K7439" s="12"/>
      <c r="L7439" s="12"/>
    </row>
    <row r="7440" spans="11:12" ht="12.75">
      <c r="K7440" s="12"/>
      <c r="L7440" s="12"/>
    </row>
    <row r="7441" spans="11:12" ht="12.75">
      <c r="K7441" s="12"/>
      <c r="L7441" s="12"/>
    </row>
    <row r="7442" spans="11:12" ht="12.75">
      <c r="K7442" s="12"/>
      <c r="L7442" s="12"/>
    </row>
    <row r="7443" spans="11:12" ht="12.75">
      <c r="K7443" s="12"/>
      <c r="L7443" s="12"/>
    </row>
    <row r="7444" spans="11:12" ht="12.75">
      <c r="K7444" s="12"/>
      <c r="L7444" s="12"/>
    </row>
    <row r="7445" spans="11:12" ht="12.75">
      <c r="K7445" s="12"/>
      <c r="L7445" s="12"/>
    </row>
    <row r="7446" spans="11:12" ht="12.75">
      <c r="K7446" s="12"/>
      <c r="L7446" s="12"/>
    </row>
    <row r="7447" spans="11:12" ht="12.75">
      <c r="K7447" s="12"/>
      <c r="L7447" s="12"/>
    </row>
    <row r="7448" spans="11:12" ht="12.75">
      <c r="K7448" s="12"/>
      <c r="L7448" s="12"/>
    </row>
    <row r="7449" spans="11:12" ht="12.75">
      <c r="K7449" s="12"/>
      <c r="L7449" s="12"/>
    </row>
    <row r="7450" spans="11:12" ht="12.75">
      <c r="K7450" s="12"/>
      <c r="L7450" s="12"/>
    </row>
    <row r="7451" spans="11:12" ht="12.75">
      <c r="K7451" s="12"/>
      <c r="L7451" s="12"/>
    </row>
    <row r="7452" spans="11:12" ht="12.75">
      <c r="K7452" s="12"/>
      <c r="L7452" s="12"/>
    </row>
    <row r="7453" spans="11:12" ht="12.75">
      <c r="K7453" s="12"/>
      <c r="L7453" s="12"/>
    </row>
    <row r="7454" spans="11:12" ht="12.75">
      <c r="K7454" s="12"/>
      <c r="L7454" s="12"/>
    </row>
    <row r="7455" spans="11:12" ht="12.75">
      <c r="K7455" s="12"/>
      <c r="L7455" s="12"/>
    </row>
    <row r="7456" spans="11:12" ht="12.75">
      <c r="K7456" s="12"/>
      <c r="L7456" s="12"/>
    </row>
    <row r="7457" spans="11:12" ht="12.75">
      <c r="K7457" s="12"/>
      <c r="L7457" s="12"/>
    </row>
    <row r="7458" spans="11:12" ht="12.75">
      <c r="K7458" s="12"/>
      <c r="L7458" s="12"/>
    </row>
    <row r="7459" spans="11:12" ht="12.75">
      <c r="K7459" s="12"/>
      <c r="L7459" s="12"/>
    </row>
    <row r="7460" spans="11:12" ht="12.75">
      <c r="K7460" s="12"/>
      <c r="L7460" s="12"/>
    </row>
    <row r="7461" spans="11:12" ht="12.75">
      <c r="K7461" s="12"/>
      <c r="L7461" s="12"/>
    </row>
    <row r="7462" spans="11:12" ht="12.75">
      <c r="K7462" s="12"/>
      <c r="L7462" s="12"/>
    </row>
    <row r="7463" spans="11:12" ht="12.75">
      <c r="K7463" s="12"/>
      <c r="L7463" s="12"/>
    </row>
    <row r="7464" spans="11:12" ht="12.75">
      <c r="K7464" s="12"/>
      <c r="L7464" s="12"/>
    </row>
    <row r="7465" spans="11:12" ht="12.75">
      <c r="K7465" s="12"/>
      <c r="L7465" s="12"/>
    </row>
    <row r="7466" spans="11:12" ht="12.75">
      <c r="K7466" s="12"/>
      <c r="L7466" s="12"/>
    </row>
    <row r="7467" spans="11:12" ht="12.75">
      <c r="K7467" s="12"/>
      <c r="L7467" s="12"/>
    </row>
    <row r="7468" spans="11:12" ht="12.75">
      <c r="K7468" s="12"/>
      <c r="L7468" s="12"/>
    </row>
    <row r="7469" spans="11:12" ht="12.75">
      <c r="K7469" s="12"/>
      <c r="L7469" s="12"/>
    </row>
    <row r="7470" spans="11:12" ht="12.75">
      <c r="K7470" s="12"/>
      <c r="L7470" s="12"/>
    </row>
    <row r="7471" spans="11:12" ht="12.75">
      <c r="K7471" s="12"/>
      <c r="L7471" s="12"/>
    </row>
    <row r="7472" spans="11:12" ht="12.75">
      <c r="K7472" s="12"/>
      <c r="L7472" s="12"/>
    </row>
    <row r="7473" spans="11:12" ht="12.75">
      <c r="K7473" s="12"/>
      <c r="L7473" s="12"/>
    </row>
    <row r="7474" spans="11:12" ht="12.75">
      <c r="K7474" s="12"/>
      <c r="L7474" s="12"/>
    </row>
    <row r="7475" spans="11:12" ht="12.75">
      <c r="K7475" s="12"/>
      <c r="L7475" s="12"/>
    </row>
    <row r="7476" spans="11:12" ht="12.75">
      <c r="K7476" s="12"/>
      <c r="L7476" s="12"/>
    </row>
    <row r="7477" spans="11:12" ht="12.75">
      <c r="K7477" s="12"/>
      <c r="L7477" s="12"/>
    </row>
    <row r="7478" spans="11:12" ht="12.75">
      <c r="K7478" s="12"/>
      <c r="L7478" s="12"/>
    </row>
    <row r="7479" spans="11:12" ht="12.75">
      <c r="K7479" s="12"/>
      <c r="L7479" s="12"/>
    </row>
    <row r="7480" spans="11:12" ht="12.75">
      <c r="K7480" s="12"/>
      <c r="L7480" s="12"/>
    </row>
    <row r="7481" spans="11:12" ht="12.75">
      <c r="K7481" s="12"/>
      <c r="L7481" s="12"/>
    </row>
    <row r="7482" spans="11:12" ht="12.75">
      <c r="K7482" s="12"/>
      <c r="L7482" s="12"/>
    </row>
    <row r="7483" spans="11:12" ht="12.75">
      <c r="K7483" s="12"/>
      <c r="L7483" s="12"/>
    </row>
    <row r="7484" spans="11:12" ht="12.75">
      <c r="K7484" s="12"/>
      <c r="L7484" s="12"/>
    </row>
    <row r="7485" spans="11:12" ht="12.75">
      <c r="K7485" s="12"/>
      <c r="L7485" s="12"/>
    </row>
    <row r="7486" spans="11:12" ht="12.75">
      <c r="K7486" s="12"/>
      <c r="L7486" s="12"/>
    </row>
    <row r="7487" spans="11:12" ht="12.75">
      <c r="K7487" s="12"/>
      <c r="L7487" s="12"/>
    </row>
    <row r="7488" spans="11:12" ht="12.75">
      <c r="K7488" s="12"/>
      <c r="L7488" s="12"/>
    </row>
    <row r="7489" spans="11:12" ht="12.75">
      <c r="K7489" s="12"/>
      <c r="L7489" s="12"/>
    </row>
    <row r="7490" spans="11:12" ht="12.75">
      <c r="K7490" s="12"/>
      <c r="L7490" s="12"/>
    </row>
    <row r="7491" spans="11:12" ht="12.75">
      <c r="K7491" s="12"/>
      <c r="L7491" s="12"/>
    </row>
    <row r="7492" spans="11:12" ht="12.75">
      <c r="K7492" s="12"/>
      <c r="L7492" s="12"/>
    </row>
    <row r="7493" spans="11:12" ht="12.75">
      <c r="K7493" s="12"/>
      <c r="L7493" s="12"/>
    </row>
    <row r="7494" spans="11:12" ht="12.75">
      <c r="K7494" s="12"/>
      <c r="L7494" s="12"/>
    </row>
    <row r="7495" spans="11:12" ht="12.75">
      <c r="K7495" s="12"/>
      <c r="L7495" s="12"/>
    </row>
    <row r="7496" spans="11:12" ht="12.75">
      <c r="K7496" s="12"/>
      <c r="L7496" s="12"/>
    </row>
    <row r="7497" spans="11:12" ht="12.75">
      <c r="K7497" s="12"/>
      <c r="L7497" s="12"/>
    </row>
    <row r="7498" spans="11:12" ht="12.75">
      <c r="K7498" s="12"/>
      <c r="L7498" s="12"/>
    </row>
    <row r="7499" spans="11:12" ht="12.75">
      <c r="K7499" s="12"/>
      <c r="L7499" s="12"/>
    </row>
    <row r="7500" spans="11:12" ht="12.75">
      <c r="K7500" s="12"/>
      <c r="L7500" s="12"/>
    </row>
    <row r="7501" spans="11:12" ht="12.75">
      <c r="K7501" s="12"/>
      <c r="L7501" s="12"/>
    </row>
    <row r="7502" spans="11:12" ht="12.75">
      <c r="K7502" s="12"/>
      <c r="L7502" s="12"/>
    </row>
    <row r="7503" spans="11:12" ht="12.75">
      <c r="K7503" s="12"/>
      <c r="L7503" s="12"/>
    </row>
    <row r="7504" spans="11:12" ht="12.75">
      <c r="K7504" s="12"/>
      <c r="L7504" s="12"/>
    </row>
    <row r="7505" spans="11:12" ht="12.75">
      <c r="K7505" s="12"/>
      <c r="L7505" s="12"/>
    </row>
    <row r="7506" spans="11:12" ht="12.75">
      <c r="K7506" s="12"/>
      <c r="L7506" s="12"/>
    </row>
    <row r="7507" spans="11:12" ht="12.75">
      <c r="K7507" s="12"/>
      <c r="L7507" s="12"/>
    </row>
    <row r="7508" spans="11:12" ht="12.75">
      <c r="K7508" s="12"/>
      <c r="L7508" s="12"/>
    </row>
    <row r="7509" spans="11:12" ht="12.75">
      <c r="K7509" s="12"/>
      <c r="L7509" s="12"/>
    </row>
    <row r="7510" spans="11:12" ht="12.75">
      <c r="K7510" s="12"/>
      <c r="L7510" s="12"/>
    </row>
    <row r="7511" spans="11:12" ht="12.75">
      <c r="K7511" s="12"/>
      <c r="L7511" s="12"/>
    </row>
    <row r="7512" spans="11:12" ht="12.75">
      <c r="K7512" s="12"/>
      <c r="L7512" s="12"/>
    </row>
    <row r="7513" spans="11:12" ht="12.75">
      <c r="K7513" s="12"/>
      <c r="L7513" s="12"/>
    </row>
    <row r="7514" spans="11:12" ht="12.75">
      <c r="K7514" s="12"/>
      <c r="L7514" s="12"/>
    </row>
    <row r="7515" spans="11:12" ht="12.75">
      <c r="K7515" s="12"/>
      <c r="L7515" s="12"/>
    </row>
    <row r="7516" spans="11:12" ht="12.75">
      <c r="K7516" s="12"/>
      <c r="L7516" s="12"/>
    </row>
    <row r="7517" spans="11:12" ht="12.75">
      <c r="K7517" s="12"/>
      <c r="L7517" s="12"/>
    </row>
    <row r="7518" spans="11:12" ht="12.75">
      <c r="K7518" s="12"/>
      <c r="L7518" s="12"/>
    </row>
    <row r="7519" spans="11:12" ht="12.75">
      <c r="K7519" s="12"/>
      <c r="L7519" s="12"/>
    </row>
    <row r="7520" spans="11:12" ht="12.75">
      <c r="K7520" s="12"/>
      <c r="L7520" s="12"/>
    </row>
    <row r="7521" spans="11:12" ht="12.75">
      <c r="K7521" s="12"/>
      <c r="L7521" s="12"/>
    </row>
    <row r="7522" spans="11:12" ht="12.75">
      <c r="K7522" s="12"/>
      <c r="L7522" s="12"/>
    </row>
    <row r="7523" spans="11:12" ht="12.75">
      <c r="K7523" s="12"/>
      <c r="L7523" s="12"/>
    </row>
    <row r="7524" spans="11:12" ht="12.75">
      <c r="K7524" s="12"/>
      <c r="L7524" s="12"/>
    </row>
    <row r="7525" spans="11:12" ht="12.75">
      <c r="K7525" s="12"/>
      <c r="L7525" s="12"/>
    </row>
    <row r="7526" spans="11:12" ht="12.75">
      <c r="K7526" s="12"/>
      <c r="L7526" s="12"/>
    </row>
    <row r="7527" spans="11:12" ht="12.75">
      <c r="K7527" s="12"/>
      <c r="L7527" s="12"/>
    </row>
    <row r="7528" spans="11:12" ht="12.75">
      <c r="K7528" s="12"/>
      <c r="L7528" s="12"/>
    </row>
    <row r="7529" spans="11:12" ht="12.75">
      <c r="K7529" s="12"/>
      <c r="L7529" s="12"/>
    </row>
    <row r="7530" spans="11:12" ht="12.75">
      <c r="K7530" s="12"/>
      <c r="L7530" s="12"/>
    </row>
    <row r="7531" spans="11:12" ht="12.75">
      <c r="K7531" s="12"/>
      <c r="L7531" s="12"/>
    </row>
    <row r="7532" spans="11:12" ht="12.75">
      <c r="K7532" s="12"/>
      <c r="L7532" s="12"/>
    </row>
    <row r="7533" spans="11:12" ht="12.75">
      <c r="K7533" s="12"/>
      <c r="L7533" s="12"/>
    </row>
    <row r="7534" spans="11:12" ht="12.75">
      <c r="K7534" s="12"/>
      <c r="L7534" s="12"/>
    </row>
    <row r="7535" spans="11:12" ht="12.75">
      <c r="K7535" s="12"/>
      <c r="L7535" s="12"/>
    </row>
    <row r="7536" spans="11:12" ht="12.75">
      <c r="K7536" s="12"/>
      <c r="L7536" s="12"/>
    </row>
    <row r="7537" spans="11:12" ht="12.75">
      <c r="K7537" s="12"/>
      <c r="L7537" s="12"/>
    </row>
    <row r="7538" spans="11:12" ht="12.75">
      <c r="K7538" s="12"/>
      <c r="L7538" s="12"/>
    </row>
    <row r="7539" spans="11:12" ht="12.75">
      <c r="K7539" s="12"/>
      <c r="L7539" s="12"/>
    </row>
    <row r="7540" spans="11:12" ht="12.75">
      <c r="K7540" s="12"/>
      <c r="L7540" s="12"/>
    </row>
    <row r="7541" spans="11:12" ht="12.75">
      <c r="K7541" s="12"/>
      <c r="L7541" s="12"/>
    </row>
    <row r="7542" spans="11:12" ht="12.75">
      <c r="K7542" s="12"/>
      <c r="L7542" s="12"/>
    </row>
    <row r="7543" spans="11:12" ht="12.75">
      <c r="K7543" s="12"/>
      <c r="L7543" s="12"/>
    </row>
    <row r="7544" spans="11:12" ht="12.75">
      <c r="K7544" s="12"/>
      <c r="L7544" s="12"/>
    </row>
    <row r="7545" spans="11:12" ht="12.75">
      <c r="K7545" s="12"/>
      <c r="L7545" s="12"/>
    </row>
    <row r="7546" spans="11:12" ht="12.75">
      <c r="K7546" s="12"/>
      <c r="L7546" s="12"/>
    </row>
    <row r="7547" spans="11:12" ht="12.75">
      <c r="K7547" s="12"/>
      <c r="L7547" s="12"/>
    </row>
    <row r="7548" spans="11:12" ht="12.75">
      <c r="K7548" s="12"/>
      <c r="L7548" s="12"/>
    </row>
    <row r="7549" spans="11:12" ht="12.75">
      <c r="K7549" s="12"/>
      <c r="L7549" s="12"/>
    </row>
    <row r="7550" spans="11:12" ht="12.75">
      <c r="K7550" s="12"/>
      <c r="L7550" s="12"/>
    </row>
    <row r="7551" spans="11:12" ht="12.75">
      <c r="K7551" s="12"/>
      <c r="L7551" s="12"/>
    </row>
    <row r="7552" spans="11:12" ht="12.75">
      <c r="K7552" s="12"/>
      <c r="L7552" s="12"/>
    </row>
    <row r="7553" spans="11:12" ht="12.75">
      <c r="K7553" s="12"/>
      <c r="L7553" s="12"/>
    </row>
    <row r="7554" spans="11:12" ht="12.75">
      <c r="K7554" s="12"/>
      <c r="L7554" s="12"/>
    </row>
    <row r="7555" spans="11:12" ht="12.75">
      <c r="K7555" s="12"/>
      <c r="L7555" s="12"/>
    </row>
    <row r="7556" spans="11:12" ht="12.75">
      <c r="K7556" s="12"/>
      <c r="L7556" s="12"/>
    </row>
    <row r="7557" spans="11:12" ht="12.75">
      <c r="K7557" s="12"/>
      <c r="L7557" s="12"/>
    </row>
    <row r="7558" spans="11:12" ht="12.75">
      <c r="K7558" s="12"/>
      <c r="L7558" s="12"/>
    </row>
    <row r="7559" spans="11:12" ht="12.75">
      <c r="K7559" s="12"/>
      <c r="L7559" s="12"/>
    </row>
    <row r="7560" spans="11:12" ht="12.75">
      <c r="K7560" s="12"/>
      <c r="L7560" s="12"/>
    </row>
    <row r="7561" spans="11:12" ht="12.75">
      <c r="K7561" s="12"/>
      <c r="L7561" s="12"/>
    </row>
    <row r="7562" spans="11:12" ht="12.75">
      <c r="K7562" s="12"/>
      <c r="L7562" s="12"/>
    </row>
    <row r="7563" spans="11:12" ht="12.75">
      <c r="K7563" s="12"/>
      <c r="L7563" s="12"/>
    </row>
    <row r="7564" spans="11:12" ht="12.75">
      <c r="K7564" s="12"/>
      <c r="L7564" s="12"/>
    </row>
    <row r="7565" spans="11:12" ht="12.75">
      <c r="K7565" s="12"/>
      <c r="L7565" s="12"/>
    </row>
    <row r="7566" spans="11:12" ht="12.75">
      <c r="K7566" s="12"/>
      <c r="L7566" s="12"/>
    </row>
    <row r="7567" spans="11:12" ht="12.75">
      <c r="K7567" s="12"/>
      <c r="L7567" s="12"/>
    </row>
    <row r="7568" spans="11:12" ht="12.75">
      <c r="K7568" s="12"/>
      <c r="L7568" s="12"/>
    </row>
    <row r="7569" spans="11:12" ht="12.75">
      <c r="K7569" s="12"/>
      <c r="L7569" s="12"/>
    </row>
    <row r="7570" spans="11:12" ht="12.75">
      <c r="K7570" s="12"/>
      <c r="L7570" s="12"/>
    </row>
    <row r="7571" spans="11:12" ht="12.75">
      <c r="K7571" s="12"/>
      <c r="L7571" s="12"/>
    </row>
    <row r="7572" spans="11:12" ht="12.75">
      <c r="K7572" s="12"/>
      <c r="L7572" s="12"/>
    </row>
    <row r="7573" spans="11:12" ht="12.75">
      <c r="K7573" s="12"/>
      <c r="L7573" s="12"/>
    </row>
    <row r="7574" spans="11:12" ht="12.75">
      <c r="K7574" s="12"/>
      <c r="L7574" s="12"/>
    </row>
    <row r="7575" spans="11:12" ht="12.75">
      <c r="K7575" s="12"/>
      <c r="L7575" s="12"/>
    </row>
    <row r="7576" spans="11:12" ht="12.75">
      <c r="K7576" s="12"/>
      <c r="L7576" s="12"/>
    </row>
    <row r="7577" spans="11:12" ht="12.75">
      <c r="K7577" s="12"/>
      <c r="L7577" s="12"/>
    </row>
    <row r="7578" spans="11:12" ht="12.75">
      <c r="K7578" s="12"/>
      <c r="L7578" s="12"/>
    </row>
    <row r="7579" spans="11:12" ht="12.75">
      <c r="K7579" s="12"/>
      <c r="L7579" s="12"/>
    </row>
    <row r="7580" spans="11:12" ht="12.75">
      <c r="K7580" s="12"/>
      <c r="L7580" s="12"/>
    </row>
    <row r="7581" spans="11:12" ht="12.75">
      <c r="K7581" s="12"/>
      <c r="L7581" s="12"/>
    </row>
    <row r="7582" spans="11:12" ht="12.75">
      <c r="K7582" s="12"/>
      <c r="L7582" s="12"/>
    </row>
    <row r="7583" spans="11:12" ht="12.75">
      <c r="K7583" s="12"/>
      <c r="L7583" s="12"/>
    </row>
    <row r="7584" spans="11:12" ht="12.75">
      <c r="K7584" s="12"/>
      <c r="L7584" s="12"/>
    </row>
    <row r="7585" spans="11:12" ht="12.75">
      <c r="K7585" s="12"/>
      <c r="L7585" s="12"/>
    </row>
    <row r="7586" spans="11:12" ht="12.75">
      <c r="K7586" s="12"/>
      <c r="L7586" s="12"/>
    </row>
    <row r="7587" spans="11:12" ht="12.75">
      <c r="K7587" s="12"/>
      <c r="L7587" s="12"/>
    </row>
    <row r="7588" spans="11:12" ht="12.75">
      <c r="K7588" s="12"/>
      <c r="L7588" s="12"/>
    </row>
    <row r="7589" spans="11:12" ht="12.75">
      <c r="K7589" s="12"/>
      <c r="L7589" s="12"/>
    </row>
    <row r="7590" spans="11:12" ht="12.75">
      <c r="K7590" s="12"/>
      <c r="L7590" s="12"/>
    </row>
    <row r="7591" spans="11:12" ht="12.75">
      <c r="K7591" s="12"/>
      <c r="L7591" s="12"/>
    </row>
    <row r="7592" spans="11:12" ht="12.75">
      <c r="K7592" s="12"/>
      <c r="L7592" s="12"/>
    </row>
    <row r="7593" spans="11:12" ht="12.75">
      <c r="K7593" s="12"/>
      <c r="L7593" s="12"/>
    </row>
    <row r="7594" spans="11:12" ht="12.75">
      <c r="K7594" s="12"/>
      <c r="L7594" s="12"/>
    </row>
    <row r="7595" spans="11:12" ht="12.75">
      <c r="K7595" s="12"/>
      <c r="L7595" s="12"/>
    </row>
    <row r="7596" spans="11:12" ht="12.75">
      <c r="K7596" s="12"/>
      <c r="L7596" s="12"/>
    </row>
    <row r="7597" spans="11:12" ht="12.75">
      <c r="K7597" s="12"/>
      <c r="L7597" s="12"/>
    </row>
    <row r="7598" spans="11:12" ht="12.75">
      <c r="K7598" s="12"/>
      <c r="L7598" s="12"/>
    </row>
    <row r="7599" spans="11:12" ht="12.75">
      <c r="K7599" s="12"/>
      <c r="L7599" s="12"/>
    </row>
    <row r="7600" spans="11:12" ht="12.75">
      <c r="K7600" s="12"/>
      <c r="L7600" s="12"/>
    </row>
    <row r="7601" spans="11:12" ht="12.75">
      <c r="K7601" s="12"/>
      <c r="L7601" s="12"/>
    </row>
    <row r="7602" spans="11:12" ht="12.75">
      <c r="K7602" s="12"/>
      <c r="L7602" s="12"/>
    </row>
    <row r="7603" spans="11:12" ht="12.75">
      <c r="K7603" s="12"/>
      <c r="L7603" s="12"/>
    </row>
    <row r="7604" spans="11:12" ht="12.75">
      <c r="K7604" s="12"/>
      <c r="L7604" s="12"/>
    </row>
    <row r="7605" spans="11:12" ht="12.75">
      <c r="K7605" s="12"/>
      <c r="L7605" s="12"/>
    </row>
    <row r="7606" spans="11:12" ht="12.75">
      <c r="K7606" s="12"/>
      <c r="L7606" s="12"/>
    </row>
    <row r="7607" spans="11:12" ht="12.75">
      <c r="K7607" s="12"/>
      <c r="L7607" s="12"/>
    </row>
    <row r="7608" spans="11:12" ht="12.75">
      <c r="K7608" s="12"/>
      <c r="L7608" s="12"/>
    </row>
    <row r="7609" spans="11:12" ht="12.75">
      <c r="K7609" s="12"/>
      <c r="L7609" s="12"/>
    </row>
    <row r="7610" spans="11:12" ht="12.75">
      <c r="K7610" s="12"/>
      <c r="L7610" s="12"/>
    </row>
    <row r="7611" spans="11:12" ht="12.75">
      <c r="K7611" s="12"/>
      <c r="L7611" s="12"/>
    </row>
    <row r="7612" spans="11:12" ht="12.75">
      <c r="K7612" s="12"/>
      <c r="L7612" s="12"/>
    </row>
    <row r="7613" spans="11:12" ht="12.75">
      <c r="K7613" s="12"/>
      <c r="L7613" s="12"/>
    </row>
    <row r="7614" spans="11:12" ht="12.75">
      <c r="K7614" s="12"/>
      <c r="L7614" s="12"/>
    </row>
    <row r="7615" spans="11:12" ht="12.75">
      <c r="K7615" s="12"/>
      <c r="L7615" s="12"/>
    </row>
    <row r="7616" spans="11:12" ht="12.75">
      <c r="K7616" s="12"/>
      <c r="L7616" s="12"/>
    </row>
    <row r="7617" spans="11:12" ht="12.75">
      <c r="K7617" s="12"/>
      <c r="L7617" s="12"/>
    </row>
    <row r="7618" spans="11:12" ht="12.75">
      <c r="K7618" s="12"/>
      <c r="L7618" s="12"/>
    </row>
    <row r="7619" spans="11:12" ht="12.75">
      <c r="K7619" s="12"/>
      <c r="L7619" s="12"/>
    </row>
    <row r="7620" spans="11:12" ht="12.75">
      <c r="K7620" s="12"/>
      <c r="L7620" s="12"/>
    </row>
    <row r="7621" spans="11:12" ht="12.75">
      <c r="K7621" s="12"/>
      <c r="L7621" s="12"/>
    </row>
    <row r="7622" spans="11:12" ht="12.75">
      <c r="K7622" s="12"/>
      <c r="L7622" s="12"/>
    </row>
    <row r="7623" spans="11:12" ht="12.75">
      <c r="K7623" s="12"/>
      <c r="L7623" s="12"/>
    </row>
    <row r="7624" spans="11:12" ht="12.75">
      <c r="K7624" s="12"/>
      <c r="L7624" s="12"/>
    </row>
    <row r="7625" spans="11:12" ht="12.75">
      <c r="K7625" s="12"/>
      <c r="L7625" s="12"/>
    </row>
    <row r="7626" spans="11:12" ht="12.75">
      <c r="K7626" s="12"/>
      <c r="L7626" s="12"/>
    </row>
    <row r="7627" spans="11:12" ht="12.75">
      <c r="K7627" s="12"/>
      <c r="L7627" s="12"/>
    </row>
    <row r="7628" spans="11:12" ht="12.75">
      <c r="K7628" s="12"/>
      <c r="L7628" s="12"/>
    </row>
    <row r="7629" spans="11:12" ht="12.75">
      <c r="K7629" s="12"/>
      <c r="L7629" s="12"/>
    </row>
    <row r="7630" spans="11:12" ht="12.75">
      <c r="K7630" s="12"/>
      <c r="L7630" s="12"/>
    </row>
    <row r="7631" spans="11:12" ht="12.75">
      <c r="K7631" s="12"/>
      <c r="L7631" s="12"/>
    </row>
    <row r="7632" spans="11:12" ht="12.75">
      <c r="K7632" s="12"/>
      <c r="L7632" s="12"/>
    </row>
    <row r="7633" spans="11:12" ht="12.75">
      <c r="K7633" s="12"/>
      <c r="L7633" s="12"/>
    </row>
    <row r="7634" spans="11:12" ht="12.75">
      <c r="K7634" s="12"/>
      <c r="L7634" s="12"/>
    </row>
    <row r="7635" spans="11:12" ht="12.75">
      <c r="K7635" s="12"/>
      <c r="L7635" s="12"/>
    </row>
    <row r="7636" spans="11:12" ht="12.75">
      <c r="K7636" s="12"/>
      <c r="L7636" s="12"/>
    </row>
    <row r="7637" spans="11:12" ht="12.75">
      <c r="K7637" s="12"/>
      <c r="L7637" s="12"/>
    </row>
    <row r="7638" spans="11:12" ht="12.75">
      <c r="K7638" s="12"/>
      <c r="L7638" s="12"/>
    </row>
    <row r="7639" spans="11:12" ht="12.75">
      <c r="K7639" s="12"/>
      <c r="L7639" s="12"/>
    </row>
    <row r="7640" spans="11:12" ht="12.75">
      <c r="K7640" s="12"/>
      <c r="L7640" s="12"/>
    </row>
    <row r="7641" spans="11:12" ht="12.75">
      <c r="K7641" s="12"/>
      <c r="L7641" s="12"/>
    </row>
    <row r="7642" spans="11:12" ht="12.75">
      <c r="K7642" s="12"/>
      <c r="L7642" s="12"/>
    </row>
    <row r="7643" spans="11:12" ht="12.75">
      <c r="K7643" s="12"/>
      <c r="L7643" s="12"/>
    </row>
    <row r="7644" spans="11:12" ht="12.75">
      <c r="K7644" s="12"/>
      <c r="L7644" s="12"/>
    </row>
    <row r="7645" spans="11:12" ht="12.75">
      <c r="K7645" s="12"/>
      <c r="L7645" s="12"/>
    </row>
    <row r="7646" spans="11:12" ht="12.75">
      <c r="K7646" s="12"/>
      <c r="L7646" s="12"/>
    </row>
    <row r="7647" spans="11:12" ht="12.75">
      <c r="K7647" s="12"/>
      <c r="L7647" s="12"/>
    </row>
    <row r="7648" spans="11:12" ht="12.75">
      <c r="K7648" s="12"/>
      <c r="L7648" s="12"/>
    </row>
    <row r="7649" spans="11:12" ht="12.75">
      <c r="K7649" s="12"/>
      <c r="L7649" s="12"/>
    </row>
    <row r="7650" spans="11:12" ht="12.75">
      <c r="K7650" s="12"/>
      <c r="L7650" s="12"/>
    </row>
    <row r="7651" spans="11:12" ht="12.75">
      <c r="K7651" s="12"/>
      <c r="L7651" s="12"/>
    </row>
    <row r="7652" spans="11:12" ht="12.75">
      <c r="K7652" s="12"/>
      <c r="L7652" s="12"/>
    </row>
    <row r="7653" spans="11:12" ht="12.75">
      <c r="K7653" s="12"/>
      <c r="L7653" s="12"/>
    </row>
    <row r="7654" spans="11:12" ht="12.75">
      <c r="K7654" s="12"/>
      <c r="L7654" s="12"/>
    </row>
    <row r="7655" spans="11:12" ht="12.75">
      <c r="K7655" s="12"/>
      <c r="L7655" s="12"/>
    </row>
    <row r="7656" spans="11:12" ht="12.75">
      <c r="K7656" s="12"/>
      <c r="L7656" s="12"/>
    </row>
    <row r="7657" spans="11:12" ht="12.75">
      <c r="K7657" s="12"/>
      <c r="L7657" s="12"/>
    </row>
    <row r="7658" spans="11:12" ht="12.75">
      <c r="K7658" s="12"/>
      <c r="L7658" s="12"/>
    </row>
    <row r="7659" spans="11:12" ht="12.75">
      <c r="K7659" s="12"/>
      <c r="L7659" s="12"/>
    </row>
    <row r="7660" spans="11:12" ht="12.75">
      <c r="K7660" s="12"/>
      <c r="L7660" s="12"/>
    </row>
    <row r="7661" spans="11:12" ht="12.75">
      <c r="K7661" s="12"/>
      <c r="L7661" s="12"/>
    </row>
    <row r="7662" spans="11:12" ht="12.75">
      <c r="K7662" s="12"/>
      <c r="L7662" s="12"/>
    </row>
    <row r="7663" spans="11:12" ht="12.75">
      <c r="K7663" s="12"/>
      <c r="L7663" s="12"/>
    </row>
    <row r="7664" spans="11:12" ht="12.75">
      <c r="K7664" s="12"/>
      <c r="L7664" s="12"/>
    </row>
    <row r="7665" spans="11:12" ht="12.75">
      <c r="K7665" s="12"/>
      <c r="L7665" s="12"/>
    </row>
    <row r="7666" spans="11:12" ht="12.75">
      <c r="K7666" s="12"/>
      <c r="L7666" s="12"/>
    </row>
    <row r="7667" spans="11:12" ht="12.75">
      <c r="K7667" s="12"/>
      <c r="L7667" s="12"/>
    </row>
    <row r="7668" spans="11:12" ht="12.75">
      <c r="K7668" s="12"/>
      <c r="L7668" s="12"/>
    </row>
    <row r="7669" spans="11:12" ht="12.75">
      <c r="K7669" s="12"/>
      <c r="L7669" s="12"/>
    </row>
    <row r="7670" spans="11:12" ht="12.75">
      <c r="K7670" s="12"/>
      <c r="L7670" s="12"/>
    </row>
    <row r="7671" spans="11:12" ht="12.75">
      <c r="K7671" s="12"/>
      <c r="L7671" s="12"/>
    </row>
    <row r="7672" spans="11:12" ht="12.75">
      <c r="K7672" s="12"/>
      <c r="L7672" s="12"/>
    </row>
    <row r="7673" spans="11:12" ht="12.75">
      <c r="K7673" s="12"/>
      <c r="L7673" s="12"/>
    </row>
    <row r="7674" spans="11:12" ht="12.75">
      <c r="K7674" s="12"/>
      <c r="L7674" s="12"/>
    </row>
    <row r="7675" spans="11:12" ht="12.75">
      <c r="K7675" s="12"/>
      <c r="L7675" s="12"/>
    </row>
    <row r="7676" spans="11:12" ht="12.75">
      <c r="K7676" s="12"/>
      <c r="L7676" s="12"/>
    </row>
    <row r="7677" spans="11:12" ht="12.75">
      <c r="K7677" s="12"/>
      <c r="L7677" s="12"/>
    </row>
    <row r="7678" spans="11:12" ht="12.75">
      <c r="K7678" s="12"/>
      <c r="L7678" s="12"/>
    </row>
    <row r="7679" spans="11:12" ht="12.75">
      <c r="K7679" s="12"/>
      <c r="L7679" s="12"/>
    </row>
    <row r="7680" spans="11:12" ht="12.75">
      <c r="K7680" s="12"/>
      <c r="L7680" s="12"/>
    </row>
    <row r="7681" spans="11:12" ht="12.75">
      <c r="K7681" s="12"/>
      <c r="L7681" s="12"/>
    </row>
    <row r="7682" spans="11:12" ht="12.75">
      <c r="K7682" s="12"/>
      <c r="L7682" s="12"/>
    </row>
    <row r="7683" spans="11:12" ht="12.75">
      <c r="K7683" s="12"/>
      <c r="L7683" s="12"/>
    </row>
    <row r="7684" spans="11:12" ht="12.75">
      <c r="K7684" s="12"/>
      <c r="L7684" s="12"/>
    </row>
    <row r="7685" spans="11:12" ht="12.75">
      <c r="K7685" s="12"/>
      <c r="L7685" s="12"/>
    </row>
    <row r="7686" spans="11:12" ht="12.75">
      <c r="K7686" s="12"/>
      <c r="L7686" s="12"/>
    </row>
    <row r="7687" spans="11:12" ht="12.75">
      <c r="K7687" s="12"/>
      <c r="L7687" s="12"/>
    </row>
    <row r="7688" spans="11:12" ht="12.75">
      <c r="K7688" s="12"/>
      <c r="L7688" s="12"/>
    </row>
    <row r="7689" spans="11:12" ht="12.75">
      <c r="K7689" s="12"/>
      <c r="L7689" s="12"/>
    </row>
    <row r="7690" spans="11:12" ht="12.75">
      <c r="K7690" s="12"/>
      <c r="L7690" s="12"/>
    </row>
    <row r="7691" spans="11:12" ht="12.75">
      <c r="K7691" s="12"/>
      <c r="L7691" s="12"/>
    </row>
    <row r="7692" spans="11:12" ht="12.75">
      <c r="K7692" s="12"/>
      <c r="L7692" s="12"/>
    </row>
    <row r="7693" spans="11:12" ht="12.75">
      <c r="K7693" s="12"/>
      <c r="L7693" s="12"/>
    </row>
    <row r="7694" spans="11:12" ht="12.75">
      <c r="K7694" s="12"/>
      <c r="L7694" s="12"/>
    </row>
    <row r="7695" spans="11:12" ht="12.75">
      <c r="K7695" s="12"/>
      <c r="L7695" s="12"/>
    </row>
    <row r="7696" spans="11:12" ht="12.75">
      <c r="K7696" s="12"/>
      <c r="L7696" s="12"/>
    </row>
    <row r="7697" spans="11:12" ht="12.75">
      <c r="K7697" s="12"/>
      <c r="L7697" s="12"/>
    </row>
    <row r="7698" spans="11:12" ht="12.75">
      <c r="K7698" s="12"/>
      <c r="L7698" s="12"/>
    </row>
    <row r="7699" spans="11:12" ht="12.75">
      <c r="K7699" s="12"/>
      <c r="L7699" s="12"/>
    </row>
    <row r="7700" spans="11:12" ht="12.75">
      <c r="K7700" s="12"/>
      <c r="L7700" s="12"/>
    </row>
    <row r="7701" spans="11:12" ht="12.75">
      <c r="K7701" s="12"/>
      <c r="L7701" s="12"/>
    </row>
    <row r="7702" spans="11:12" ht="12.75">
      <c r="K7702" s="12"/>
      <c r="L7702" s="12"/>
    </row>
    <row r="7703" spans="11:12" ht="12.75">
      <c r="K7703" s="12"/>
      <c r="L7703" s="12"/>
    </row>
    <row r="7704" spans="11:12" ht="12.75">
      <c r="K7704" s="12"/>
      <c r="L7704" s="12"/>
    </row>
    <row r="7705" spans="11:12" ht="12.75">
      <c r="K7705" s="12"/>
      <c r="L7705" s="12"/>
    </row>
    <row r="7706" spans="11:12" ht="12.75">
      <c r="K7706" s="12"/>
      <c r="L7706" s="12"/>
    </row>
    <row r="7707" spans="11:12" ht="12.75">
      <c r="K7707" s="12"/>
      <c r="L7707" s="12"/>
    </row>
    <row r="7708" spans="11:12" ht="12.75">
      <c r="K7708" s="12"/>
      <c r="L7708" s="12"/>
    </row>
    <row r="7709" spans="11:12" ht="12.75">
      <c r="K7709" s="12"/>
      <c r="L7709" s="12"/>
    </row>
    <row r="7710" spans="11:12" ht="12.75">
      <c r="K7710" s="12"/>
      <c r="L7710" s="12"/>
    </row>
    <row r="7711" spans="11:12" ht="12.75">
      <c r="K7711" s="12"/>
      <c r="L7711" s="12"/>
    </row>
    <row r="7712" spans="11:12" ht="12.75">
      <c r="K7712" s="12"/>
      <c r="L7712" s="12"/>
    </row>
    <row r="7713" spans="11:12" ht="12.75">
      <c r="K7713" s="12"/>
      <c r="L7713" s="12"/>
    </row>
    <row r="7714" spans="11:12" ht="12.75">
      <c r="K7714" s="12"/>
      <c r="L7714" s="12"/>
    </row>
    <row r="7715" spans="11:12" ht="12.75">
      <c r="K7715" s="12"/>
      <c r="L7715" s="12"/>
    </row>
    <row r="7716" spans="11:12" ht="12.75">
      <c r="K7716" s="12"/>
      <c r="L7716" s="12"/>
    </row>
    <row r="7717" spans="11:12" ht="12.75">
      <c r="K7717" s="12"/>
      <c r="L7717" s="12"/>
    </row>
    <row r="7718" spans="11:12" ht="12.75">
      <c r="K7718" s="12"/>
      <c r="L7718" s="12"/>
    </row>
    <row r="7719" spans="11:12" ht="12.75">
      <c r="K7719" s="12"/>
      <c r="L7719" s="12"/>
    </row>
    <row r="7720" spans="11:12" ht="12.75">
      <c r="K7720" s="12"/>
      <c r="L7720" s="12"/>
    </row>
    <row r="7721" spans="11:12" ht="12.75">
      <c r="K7721" s="12"/>
      <c r="L7721" s="12"/>
    </row>
    <row r="7722" spans="11:12" ht="12.75">
      <c r="K7722" s="12"/>
      <c r="L7722" s="12"/>
    </row>
    <row r="7723" spans="11:12" ht="12.75">
      <c r="K7723" s="12"/>
      <c r="L7723" s="12"/>
    </row>
    <row r="7724" spans="11:12" ht="12.75">
      <c r="K7724" s="12"/>
      <c r="L7724" s="12"/>
    </row>
    <row r="7725" spans="11:12" ht="12.75">
      <c r="K7725" s="12"/>
      <c r="L7725" s="12"/>
    </row>
    <row r="7726" spans="11:12" ht="12.75">
      <c r="K7726" s="12"/>
      <c r="L7726" s="12"/>
    </row>
    <row r="7727" spans="11:12" ht="12.75">
      <c r="K7727" s="12"/>
      <c r="L7727" s="12"/>
    </row>
    <row r="7728" spans="11:12" ht="12.75">
      <c r="K7728" s="12"/>
      <c r="L7728" s="12"/>
    </row>
    <row r="7729" spans="11:12" ht="12.75">
      <c r="K7729" s="12"/>
      <c r="L7729" s="12"/>
    </row>
    <row r="7730" spans="11:12" ht="12.75">
      <c r="K7730" s="12"/>
      <c r="L7730" s="12"/>
    </row>
    <row r="7731" spans="11:12" ht="12.75">
      <c r="K7731" s="12"/>
      <c r="L7731" s="12"/>
    </row>
    <row r="7732" spans="11:12" ht="12.75">
      <c r="K7732" s="12"/>
      <c r="L7732" s="12"/>
    </row>
    <row r="7733" spans="11:12" ht="12.75">
      <c r="K7733" s="12"/>
      <c r="L7733" s="12"/>
    </row>
    <row r="7734" spans="11:12" ht="12.75">
      <c r="K7734" s="12"/>
      <c r="L7734" s="12"/>
    </row>
    <row r="7735" spans="11:12" ht="12.75">
      <c r="K7735" s="12"/>
      <c r="L7735" s="12"/>
    </row>
    <row r="7736" spans="11:12" ht="12.75">
      <c r="K7736" s="12"/>
      <c r="L7736" s="12"/>
    </row>
    <row r="7737" spans="11:12" ht="12.75">
      <c r="K7737" s="12"/>
      <c r="L7737" s="12"/>
    </row>
    <row r="7738" spans="11:12" ht="12.75">
      <c r="K7738" s="12"/>
      <c r="L7738" s="12"/>
    </row>
    <row r="7739" spans="11:12" ht="12.75">
      <c r="K7739" s="12"/>
      <c r="L7739" s="12"/>
    </row>
    <row r="7740" spans="11:12" ht="12.75">
      <c r="K7740" s="12"/>
      <c r="L7740" s="12"/>
    </row>
    <row r="7741" spans="11:12" ht="12.75">
      <c r="K7741" s="12"/>
      <c r="L7741" s="12"/>
    </row>
    <row r="7742" spans="11:12" ht="12.75">
      <c r="K7742" s="12"/>
      <c r="L7742" s="12"/>
    </row>
    <row r="7743" spans="11:12" ht="12.75">
      <c r="K7743" s="12"/>
      <c r="L7743" s="12"/>
    </row>
    <row r="7744" spans="11:12" ht="12.75">
      <c r="K7744" s="12"/>
      <c r="L7744" s="12"/>
    </row>
    <row r="7745" spans="11:12" ht="12.75">
      <c r="K7745" s="12"/>
      <c r="L7745" s="12"/>
    </row>
    <row r="7746" spans="11:12" ht="12.75">
      <c r="K7746" s="12"/>
      <c r="L7746" s="12"/>
    </row>
    <row r="7747" spans="11:12" ht="12.75">
      <c r="K7747" s="12"/>
      <c r="L7747" s="12"/>
    </row>
    <row r="7748" spans="11:12" ht="12.75">
      <c r="K7748" s="12"/>
      <c r="L7748" s="12"/>
    </row>
    <row r="7749" spans="11:12" ht="12.75">
      <c r="K7749" s="12"/>
      <c r="L7749" s="12"/>
    </row>
    <row r="7750" spans="11:12" ht="12.75">
      <c r="K7750" s="12"/>
      <c r="L7750" s="12"/>
    </row>
    <row r="7751" spans="11:12" ht="12.75">
      <c r="K7751" s="12"/>
      <c r="L7751" s="12"/>
    </row>
    <row r="7752" spans="11:12" ht="12.75">
      <c r="K7752" s="12"/>
      <c r="L7752" s="12"/>
    </row>
    <row r="7753" spans="11:12" ht="12.75">
      <c r="K7753" s="12"/>
      <c r="L7753" s="12"/>
    </row>
    <row r="7754" spans="11:12" ht="12.75">
      <c r="K7754" s="12"/>
      <c r="L7754" s="12"/>
    </row>
    <row r="7755" spans="11:12" ht="12.75">
      <c r="K7755" s="12"/>
      <c r="L7755" s="12"/>
    </row>
    <row r="7756" spans="11:12" ht="12.75">
      <c r="K7756" s="12"/>
      <c r="L7756" s="12"/>
    </row>
    <row r="7757" spans="11:12" ht="12.75">
      <c r="K7757" s="12"/>
      <c r="L7757" s="12"/>
    </row>
    <row r="7758" spans="11:12" ht="12.75">
      <c r="K7758" s="12"/>
      <c r="L7758" s="12"/>
    </row>
    <row r="7759" spans="11:12" ht="12.75">
      <c r="K7759" s="12"/>
      <c r="L7759" s="12"/>
    </row>
    <row r="7760" spans="11:12" ht="12.75">
      <c r="K7760" s="12"/>
      <c r="L7760" s="12"/>
    </row>
    <row r="7761" spans="11:12" ht="12.75">
      <c r="K7761" s="12"/>
      <c r="L7761" s="12"/>
    </row>
    <row r="7762" spans="11:12" ht="12.75">
      <c r="K7762" s="12"/>
      <c r="L7762" s="12"/>
    </row>
    <row r="7763" spans="11:12" ht="12.75">
      <c r="K7763" s="12"/>
      <c r="L7763" s="12"/>
    </row>
    <row r="7764" spans="11:12" ht="12.75">
      <c r="K7764" s="12"/>
      <c r="L7764" s="12"/>
    </row>
    <row r="7765" spans="11:12" ht="12.75">
      <c r="K7765" s="12"/>
      <c r="L7765" s="12"/>
    </row>
    <row r="7766" spans="11:12" ht="12.75">
      <c r="K7766" s="12"/>
      <c r="L7766" s="12"/>
    </row>
    <row r="7767" spans="11:12" ht="12.75">
      <c r="K7767" s="12"/>
      <c r="L7767" s="12"/>
    </row>
    <row r="7768" spans="11:12" ht="12.75">
      <c r="K7768" s="12"/>
      <c r="L7768" s="12"/>
    </row>
    <row r="7769" spans="11:12" ht="12.75">
      <c r="K7769" s="12"/>
      <c r="L7769" s="12"/>
    </row>
    <row r="7770" spans="11:12" ht="12.75">
      <c r="K7770" s="12"/>
      <c r="L7770" s="12"/>
    </row>
    <row r="7771" spans="11:12" ht="12.75">
      <c r="K7771" s="12"/>
      <c r="L7771" s="12"/>
    </row>
    <row r="7772" spans="11:12" ht="12.75">
      <c r="K7772" s="12"/>
      <c r="L7772" s="12"/>
    </row>
    <row r="7773" spans="11:12" ht="12.75">
      <c r="K7773" s="12"/>
      <c r="L7773" s="12"/>
    </row>
    <row r="7774" spans="11:12" ht="12.75">
      <c r="K7774" s="12"/>
      <c r="L7774" s="12"/>
    </row>
    <row r="7775" spans="11:12" ht="12.75">
      <c r="K7775" s="12"/>
      <c r="L7775" s="12"/>
    </row>
    <row r="7776" spans="11:12" ht="12.75">
      <c r="K7776" s="12"/>
      <c r="L7776" s="12"/>
    </row>
    <row r="7777" spans="11:12" ht="12.75">
      <c r="K7777" s="12"/>
      <c r="L7777" s="12"/>
    </row>
    <row r="7778" spans="11:12" ht="12.75">
      <c r="K7778" s="12"/>
      <c r="L7778" s="12"/>
    </row>
    <row r="7779" spans="11:12" ht="12.75">
      <c r="K7779" s="12"/>
      <c r="L7779" s="12"/>
    </row>
    <row r="7780" spans="11:12" ht="12.75">
      <c r="K7780" s="12"/>
      <c r="L7780" s="12"/>
    </row>
    <row r="7781" spans="11:12" ht="12.75">
      <c r="K7781" s="12"/>
      <c r="L7781" s="12"/>
    </row>
    <row r="7782" spans="11:12" ht="12.75">
      <c r="K7782" s="12"/>
      <c r="L7782" s="12"/>
    </row>
    <row r="7783" spans="11:12" ht="12.75">
      <c r="K7783" s="12"/>
      <c r="L7783" s="12"/>
    </row>
    <row r="7784" spans="11:12" ht="12.75">
      <c r="K7784" s="12"/>
      <c r="L7784" s="12"/>
    </row>
    <row r="7785" spans="11:12" ht="12.75">
      <c r="K7785" s="12"/>
      <c r="L7785" s="12"/>
    </row>
    <row r="7786" spans="11:12" ht="12.75">
      <c r="K7786" s="12"/>
      <c r="L7786" s="12"/>
    </row>
    <row r="7787" spans="11:12" ht="12.75">
      <c r="K7787" s="12"/>
      <c r="L7787" s="12"/>
    </row>
    <row r="7788" spans="11:12" ht="12.75">
      <c r="K7788" s="12"/>
      <c r="L7788" s="12"/>
    </row>
    <row r="7789" spans="11:12" ht="12.75">
      <c r="K7789" s="12"/>
      <c r="L7789" s="12"/>
    </row>
    <row r="7790" spans="11:12" ht="12.75">
      <c r="K7790" s="12"/>
      <c r="L7790" s="12"/>
    </row>
    <row r="7791" spans="11:12" ht="12.75">
      <c r="K7791" s="12"/>
      <c r="L7791" s="12"/>
    </row>
    <row r="7792" spans="11:12" ht="12.75">
      <c r="K7792" s="12"/>
      <c r="L7792" s="12"/>
    </row>
    <row r="7793" spans="11:12" ht="12.75">
      <c r="K7793" s="12"/>
      <c r="L7793" s="12"/>
    </row>
    <row r="7794" spans="11:12" ht="12.75">
      <c r="K7794" s="12"/>
      <c r="L7794" s="12"/>
    </row>
    <row r="7795" spans="11:12" ht="12.75">
      <c r="K7795" s="12"/>
      <c r="L7795" s="12"/>
    </row>
    <row r="7796" spans="11:12" ht="12.75">
      <c r="K7796" s="12"/>
      <c r="L7796" s="12"/>
    </row>
    <row r="7797" spans="11:12" ht="12.75">
      <c r="K7797" s="12"/>
      <c r="L7797" s="12"/>
    </row>
    <row r="7798" spans="11:12" ht="12.75">
      <c r="K7798" s="12"/>
      <c r="L7798" s="12"/>
    </row>
    <row r="7799" spans="11:12" ht="12.75">
      <c r="K7799" s="12"/>
      <c r="L7799" s="12"/>
    </row>
    <row r="7800" spans="11:12" ht="12.75">
      <c r="K7800" s="12"/>
      <c r="L7800" s="12"/>
    </row>
    <row r="7801" spans="11:12" ht="12.75">
      <c r="K7801" s="12"/>
      <c r="L7801" s="12"/>
    </row>
    <row r="7802" spans="11:12" ht="12.75">
      <c r="K7802" s="12"/>
      <c r="L7802" s="12"/>
    </row>
    <row r="7803" spans="11:12" ht="12.75">
      <c r="K7803" s="12"/>
      <c r="L7803" s="12"/>
    </row>
    <row r="7804" spans="11:12" ht="12.75">
      <c r="K7804" s="12"/>
      <c r="L7804" s="12"/>
    </row>
    <row r="7805" spans="11:12" ht="12.75">
      <c r="K7805" s="12"/>
      <c r="L7805" s="12"/>
    </row>
    <row r="7806" spans="11:12" ht="12.75">
      <c r="K7806" s="12"/>
      <c r="L7806" s="12"/>
    </row>
    <row r="7807" spans="11:12" ht="12.75">
      <c r="K7807" s="12"/>
      <c r="L7807" s="12"/>
    </row>
    <row r="7808" spans="11:12" ht="12.75">
      <c r="K7808" s="12"/>
      <c r="L7808" s="12"/>
    </row>
    <row r="7809" spans="11:12" ht="12.75">
      <c r="K7809" s="12"/>
      <c r="L7809" s="12"/>
    </row>
    <row r="7810" spans="11:12" ht="12.75">
      <c r="K7810" s="12"/>
      <c r="L7810" s="12"/>
    </row>
    <row r="7811" spans="11:12" ht="12.75">
      <c r="K7811" s="12"/>
      <c r="L7811" s="12"/>
    </row>
    <row r="7812" spans="11:12" ht="12.75">
      <c r="K7812" s="12"/>
      <c r="L7812" s="12"/>
    </row>
    <row r="7813" spans="11:12" ht="12.75">
      <c r="K7813" s="12"/>
      <c r="L7813" s="12"/>
    </row>
    <row r="7814" spans="11:12" ht="12.75">
      <c r="K7814" s="12"/>
      <c r="L7814" s="12"/>
    </row>
    <row r="7815" spans="11:12" ht="12.75">
      <c r="K7815" s="12"/>
      <c r="L7815" s="12"/>
    </row>
    <row r="7816" spans="11:12" ht="12.75">
      <c r="K7816" s="12"/>
      <c r="L7816" s="12"/>
    </row>
    <row r="7817" spans="11:12" ht="12.75">
      <c r="K7817" s="12"/>
      <c r="L7817" s="12"/>
    </row>
    <row r="7818" spans="11:12" ht="12.75">
      <c r="K7818" s="12"/>
      <c r="L7818" s="12"/>
    </row>
    <row r="7819" spans="11:12" ht="12.75">
      <c r="K7819" s="12"/>
      <c r="L7819" s="12"/>
    </row>
    <row r="7820" spans="11:12" ht="12.75">
      <c r="K7820" s="12"/>
      <c r="L7820" s="12"/>
    </row>
    <row r="7821" spans="11:12" ht="12.75">
      <c r="K7821" s="12"/>
      <c r="L7821" s="12"/>
    </row>
    <row r="7822" spans="11:12" ht="12.75">
      <c r="K7822" s="12"/>
      <c r="L7822" s="12"/>
    </row>
    <row r="7823" spans="11:12" ht="12.75">
      <c r="K7823" s="12"/>
      <c r="L7823" s="12"/>
    </row>
    <row r="7824" spans="11:12" ht="12.75">
      <c r="K7824" s="12"/>
      <c r="L7824" s="12"/>
    </row>
    <row r="7825" spans="11:12" ht="12.75">
      <c r="K7825" s="12"/>
      <c r="L7825" s="12"/>
    </row>
    <row r="7826" spans="11:12" ht="12.75">
      <c r="K7826" s="12"/>
      <c r="L7826" s="12"/>
    </row>
    <row r="7827" spans="11:12" ht="12.75">
      <c r="K7827" s="12"/>
      <c r="L7827" s="12"/>
    </row>
    <row r="7828" spans="11:12" ht="12.75">
      <c r="K7828" s="12"/>
      <c r="L7828" s="12"/>
    </row>
    <row r="7829" spans="11:12" ht="12.75">
      <c r="K7829" s="12"/>
      <c r="L7829" s="12"/>
    </row>
    <row r="7830" spans="11:12" ht="12.75">
      <c r="K7830" s="12"/>
      <c r="L7830" s="12"/>
    </row>
    <row r="7831" spans="11:12" ht="12.75">
      <c r="K7831" s="12"/>
      <c r="L7831" s="12"/>
    </row>
    <row r="7832" spans="11:12" ht="12.75">
      <c r="K7832" s="12"/>
      <c r="L7832" s="12"/>
    </row>
    <row r="7833" spans="11:12" ht="12.75">
      <c r="K7833" s="12"/>
      <c r="L7833" s="12"/>
    </row>
    <row r="7834" spans="11:12" ht="12.75">
      <c r="K7834" s="12"/>
      <c r="L7834" s="12"/>
    </row>
    <row r="7835" spans="11:12" ht="12.75">
      <c r="K7835" s="12"/>
      <c r="L7835" s="12"/>
    </row>
    <row r="7836" spans="11:12" ht="12.75">
      <c r="K7836" s="12"/>
      <c r="L7836" s="12"/>
    </row>
    <row r="7837" spans="11:12" ht="12.75">
      <c r="K7837" s="12"/>
      <c r="L7837" s="12"/>
    </row>
    <row r="7838" spans="11:12" ht="12.75">
      <c r="K7838" s="12"/>
      <c r="L7838" s="12"/>
    </row>
    <row r="7839" spans="11:12" ht="12.75">
      <c r="K7839" s="12"/>
      <c r="L7839" s="12"/>
    </row>
    <row r="7840" spans="11:12" ht="12.75">
      <c r="K7840" s="12"/>
      <c r="L7840" s="12"/>
    </row>
    <row r="7841" spans="11:12" ht="12.75">
      <c r="K7841" s="12"/>
      <c r="L7841" s="12"/>
    </row>
    <row r="7842" spans="11:12" ht="12.75">
      <c r="K7842" s="12"/>
      <c r="L7842" s="12"/>
    </row>
    <row r="7843" spans="11:12" ht="12.75">
      <c r="K7843" s="12"/>
      <c r="L7843" s="12"/>
    </row>
    <row r="7844" spans="11:12" ht="12.75">
      <c r="K7844" s="12"/>
      <c r="L7844" s="12"/>
    </row>
    <row r="7845" spans="11:12" ht="12.75">
      <c r="K7845" s="12"/>
      <c r="L7845" s="12"/>
    </row>
    <row r="7846" spans="11:12" ht="12.75">
      <c r="K7846" s="12"/>
      <c r="L7846" s="12"/>
    </row>
    <row r="7847" spans="11:12" ht="12.75">
      <c r="K7847" s="12"/>
      <c r="L7847" s="12"/>
    </row>
    <row r="7848" spans="11:12" ht="12.75">
      <c r="K7848" s="12"/>
      <c r="L7848" s="12"/>
    </row>
    <row r="7849" spans="11:12" ht="12.75">
      <c r="K7849" s="12"/>
      <c r="L7849" s="12"/>
    </row>
    <row r="7850" spans="11:12" ht="12.75">
      <c r="K7850" s="12"/>
      <c r="L7850" s="12"/>
    </row>
    <row r="7851" spans="11:12" ht="12.75">
      <c r="K7851" s="12"/>
      <c r="L7851" s="12"/>
    </row>
    <row r="7852" spans="11:12" ht="12.75">
      <c r="K7852" s="12"/>
      <c r="L7852" s="12"/>
    </row>
    <row r="7853" spans="11:12" ht="12.75">
      <c r="K7853" s="12"/>
      <c r="L7853" s="12"/>
    </row>
    <row r="7854" spans="11:12" ht="12.75">
      <c r="K7854" s="12"/>
      <c r="L7854" s="12"/>
    </row>
    <row r="7855" spans="11:12" ht="12.75">
      <c r="K7855" s="12"/>
      <c r="L7855" s="12"/>
    </row>
    <row r="7856" spans="11:12" ht="12.75">
      <c r="K7856" s="12"/>
      <c r="L7856" s="12"/>
    </row>
    <row r="7857" spans="11:12" ht="12.75">
      <c r="K7857" s="12"/>
      <c r="L7857" s="12"/>
    </row>
    <row r="7858" spans="11:12" ht="12.75">
      <c r="K7858" s="12"/>
      <c r="L7858" s="12"/>
    </row>
    <row r="7859" spans="11:12" ht="12.75">
      <c r="K7859" s="12"/>
      <c r="L7859" s="12"/>
    </row>
    <row r="7860" spans="11:12" ht="12.75">
      <c r="K7860" s="12"/>
      <c r="L7860" s="12"/>
    </row>
    <row r="7861" spans="11:12" ht="12.75">
      <c r="K7861" s="12"/>
      <c r="L7861" s="12"/>
    </row>
    <row r="7862" spans="11:12" ht="12.75">
      <c r="K7862" s="12"/>
      <c r="L7862" s="12"/>
    </row>
    <row r="7863" spans="11:12" ht="12.75">
      <c r="K7863" s="12"/>
      <c r="L7863" s="12"/>
    </row>
    <row r="7864" spans="11:12" ht="12.75">
      <c r="K7864" s="12"/>
      <c r="L7864" s="12"/>
    </row>
    <row r="7865" spans="11:12" ht="12.75">
      <c r="K7865" s="12"/>
      <c r="L7865" s="12"/>
    </row>
    <row r="7866" spans="11:12" ht="12.75">
      <c r="K7866" s="12"/>
      <c r="L7866" s="12"/>
    </row>
    <row r="7867" spans="11:12" ht="12.75">
      <c r="K7867" s="12"/>
      <c r="L7867" s="12"/>
    </row>
    <row r="7868" spans="11:12" ht="12.75">
      <c r="K7868" s="12"/>
      <c r="L7868" s="12"/>
    </row>
    <row r="7869" spans="11:12" ht="12.75">
      <c r="K7869" s="12"/>
      <c r="L7869" s="12"/>
    </row>
    <row r="7870" spans="11:12" ht="12.75">
      <c r="K7870" s="12"/>
      <c r="L7870" s="12"/>
    </row>
    <row r="7871" spans="11:12" ht="12.75">
      <c r="K7871" s="12"/>
      <c r="L7871" s="12"/>
    </row>
    <row r="7872" spans="11:12" ht="12.75">
      <c r="K7872" s="12"/>
      <c r="L7872" s="12"/>
    </row>
    <row r="7873" spans="11:12" ht="12.75">
      <c r="K7873" s="12"/>
      <c r="L7873" s="12"/>
    </row>
    <row r="7874" spans="11:12" ht="12.75">
      <c r="K7874" s="12"/>
      <c r="L7874" s="12"/>
    </row>
    <row r="7875" spans="11:12" ht="12.75">
      <c r="K7875" s="12"/>
      <c r="L7875" s="12"/>
    </row>
    <row r="7876" spans="11:12" ht="12.75">
      <c r="K7876" s="12"/>
      <c r="L7876" s="12"/>
    </row>
    <row r="7877" spans="11:12" ht="12.75">
      <c r="K7877" s="12"/>
      <c r="L7877" s="12"/>
    </row>
    <row r="7878" spans="11:12" ht="12.75">
      <c r="K7878" s="12"/>
      <c r="L7878" s="12"/>
    </row>
    <row r="7879" spans="11:12" ht="12.75">
      <c r="K7879" s="12"/>
      <c r="L7879" s="12"/>
    </row>
    <row r="7880" spans="11:12" ht="12.75">
      <c r="K7880" s="12"/>
      <c r="L7880" s="12"/>
    </row>
    <row r="7881" spans="11:12" ht="12.75">
      <c r="K7881" s="12"/>
      <c r="L7881" s="12"/>
    </row>
    <row r="7882" spans="11:12" ht="12.75">
      <c r="K7882" s="12"/>
      <c r="L7882" s="12"/>
    </row>
    <row r="7883" spans="11:12" ht="12.75">
      <c r="K7883" s="12"/>
      <c r="L7883" s="12"/>
    </row>
    <row r="7884" spans="11:12" ht="12.75">
      <c r="K7884" s="12"/>
      <c r="L7884" s="12"/>
    </row>
    <row r="7885" spans="11:12" ht="12.75">
      <c r="K7885" s="12"/>
      <c r="L7885" s="12"/>
    </row>
    <row r="7886" spans="11:12" ht="12.75">
      <c r="K7886" s="12"/>
      <c r="L7886" s="12"/>
    </row>
    <row r="7887" spans="11:12" ht="12.75">
      <c r="K7887" s="12"/>
      <c r="L7887" s="12"/>
    </row>
    <row r="7888" spans="11:12" ht="12.75">
      <c r="K7888" s="12"/>
      <c r="L7888" s="12"/>
    </row>
    <row r="7889" spans="11:12" ht="12.75">
      <c r="K7889" s="12"/>
      <c r="L7889" s="12"/>
    </row>
    <row r="7890" spans="11:12" ht="12.75">
      <c r="K7890" s="12"/>
      <c r="L7890" s="12"/>
    </row>
    <row r="7891" spans="11:12" ht="12.75">
      <c r="K7891" s="12"/>
      <c r="L7891" s="12"/>
    </row>
    <row r="7892" spans="11:12" ht="12.75">
      <c r="K7892" s="12"/>
      <c r="L7892" s="12"/>
    </row>
    <row r="7893" spans="11:12" ht="12.75">
      <c r="K7893" s="12"/>
      <c r="L7893" s="12"/>
    </row>
    <row r="7894" spans="11:12" ht="12.75">
      <c r="K7894" s="12"/>
      <c r="L7894" s="12"/>
    </row>
    <row r="7895" spans="11:12" ht="12.75">
      <c r="K7895" s="12"/>
      <c r="L7895" s="12"/>
    </row>
    <row r="7896" spans="11:12" ht="12.75">
      <c r="K7896" s="12"/>
      <c r="L7896" s="12"/>
    </row>
    <row r="7897" spans="11:12" ht="12.75">
      <c r="K7897" s="12"/>
      <c r="L7897" s="12"/>
    </row>
    <row r="7898" spans="11:12" ht="12.75">
      <c r="K7898" s="12"/>
      <c r="L7898" s="12"/>
    </row>
    <row r="7899" spans="11:12" ht="12.75">
      <c r="K7899" s="12"/>
      <c r="L7899" s="12"/>
    </row>
    <row r="7900" spans="11:12" ht="12.75">
      <c r="K7900" s="12"/>
      <c r="L7900" s="12"/>
    </row>
    <row r="7901" spans="11:12" ht="12.75">
      <c r="K7901" s="12"/>
      <c r="L7901" s="12"/>
    </row>
    <row r="7902" spans="11:12" ht="12.75">
      <c r="K7902" s="12"/>
      <c r="L7902" s="12"/>
    </row>
    <row r="7903" spans="11:12" ht="12.75">
      <c r="K7903" s="12"/>
      <c r="L7903" s="12"/>
    </row>
    <row r="7904" spans="11:12" ht="12.75">
      <c r="K7904" s="12"/>
      <c r="L7904" s="12"/>
    </row>
    <row r="7905" spans="11:12" ht="12.75">
      <c r="K7905" s="12"/>
      <c r="L7905" s="12"/>
    </row>
    <row r="7906" spans="11:12" ht="12.75">
      <c r="K7906" s="12"/>
      <c r="L7906" s="12"/>
    </row>
    <row r="7907" spans="11:12" ht="12.75">
      <c r="K7907" s="12"/>
      <c r="L7907" s="12"/>
    </row>
    <row r="7908" spans="11:12" ht="12.75">
      <c r="K7908" s="12"/>
      <c r="L7908" s="12"/>
    </row>
    <row r="7909" spans="11:12" ht="12.75">
      <c r="K7909" s="12"/>
      <c r="L7909" s="12"/>
    </row>
    <row r="7910" spans="11:12" ht="12.75">
      <c r="K7910" s="12"/>
      <c r="L7910" s="12"/>
    </row>
    <row r="7911" spans="11:12" ht="12.75">
      <c r="K7911" s="12"/>
      <c r="L7911" s="12"/>
    </row>
    <row r="7912" spans="11:12" ht="12.75">
      <c r="K7912" s="12"/>
      <c r="L7912" s="12"/>
    </row>
    <row r="7913" spans="11:12" ht="12.75">
      <c r="K7913" s="12"/>
      <c r="L7913" s="12"/>
    </row>
    <row r="7914" spans="11:12" ht="12.75">
      <c r="K7914" s="12"/>
      <c r="L7914" s="12"/>
    </row>
    <row r="7915" spans="11:12" ht="12.75">
      <c r="K7915" s="12"/>
      <c r="L7915" s="12"/>
    </row>
    <row r="7916" spans="11:12" ht="12.75">
      <c r="K7916" s="12"/>
      <c r="L7916" s="12"/>
    </row>
    <row r="7917" spans="11:12" ht="12.75">
      <c r="K7917" s="12"/>
      <c r="L7917" s="12"/>
    </row>
    <row r="7918" spans="11:12" ht="12.75">
      <c r="K7918" s="12"/>
      <c r="L7918" s="12"/>
    </row>
    <row r="7919" spans="11:12" ht="12.75">
      <c r="K7919" s="12"/>
      <c r="L7919" s="12"/>
    </row>
    <row r="7920" spans="11:12" ht="12.75">
      <c r="K7920" s="12"/>
      <c r="L7920" s="12"/>
    </row>
    <row r="7921" spans="11:12" ht="12.75">
      <c r="K7921" s="12"/>
      <c r="L7921" s="12"/>
    </row>
    <row r="7922" spans="11:12" ht="12.75">
      <c r="K7922" s="12"/>
      <c r="L7922" s="12"/>
    </row>
    <row r="7923" spans="11:12" ht="12.75">
      <c r="K7923" s="12"/>
      <c r="L7923" s="12"/>
    </row>
    <row r="7924" spans="11:12" ht="12.75">
      <c r="K7924" s="12"/>
      <c r="L7924" s="12"/>
    </row>
    <row r="7925" spans="11:12" ht="12.75">
      <c r="K7925" s="12"/>
      <c r="L7925" s="12"/>
    </row>
    <row r="7926" spans="11:12" ht="12.75">
      <c r="K7926" s="12"/>
      <c r="L7926" s="12"/>
    </row>
    <row r="7927" spans="11:12" ht="12.75">
      <c r="K7927" s="12"/>
      <c r="L7927" s="12"/>
    </row>
    <row r="7928" spans="11:12" ht="12.75">
      <c r="K7928" s="12"/>
      <c r="L7928" s="12"/>
    </row>
    <row r="7929" spans="11:12" ht="12.75">
      <c r="K7929" s="12"/>
      <c r="L7929" s="12"/>
    </row>
    <row r="7930" spans="11:12" ht="12.75">
      <c r="K7930" s="12"/>
      <c r="L7930" s="12"/>
    </row>
    <row r="7931" spans="11:12" ht="12.75">
      <c r="K7931" s="12"/>
      <c r="L7931" s="12"/>
    </row>
    <row r="7932" spans="11:12" ht="12.75">
      <c r="K7932" s="12"/>
      <c r="L7932" s="12"/>
    </row>
    <row r="7933" spans="11:12" ht="12.75">
      <c r="K7933" s="12"/>
      <c r="L7933" s="12"/>
    </row>
    <row r="7934" spans="11:12" ht="12.75">
      <c r="K7934" s="12"/>
      <c r="L7934" s="12"/>
    </row>
    <row r="7935" spans="11:12" ht="12.75">
      <c r="K7935" s="12"/>
      <c r="L7935" s="12"/>
    </row>
    <row r="7936" spans="11:12" ht="12.75">
      <c r="K7936" s="12"/>
      <c r="L7936" s="12"/>
    </row>
    <row r="7937" spans="11:12" ht="12.75">
      <c r="K7937" s="12"/>
      <c r="L7937" s="12"/>
    </row>
    <row r="7938" spans="11:12" ht="12.75">
      <c r="K7938" s="12"/>
      <c r="L7938" s="12"/>
    </row>
    <row r="7939" spans="11:12" ht="12.75">
      <c r="K7939" s="12"/>
      <c r="L7939" s="12"/>
    </row>
    <row r="7940" spans="11:12" ht="12.75">
      <c r="K7940" s="12"/>
      <c r="L7940" s="12"/>
    </row>
    <row r="7941" spans="11:12" ht="12.75">
      <c r="K7941" s="12"/>
      <c r="L7941" s="12"/>
    </row>
    <row r="7942" spans="11:12" ht="12.75">
      <c r="K7942" s="12"/>
      <c r="L7942" s="12"/>
    </row>
    <row r="7943" spans="11:12" ht="12.75">
      <c r="K7943" s="12"/>
      <c r="L7943" s="12"/>
    </row>
    <row r="7944" spans="11:12" ht="12.75">
      <c r="K7944" s="12"/>
      <c r="L7944" s="12"/>
    </row>
    <row r="7945" spans="11:12" ht="12.75">
      <c r="K7945" s="12"/>
      <c r="L7945" s="12"/>
    </row>
    <row r="7946" spans="11:12" ht="12.75">
      <c r="K7946" s="12"/>
      <c r="L7946" s="12"/>
    </row>
    <row r="7947" spans="11:12" ht="12.75">
      <c r="K7947" s="12"/>
      <c r="L7947" s="12"/>
    </row>
    <row r="7948" spans="11:12" ht="12.75">
      <c r="K7948" s="12"/>
      <c r="L7948" s="12"/>
    </row>
    <row r="7949" spans="11:12" ht="12.75">
      <c r="K7949" s="12"/>
      <c r="L7949" s="12"/>
    </row>
    <row r="7950" spans="11:12" ht="12.75">
      <c r="K7950" s="12"/>
      <c r="L7950" s="12"/>
    </row>
    <row r="7951" spans="11:12" ht="12.75">
      <c r="K7951" s="12"/>
      <c r="L7951" s="12"/>
    </row>
    <row r="7952" spans="11:12" ht="12.75">
      <c r="K7952" s="12"/>
      <c r="L7952" s="12"/>
    </row>
    <row r="7953" spans="11:12" ht="12.75">
      <c r="K7953" s="12"/>
      <c r="L7953" s="12"/>
    </row>
    <row r="7954" spans="11:12" ht="12.75">
      <c r="K7954" s="12"/>
      <c r="L7954" s="12"/>
    </row>
    <row r="7955" spans="11:12" ht="12.75">
      <c r="K7955" s="12"/>
      <c r="L7955" s="12"/>
    </row>
    <row r="7956" spans="11:12" ht="12.75">
      <c r="K7956" s="12"/>
      <c r="L7956" s="12"/>
    </row>
    <row r="7957" spans="11:12" ht="12.75">
      <c r="K7957" s="12"/>
      <c r="L7957" s="12"/>
    </row>
    <row r="7958" spans="11:12" ht="12.75">
      <c r="K7958" s="12"/>
      <c r="L7958" s="12"/>
    </row>
    <row r="7959" spans="11:12" ht="12.75">
      <c r="K7959" s="12"/>
      <c r="L7959" s="12"/>
    </row>
    <row r="7960" spans="11:12" ht="12.75">
      <c r="K7960" s="12"/>
      <c r="L7960" s="12"/>
    </row>
    <row r="7961" spans="11:12" ht="12.75">
      <c r="K7961" s="12"/>
      <c r="L7961" s="12"/>
    </row>
    <row r="7962" spans="11:12" ht="12.75">
      <c r="K7962" s="12"/>
      <c r="L7962" s="12"/>
    </row>
    <row r="7963" spans="11:12" ht="12.75">
      <c r="K7963" s="12"/>
      <c r="L7963" s="12"/>
    </row>
    <row r="7964" spans="11:12" ht="12.75">
      <c r="K7964" s="12"/>
      <c r="L7964" s="12"/>
    </row>
    <row r="7965" spans="11:12" ht="12.75">
      <c r="K7965" s="12"/>
      <c r="L7965" s="12"/>
    </row>
    <row r="7966" spans="11:12" ht="12.75">
      <c r="K7966" s="12"/>
      <c r="L7966" s="12"/>
    </row>
    <row r="7967" spans="11:12" ht="12.75">
      <c r="K7967" s="12"/>
      <c r="L7967" s="12"/>
    </row>
    <row r="7968" spans="11:12" ht="12.75">
      <c r="K7968" s="12"/>
      <c r="L7968" s="12"/>
    </row>
    <row r="7969" spans="11:12" ht="12.75">
      <c r="K7969" s="12"/>
      <c r="L7969" s="12"/>
    </row>
    <row r="7970" spans="11:12" ht="12.75">
      <c r="K7970" s="12"/>
      <c r="L7970" s="12"/>
    </row>
    <row r="7971" spans="11:12" ht="12.75">
      <c r="K7971" s="12"/>
      <c r="L7971" s="12"/>
    </row>
    <row r="7972" spans="11:12" ht="12.75">
      <c r="K7972" s="12"/>
      <c r="L7972" s="12"/>
    </row>
    <row r="7973" spans="11:12" ht="12.75">
      <c r="K7973" s="12"/>
      <c r="L7973" s="12"/>
    </row>
    <row r="7974" spans="11:12" ht="12.75">
      <c r="K7974" s="12"/>
      <c r="L7974" s="12"/>
    </row>
    <row r="7975" spans="11:12" ht="12.75">
      <c r="K7975" s="12"/>
      <c r="L7975" s="12"/>
    </row>
    <row r="7976" spans="11:12" ht="12.75">
      <c r="K7976" s="12"/>
      <c r="L7976" s="12"/>
    </row>
    <row r="7977" spans="11:12" ht="12.75">
      <c r="K7977" s="12"/>
      <c r="L7977" s="12"/>
    </row>
    <row r="7978" spans="11:12" ht="12.75">
      <c r="K7978" s="12"/>
      <c r="L7978" s="12"/>
    </row>
    <row r="7979" spans="11:12" ht="12.75">
      <c r="K7979" s="12"/>
      <c r="L7979" s="12"/>
    </row>
    <row r="7980" spans="11:12" ht="12.75">
      <c r="K7980" s="12"/>
      <c r="L7980" s="12"/>
    </row>
    <row r="7981" spans="11:12" ht="12.75">
      <c r="K7981" s="12"/>
      <c r="L7981" s="12"/>
    </row>
    <row r="7982" spans="11:12" ht="12.75">
      <c r="K7982" s="12"/>
      <c r="L7982" s="12"/>
    </row>
    <row r="7983" spans="11:12" ht="12.75">
      <c r="K7983" s="12"/>
      <c r="L7983" s="12"/>
    </row>
    <row r="7984" spans="11:12" ht="12.75">
      <c r="K7984" s="12"/>
      <c r="L7984" s="12"/>
    </row>
    <row r="7985" spans="11:12" ht="12.75">
      <c r="K7985" s="12"/>
      <c r="L7985" s="12"/>
    </row>
    <row r="7986" spans="11:12" ht="12.75">
      <c r="K7986" s="12"/>
      <c r="L7986" s="12"/>
    </row>
    <row r="7987" spans="11:12" ht="12.75">
      <c r="K7987" s="12"/>
      <c r="L7987" s="12"/>
    </row>
    <row r="7988" spans="11:12" ht="12.75">
      <c r="K7988" s="12"/>
      <c r="L7988" s="12"/>
    </row>
    <row r="7989" spans="11:12" ht="12.75">
      <c r="K7989" s="12"/>
      <c r="L7989" s="12"/>
    </row>
    <row r="7990" spans="11:12" ht="12.75">
      <c r="K7990" s="12"/>
      <c r="L7990" s="12"/>
    </row>
    <row r="7991" spans="11:12" ht="12.75">
      <c r="K7991" s="12"/>
      <c r="L7991" s="12"/>
    </row>
    <row r="7992" spans="11:12" ht="12.75">
      <c r="K7992" s="12"/>
      <c r="L7992" s="12"/>
    </row>
    <row r="7993" spans="11:12" ht="12.75">
      <c r="K7993" s="12"/>
      <c r="L7993" s="12"/>
    </row>
    <row r="7994" spans="11:12" ht="12.75">
      <c r="K7994" s="12"/>
      <c r="L7994" s="12"/>
    </row>
    <row r="7995" spans="11:12" ht="12.75">
      <c r="K7995" s="12"/>
      <c r="L7995" s="12"/>
    </row>
    <row r="7996" spans="11:12" ht="12.75">
      <c r="K7996" s="12"/>
      <c r="L7996" s="12"/>
    </row>
    <row r="7997" spans="11:12" ht="12.75">
      <c r="K7997" s="12"/>
      <c r="L7997" s="12"/>
    </row>
    <row r="7998" spans="11:12" ht="12.75">
      <c r="K7998" s="12"/>
      <c r="L7998" s="12"/>
    </row>
    <row r="7999" spans="11:12" ht="12.75">
      <c r="K7999" s="12"/>
      <c r="L7999" s="12"/>
    </row>
    <row r="8000" spans="11:12" ht="12.75">
      <c r="K8000" s="12"/>
      <c r="L8000" s="12"/>
    </row>
    <row r="8001" spans="11:12" ht="12.75">
      <c r="K8001" s="12"/>
      <c r="L8001" s="12"/>
    </row>
    <row r="8002" spans="11:12" ht="12.75">
      <c r="K8002" s="12"/>
      <c r="L8002" s="12"/>
    </row>
    <row r="8003" spans="11:12" ht="12.75">
      <c r="K8003" s="12"/>
      <c r="L8003" s="12"/>
    </row>
    <row r="8004" spans="11:12" ht="12.75">
      <c r="K8004" s="12"/>
      <c r="L8004" s="12"/>
    </row>
    <row r="8005" spans="11:12" ht="12.75">
      <c r="K8005" s="12"/>
      <c r="L8005" s="12"/>
    </row>
    <row r="8006" spans="11:12" ht="12.75">
      <c r="K8006" s="12"/>
      <c r="L8006" s="12"/>
    </row>
    <row r="8007" spans="11:12" ht="12.75">
      <c r="K8007" s="12"/>
      <c r="L8007" s="12"/>
    </row>
    <row r="8008" spans="11:12" ht="12.75">
      <c r="K8008" s="12"/>
      <c r="L8008" s="12"/>
    </row>
    <row r="8009" spans="11:12" ht="12.75">
      <c r="K8009" s="12"/>
      <c r="L8009" s="12"/>
    </row>
    <row r="8010" spans="11:12" ht="12.75">
      <c r="K8010" s="12"/>
      <c r="L8010" s="12"/>
    </row>
    <row r="8011" spans="11:12" ht="12.75">
      <c r="K8011" s="12"/>
      <c r="L8011" s="12"/>
    </row>
    <row r="8012" spans="11:12" ht="12.75">
      <c r="K8012" s="12"/>
      <c r="L8012" s="12"/>
    </row>
    <row r="8013" spans="11:12" ht="12.75">
      <c r="K8013" s="12"/>
      <c r="L8013" s="12"/>
    </row>
    <row r="8014" spans="11:12" ht="12.75">
      <c r="K8014" s="12"/>
      <c r="L8014" s="12"/>
    </row>
    <row r="8015" spans="11:12" ht="12.75">
      <c r="K8015" s="12"/>
      <c r="L8015" s="12"/>
    </row>
    <row r="8016" spans="11:12" ht="12.75">
      <c r="K8016" s="12"/>
      <c r="L8016" s="12"/>
    </row>
    <row r="8017" spans="11:12" ht="12.75">
      <c r="K8017" s="12"/>
      <c r="L8017" s="12"/>
    </row>
    <row r="8018" spans="11:12" ht="12.75">
      <c r="K8018" s="12"/>
      <c r="L8018" s="12"/>
    </row>
    <row r="8019" spans="11:12" ht="12.75">
      <c r="K8019" s="12"/>
      <c r="L8019" s="12"/>
    </row>
    <row r="8020" spans="11:12" ht="12.75">
      <c r="K8020" s="12"/>
      <c r="L8020" s="12"/>
    </row>
    <row r="8021" spans="11:12" ht="12.75">
      <c r="K8021" s="12"/>
      <c r="L8021" s="12"/>
    </row>
    <row r="8022" spans="11:12" ht="12.75">
      <c r="K8022" s="12"/>
      <c r="L8022" s="12"/>
    </row>
    <row r="8023" spans="11:12" ht="12.75">
      <c r="K8023" s="12"/>
      <c r="L8023" s="12"/>
    </row>
    <row r="8024" spans="11:12" ht="12.75">
      <c r="K8024" s="12"/>
      <c r="L8024" s="12"/>
    </row>
    <row r="8025" spans="11:12" ht="12.75">
      <c r="K8025" s="12"/>
      <c r="L8025" s="12"/>
    </row>
    <row r="8026" spans="11:12" ht="12.75">
      <c r="K8026" s="12"/>
      <c r="L8026" s="12"/>
    </row>
    <row r="8027" spans="11:12" ht="12.75">
      <c r="K8027" s="12"/>
      <c r="L8027" s="12"/>
    </row>
    <row r="8028" spans="11:12" ht="12.75">
      <c r="K8028" s="12"/>
      <c r="L8028" s="12"/>
    </row>
    <row r="8029" spans="11:12" ht="12.75">
      <c r="K8029" s="12"/>
      <c r="L8029" s="12"/>
    </row>
    <row r="8030" spans="11:12" ht="12.75">
      <c r="K8030" s="12"/>
      <c r="L8030" s="12"/>
    </row>
    <row r="8031" spans="11:12" ht="12.75">
      <c r="K8031" s="12"/>
      <c r="L8031" s="12"/>
    </row>
    <row r="8032" spans="11:12" ht="12.75">
      <c r="K8032" s="12"/>
      <c r="L8032" s="12"/>
    </row>
    <row r="8033" spans="11:12" ht="12.75">
      <c r="K8033" s="12"/>
      <c r="L8033" s="12"/>
    </row>
    <row r="8034" spans="11:12" ht="12.75">
      <c r="K8034" s="12"/>
      <c r="L8034" s="12"/>
    </row>
    <row r="8035" spans="11:12" ht="12.75">
      <c r="K8035" s="12"/>
      <c r="L8035" s="12"/>
    </row>
    <row r="8036" spans="11:12" ht="12.75">
      <c r="K8036" s="12"/>
      <c r="L8036" s="12"/>
    </row>
    <row r="8037" spans="11:12" ht="12.75">
      <c r="K8037" s="12"/>
      <c r="L8037" s="12"/>
    </row>
    <row r="8038" spans="11:12" ht="12.75">
      <c r="K8038" s="12"/>
      <c r="L8038" s="12"/>
    </row>
    <row r="8039" spans="11:12" ht="12.75">
      <c r="K8039" s="12"/>
      <c r="L8039" s="12"/>
    </row>
    <row r="8040" spans="11:12" ht="12.75">
      <c r="K8040" s="12"/>
      <c r="L8040" s="12"/>
    </row>
    <row r="8041" spans="11:12" ht="12.75">
      <c r="K8041" s="12"/>
      <c r="L8041" s="12"/>
    </row>
    <row r="8042" spans="11:12" ht="12.75">
      <c r="K8042" s="12"/>
      <c r="L8042" s="12"/>
    </row>
    <row r="8043" spans="11:12" ht="12.75">
      <c r="K8043" s="12"/>
      <c r="L8043" s="12"/>
    </row>
    <row r="8044" spans="11:12" ht="12.75">
      <c r="K8044" s="12"/>
      <c r="L8044" s="12"/>
    </row>
    <row r="8045" spans="11:12" ht="12.75">
      <c r="K8045" s="12"/>
      <c r="L8045" s="12"/>
    </row>
    <row r="8046" spans="11:12" ht="12.75">
      <c r="K8046" s="12"/>
      <c r="L8046" s="12"/>
    </row>
    <row r="8047" spans="11:12" ht="12.75">
      <c r="K8047" s="12"/>
      <c r="L8047" s="12"/>
    </row>
    <row r="8048" spans="11:12" ht="12.75">
      <c r="K8048" s="12"/>
      <c r="L8048" s="12"/>
    </row>
    <row r="8049" spans="11:12" ht="12.75">
      <c r="K8049" s="12"/>
      <c r="L8049" s="12"/>
    </row>
    <row r="8050" spans="11:12" ht="12.75">
      <c r="K8050" s="12"/>
      <c r="L8050" s="12"/>
    </row>
    <row r="8051" spans="11:12" ht="12.75">
      <c r="K8051" s="12"/>
      <c r="L8051" s="12"/>
    </row>
    <row r="8052" spans="11:12" ht="12.75">
      <c r="K8052" s="12"/>
      <c r="L8052" s="12"/>
    </row>
    <row r="8053" spans="11:12" ht="12.75">
      <c r="K8053" s="12"/>
      <c r="L8053" s="12"/>
    </row>
    <row r="8054" spans="11:12" ht="12.75">
      <c r="K8054" s="12"/>
      <c r="L8054" s="12"/>
    </row>
    <row r="8055" spans="11:12" ht="12.75">
      <c r="K8055" s="12"/>
      <c r="L8055" s="12"/>
    </row>
    <row r="8056" spans="11:12" ht="12.75">
      <c r="K8056" s="12"/>
      <c r="L8056" s="12"/>
    </row>
    <row r="8057" spans="11:12" ht="12.75">
      <c r="K8057" s="12"/>
      <c r="L8057" s="12"/>
    </row>
    <row r="8058" spans="11:12" ht="12.75">
      <c r="K8058" s="12"/>
      <c r="L8058" s="12"/>
    </row>
    <row r="8059" spans="11:12" ht="12.75">
      <c r="K8059" s="12"/>
      <c r="L8059" s="12"/>
    </row>
    <row r="8060" spans="11:12" ht="12.75">
      <c r="K8060" s="12"/>
      <c r="L8060" s="12"/>
    </row>
    <row r="8061" spans="11:12" ht="12.75">
      <c r="K8061" s="12"/>
      <c r="L8061" s="12"/>
    </row>
    <row r="8062" spans="11:12" ht="12.75">
      <c r="K8062" s="12"/>
      <c r="L8062" s="12"/>
    </row>
    <row r="8063" spans="11:12" ht="12.75">
      <c r="K8063" s="12"/>
      <c r="L8063" s="12"/>
    </row>
    <row r="8064" spans="11:12" ht="12.75">
      <c r="K8064" s="12"/>
      <c r="L8064" s="12"/>
    </row>
    <row r="8065" spans="11:12" ht="12.75">
      <c r="K8065" s="12"/>
      <c r="L8065" s="12"/>
    </row>
    <row r="8066" spans="11:12" ht="12.75">
      <c r="K8066" s="12"/>
      <c r="L8066" s="12"/>
    </row>
    <row r="8067" spans="11:12" ht="12.75">
      <c r="K8067" s="12"/>
      <c r="L8067" s="12"/>
    </row>
    <row r="8068" spans="11:12" ht="12.75">
      <c r="K8068" s="12"/>
      <c r="L8068" s="12"/>
    </row>
    <row r="8069" spans="11:12" ht="12.75">
      <c r="K8069" s="12"/>
      <c r="L8069" s="12"/>
    </row>
    <row r="8070" spans="11:12" ht="12.75">
      <c r="K8070" s="12"/>
      <c r="L8070" s="12"/>
    </row>
    <row r="8071" spans="11:12" ht="12.75">
      <c r="K8071" s="12"/>
      <c r="L8071" s="12"/>
    </row>
    <row r="8072" spans="11:12" ht="12.75">
      <c r="K8072" s="12"/>
      <c r="L8072" s="12"/>
    </row>
    <row r="8073" spans="11:12" ht="12.75">
      <c r="K8073" s="12"/>
      <c r="L8073" s="12"/>
    </row>
    <row r="8074" spans="11:12" ht="12.75">
      <c r="K8074" s="12"/>
      <c r="L8074" s="12"/>
    </row>
    <row r="8075" spans="11:12" ht="12.75">
      <c r="K8075" s="12"/>
      <c r="L8075" s="12"/>
    </row>
    <row r="8076" spans="11:12" ht="12.75">
      <c r="K8076" s="12"/>
      <c r="L8076" s="12"/>
    </row>
    <row r="8077" spans="11:12" ht="12.75">
      <c r="K8077" s="12"/>
      <c r="L8077" s="12"/>
    </row>
    <row r="8078" spans="11:12" ht="12.75">
      <c r="K8078" s="12"/>
      <c r="L8078" s="12"/>
    </row>
    <row r="8079" spans="11:12" ht="12.75">
      <c r="K8079" s="12"/>
      <c r="L8079" s="12"/>
    </row>
    <row r="8080" spans="11:12" ht="12.75">
      <c r="K8080" s="12"/>
      <c r="L8080" s="12"/>
    </row>
    <row r="8081" spans="11:12" ht="12.75">
      <c r="K8081" s="12"/>
      <c r="L8081" s="12"/>
    </row>
    <row r="8082" spans="11:12" ht="12.75">
      <c r="K8082" s="12"/>
      <c r="L8082" s="12"/>
    </row>
    <row r="8083" spans="11:12" ht="12.75">
      <c r="K8083" s="12"/>
      <c r="L8083" s="12"/>
    </row>
    <row r="8084" spans="11:12" ht="12.75">
      <c r="K8084" s="12"/>
      <c r="L8084" s="12"/>
    </row>
    <row r="8085" spans="11:12" ht="12.75">
      <c r="K8085" s="12"/>
      <c r="L8085" s="12"/>
    </row>
    <row r="8086" spans="11:12" ht="12.75">
      <c r="K8086" s="12"/>
      <c r="L8086" s="12"/>
    </row>
    <row r="8087" spans="11:12" ht="12.75">
      <c r="K8087" s="12"/>
      <c r="L8087" s="12"/>
    </row>
    <row r="8088" spans="11:12" ht="12.75">
      <c r="K8088" s="12"/>
      <c r="L8088" s="12"/>
    </row>
    <row r="8089" spans="11:12" ht="12.75">
      <c r="K8089" s="12"/>
      <c r="L8089" s="12"/>
    </row>
    <row r="8090" spans="11:12" ht="12.75">
      <c r="K8090" s="12"/>
      <c r="L8090" s="12"/>
    </row>
    <row r="8091" spans="11:12" ht="12.75">
      <c r="K8091" s="12"/>
      <c r="L8091" s="12"/>
    </row>
    <row r="8092" spans="11:12" ht="12.75">
      <c r="K8092" s="12"/>
      <c r="L8092" s="12"/>
    </row>
    <row r="8093" spans="11:12" ht="12.75">
      <c r="K8093" s="12"/>
      <c r="L8093" s="12"/>
    </row>
    <row r="8094" spans="11:12" ht="12.75">
      <c r="K8094" s="12"/>
      <c r="L8094" s="12"/>
    </row>
    <row r="8095" spans="11:12" ht="12.75">
      <c r="K8095" s="12"/>
      <c r="L8095" s="12"/>
    </row>
    <row r="8096" spans="11:12" ht="12.75">
      <c r="K8096" s="12"/>
      <c r="L8096" s="12"/>
    </row>
    <row r="8097" spans="11:12" ht="12.75">
      <c r="K8097" s="12"/>
      <c r="L8097" s="12"/>
    </row>
    <row r="8098" spans="11:12" ht="12.75">
      <c r="K8098" s="12"/>
      <c r="L8098" s="12"/>
    </row>
    <row r="8099" spans="11:12" ht="12.75">
      <c r="K8099" s="12"/>
      <c r="L8099" s="12"/>
    </row>
    <row r="8100" spans="11:12" ht="12.75">
      <c r="K8100" s="12"/>
      <c r="L8100" s="12"/>
    </row>
    <row r="8101" spans="11:12" ht="12.75">
      <c r="K8101" s="12"/>
      <c r="L8101" s="12"/>
    </row>
    <row r="8102" spans="11:12" ht="12.75">
      <c r="K8102" s="12"/>
      <c r="L8102" s="12"/>
    </row>
    <row r="8103" spans="11:12" ht="12.75">
      <c r="K8103" s="12"/>
      <c r="L8103" s="12"/>
    </row>
    <row r="8104" spans="11:12" ht="12.75">
      <c r="K8104" s="12"/>
      <c r="L8104" s="12"/>
    </row>
    <row r="8105" spans="11:12" ht="12.75">
      <c r="K8105" s="12"/>
      <c r="L8105" s="12"/>
    </row>
    <row r="8106" spans="11:12" ht="12.75">
      <c r="K8106" s="12"/>
      <c r="L8106" s="12"/>
    </row>
    <row r="8107" spans="11:12" ht="12.75">
      <c r="K8107" s="12"/>
      <c r="L8107" s="12"/>
    </row>
    <row r="8108" spans="11:12" ht="12.75">
      <c r="K8108" s="12"/>
      <c r="L8108" s="12"/>
    </row>
    <row r="8109" spans="11:12" ht="12.75">
      <c r="K8109" s="12"/>
      <c r="L8109" s="12"/>
    </row>
    <row r="8110" spans="11:12" ht="12.75">
      <c r="K8110" s="12"/>
      <c r="L8110" s="12"/>
    </row>
    <row r="8111" spans="11:12" ht="12.75">
      <c r="K8111" s="12"/>
      <c r="L8111" s="12"/>
    </row>
    <row r="8112" spans="11:12" ht="12.75">
      <c r="K8112" s="12"/>
      <c r="L8112" s="12"/>
    </row>
    <row r="8113" spans="11:12" ht="12.75">
      <c r="K8113" s="12"/>
      <c r="L8113" s="12"/>
    </row>
    <row r="8114" spans="11:12" ht="12.75">
      <c r="K8114" s="12"/>
      <c r="L8114" s="12"/>
    </row>
    <row r="8115" spans="11:12" ht="12.75">
      <c r="K8115" s="12"/>
      <c r="L8115" s="12"/>
    </row>
    <row r="8116" spans="11:12" ht="12.75">
      <c r="K8116" s="12"/>
      <c r="L8116" s="12"/>
    </row>
    <row r="8117" spans="11:12" ht="12.75">
      <c r="K8117" s="12"/>
      <c r="L8117" s="12"/>
    </row>
    <row r="8118" spans="11:12" ht="12.75">
      <c r="K8118" s="12"/>
      <c r="L8118" s="12"/>
    </row>
    <row r="8119" spans="11:12" ht="12.75">
      <c r="K8119" s="12"/>
      <c r="L8119" s="12"/>
    </row>
    <row r="8120" spans="11:12" ht="12.75">
      <c r="K8120" s="12"/>
      <c r="L8120" s="12"/>
    </row>
    <row r="8121" spans="11:12" ht="12.75">
      <c r="K8121" s="12"/>
      <c r="L8121" s="12"/>
    </row>
    <row r="8122" spans="11:12" ht="12.75">
      <c r="K8122" s="12"/>
      <c r="L8122" s="12"/>
    </row>
    <row r="8123" spans="11:12" ht="12.75">
      <c r="K8123" s="12"/>
      <c r="L8123" s="12"/>
    </row>
    <row r="8124" spans="11:12" ht="12.75">
      <c r="K8124" s="12"/>
      <c r="L8124" s="12"/>
    </row>
    <row r="8125" spans="11:12" ht="12.75">
      <c r="K8125" s="12"/>
      <c r="L8125" s="12"/>
    </row>
    <row r="8126" spans="11:12" ht="12.75">
      <c r="K8126" s="12"/>
      <c r="L8126" s="12"/>
    </row>
    <row r="8127" spans="11:12" ht="12.75">
      <c r="K8127" s="12"/>
      <c r="L8127" s="12"/>
    </row>
    <row r="8128" spans="11:12" ht="12.75">
      <c r="K8128" s="12"/>
      <c r="L8128" s="12"/>
    </row>
    <row r="8129" spans="11:12" ht="12.75">
      <c r="K8129" s="12"/>
      <c r="L8129" s="12"/>
    </row>
    <row r="8130" spans="11:12" ht="12.75">
      <c r="K8130" s="12"/>
      <c r="L8130" s="12"/>
    </row>
    <row r="8131" spans="11:12" ht="12.75">
      <c r="K8131" s="12"/>
      <c r="L8131" s="12"/>
    </row>
    <row r="8132" spans="11:12" ht="12.75">
      <c r="K8132" s="12"/>
      <c r="L8132" s="12"/>
    </row>
    <row r="8133" spans="11:12" ht="12.75">
      <c r="K8133" s="12"/>
      <c r="L8133" s="12"/>
    </row>
    <row r="8134" spans="11:12" ht="12.75">
      <c r="K8134" s="12"/>
      <c r="L8134" s="12"/>
    </row>
    <row r="8135" spans="11:12" ht="12.75">
      <c r="K8135" s="12"/>
      <c r="L8135" s="12"/>
    </row>
    <row r="8136" spans="11:12" ht="12.75">
      <c r="K8136" s="12"/>
      <c r="L8136" s="12"/>
    </row>
    <row r="8137" spans="11:12" ht="12.75">
      <c r="K8137" s="12"/>
      <c r="L8137" s="12"/>
    </row>
    <row r="8138" spans="11:12" ht="12.75">
      <c r="K8138" s="12"/>
      <c r="L8138" s="12"/>
    </row>
    <row r="8139" spans="11:12" ht="12.75">
      <c r="K8139" s="12"/>
      <c r="L8139" s="12"/>
    </row>
    <row r="8140" spans="11:12" ht="12.75">
      <c r="K8140" s="12"/>
      <c r="L8140" s="12"/>
    </row>
    <row r="8141" spans="11:12" ht="12.75">
      <c r="K8141" s="12"/>
      <c r="L8141" s="12"/>
    </row>
    <row r="8142" spans="11:12" ht="12.75">
      <c r="K8142" s="12"/>
      <c r="L8142" s="12"/>
    </row>
    <row r="8143" spans="11:12" ht="12.75">
      <c r="K8143" s="12"/>
      <c r="L8143" s="12"/>
    </row>
    <row r="8144" spans="11:12" ht="12.75">
      <c r="K8144" s="12"/>
      <c r="L8144" s="12"/>
    </row>
    <row r="8145" spans="11:12" ht="12.75">
      <c r="K8145" s="12"/>
      <c r="L8145" s="12"/>
    </row>
    <row r="8146" spans="11:12" ht="12.75">
      <c r="K8146" s="12"/>
      <c r="L8146" s="12"/>
    </row>
    <row r="8147" spans="11:12" ht="12.75">
      <c r="K8147" s="12"/>
      <c r="L8147" s="12"/>
    </row>
    <row r="8148" spans="11:12" ht="12.75">
      <c r="K8148" s="12"/>
      <c r="L8148" s="12"/>
    </row>
    <row r="8149" spans="11:12" ht="12.75">
      <c r="K8149" s="12"/>
      <c r="L8149" s="12"/>
    </row>
    <row r="8150" spans="11:12" ht="12.75">
      <c r="K8150" s="12"/>
      <c r="L8150" s="12"/>
    </row>
    <row r="8151" spans="11:12" ht="12.75">
      <c r="K8151" s="12"/>
      <c r="L8151" s="12"/>
    </row>
    <row r="8152" spans="11:12" ht="12.75">
      <c r="K8152" s="12"/>
      <c r="L8152" s="12"/>
    </row>
    <row r="8153" spans="11:12" ht="12.75">
      <c r="K8153" s="12"/>
      <c r="L8153" s="12"/>
    </row>
    <row r="8154" spans="11:12" ht="12.75">
      <c r="K8154" s="12"/>
      <c r="L8154" s="12"/>
    </row>
    <row r="8155" spans="11:12" ht="12.75">
      <c r="K8155" s="12"/>
      <c r="L8155" s="12"/>
    </row>
    <row r="8156" spans="11:12" ht="12.75">
      <c r="K8156" s="12"/>
      <c r="L8156" s="12"/>
    </row>
    <row r="8157" spans="11:12" ht="12.75">
      <c r="K8157" s="12"/>
      <c r="L8157" s="12"/>
    </row>
    <row r="8158" spans="11:12" ht="12.75">
      <c r="K8158" s="12"/>
      <c r="L8158" s="12"/>
    </row>
    <row r="8159" spans="11:12" ht="12.75">
      <c r="K8159" s="12"/>
      <c r="L8159" s="12"/>
    </row>
    <row r="8160" spans="11:12" ht="12.75">
      <c r="K8160" s="12"/>
      <c r="L8160" s="12"/>
    </row>
    <row r="8161" spans="11:12" ht="12.75">
      <c r="K8161" s="12"/>
      <c r="L8161" s="12"/>
    </row>
    <row r="8162" spans="11:12" ht="12.75">
      <c r="K8162" s="12"/>
      <c r="L8162" s="12"/>
    </row>
    <row r="8163" spans="11:12" ht="12.75">
      <c r="K8163" s="12"/>
      <c r="L8163" s="12"/>
    </row>
    <row r="8164" spans="11:12" ht="12.75">
      <c r="K8164" s="12"/>
      <c r="L8164" s="12"/>
    </row>
    <row r="8165" spans="11:12" ht="12.75">
      <c r="K8165" s="12"/>
      <c r="L8165" s="12"/>
    </row>
    <row r="8166" spans="11:12" ht="12.75">
      <c r="K8166" s="12"/>
      <c r="L8166" s="12"/>
    </row>
    <row r="8167" spans="11:12" ht="12.75">
      <c r="K8167" s="12"/>
      <c r="L8167" s="12"/>
    </row>
    <row r="8168" spans="11:12" ht="12.75">
      <c r="K8168" s="12"/>
      <c r="L8168" s="12"/>
    </row>
    <row r="8169" spans="11:12" ht="12.75">
      <c r="K8169" s="12"/>
      <c r="L8169" s="12"/>
    </row>
    <row r="8170" spans="11:12" ht="12.75">
      <c r="K8170" s="12"/>
      <c r="L8170" s="12"/>
    </row>
    <row r="8171" spans="11:12" ht="12.75">
      <c r="K8171" s="12"/>
      <c r="L8171" s="12"/>
    </row>
    <row r="8172" spans="11:12" ht="12.75">
      <c r="K8172" s="12"/>
      <c r="L8172" s="12"/>
    </row>
    <row r="8173" spans="11:12" ht="12.75">
      <c r="K8173" s="12"/>
      <c r="L8173" s="12"/>
    </row>
    <row r="8174" spans="11:12" ht="12.75">
      <c r="K8174" s="12"/>
      <c r="L8174" s="12"/>
    </row>
    <row r="8175" spans="11:12" ht="12.75">
      <c r="K8175" s="12"/>
      <c r="L8175" s="12"/>
    </row>
    <row r="8176" spans="11:12" ht="12.75">
      <c r="K8176" s="12"/>
      <c r="L8176" s="12"/>
    </row>
    <row r="8177" spans="11:12" ht="12.75">
      <c r="K8177" s="12"/>
      <c r="L8177" s="12"/>
    </row>
    <row r="8178" spans="11:12" ht="12.75">
      <c r="K8178" s="12"/>
      <c r="L8178" s="12"/>
    </row>
    <row r="8179" spans="11:12" ht="12.75">
      <c r="K8179" s="12"/>
      <c r="L8179" s="12"/>
    </row>
    <row r="8180" spans="11:12" ht="12.75">
      <c r="K8180" s="12"/>
      <c r="L8180" s="12"/>
    </row>
    <row r="8181" spans="11:12" ht="12.75">
      <c r="K8181" s="12"/>
      <c r="L8181" s="12"/>
    </row>
    <row r="8182" spans="11:12" ht="12.75">
      <c r="K8182" s="12"/>
      <c r="L8182" s="12"/>
    </row>
    <row r="8183" spans="11:12" ht="12.75">
      <c r="K8183" s="12"/>
      <c r="L8183" s="12"/>
    </row>
    <row r="8184" spans="11:12" ht="12.75">
      <c r="K8184" s="12"/>
      <c r="L8184" s="12"/>
    </row>
    <row r="8185" spans="11:12" ht="12.75">
      <c r="K8185" s="12"/>
      <c r="L8185" s="12"/>
    </row>
    <row r="8186" spans="11:12" ht="12.75">
      <c r="K8186" s="12"/>
      <c r="L8186" s="12"/>
    </row>
    <row r="8187" spans="11:12" ht="12.75">
      <c r="K8187" s="12"/>
      <c r="L8187" s="12"/>
    </row>
    <row r="8188" spans="11:12" ht="12.75">
      <c r="K8188" s="12"/>
      <c r="L8188" s="12"/>
    </row>
    <row r="8189" spans="11:12" ht="12.75">
      <c r="K8189" s="12"/>
      <c r="L8189" s="12"/>
    </row>
    <row r="8190" spans="11:12" ht="12.75">
      <c r="K8190" s="12"/>
      <c r="L8190" s="12"/>
    </row>
    <row r="8191" spans="11:12" ht="12.75">
      <c r="K8191" s="12"/>
      <c r="L8191" s="12"/>
    </row>
    <row r="8192" spans="11:12" ht="12.75">
      <c r="K8192" s="12"/>
      <c r="L8192" s="12"/>
    </row>
    <row r="8193" spans="11:12" ht="12.75">
      <c r="K8193" s="12"/>
      <c r="L8193" s="12"/>
    </row>
    <row r="8194" spans="11:12" ht="12.75">
      <c r="K8194" s="12"/>
      <c r="L8194" s="12"/>
    </row>
    <row r="8195" spans="11:12" ht="12.75">
      <c r="K8195" s="12"/>
      <c r="L8195" s="12"/>
    </row>
    <row r="8196" spans="11:12" ht="12.75">
      <c r="K8196" s="12"/>
      <c r="L8196" s="12"/>
    </row>
    <row r="8197" spans="11:12" ht="12.75">
      <c r="K8197" s="12"/>
      <c r="L8197" s="12"/>
    </row>
    <row r="8198" spans="11:12" ht="12.75">
      <c r="K8198" s="12"/>
      <c r="L8198" s="12"/>
    </row>
    <row r="8199" spans="11:12" ht="12.75">
      <c r="K8199" s="12"/>
      <c r="L8199" s="12"/>
    </row>
    <row r="8200" spans="11:12" ht="12.75">
      <c r="K8200" s="12"/>
      <c r="L8200" s="12"/>
    </row>
    <row r="8201" spans="11:12" ht="12.75">
      <c r="K8201" s="12"/>
      <c r="L8201" s="12"/>
    </row>
    <row r="8202" spans="11:12" ht="12.75">
      <c r="K8202" s="12"/>
      <c r="L8202" s="12"/>
    </row>
    <row r="8203" spans="11:12" ht="12.75">
      <c r="K8203" s="12"/>
      <c r="L8203" s="12"/>
    </row>
    <row r="8204" spans="11:12" ht="12.75">
      <c r="K8204" s="12"/>
      <c r="L8204" s="12"/>
    </row>
    <row r="8205" spans="11:12" ht="12.75">
      <c r="K8205" s="12"/>
      <c r="L8205" s="12"/>
    </row>
    <row r="8206" spans="11:12" ht="12.75">
      <c r="K8206" s="12"/>
      <c r="L8206" s="12"/>
    </row>
    <row r="8207" spans="11:12" ht="12.75">
      <c r="K8207" s="12"/>
      <c r="L8207" s="12"/>
    </row>
    <row r="8208" spans="11:12" ht="12.75">
      <c r="K8208" s="12"/>
      <c r="L8208" s="12"/>
    </row>
    <row r="8209" spans="11:12" ht="12.75">
      <c r="K8209" s="12"/>
      <c r="L8209" s="12"/>
    </row>
    <row r="8210" spans="11:12" ht="12.75">
      <c r="K8210" s="12"/>
      <c r="L8210" s="12"/>
    </row>
    <row r="8211" spans="11:12" ht="12.75">
      <c r="K8211" s="12"/>
      <c r="L8211" s="12"/>
    </row>
    <row r="8212" spans="11:12" ht="12.75">
      <c r="K8212" s="12"/>
      <c r="L8212" s="12"/>
    </row>
    <row r="8213" spans="11:12" ht="12.75">
      <c r="K8213" s="12"/>
      <c r="L8213" s="12"/>
    </row>
    <row r="8214" spans="11:12" ht="12.75">
      <c r="K8214" s="12"/>
      <c r="L8214" s="12"/>
    </row>
    <row r="8215" spans="11:12" ht="12.75">
      <c r="K8215" s="12"/>
      <c r="L8215" s="12"/>
    </row>
    <row r="8216" spans="11:12" ht="12.75">
      <c r="K8216" s="12"/>
      <c r="L8216" s="12"/>
    </row>
    <row r="8217" spans="11:12" ht="12.75">
      <c r="K8217" s="12"/>
      <c r="L8217" s="12"/>
    </row>
    <row r="8218" spans="11:12" ht="12.75">
      <c r="K8218" s="12"/>
      <c r="L8218" s="12"/>
    </row>
    <row r="8219" spans="11:12" ht="12.75">
      <c r="K8219" s="12"/>
      <c r="L8219" s="12"/>
    </row>
    <row r="8220" spans="11:12" ht="12.75">
      <c r="K8220" s="12"/>
      <c r="L8220" s="12"/>
    </row>
    <row r="8221" spans="11:12" ht="12.75">
      <c r="K8221" s="12"/>
      <c r="L8221" s="12"/>
    </row>
    <row r="8222" spans="11:12" ht="12.75">
      <c r="K8222" s="12"/>
      <c r="L8222" s="12"/>
    </row>
    <row r="8223" spans="11:12" ht="12.75">
      <c r="K8223" s="12"/>
      <c r="L8223" s="12"/>
    </row>
    <row r="8224" spans="11:12" ht="12.75">
      <c r="K8224" s="12"/>
      <c r="L8224" s="12"/>
    </row>
    <row r="8225" spans="11:12" ht="12.75">
      <c r="K8225" s="12"/>
      <c r="L8225" s="12"/>
    </row>
    <row r="8226" spans="11:12" ht="12.75">
      <c r="K8226" s="12"/>
      <c r="L8226" s="12"/>
    </row>
    <row r="8227" spans="11:12" ht="12.75">
      <c r="K8227" s="12"/>
      <c r="L8227" s="12"/>
    </row>
    <row r="8228" spans="11:12" ht="12.75">
      <c r="K8228" s="12"/>
      <c r="L8228" s="12"/>
    </row>
    <row r="8229" spans="11:12" ht="12.75">
      <c r="K8229" s="12"/>
      <c r="L8229" s="12"/>
    </row>
    <row r="8230" spans="11:12" ht="12.75">
      <c r="K8230" s="12"/>
      <c r="L8230" s="12"/>
    </row>
    <row r="8231" spans="11:12" ht="12.75">
      <c r="K8231" s="12"/>
      <c r="L8231" s="12"/>
    </row>
    <row r="8232" spans="11:12" ht="12.75">
      <c r="K8232" s="12"/>
      <c r="L8232" s="12"/>
    </row>
    <row r="8233" spans="11:12" ht="12.75">
      <c r="K8233" s="12"/>
      <c r="L8233" s="12"/>
    </row>
    <row r="8234" spans="11:12" ht="12.75">
      <c r="K8234" s="12"/>
      <c r="L8234" s="12"/>
    </row>
    <row r="8235" spans="11:12" ht="12.75">
      <c r="K8235" s="12"/>
      <c r="L8235" s="12"/>
    </row>
    <row r="8236" spans="11:12" ht="12.75">
      <c r="K8236" s="12"/>
      <c r="L8236" s="12"/>
    </row>
    <row r="8237" spans="11:12" ht="12.75">
      <c r="K8237" s="12"/>
      <c r="L8237" s="12"/>
    </row>
    <row r="8238" spans="11:12" ht="12.75">
      <c r="K8238" s="12"/>
      <c r="L8238" s="12"/>
    </row>
    <row r="8239" spans="11:12" ht="12.75">
      <c r="K8239" s="12"/>
      <c r="L8239" s="12"/>
    </row>
    <row r="8240" spans="11:12" ht="12.75">
      <c r="K8240" s="12"/>
      <c r="L8240" s="12"/>
    </row>
    <row r="8241" spans="11:12" ht="12.75">
      <c r="K8241" s="12"/>
      <c r="L8241" s="12"/>
    </row>
    <row r="8242" spans="11:12" ht="12.75">
      <c r="K8242" s="12"/>
      <c r="L8242" s="12"/>
    </row>
    <row r="8243" spans="11:12" ht="12.75">
      <c r="K8243" s="12"/>
      <c r="L8243" s="12"/>
    </row>
    <row r="8244" spans="11:12" ht="12.75">
      <c r="K8244" s="12"/>
      <c r="L8244" s="12"/>
    </row>
    <row r="8245" spans="11:12" ht="12.75">
      <c r="K8245" s="12"/>
      <c r="L8245" s="12"/>
    </row>
    <row r="8246" spans="11:12" ht="12.75">
      <c r="K8246" s="12"/>
      <c r="L8246" s="12"/>
    </row>
    <row r="8247" spans="11:12" ht="12.75">
      <c r="K8247" s="12"/>
      <c r="L8247" s="12"/>
    </row>
    <row r="8248" spans="11:12" ht="12.75">
      <c r="K8248" s="12"/>
      <c r="L8248" s="12"/>
    </row>
    <row r="8249" spans="11:12" ht="12.75">
      <c r="K8249" s="12"/>
      <c r="L8249" s="12"/>
    </row>
    <row r="8250" spans="11:12" ht="12.75">
      <c r="K8250" s="12"/>
      <c r="L8250" s="12"/>
    </row>
    <row r="8251" spans="11:12" ht="12.75">
      <c r="K8251" s="12"/>
      <c r="L8251" s="12"/>
    </row>
    <row r="8252" spans="11:12" ht="12.75">
      <c r="K8252" s="12"/>
      <c r="L8252" s="12"/>
    </row>
    <row r="8253" spans="11:12" ht="12.75">
      <c r="K8253" s="12"/>
      <c r="L8253" s="12"/>
    </row>
    <row r="8254" spans="11:12" ht="12.75">
      <c r="K8254" s="12"/>
      <c r="L8254" s="12"/>
    </row>
    <row r="8255" spans="11:12" ht="12.75">
      <c r="K8255" s="12"/>
      <c r="L8255" s="12"/>
    </row>
    <row r="8256" spans="11:12" ht="12.75">
      <c r="K8256" s="12"/>
      <c r="L8256" s="12"/>
    </row>
    <row r="8257" spans="11:12" ht="12.75">
      <c r="K8257" s="12"/>
      <c r="L8257" s="12"/>
    </row>
    <row r="8258" spans="11:12" ht="12.75">
      <c r="K8258" s="12"/>
      <c r="L8258" s="12"/>
    </row>
    <row r="8259" spans="11:12" ht="12.75">
      <c r="K8259" s="12"/>
      <c r="L8259" s="12"/>
    </row>
    <row r="8260" spans="11:12" ht="12.75">
      <c r="K8260" s="12"/>
      <c r="L8260" s="12"/>
    </row>
    <row r="8261" spans="11:12" ht="12.75">
      <c r="K8261" s="12"/>
      <c r="L8261" s="12"/>
    </row>
    <row r="8262" spans="11:12" ht="12.75">
      <c r="K8262" s="12"/>
      <c r="L8262" s="12"/>
    </row>
    <row r="8263" spans="11:12" ht="12.75">
      <c r="K8263" s="12"/>
      <c r="L8263" s="12"/>
    </row>
    <row r="8264" spans="11:12" ht="12.75">
      <c r="K8264" s="12"/>
      <c r="L8264" s="12"/>
    </row>
    <row r="8265" spans="11:12" ht="12.75">
      <c r="K8265" s="12"/>
      <c r="L8265" s="12"/>
    </row>
    <row r="8266" spans="11:12" ht="12.75">
      <c r="K8266" s="12"/>
      <c r="L8266" s="12"/>
    </row>
    <row r="8267" spans="11:12" ht="12.75">
      <c r="K8267" s="12"/>
      <c r="L8267" s="12"/>
    </row>
    <row r="8268" spans="11:12" ht="12.75">
      <c r="K8268" s="12"/>
      <c r="L8268" s="12"/>
    </row>
    <row r="8269" spans="11:12" ht="12.75">
      <c r="K8269" s="12"/>
      <c r="L8269" s="12"/>
    </row>
    <row r="8270" spans="11:12" ht="12.75">
      <c r="K8270" s="12"/>
      <c r="L8270" s="12"/>
    </row>
    <row r="8271" spans="11:12" ht="12.75">
      <c r="K8271" s="12"/>
      <c r="L8271" s="12"/>
    </row>
    <row r="8272" spans="11:12" ht="12.75">
      <c r="K8272" s="12"/>
      <c r="L8272" s="12"/>
    </row>
    <row r="8273" spans="11:12" ht="12.75">
      <c r="K8273" s="12"/>
      <c r="L8273" s="12"/>
    </row>
    <row r="8274" spans="11:12" ht="12.75">
      <c r="K8274" s="12"/>
      <c r="L8274" s="12"/>
    </row>
    <row r="8275" spans="11:12" ht="12.75">
      <c r="K8275" s="12"/>
      <c r="L8275" s="12"/>
    </row>
    <row r="8276" spans="11:12" ht="12.75">
      <c r="K8276" s="12"/>
      <c r="L8276" s="12"/>
    </row>
    <row r="8277" spans="11:12" ht="12.75">
      <c r="K8277" s="12"/>
      <c r="L8277" s="12"/>
    </row>
    <row r="8278" spans="11:12" ht="12.75">
      <c r="K8278" s="12"/>
      <c r="L8278" s="12"/>
    </row>
    <row r="8279" spans="11:12" ht="12.75">
      <c r="K8279" s="12"/>
      <c r="L8279" s="12"/>
    </row>
    <row r="8280" spans="11:12" ht="12.75">
      <c r="K8280" s="12"/>
      <c r="L8280" s="12"/>
    </row>
    <row r="8281" spans="11:12" ht="12.75">
      <c r="K8281" s="12"/>
      <c r="L8281" s="12"/>
    </row>
    <row r="8282" spans="11:12" ht="12.75">
      <c r="K8282" s="12"/>
      <c r="L8282" s="12"/>
    </row>
    <row r="8283" spans="11:12" ht="12.75">
      <c r="K8283" s="12"/>
      <c r="L8283" s="12"/>
    </row>
    <row r="8284" spans="11:12" ht="12.75">
      <c r="K8284" s="12"/>
      <c r="L8284" s="12"/>
    </row>
    <row r="8285" spans="11:12" ht="12.75">
      <c r="K8285" s="12"/>
      <c r="L8285" s="12"/>
    </row>
    <row r="8286" spans="11:12" ht="12.75">
      <c r="K8286" s="12"/>
      <c r="L8286" s="12"/>
    </row>
    <row r="8287" spans="11:12" ht="12.75">
      <c r="K8287" s="12"/>
      <c r="L8287" s="12"/>
    </row>
    <row r="8288" spans="11:12" ht="12.75">
      <c r="K8288" s="12"/>
      <c r="L8288" s="12"/>
    </row>
    <row r="8289" spans="11:12" ht="12.75">
      <c r="K8289" s="12"/>
      <c r="L8289" s="12"/>
    </row>
    <row r="8290" spans="11:12" ht="12.75">
      <c r="K8290" s="12"/>
      <c r="L8290" s="12"/>
    </row>
    <row r="8291" spans="11:12" ht="12.75">
      <c r="K8291" s="12"/>
      <c r="L8291" s="12"/>
    </row>
    <row r="8292" spans="11:12" ht="12.75">
      <c r="K8292" s="12"/>
      <c r="L8292" s="12"/>
    </row>
    <row r="8293" spans="11:12" ht="12.75">
      <c r="K8293" s="12"/>
      <c r="L8293" s="12"/>
    </row>
    <row r="8294" spans="11:12" ht="12.75">
      <c r="K8294" s="12"/>
      <c r="L8294" s="12"/>
    </row>
    <row r="8295" spans="11:12" ht="12.75">
      <c r="K8295" s="12"/>
      <c r="L8295" s="12"/>
    </row>
    <row r="8296" spans="11:12" ht="12.75">
      <c r="K8296" s="12"/>
      <c r="L8296" s="12"/>
    </row>
    <row r="8297" spans="11:12" ht="12.75">
      <c r="K8297" s="12"/>
      <c r="L8297" s="12"/>
    </row>
    <row r="8298" spans="11:12" ht="12.75">
      <c r="K8298" s="12"/>
      <c r="L8298" s="12"/>
    </row>
    <row r="8299" spans="11:12" ht="12.75">
      <c r="K8299" s="12"/>
      <c r="L8299" s="12"/>
    </row>
    <row r="8300" spans="11:12" ht="12.75">
      <c r="K8300" s="12"/>
      <c r="L8300" s="12"/>
    </row>
    <row r="8301" spans="11:12" ht="12.75">
      <c r="K8301" s="12"/>
      <c r="L8301" s="12"/>
    </row>
    <row r="8302" spans="11:12" ht="12.75">
      <c r="K8302" s="12"/>
      <c r="L8302" s="12"/>
    </row>
    <row r="8303" spans="11:12" ht="12.75">
      <c r="K8303" s="12"/>
      <c r="L8303" s="12"/>
    </row>
    <row r="8304" spans="11:12" ht="12.75">
      <c r="K8304" s="12"/>
      <c r="L8304" s="12"/>
    </row>
    <row r="8305" spans="11:12" ht="12.75">
      <c r="K8305" s="12"/>
      <c r="L8305" s="12"/>
    </row>
    <row r="8306" spans="11:12" ht="12.75">
      <c r="K8306" s="12"/>
      <c r="L8306" s="12"/>
    </row>
    <row r="8307" spans="11:12" ht="12.75">
      <c r="K8307" s="12"/>
      <c r="L8307" s="12"/>
    </row>
    <row r="8308" spans="11:12" ht="12.75">
      <c r="K8308" s="12"/>
      <c r="L8308" s="12"/>
    </row>
    <row r="8309" spans="11:12" ht="12.75">
      <c r="K8309" s="12"/>
      <c r="L8309" s="12"/>
    </row>
    <row r="8310" spans="11:12" ht="12.75">
      <c r="K8310" s="12"/>
      <c r="L8310" s="12"/>
    </row>
    <row r="8311" spans="11:12" ht="12.75">
      <c r="K8311" s="12"/>
      <c r="L8311" s="12"/>
    </row>
    <row r="8312" spans="11:12" ht="12.75">
      <c r="K8312" s="12"/>
      <c r="L8312" s="12"/>
    </row>
    <row r="8313" spans="11:12" ht="12.75">
      <c r="K8313" s="12"/>
      <c r="L8313" s="12"/>
    </row>
    <row r="8314" spans="11:12" ht="12.75">
      <c r="K8314" s="12"/>
      <c r="L8314" s="12"/>
    </row>
    <row r="8315" spans="11:12" ht="12.75">
      <c r="K8315" s="12"/>
      <c r="L8315" s="12"/>
    </row>
    <row r="8316" spans="11:12" ht="12.75">
      <c r="K8316" s="12"/>
      <c r="L8316" s="12"/>
    </row>
    <row r="8317" spans="11:12" ht="12.75">
      <c r="K8317" s="12"/>
      <c r="L8317" s="12"/>
    </row>
    <row r="8318" spans="11:12" ht="12.75">
      <c r="K8318" s="12"/>
      <c r="L8318" s="12"/>
    </row>
    <row r="8319" spans="11:12" ht="12.75">
      <c r="K8319" s="12"/>
      <c r="L8319" s="12"/>
    </row>
    <row r="8320" spans="11:12" ht="12.75">
      <c r="K8320" s="12"/>
      <c r="L8320" s="12"/>
    </row>
    <row r="8321" spans="11:12" ht="12.75">
      <c r="K8321" s="12"/>
      <c r="L8321" s="12"/>
    </row>
    <row r="8322" spans="11:12" ht="12.75">
      <c r="K8322" s="12"/>
      <c r="L8322" s="12"/>
    </row>
    <row r="8323" spans="11:12" ht="12.75">
      <c r="K8323" s="12"/>
      <c r="L8323" s="12"/>
    </row>
    <row r="8324" spans="11:12" ht="12.75">
      <c r="K8324" s="12"/>
      <c r="L8324" s="12"/>
    </row>
    <row r="8325" spans="11:12" ht="12.75">
      <c r="K8325" s="12"/>
      <c r="L8325" s="12"/>
    </row>
    <row r="8326" spans="11:12" ht="12.75">
      <c r="K8326" s="12"/>
      <c r="L8326" s="12"/>
    </row>
    <row r="8327" spans="11:12" ht="12.75">
      <c r="K8327" s="12"/>
      <c r="L8327" s="12"/>
    </row>
    <row r="8328" spans="11:12" ht="12.75">
      <c r="K8328" s="12"/>
      <c r="L8328" s="12"/>
    </row>
    <row r="8329" spans="11:12" ht="12.75">
      <c r="K8329" s="12"/>
      <c r="L8329" s="12"/>
    </row>
    <row r="8330" spans="11:12" ht="12.75">
      <c r="K8330" s="12"/>
      <c r="L8330" s="12"/>
    </row>
    <row r="8331" spans="11:12" ht="12.75">
      <c r="K8331" s="12"/>
      <c r="L8331" s="12"/>
    </row>
    <row r="8332" spans="11:12" ht="12.75">
      <c r="K8332" s="12"/>
      <c r="L8332" s="12"/>
    </row>
    <row r="8333" spans="11:12" ht="12.75">
      <c r="K8333" s="12"/>
      <c r="L8333" s="12"/>
    </row>
    <row r="8334" spans="11:12" ht="12.75">
      <c r="K8334" s="12"/>
      <c r="L8334" s="12"/>
    </row>
    <row r="8335" spans="11:12" ht="12.75">
      <c r="K8335" s="12"/>
      <c r="L8335" s="12"/>
    </row>
    <row r="8336" spans="11:12" ht="12.75">
      <c r="K8336" s="12"/>
      <c r="L8336" s="12"/>
    </row>
    <row r="8337" spans="11:12" ht="12.75">
      <c r="K8337" s="12"/>
      <c r="L8337" s="12"/>
    </row>
    <row r="8338" spans="11:12" ht="12.75">
      <c r="K8338" s="12"/>
      <c r="L8338" s="12"/>
    </row>
    <row r="8339" spans="11:12" ht="12.75">
      <c r="K8339" s="12"/>
      <c r="L8339" s="12"/>
    </row>
    <row r="8340" spans="11:12" ht="12.75">
      <c r="K8340" s="12"/>
      <c r="L8340" s="12"/>
    </row>
    <row r="8341" spans="11:12" ht="12.75">
      <c r="K8341" s="12"/>
      <c r="L8341" s="12"/>
    </row>
    <row r="8342" spans="11:12" ht="12.75">
      <c r="K8342" s="12"/>
      <c r="L8342" s="12"/>
    </row>
    <row r="8343" spans="11:12" ht="12.75">
      <c r="K8343" s="12"/>
      <c r="L8343" s="12"/>
    </row>
    <row r="8344" spans="11:12" ht="12.75">
      <c r="K8344" s="12"/>
      <c r="L8344" s="12"/>
    </row>
    <row r="8345" spans="11:12" ht="12.75">
      <c r="K8345" s="12"/>
      <c r="L8345" s="12"/>
    </row>
    <row r="8346" spans="11:12" ht="12.75">
      <c r="K8346" s="12"/>
      <c r="L8346" s="12"/>
    </row>
    <row r="8347" spans="11:12" ht="12.75">
      <c r="K8347" s="12"/>
      <c r="L8347" s="12"/>
    </row>
    <row r="8348" spans="11:12" ht="12.75">
      <c r="K8348" s="12"/>
      <c r="L8348" s="12"/>
    </row>
    <row r="8349" spans="11:12" ht="12.75">
      <c r="K8349" s="12"/>
      <c r="L8349" s="12"/>
    </row>
    <row r="8350" spans="11:12" ht="12.75">
      <c r="K8350" s="12"/>
      <c r="L8350" s="12"/>
    </row>
    <row r="8351" spans="11:12" ht="12.75">
      <c r="K8351" s="12"/>
      <c r="L8351" s="12"/>
    </row>
    <row r="8352" spans="11:12" ht="12.75">
      <c r="K8352" s="12"/>
      <c r="L8352" s="12"/>
    </row>
    <row r="8353" spans="11:12" ht="12.75">
      <c r="K8353" s="12"/>
      <c r="L8353" s="12"/>
    </row>
    <row r="8354" spans="11:12" ht="12.75">
      <c r="K8354" s="12"/>
      <c r="L8354" s="12"/>
    </row>
    <row r="8355" spans="11:12" ht="12.75">
      <c r="K8355" s="12"/>
      <c r="L8355" s="12"/>
    </row>
    <row r="8356" spans="11:12" ht="12.75">
      <c r="K8356" s="12"/>
      <c r="L8356" s="12"/>
    </row>
    <row r="8357" spans="11:12" ht="12.75">
      <c r="K8357" s="12"/>
      <c r="L8357" s="12"/>
    </row>
    <row r="8358" spans="11:12" ht="12.75">
      <c r="K8358" s="12"/>
      <c r="L8358" s="12"/>
    </row>
    <row r="8359" spans="11:12" ht="12.75">
      <c r="K8359" s="12"/>
      <c r="L8359" s="12"/>
    </row>
    <row r="8360" spans="11:12" ht="12.75">
      <c r="K8360" s="12"/>
      <c r="L8360" s="12"/>
    </row>
    <row r="8361" spans="11:12" ht="12.75">
      <c r="K8361" s="12"/>
      <c r="L8361" s="12"/>
    </row>
    <row r="8362" spans="11:12" ht="12.75">
      <c r="K8362" s="12"/>
      <c r="L8362" s="12"/>
    </row>
    <row r="8363" spans="11:12" ht="12.75">
      <c r="K8363" s="12"/>
      <c r="L8363" s="12"/>
    </row>
    <row r="8364" spans="11:12" ht="12.75">
      <c r="K8364" s="12"/>
      <c r="L8364" s="12"/>
    </row>
    <row r="8365" spans="11:12" ht="12.75">
      <c r="K8365" s="12"/>
      <c r="L8365" s="12"/>
    </row>
    <row r="8366" spans="11:12" ht="12.75">
      <c r="K8366" s="12"/>
      <c r="L8366" s="12"/>
    </row>
    <row r="8367" spans="11:12" ht="12.75">
      <c r="K8367" s="12"/>
      <c r="L8367" s="12"/>
    </row>
    <row r="8368" spans="11:12" ht="12.75">
      <c r="K8368" s="12"/>
      <c r="L8368" s="12"/>
    </row>
    <row r="8369" spans="11:12" ht="12.75">
      <c r="K8369" s="12"/>
      <c r="L8369" s="12"/>
    </row>
    <row r="8370" spans="11:12" ht="12.75">
      <c r="K8370" s="12"/>
      <c r="L8370" s="12"/>
    </row>
    <row r="8371" spans="11:12" ht="12.75">
      <c r="K8371" s="12"/>
      <c r="L8371" s="12"/>
    </row>
    <row r="8372" spans="11:12" ht="12.75">
      <c r="K8372" s="12"/>
      <c r="L8372" s="12"/>
    </row>
    <row r="8373" spans="11:12" ht="12.75">
      <c r="K8373" s="12"/>
      <c r="L8373" s="12"/>
    </row>
    <row r="8374" spans="11:12" ht="12.75">
      <c r="K8374" s="12"/>
      <c r="L8374" s="12"/>
    </row>
    <row r="8375" spans="11:12" ht="12.75">
      <c r="K8375" s="12"/>
      <c r="L8375" s="12"/>
    </row>
    <row r="8376" spans="11:12" ht="12.75">
      <c r="K8376" s="12"/>
      <c r="L8376" s="12"/>
    </row>
    <row r="8377" spans="11:12" ht="12.75">
      <c r="K8377" s="12"/>
      <c r="L8377" s="12"/>
    </row>
    <row r="8378" spans="11:12" ht="12.75">
      <c r="K8378" s="12"/>
      <c r="L8378" s="12"/>
    </row>
    <row r="8379" spans="11:12" ht="12.75">
      <c r="K8379" s="12"/>
      <c r="L8379" s="12"/>
    </row>
    <row r="8380" spans="11:12" ht="12.75">
      <c r="K8380" s="12"/>
      <c r="L8380" s="12"/>
    </row>
    <row r="8381" spans="11:12" ht="12.75">
      <c r="K8381" s="12"/>
      <c r="L8381" s="12"/>
    </row>
    <row r="8382" spans="11:12" ht="12.75">
      <c r="K8382" s="12"/>
      <c r="L8382" s="12"/>
    </row>
    <row r="8383" spans="11:12" ht="12.75">
      <c r="K8383" s="12"/>
      <c r="L8383" s="12"/>
    </row>
    <row r="8384" spans="11:12" ht="12.75">
      <c r="K8384" s="12"/>
      <c r="L8384" s="12"/>
    </row>
    <row r="8385" spans="11:12" ht="12.75">
      <c r="K8385" s="12"/>
      <c r="L8385" s="12"/>
    </row>
    <row r="8386" spans="11:12" ht="12.75">
      <c r="K8386" s="12"/>
      <c r="L8386" s="12"/>
    </row>
    <row r="8387" spans="11:12" ht="12.75">
      <c r="K8387" s="12"/>
      <c r="L8387" s="12"/>
    </row>
    <row r="8388" spans="11:12" ht="12.75">
      <c r="K8388" s="12"/>
      <c r="L8388" s="12"/>
    </row>
    <row r="8389" spans="11:12" ht="12.75">
      <c r="K8389" s="12"/>
      <c r="L8389" s="12"/>
    </row>
    <row r="8390" spans="11:12" ht="12.75">
      <c r="K8390" s="12"/>
      <c r="L8390" s="12"/>
    </row>
    <row r="8391" spans="11:12" ht="12.75">
      <c r="K8391" s="12"/>
      <c r="L8391" s="12"/>
    </row>
    <row r="8392" spans="11:12" ht="12.75">
      <c r="K8392" s="12"/>
      <c r="L8392" s="12"/>
    </row>
    <row r="8393" spans="11:12" ht="12.75">
      <c r="K8393" s="12"/>
      <c r="L8393" s="12"/>
    </row>
    <row r="8394" spans="11:12" ht="12.75">
      <c r="K8394" s="12"/>
      <c r="L8394" s="12"/>
    </row>
    <row r="8395" spans="11:12" ht="12.75">
      <c r="K8395" s="12"/>
      <c r="L8395" s="12"/>
    </row>
    <row r="8396" spans="11:12" ht="12.75">
      <c r="K8396" s="12"/>
      <c r="L8396" s="12"/>
    </row>
    <row r="8397" spans="11:12" ht="12.75">
      <c r="K8397" s="12"/>
      <c r="L8397" s="12"/>
    </row>
    <row r="8398" spans="11:12" ht="12.75">
      <c r="K8398" s="12"/>
      <c r="L8398" s="12"/>
    </row>
    <row r="8399" spans="11:12" ht="12.75">
      <c r="K8399" s="12"/>
      <c r="L8399" s="12"/>
    </row>
    <row r="8400" spans="11:12" ht="12.75">
      <c r="K8400" s="12"/>
      <c r="L8400" s="12"/>
    </row>
    <row r="8401" spans="11:12" ht="12.75">
      <c r="K8401" s="12"/>
      <c r="L8401" s="12"/>
    </row>
    <row r="8402" spans="11:12" ht="12.75">
      <c r="K8402" s="12"/>
      <c r="L8402" s="12"/>
    </row>
    <row r="8403" spans="11:12" ht="12.75">
      <c r="K8403" s="12"/>
      <c r="L8403" s="12"/>
    </row>
    <row r="8404" spans="11:12" ht="12.75">
      <c r="K8404" s="12"/>
      <c r="L8404" s="12"/>
    </row>
    <row r="8405" spans="11:12" ht="12.75">
      <c r="K8405" s="12"/>
      <c r="L8405" s="12"/>
    </row>
    <row r="8406" spans="11:12" ht="12.75">
      <c r="K8406" s="12"/>
      <c r="L8406" s="12"/>
    </row>
    <row r="8407" spans="11:12" ht="12.75">
      <c r="K8407" s="12"/>
      <c r="L8407" s="12"/>
    </row>
    <row r="8408" spans="11:12" ht="12.75">
      <c r="K8408" s="12"/>
      <c r="L8408" s="12"/>
    </row>
    <row r="8409" spans="11:12" ht="12.75">
      <c r="K8409" s="12"/>
      <c r="L8409" s="12"/>
    </row>
    <row r="8410" spans="11:12" ht="12.75">
      <c r="K8410" s="12"/>
      <c r="L8410" s="12"/>
    </row>
    <row r="8411" spans="11:12" ht="12.75">
      <c r="K8411" s="12"/>
      <c r="L8411" s="12"/>
    </row>
    <row r="8412" spans="11:12" ht="12.75">
      <c r="K8412" s="12"/>
      <c r="L8412" s="12"/>
    </row>
    <row r="8413" spans="11:12" ht="12.75">
      <c r="K8413" s="12"/>
      <c r="L8413" s="12"/>
    </row>
    <row r="8414" spans="11:12" ht="12.75">
      <c r="K8414" s="12"/>
      <c r="L8414" s="12"/>
    </row>
    <row r="8415" spans="11:12" ht="12.75">
      <c r="K8415" s="12"/>
      <c r="L8415" s="12"/>
    </row>
    <row r="8416" spans="11:12" ht="12.75">
      <c r="K8416" s="12"/>
      <c r="L8416" s="12"/>
    </row>
    <row r="8417" spans="11:12" ht="12.75">
      <c r="K8417" s="12"/>
      <c r="L8417" s="12"/>
    </row>
    <row r="8418" spans="11:12" ht="12.75">
      <c r="K8418" s="12"/>
      <c r="L8418" s="12"/>
    </row>
    <row r="8419" spans="11:12" ht="12.75">
      <c r="K8419" s="12"/>
      <c r="L8419" s="12"/>
    </row>
    <row r="8420" spans="11:12" ht="12.75">
      <c r="K8420" s="12"/>
      <c r="L8420" s="12"/>
    </row>
    <row r="8421" spans="11:12" ht="12.75">
      <c r="K8421" s="12"/>
      <c r="L8421" s="12"/>
    </row>
    <row r="8422" spans="11:12" ht="12.75">
      <c r="K8422" s="12"/>
      <c r="L8422" s="12"/>
    </row>
    <row r="8423" spans="11:12" ht="12.75">
      <c r="K8423" s="12"/>
      <c r="L8423" s="12"/>
    </row>
    <row r="8424" spans="11:12" ht="12.75">
      <c r="K8424" s="12"/>
      <c r="L8424" s="12"/>
    </row>
    <row r="8425" spans="11:12" ht="12.75">
      <c r="K8425" s="12"/>
      <c r="L8425" s="12"/>
    </row>
    <row r="8426" spans="11:12" ht="12.75">
      <c r="K8426" s="12"/>
      <c r="L8426" s="12"/>
    </row>
    <row r="8427" spans="11:12" ht="12.75">
      <c r="K8427" s="12"/>
      <c r="L8427" s="12"/>
    </row>
    <row r="8428" spans="11:12" ht="12.75">
      <c r="K8428" s="12"/>
      <c r="L8428" s="12"/>
    </row>
    <row r="8429" spans="11:12" ht="12.75">
      <c r="K8429" s="12"/>
      <c r="L8429" s="12"/>
    </row>
    <row r="8430" spans="11:12" ht="12.75">
      <c r="K8430" s="12"/>
      <c r="L8430" s="12"/>
    </row>
    <row r="8431" spans="11:12" ht="12.75">
      <c r="K8431" s="12"/>
      <c r="L8431" s="12"/>
    </row>
    <row r="8432" spans="11:12" ht="12.75">
      <c r="K8432" s="12"/>
      <c r="L8432" s="12"/>
    </row>
    <row r="8433" spans="11:12" ht="12.75">
      <c r="K8433" s="12"/>
      <c r="L8433" s="12"/>
    </row>
    <row r="8434" spans="11:12" ht="12.75">
      <c r="K8434" s="12"/>
      <c r="L8434" s="12"/>
    </row>
    <row r="8435" spans="11:12" ht="12.75">
      <c r="K8435" s="12"/>
      <c r="L8435" s="12"/>
    </row>
    <row r="8436" spans="11:12" ht="12.75">
      <c r="K8436" s="12"/>
      <c r="L8436" s="12"/>
    </row>
    <row r="8437" spans="11:12" ht="12.75">
      <c r="K8437" s="12"/>
      <c r="L8437" s="12"/>
    </row>
    <row r="8438" spans="11:12" ht="12.75">
      <c r="K8438" s="12"/>
      <c r="L8438" s="12"/>
    </row>
    <row r="8439" spans="11:12" ht="12.75">
      <c r="K8439" s="12"/>
      <c r="L8439" s="12"/>
    </row>
    <row r="8440" spans="11:12" ht="12.75">
      <c r="K8440" s="12"/>
      <c r="L8440" s="12"/>
    </row>
    <row r="8441" spans="11:12" ht="12.75">
      <c r="K8441" s="12"/>
      <c r="L8441" s="12"/>
    </row>
    <row r="8442" spans="11:12" ht="12.75">
      <c r="K8442" s="12"/>
      <c r="L8442" s="12"/>
    </row>
    <row r="8443" spans="11:12" ht="12.75">
      <c r="K8443" s="12"/>
      <c r="L8443" s="12"/>
    </row>
    <row r="8444" spans="11:12" ht="12.75">
      <c r="K8444" s="12"/>
      <c r="L8444" s="12"/>
    </row>
    <row r="8445" spans="11:12" ht="12.75">
      <c r="K8445" s="12"/>
      <c r="L8445" s="12"/>
    </row>
    <row r="8446" spans="11:12" ht="12.75">
      <c r="K8446" s="12"/>
      <c r="L8446" s="12"/>
    </row>
    <row r="8447" spans="11:12" ht="12.75">
      <c r="K8447" s="12"/>
      <c r="L8447" s="12"/>
    </row>
    <row r="8448" spans="11:12" ht="12.75">
      <c r="K8448" s="12"/>
      <c r="L8448" s="12"/>
    </row>
    <row r="8449" spans="11:12" ht="12.75">
      <c r="K8449" s="12"/>
      <c r="L8449" s="12"/>
    </row>
    <row r="8450" spans="11:12" ht="12.75">
      <c r="K8450" s="12"/>
      <c r="L8450" s="12"/>
    </row>
    <row r="8451" spans="11:12" ht="12.75">
      <c r="K8451" s="12"/>
      <c r="L8451" s="12"/>
    </row>
    <row r="8452" spans="11:12" ht="12.75">
      <c r="K8452" s="12"/>
      <c r="L8452" s="12"/>
    </row>
    <row r="8453" spans="11:12" ht="12.75">
      <c r="K8453" s="12"/>
      <c r="L8453" s="12"/>
    </row>
    <row r="8454" spans="11:12" ht="12.75">
      <c r="K8454" s="12"/>
      <c r="L8454" s="12"/>
    </row>
    <row r="8455" spans="11:12" ht="12.75">
      <c r="K8455" s="12"/>
      <c r="L8455" s="12"/>
    </row>
    <row r="8456" spans="11:12" ht="12.75">
      <c r="K8456" s="12"/>
      <c r="L8456" s="12"/>
    </row>
    <row r="8457" spans="11:12" ht="12.75">
      <c r="K8457" s="12"/>
      <c r="L8457" s="12"/>
    </row>
    <row r="8458" spans="11:12" ht="12.75">
      <c r="K8458" s="12"/>
      <c r="L8458" s="12"/>
    </row>
    <row r="8459" spans="11:12" ht="12.75">
      <c r="K8459" s="12"/>
      <c r="L8459" s="12"/>
    </row>
    <row r="8460" spans="11:12" ht="12.75">
      <c r="K8460" s="12"/>
      <c r="L8460" s="12"/>
    </row>
    <row r="8461" spans="11:12" ht="12.75">
      <c r="K8461" s="12"/>
      <c r="L8461" s="12"/>
    </row>
    <row r="8462" spans="11:12" ht="12.75">
      <c r="K8462" s="12"/>
      <c r="L8462" s="12"/>
    </row>
    <row r="8463" spans="11:12" ht="12.75">
      <c r="K8463" s="12"/>
      <c r="L8463" s="12"/>
    </row>
    <row r="8464" spans="11:12" ht="12.75">
      <c r="K8464" s="12"/>
      <c r="L8464" s="12"/>
    </row>
    <row r="8465" spans="11:12" ht="12.75">
      <c r="K8465" s="12"/>
      <c r="L8465" s="12"/>
    </row>
    <row r="8466" spans="11:12" ht="12.75">
      <c r="K8466" s="12"/>
      <c r="L8466" s="12"/>
    </row>
    <row r="8467" spans="11:12" ht="12.75">
      <c r="K8467" s="12"/>
      <c r="L8467" s="12"/>
    </row>
    <row r="8468" spans="11:12" ht="12.75">
      <c r="K8468" s="12"/>
      <c r="L8468" s="12"/>
    </row>
    <row r="8469" spans="11:12" ht="12.75">
      <c r="K8469" s="12"/>
      <c r="L8469" s="12"/>
    </row>
    <row r="8470" spans="11:12" ht="12.75">
      <c r="K8470" s="12"/>
      <c r="L8470" s="12"/>
    </row>
    <row r="8471" spans="11:12" ht="12.75">
      <c r="K8471" s="12"/>
      <c r="L8471" s="12"/>
    </row>
    <row r="8472" spans="11:12" ht="12.75">
      <c r="K8472" s="12"/>
      <c r="L8472" s="12"/>
    </row>
    <row r="8473" spans="11:12" ht="12.75">
      <c r="K8473" s="12"/>
      <c r="L8473" s="12"/>
    </row>
    <row r="8474" spans="11:12" ht="12.75">
      <c r="K8474" s="12"/>
      <c r="L8474" s="12"/>
    </row>
    <row r="8475" spans="11:12" ht="12.75">
      <c r="K8475" s="12"/>
      <c r="L8475" s="12"/>
    </row>
    <row r="8476" spans="11:12" ht="12.75">
      <c r="K8476" s="12"/>
      <c r="L8476" s="12"/>
    </row>
    <row r="8477" spans="11:12" ht="12.75">
      <c r="K8477" s="12"/>
      <c r="L8477" s="12"/>
    </row>
    <row r="8478" spans="11:12" ht="12.75">
      <c r="K8478" s="12"/>
      <c r="L8478" s="12"/>
    </row>
    <row r="8479" spans="11:12" ht="12.75">
      <c r="K8479" s="12"/>
      <c r="L8479" s="12"/>
    </row>
    <row r="8480" spans="11:12" ht="12.75">
      <c r="K8480" s="12"/>
      <c r="L8480" s="12"/>
    </row>
    <row r="8481" spans="11:12" ht="12.75">
      <c r="K8481" s="12"/>
      <c r="L8481" s="12"/>
    </row>
    <row r="8482" spans="11:12" ht="12.75">
      <c r="K8482" s="12"/>
      <c r="L8482" s="12"/>
    </row>
    <row r="8483" spans="11:12" ht="12.75">
      <c r="K8483" s="12"/>
      <c r="L8483" s="12"/>
    </row>
    <row r="8484" spans="11:12" ht="12.75">
      <c r="K8484" s="12"/>
      <c r="L8484" s="12"/>
    </row>
    <row r="8485" spans="11:12" ht="12.75">
      <c r="K8485" s="12"/>
      <c r="L8485" s="12"/>
    </row>
    <row r="8486" spans="11:12" ht="12.75">
      <c r="K8486" s="12"/>
      <c r="L8486" s="12"/>
    </row>
    <row r="8487" spans="11:12" ht="12.75">
      <c r="K8487" s="12"/>
      <c r="L8487" s="12"/>
    </row>
    <row r="8488" spans="11:12" ht="12.75">
      <c r="K8488" s="12"/>
      <c r="L8488" s="12"/>
    </row>
    <row r="8489" spans="11:12" ht="12.75">
      <c r="K8489" s="12"/>
      <c r="L8489" s="12"/>
    </row>
    <row r="8490" spans="11:12" ht="12.75">
      <c r="K8490" s="12"/>
      <c r="L8490" s="12"/>
    </row>
    <row r="8491" spans="11:12" ht="12.75">
      <c r="K8491" s="12"/>
      <c r="L8491" s="12"/>
    </row>
    <row r="8492" spans="11:12" ht="12.75">
      <c r="K8492" s="12"/>
      <c r="L8492" s="12"/>
    </row>
    <row r="8493" spans="11:12" ht="12.75">
      <c r="K8493" s="12"/>
      <c r="L8493" s="12"/>
    </row>
    <row r="8494" spans="11:12" ht="12.75">
      <c r="K8494" s="12"/>
      <c r="L8494" s="12"/>
    </row>
    <row r="8495" spans="11:12" ht="12.75">
      <c r="K8495" s="12"/>
      <c r="L8495" s="12"/>
    </row>
    <row r="8496" spans="11:12" ht="12.75">
      <c r="K8496" s="12"/>
      <c r="L8496" s="12"/>
    </row>
    <row r="8497" spans="11:12" ht="12.75">
      <c r="K8497" s="12"/>
      <c r="L8497" s="12"/>
    </row>
    <row r="8498" spans="11:12" ht="12.75">
      <c r="K8498" s="12"/>
      <c r="L8498" s="12"/>
    </row>
    <row r="8499" spans="11:12" ht="12.75">
      <c r="K8499" s="12"/>
      <c r="L8499" s="12"/>
    </row>
    <row r="8500" spans="11:12" ht="12.75">
      <c r="K8500" s="12"/>
      <c r="L8500" s="12"/>
    </row>
    <row r="8501" spans="11:12" ht="12.75">
      <c r="K8501" s="12"/>
      <c r="L8501" s="12"/>
    </row>
    <row r="8502" spans="11:12" ht="12.75">
      <c r="K8502" s="12"/>
      <c r="L8502" s="12"/>
    </row>
    <row r="8503" spans="11:12" ht="12.75">
      <c r="K8503" s="12"/>
      <c r="L8503" s="12"/>
    </row>
    <row r="8504" spans="11:12" ht="12.75">
      <c r="K8504" s="12"/>
      <c r="L8504" s="12"/>
    </row>
    <row r="8505" spans="11:12" ht="12.75">
      <c r="K8505" s="12"/>
      <c r="L8505" s="12"/>
    </row>
    <row r="8506" spans="11:12" ht="12.75">
      <c r="K8506" s="12"/>
      <c r="L8506" s="12"/>
    </row>
    <row r="8507" spans="11:12" ht="12.75">
      <c r="K8507" s="12"/>
      <c r="L8507" s="12"/>
    </row>
    <row r="8508" spans="11:12" ht="12.75">
      <c r="K8508" s="12"/>
      <c r="L8508" s="12"/>
    </row>
    <row r="8509" spans="11:12" ht="12.75">
      <c r="K8509" s="12"/>
      <c r="L8509" s="12"/>
    </row>
    <row r="8510" spans="11:12" ht="12.75">
      <c r="K8510" s="12"/>
      <c r="L8510" s="12"/>
    </row>
    <row r="8511" spans="11:12" ht="12.75">
      <c r="K8511" s="12"/>
      <c r="L8511" s="12"/>
    </row>
    <row r="8512" spans="11:12" ht="12.75">
      <c r="K8512" s="12"/>
      <c r="L8512" s="12"/>
    </row>
    <row r="8513" spans="11:12" ht="12.75">
      <c r="K8513" s="12"/>
      <c r="L8513" s="12"/>
    </row>
    <row r="8514" spans="11:12" ht="12.75">
      <c r="K8514" s="12"/>
      <c r="L8514" s="12"/>
    </row>
    <row r="8515" spans="11:12" ht="12.75">
      <c r="K8515" s="12"/>
      <c r="L8515" s="12"/>
    </row>
    <row r="8516" spans="11:12" ht="12.75">
      <c r="K8516" s="12"/>
      <c r="L8516" s="12"/>
    </row>
    <row r="8517" spans="11:12" ht="12.75">
      <c r="K8517" s="12"/>
      <c r="L8517" s="12"/>
    </row>
    <row r="8518" spans="11:12" ht="12.75">
      <c r="K8518" s="12"/>
      <c r="L8518" s="12"/>
    </row>
    <row r="8519" spans="11:12" ht="12.75">
      <c r="K8519" s="12"/>
      <c r="L8519" s="12"/>
    </row>
    <row r="8520" spans="11:12" ht="12.75">
      <c r="K8520" s="12"/>
      <c r="L8520" s="12"/>
    </row>
    <row r="8521" spans="11:12" ht="12.75">
      <c r="K8521" s="12"/>
      <c r="L8521" s="12"/>
    </row>
    <row r="8522" spans="11:12" ht="12.75">
      <c r="K8522" s="12"/>
      <c r="L8522" s="12"/>
    </row>
    <row r="8523" spans="11:12" ht="12.75">
      <c r="K8523" s="12"/>
      <c r="L8523" s="12"/>
    </row>
    <row r="8524" spans="11:12" ht="12.75">
      <c r="K8524" s="12"/>
      <c r="L8524" s="12"/>
    </row>
    <row r="8525" spans="11:12" ht="12.75">
      <c r="K8525" s="12"/>
      <c r="L8525" s="12"/>
    </row>
    <row r="8526" spans="11:12" ht="12.75">
      <c r="K8526" s="12"/>
      <c r="L8526" s="12"/>
    </row>
    <row r="8527" spans="11:12" ht="12.75">
      <c r="K8527" s="12"/>
      <c r="L8527" s="12"/>
    </row>
    <row r="8528" spans="11:12" ht="12.75">
      <c r="K8528" s="12"/>
      <c r="L8528" s="12"/>
    </row>
    <row r="8529" spans="11:12" ht="12.75">
      <c r="K8529" s="12"/>
      <c r="L8529" s="12"/>
    </row>
    <row r="8530" spans="11:12" ht="12.75">
      <c r="K8530" s="12"/>
      <c r="L8530" s="12"/>
    </row>
    <row r="8531" spans="11:12" ht="12.75">
      <c r="K8531" s="12"/>
      <c r="L8531" s="12"/>
    </row>
    <row r="8532" spans="11:12" ht="12.75">
      <c r="K8532" s="12"/>
      <c r="L8532" s="12"/>
    </row>
    <row r="8533" spans="11:12" ht="12.75">
      <c r="K8533" s="12"/>
      <c r="L8533" s="12"/>
    </row>
    <row r="8534" spans="11:12" ht="12.75">
      <c r="K8534" s="12"/>
      <c r="L8534" s="12"/>
    </row>
    <row r="8535" spans="11:12" ht="12.75">
      <c r="K8535" s="12"/>
      <c r="L8535" s="12"/>
    </row>
    <row r="8536" spans="11:12" ht="12.75">
      <c r="K8536" s="12"/>
      <c r="L8536" s="12"/>
    </row>
    <row r="8537" spans="11:12" ht="12.75">
      <c r="K8537" s="12"/>
      <c r="L8537" s="12"/>
    </row>
    <row r="8538" spans="11:12" ht="12.75">
      <c r="K8538" s="12"/>
      <c r="L8538" s="12"/>
    </row>
    <row r="8539" spans="11:12" ht="12.75">
      <c r="K8539" s="12"/>
      <c r="L8539" s="12"/>
    </row>
    <row r="8540" spans="11:12" ht="12.75">
      <c r="K8540" s="12"/>
      <c r="L8540" s="12"/>
    </row>
    <row r="8541" spans="11:12" ht="12.75">
      <c r="K8541" s="12"/>
      <c r="L8541" s="12"/>
    </row>
    <row r="8542" spans="11:12" ht="12.75">
      <c r="K8542" s="12"/>
      <c r="L8542" s="12"/>
    </row>
    <row r="8543" spans="11:12" ht="12.75">
      <c r="K8543" s="12"/>
      <c r="L8543" s="12"/>
    </row>
    <row r="8544" spans="11:12" ht="12.75">
      <c r="K8544" s="12"/>
      <c r="L8544" s="12"/>
    </row>
    <row r="8545" spans="11:12" ht="12.75">
      <c r="K8545" s="12"/>
      <c r="L8545" s="12"/>
    </row>
    <row r="8546" spans="11:12" ht="12.75">
      <c r="K8546" s="12"/>
      <c r="L8546" s="12"/>
    </row>
    <row r="8547" spans="11:12" ht="12.75">
      <c r="K8547" s="12"/>
      <c r="L8547" s="12"/>
    </row>
    <row r="8548" spans="11:12" ht="12.75">
      <c r="K8548" s="12"/>
      <c r="L8548" s="12"/>
    </row>
    <row r="8549" spans="11:12" ht="12.75">
      <c r="K8549" s="12"/>
      <c r="L8549" s="12"/>
    </row>
    <row r="8550" spans="11:12" ht="12.75">
      <c r="K8550" s="12"/>
      <c r="L8550" s="12"/>
    </row>
    <row r="8551" spans="11:12" ht="12.75">
      <c r="K8551" s="12"/>
      <c r="L8551" s="12"/>
    </row>
    <row r="8552" spans="11:12" ht="12.75">
      <c r="K8552" s="12"/>
      <c r="L8552" s="12"/>
    </row>
    <row r="8553" spans="11:12" ht="12.75">
      <c r="K8553" s="12"/>
      <c r="L8553" s="12"/>
    </row>
    <row r="8554" spans="11:12" ht="12.75">
      <c r="K8554" s="12"/>
      <c r="L8554" s="12"/>
    </row>
    <row r="8555" spans="11:12" ht="12.75">
      <c r="K8555" s="12"/>
      <c r="L8555" s="12"/>
    </row>
    <row r="8556" spans="11:12" ht="12.75">
      <c r="K8556" s="12"/>
      <c r="L8556" s="12"/>
    </row>
    <row r="8557" spans="11:12" ht="12.75">
      <c r="K8557" s="12"/>
      <c r="L8557" s="12"/>
    </row>
    <row r="8558" spans="11:12" ht="12.75">
      <c r="K8558" s="12"/>
      <c r="L8558" s="12"/>
    </row>
    <row r="8559" spans="11:12" ht="12.75">
      <c r="K8559" s="12"/>
      <c r="L8559" s="12"/>
    </row>
    <row r="8560" spans="11:12" ht="12.75">
      <c r="K8560" s="12"/>
      <c r="L8560" s="12"/>
    </row>
    <row r="8561" spans="11:12" ht="12.75">
      <c r="K8561" s="12"/>
      <c r="L8561" s="12"/>
    </row>
    <row r="8562" spans="11:12" ht="12.75">
      <c r="K8562" s="12"/>
      <c r="L8562" s="12"/>
    </row>
    <row r="8563" spans="11:12" ht="12.75">
      <c r="K8563" s="12"/>
      <c r="L8563" s="12"/>
    </row>
    <row r="8564" spans="11:12" ht="12.75">
      <c r="K8564" s="12"/>
      <c r="L8564" s="12"/>
    </row>
    <row r="8565" spans="11:12" ht="12.75">
      <c r="K8565" s="12"/>
      <c r="L8565" s="12"/>
    </row>
    <row r="8566" spans="11:12" ht="12.75">
      <c r="K8566" s="12"/>
      <c r="L8566" s="12"/>
    </row>
    <row r="8567" spans="11:12" ht="12.75">
      <c r="K8567" s="12"/>
      <c r="L8567" s="12"/>
    </row>
    <row r="8568" spans="11:12" ht="12.75">
      <c r="K8568" s="12"/>
      <c r="L8568" s="12"/>
    </row>
    <row r="8569" spans="11:12" ht="12.75">
      <c r="K8569" s="12"/>
      <c r="L8569" s="12"/>
    </row>
    <row r="8570" spans="11:12" ht="12.75">
      <c r="K8570" s="12"/>
      <c r="L8570" s="12"/>
    </row>
    <row r="8571" spans="11:12" ht="12.75">
      <c r="K8571" s="12"/>
      <c r="L8571" s="12"/>
    </row>
    <row r="8572" spans="11:12" ht="12.75">
      <c r="K8572" s="12"/>
      <c r="L8572" s="12"/>
    </row>
    <row r="8573" spans="11:12" ht="12.75">
      <c r="K8573" s="12"/>
      <c r="L8573" s="12"/>
    </row>
    <row r="8574" spans="11:12" ht="12.75">
      <c r="K8574" s="12"/>
      <c r="L8574" s="12"/>
    </row>
    <row r="8575" spans="11:12" ht="12.75">
      <c r="K8575" s="12"/>
      <c r="L8575" s="12"/>
    </row>
    <row r="8576" spans="11:12" ht="12.75">
      <c r="K8576" s="12"/>
      <c r="L8576" s="12"/>
    </row>
    <row r="8577" spans="11:12" ht="12.75">
      <c r="K8577" s="12"/>
      <c r="L8577" s="12"/>
    </row>
    <row r="8578" spans="11:12" ht="12.75">
      <c r="K8578" s="12"/>
      <c r="L8578" s="12"/>
    </row>
    <row r="8579" spans="11:12" ht="12.75">
      <c r="K8579" s="12"/>
      <c r="L8579" s="12"/>
    </row>
    <row r="8580" spans="11:12" ht="12.75">
      <c r="K8580" s="12"/>
      <c r="L8580" s="12"/>
    </row>
    <row r="8581" spans="11:12" ht="12.75">
      <c r="K8581" s="12"/>
      <c r="L8581" s="12"/>
    </row>
    <row r="8582" spans="11:12" ht="12.75">
      <c r="K8582" s="12"/>
      <c r="L8582" s="12"/>
    </row>
    <row r="8583" spans="11:12" ht="12.75">
      <c r="K8583" s="12"/>
      <c r="L8583" s="12"/>
    </row>
    <row r="8584" spans="11:12" ht="12.75">
      <c r="K8584" s="12"/>
      <c r="L8584" s="12"/>
    </row>
    <row r="8585" spans="11:12" ht="12.75">
      <c r="K8585" s="12"/>
      <c r="L8585" s="12"/>
    </row>
    <row r="8586" spans="11:12" ht="12.75">
      <c r="K8586" s="12"/>
      <c r="L8586" s="12"/>
    </row>
    <row r="8587" spans="11:12" ht="12.75">
      <c r="K8587" s="12"/>
      <c r="L8587" s="12"/>
    </row>
    <row r="8588" spans="11:12" ht="12.75">
      <c r="K8588" s="12"/>
      <c r="L8588" s="12"/>
    </row>
    <row r="8589" spans="11:12" ht="12.75">
      <c r="K8589" s="12"/>
      <c r="L8589" s="12"/>
    </row>
    <row r="8590" spans="11:12" ht="12.75">
      <c r="K8590" s="12"/>
      <c r="L8590" s="12"/>
    </row>
    <row r="8591" spans="11:12" ht="12.75">
      <c r="K8591" s="12"/>
      <c r="L8591" s="12"/>
    </row>
    <row r="8592" spans="11:12" ht="12.75">
      <c r="K8592" s="12"/>
      <c r="L8592" s="12"/>
    </row>
    <row r="8593" spans="11:12" ht="12.75">
      <c r="K8593" s="12"/>
      <c r="L8593" s="12"/>
    </row>
    <row r="8594" spans="11:12" ht="12.75">
      <c r="K8594" s="12"/>
      <c r="L8594" s="12"/>
    </row>
    <row r="8595" spans="11:12" ht="12.75">
      <c r="K8595" s="12"/>
      <c r="L8595" s="12"/>
    </row>
    <row r="8596" spans="11:12" ht="12.75">
      <c r="K8596" s="12"/>
      <c r="L8596" s="12"/>
    </row>
    <row r="8597" spans="11:12" ht="12.75">
      <c r="K8597" s="12"/>
      <c r="L8597" s="12"/>
    </row>
    <row r="8598" spans="11:12" ht="12.75">
      <c r="K8598" s="12"/>
      <c r="L8598" s="12"/>
    </row>
    <row r="8599" spans="11:12" ht="12.75">
      <c r="K8599" s="12"/>
      <c r="L8599" s="12"/>
    </row>
    <row r="8600" spans="11:12" ht="12.75">
      <c r="K8600" s="12"/>
      <c r="L8600" s="12"/>
    </row>
    <row r="8601" spans="11:12" ht="12.75">
      <c r="K8601" s="12"/>
      <c r="L8601" s="12"/>
    </row>
    <row r="8602" spans="11:12" ht="12.75">
      <c r="K8602" s="12"/>
      <c r="L8602" s="12"/>
    </row>
    <row r="8603" spans="11:12" ht="12.75">
      <c r="K8603" s="12"/>
      <c r="L8603" s="12"/>
    </row>
    <row r="8604" spans="11:12" ht="12.75">
      <c r="K8604" s="12"/>
      <c r="L8604" s="12"/>
    </row>
    <row r="8605" spans="11:12" ht="12.75">
      <c r="K8605" s="12"/>
      <c r="L8605" s="12"/>
    </row>
    <row r="8606" spans="11:12" ht="12.75">
      <c r="K8606" s="12"/>
      <c r="L8606" s="12"/>
    </row>
    <row r="8607" spans="11:12" ht="12.75">
      <c r="K8607" s="12"/>
      <c r="L8607" s="12"/>
    </row>
    <row r="8608" spans="11:12" ht="12.75">
      <c r="K8608" s="12"/>
      <c r="L8608" s="12"/>
    </row>
    <row r="8609" spans="11:12" ht="12.75">
      <c r="K8609" s="12"/>
      <c r="L8609" s="12"/>
    </row>
    <row r="8610" spans="11:12" ht="12.75">
      <c r="K8610" s="12"/>
      <c r="L8610" s="12"/>
    </row>
    <row r="8611" spans="11:12" ht="12.75">
      <c r="K8611" s="12"/>
      <c r="L8611" s="12"/>
    </row>
    <row r="8612" spans="11:12" ht="12.75">
      <c r="K8612" s="12"/>
      <c r="L8612" s="12"/>
    </row>
    <row r="8613" spans="11:12" ht="12.75">
      <c r="K8613" s="12"/>
      <c r="L8613" s="12"/>
    </row>
    <row r="8614" spans="11:12" ht="12.75">
      <c r="K8614" s="12"/>
      <c r="L8614" s="12"/>
    </row>
    <row r="8615" spans="11:12" ht="12.75">
      <c r="K8615" s="12"/>
      <c r="L8615" s="12"/>
    </row>
    <row r="8616" spans="11:12" ht="12.75">
      <c r="K8616" s="12"/>
      <c r="L8616" s="12"/>
    </row>
    <row r="8617" spans="11:12" ht="12.75">
      <c r="K8617" s="12"/>
      <c r="L8617" s="12"/>
    </row>
    <row r="8618" spans="11:12" ht="12.75">
      <c r="K8618" s="12"/>
      <c r="L8618" s="12"/>
    </row>
    <row r="8619" spans="11:12" ht="12.75">
      <c r="K8619" s="12"/>
      <c r="L8619" s="12"/>
    </row>
    <row r="8620" spans="11:12" ht="12.75">
      <c r="K8620" s="12"/>
      <c r="L8620" s="12"/>
    </row>
    <row r="8621" spans="11:12" ht="12.75">
      <c r="K8621" s="12"/>
      <c r="L8621" s="12"/>
    </row>
    <row r="8622" spans="11:12" ht="12.75">
      <c r="K8622" s="12"/>
      <c r="L8622" s="12"/>
    </row>
    <row r="8623" spans="11:12" ht="12.75">
      <c r="K8623" s="12"/>
      <c r="L8623" s="12"/>
    </row>
    <row r="8624" spans="11:12" ht="12.75">
      <c r="K8624" s="12"/>
      <c r="L8624" s="12"/>
    </row>
    <row r="8625" spans="11:12" ht="12.75">
      <c r="K8625" s="12"/>
      <c r="L8625" s="12"/>
    </row>
    <row r="8626" spans="11:12" ht="12.75">
      <c r="K8626" s="12"/>
      <c r="L8626" s="12"/>
    </row>
    <row r="8627" spans="11:12" ht="12.75">
      <c r="K8627" s="12"/>
      <c r="L8627" s="12"/>
    </row>
    <row r="8628" spans="11:12" ht="12.75">
      <c r="K8628" s="12"/>
      <c r="L8628" s="12"/>
    </row>
    <row r="8629" spans="11:12" ht="12.75">
      <c r="K8629" s="12"/>
      <c r="L8629" s="12"/>
    </row>
    <row r="8630" spans="11:12" ht="12.75">
      <c r="K8630" s="12"/>
      <c r="L8630" s="12"/>
    </row>
    <row r="8631" spans="11:12" ht="12.75">
      <c r="K8631" s="12"/>
      <c r="L8631" s="12"/>
    </row>
    <row r="8632" spans="11:12" ht="12.75">
      <c r="K8632" s="12"/>
      <c r="L8632" s="12"/>
    </row>
    <row r="8633" spans="11:12" ht="12.75">
      <c r="K8633" s="12"/>
      <c r="L8633" s="12"/>
    </row>
    <row r="8634" spans="11:12" ht="12.75">
      <c r="K8634" s="12"/>
      <c r="L8634" s="12"/>
    </row>
    <row r="8635" spans="11:12" ht="12.75">
      <c r="K8635" s="12"/>
      <c r="L8635" s="12"/>
    </row>
    <row r="8636" spans="11:12" ht="12.75">
      <c r="K8636" s="12"/>
      <c r="L8636" s="12"/>
    </row>
    <row r="8637" spans="11:12" ht="12.75">
      <c r="K8637" s="12"/>
      <c r="L8637" s="12"/>
    </row>
    <row r="8638" spans="11:12" ht="12.75">
      <c r="K8638" s="12"/>
      <c r="L8638" s="12"/>
    </row>
    <row r="8639" spans="11:12" ht="12.75">
      <c r="K8639" s="12"/>
      <c r="L8639" s="12"/>
    </row>
    <row r="8640" spans="11:12" ht="12.75">
      <c r="K8640" s="12"/>
      <c r="L8640" s="12"/>
    </row>
    <row r="8641" spans="11:12" ht="12.75">
      <c r="K8641" s="12"/>
      <c r="L8641" s="12"/>
    </row>
    <row r="8642" spans="11:12" ht="12.75">
      <c r="K8642" s="12"/>
      <c r="L8642" s="12"/>
    </row>
    <row r="8643" spans="11:12" ht="12.75">
      <c r="K8643" s="12"/>
      <c r="L8643" s="12"/>
    </row>
    <row r="8644" spans="11:12" ht="12.75">
      <c r="K8644" s="12"/>
      <c r="L8644" s="12"/>
    </row>
    <row r="8645" spans="11:12" ht="12.75">
      <c r="K8645" s="12"/>
      <c r="L8645" s="12"/>
    </row>
    <row r="8646" spans="11:12" ht="12.75">
      <c r="K8646" s="12"/>
      <c r="L8646" s="12"/>
    </row>
    <row r="8647" spans="11:12" ht="12.75">
      <c r="K8647" s="12"/>
      <c r="L8647" s="12"/>
    </row>
    <row r="8648" spans="11:12" ht="12.75">
      <c r="K8648" s="12"/>
      <c r="L8648" s="12"/>
    </row>
    <row r="8649" spans="11:12" ht="12.75">
      <c r="K8649" s="12"/>
      <c r="L8649" s="12"/>
    </row>
    <row r="8650" spans="11:12" ht="12.75">
      <c r="K8650" s="12"/>
      <c r="L8650" s="12"/>
    </row>
    <row r="8651" spans="11:12" ht="12.75">
      <c r="K8651" s="12"/>
      <c r="L8651" s="12"/>
    </row>
    <row r="8652" spans="11:12" ht="12.75">
      <c r="K8652" s="12"/>
      <c r="L8652" s="12"/>
    </row>
    <row r="8653" spans="11:12" ht="12.75">
      <c r="K8653" s="12"/>
      <c r="L8653" s="12"/>
    </row>
    <row r="8654" spans="11:12" ht="12.75">
      <c r="K8654" s="12"/>
      <c r="L8654" s="12"/>
    </row>
    <row r="8655" spans="11:12" ht="12.75">
      <c r="K8655" s="12"/>
      <c r="L8655" s="12"/>
    </row>
    <row r="8656" spans="11:12" ht="12.75">
      <c r="K8656" s="12"/>
      <c r="L8656" s="12"/>
    </row>
    <row r="8657" spans="11:12" ht="12.75">
      <c r="K8657" s="12"/>
      <c r="L8657" s="12"/>
    </row>
    <row r="8658" spans="11:12" ht="12.75">
      <c r="K8658" s="12"/>
      <c r="L8658" s="12"/>
    </row>
    <row r="8659" spans="11:12" ht="12.75">
      <c r="K8659" s="12"/>
      <c r="L8659" s="12"/>
    </row>
    <row r="8660" spans="11:12" ht="12.75">
      <c r="K8660" s="12"/>
      <c r="L8660" s="12"/>
    </row>
    <row r="8661" spans="11:12" ht="12.75">
      <c r="K8661" s="12"/>
      <c r="L8661" s="12"/>
    </row>
    <row r="8662" spans="11:12" ht="12.75">
      <c r="K8662" s="12"/>
      <c r="L8662" s="12"/>
    </row>
    <row r="8663" spans="11:12" ht="12.75">
      <c r="K8663" s="12"/>
      <c r="L8663" s="12"/>
    </row>
    <row r="8664" spans="11:12" ht="12.75">
      <c r="K8664" s="12"/>
      <c r="L8664" s="12"/>
    </row>
    <row r="8665" spans="11:12" ht="12.75">
      <c r="K8665" s="12"/>
      <c r="L8665" s="12"/>
    </row>
    <row r="8666" spans="11:12" ht="12.75">
      <c r="K8666" s="12"/>
      <c r="L8666" s="12"/>
    </row>
    <row r="8667" spans="11:12" ht="12.75">
      <c r="K8667" s="12"/>
      <c r="L8667" s="12"/>
    </row>
    <row r="8668" spans="11:12" ht="12.75">
      <c r="K8668" s="12"/>
      <c r="L8668" s="12"/>
    </row>
    <row r="8669" spans="11:12" ht="12.75">
      <c r="K8669" s="12"/>
      <c r="L8669" s="12"/>
    </row>
    <row r="8670" spans="11:12" ht="12.75">
      <c r="K8670" s="12"/>
      <c r="L8670" s="12"/>
    </row>
    <row r="8671" spans="11:12" ht="12.75">
      <c r="K8671" s="12"/>
      <c r="L8671" s="12"/>
    </row>
    <row r="8672" spans="11:12" ht="12.75">
      <c r="K8672" s="12"/>
      <c r="L8672" s="12"/>
    </row>
    <row r="8673" spans="11:12" ht="12.75">
      <c r="K8673" s="12"/>
      <c r="L8673" s="12"/>
    </row>
    <row r="8674" spans="11:12" ht="12.75">
      <c r="K8674" s="12"/>
      <c r="L8674" s="12"/>
    </row>
    <row r="8675" spans="11:12" ht="12.75">
      <c r="K8675" s="12"/>
      <c r="L8675" s="12"/>
    </row>
    <row r="8676" spans="11:12" ht="12.75">
      <c r="K8676" s="12"/>
      <c r="L8676" s="12"/>
    </row>
    <row r="8677" spans="11:12" ht="12.75">
      <c r="K8677" s="12"/>
      <c r="L8677" s="12"/>
    </row>
    <row r="8678" spans="11:12" ht="12.75">
      <c r="K8678" s="12"/>
      <c r="L8678" s="12"/>
    </row>
    <row r="8679" spans="11:12" ht="12.75">
      <c r="K8679" s="12"/>
      <c r="L8679" s="12"/>
    </row>
    <row r="8680" spans="11:12" ht="12.75">
      <c r="K8680" s="12"/>
      <c r="L8680" s="12"/>
    </row>
    <row r="8681" spans="11:12" ht="12.75">
      <c r="K8681" s="12"/>
      <c r="L8681" s="12"/>
    </row>
    <row r="8682" spans="11:12" ht="12.75">
      <c r="K8682" s="12"/>
      <c r="L8682" s="12"/>
    </row>
    <row r="8683" spans="11:12" ht="12.75">
      <c r="K8683" s="12"/>
      <c r="L8683" s="12"/>
    </row>
    <row r="8684" spans="11:12" ht="12.75">
      <c r="K8684" s="12"/>
      <c r="L8684" s="12"/>
    </row>
    <row r="8685" spans="11:12" ht="12.75">
      <c r="K8685" s="12"/>
      <c r="L8685" s="12"/>
    </row>
    <row r="8686" spans="11:12" ht="12.75">
      <c r="K8686" s="12"/>
      <c r="L8686" s="12"/>
    </row>
    <row r="8687" spans="11:12" ht="12.75">
      <c r="K8687" s="12"/>
      <c r="L8687" s="12"/>
    </row>
    <row r="8688" spans="11:12" ht="12.75">
      <c r="K8688" s="12"/>
      <c r="L8688" s="12"/>
    </row>
    <row r="8689" spans="11:12" ht="12.75">
      <c r="K8689" s="12"/>
      <c r="L8689" s="12"/>
    </row>
    <row r="8690" spans="11:12" ht="12.75">
      <c r="K8690" s="12"/>
      <c r="L8690" s="12"/>
    </row>
    <row r="8691" spans="11:12" ht="12.75">
      <c r="K8691" s="12"/>
      <c r="L8691" s="12"/>
    </row>
    <row r="8692" spans="11:12" ht="12.75">
      <c r="K8692" s="12"/>
      <c r="L8692" s="12"/>
    </row>
    <row r="8693" spans="11:12" ht="12.75">
      <c r="K8693" s="12"/>
      <c r="L8693" s="12"/>
    </row>
    <row r="8694" spans="11:12" ht="12.75">
      <c r="K8694" s="12"/>
      <c r="L8694" s="12"/>
    </row>
    <row r="8695" spans="11:12" ht="12.75">
      <c r="K8695" s="12"/>
      <c r="L8695" s="12"/>
    </row>
    <row r="8696" spans="11:12" ht="12.75">
      <c r="K8696" s="12"/>
      <c r="L8696" s="12"/>
    </row>
    <row r="8697" spans="11:12" ht="12.75">
      <c r="K8697" s="12"/>
      <c r="L8697" s="12"/>
    </row>
    <row r="8698" spans="11:12" ht="12.75">
      <c r="K8698" s="12"/>
      <c r="L8698" s="12"/>
    </row>
    <row r="8699" spans="11:12" ht="12.75">
      <c r="K8699" s="12"/>
      <c r="L8699" s="12"/>
    </row>
    <row r="8700" spans="11:12" ht="12.75">
      <c r="K8700" s="12"/>
      <c r="L8700" s="12"/>
    </row>
    <row r="8701" spans="11:12" ht="12.75">
      <c r="K8701" s="12"/>
      <c r="L8701" s="12"/>
    </row>
    <row r="8702" spans="11:12" ht="12.75">
      <c r="K8702" s="12"/>
      <c r="L8702" s="12"/>
    </row>
    <row r="8703" spans="11:12" ht="12.75">
      <c r="K8703" s="12"/>
      <c r="L8703" s="12"/>
    </row>
    <row r="8704" spans="11:12" ht="12.75">
      <c r="K8704" s="12"/>
      <c r="L8704" s="12"/>
    </row>
    <row r="8705" spans="11:12" ht="12.75">
      <c r="K8705" s="12"/>
      <c r="L8705" s="12"/>
    </row>
    <row r="8706" spans="11:12" ht="12.75">
      <c r="K8706" s="12"/>
      <c r="L8706" s="12"/>
    </row>
    <row r="8707" spans="11:12" ht="12.75">
      <c r="K8707" s="12"/>
      <c r="L8707" s="12"/>
    </row>
    <row r="8708" spans="11:12" ht="12.75">
      <c r="K8708" s="12"/>
      <c r="L8708" s="12"/>
    </row>
    <row r="8709" spans="11:12" ht="12.75">
      <c r="K8709" s="12"/>
      <c r="L8709" s="12"/>
    </row>
    <row r="8710" spans="11:12" ht="12.75">
      <c r="K8710" s="12"/>
      <c r="L8710" s="12"/>
    </row>
    <row r="8711" spans="11:12" ht="12.75">
      <c r="K8711" s="12"/>
      <c r="L8711" s="12"/>
    </row>
    <row r="8712" spans="11:12" ht="12.75">
      <c r="K8712" s="12"/>
      <c r="L8712" s="12"/>
    </row>
    <row r="8713" spans="11:12" ht="12.75">
      <c r="K8713" s="12"/>
      <c r="L8713" s="12"/>
    </row>
    <row r="8714" spans="11:12" ht="12.75">
      <c r="K8714" s="12"/>
      <c r="L8714" s="12"/>
    </row>
    <row r="8715" spans="11:12" ht="12.75">
      <c r="K8715" s="12"/>
      <c r="L8715" s="12"/>
    </row>
    <row r="8716" spans="11:12" ht="12.75">
      <c r="K8716" s="12"/>
      <c r="L8716" s="12"/>
    </row>
    <row r="8717" spans="11:12" ht="12.75">
      <c r="K8717" s="12"/>
      <c r="L8717" s="12"/>
    </row>
    <row r="8718" spans="11:12" ht="12.75">
      <c r="K8718" s="12"/>
      <c r="L8718" s="12"/>
    </row>
    <row r="8719" spans="11:12" ht="12.75">
      <c r="K8719" s="12"/>
      <c r="L8719" s="12"/>
    </row>
    <row r="8720" spans="11:12" ht="12.75">
      <c r="K8720" s="12"/>
      <c r="L8720" s="12"/>
    </row>
    <row r="8721" spans="11:12" ht="12.75">
      <c r="K8721" s="12"/>
      <c r="L8721" s="12"/>
    </row>
    <row r="8722" spans="11:12" ht="12.75">
      <c r="K8722" s="12"/>
      <c r="L8722" s="12"/>
    </row>
    <row r="8723" spans="11:12" ht="12.75">
      <c r="K8723" s="12"/>
      <c r="L8723" s="12"/>
    </row>
    <row r="8724" spans="11:12" ht="12.75">
      <c r="K8724" s="12"/>
      <c r="L8724" s="12"/>
    </row>
    <row r="8725" spans="11:12" ht="12.75">
      <c r="K8725" s="12"/>
      <c r="L8725" s="12"/>
    </row>
    <row r="8726" spans="11:12" ht="12.75">
      <c r="K8726" s="12"/>
      <c r="L8726" s="12"/>
    </row>
    <row r="8727" spans="11:12" ht="12.75">
      <c r="K8727" s="12"/>
      <c r="L8727" s="12"/>
    </row>
    <row r="8728" spans="11:12" ht="12.75">
      <c r="K8728" s="12"/>
      <c r="L8728" s="12"/>
    </row>
    <row r="8729" spans="11:12" ht="12.75">
      <c r="K8729" s="12"/>
      <c r="L8729" s="12"/>
    </row>
    <row r="8730" spans="11:12" ht="12.75">
      <c r="K8730" s="12"/>
      <c r="L8730" s="12"/>
    </row>
    <row r="8731" spans="11:12" ht="12.75">
      <c r="K8731" s="12"/>
      <c r="L8731" s="12"/>
    </row>
    <row r="8732" spans="11:12" ht="12.75">
      <c r="K8732" s="12"/>
      <c r="L8732" s="12"/>
    </row>
    <row r="8733" spans="11:12" ht="12.75">
      <c r="K8733" s="12"/>
      <c r="L8733" s="12"/>
    </row>
    <row r="8734" spans="11:12" ht="12.75">
      <c r="K8734" s="12"/>
      <c r="L8734" s="12"/>
    </row>
    <row r="8735" spans="11:12" ht="12.75">
      <c r="K8735" s="12"/>
      <c r="L8735" s="12"/>
    </row>
    <row r="8736" spans="11:12" ht="12.75">
      <c r="K8736" s="12"/>
      <c r="L8736" s="12"/>
    </row>
    <row r="8737" spans="11:12" ht="12.75">
      <c r="K8737" s="12"/>
      <c r="L8737" s="12"/>
    </row>
    <row r="8738" spans="11:12" ht="12.75">
      <c r="K8738" s="12"/>
      <c r="L8738" s="12"/>
    </row>
    <row r="8739" spans="11:12" ht="12.75">
      <c r="K8739" s="12"/>
      <c r="L8739" s="12"/>
    </row>
    <row r="8740" spans="11:12" ht="12.75">
      <c r="K8740" s="12"/>
      <c r="L8740" s="12"/>
    </row>
    <row r="8741" spans="11:12" ht="12.75">
      <c r="K8741" s="12"/>
      <c r="L8741" s="12"/>
    </row>
    <row r="8742" spans="11:12" ht="12.75">
      <c r="K8742" s="12"/>
      <c r="L8742" s="12"/>
    </row>
    <row r="8743" spans="11:12" ht="12.75">
      <c r="K8743" s="12"/>
      <c r="L8743" s="12"/>
    </row>
    <row r="8744" spans="11:12" ht="12.75">
      <c r="K8744" s="12"/>
      <c r="L8744" s="12"/>
    </row>
    <row r="8745" spans="11:12" ht="12.75">
      <c r="K8745" s="12"/>
      <c r="L8745" s="12"/>
    </row>
    <row r="8746" spans="11:12" ht="12.75">
      <c r="K8746" s="12"/>
      <c r="L8746" s="12"/>
    </row>
    <row r="8747" spans="11:12" ht="12.75">
      <c r="K8747" s="12"/>
      <c r="L8747" s="12"/>
    </row>
    <row r="8748" spans="11:12" ht="12.75">
      <c r="K8748" s="12"/>
      <c r="L8748" s="12"/>
    </row>
    <row r="8749" spans="11:12" ht="12.75">
      <c r="K8749" s="12"/>
      <c r="L8749" s="12"/>
    </row>
    <row r="8750" spans="11:12" ht="12.75">
      <c r="K8750" s="12"/>
      <c r="L8750" s="12"/>
    </row>
    <row r="8751" spans="11:12" ht="12.75">
      <c r="K8751" s="12"/>
      <c r="L8751" s="12"/>
    </row>
    <row r="8752" spans="11:12" ht="12.75">
      <c r="K8752" s="12"/>
      <c r="L8752" s="12"/>
    </row>
    <row r="8753" spans="11:12" ht="12.75">
      <c r="K8753" s="12"/>
      <c r="L8753" s="12"/>
    </row>
    <row r="8754" spans="11:12" ht="12.75">
      <c r="K8754" s="12"/>
      <c r="L8754" s="12"/>
    </row>
    <row r="8755" spans="11:12" ht="12.75">
      <c r="K8755" s="12"/>
      <c r="L8755" s="12"/>
    </row>
    <row r="8756" spans="11:12" ht="12.75">
      <c r="K8756" s="12"/>
      <c r="L8756" s="12"/>
    </row>
    <row r="8757" spans="11:12" ht="12.75">
      <c r="K8757" s="12"/>
      <c r="L8757" s="12"/>
    </row>
    <row r="8758" spans="11:12" ht="12.75">
      <c r="K8758" s="12"/>
      <c r="L8758" s="12"/>
    </row>
    <row r="8759" spans="11:12" ht="12.75">
      <c r="K8759" s="12"/>
      <c r="L8759" s="12"/>
    </row>
    <row r="8760" spans="11:12" ht="12.75">
      <c r="K8760" s="12"/>
      <c r="L8760" s="12"/>
    </row>
    <row r="8761" spans="11:12" ht="12.75">
      <c r="K8761" s="12"/>
      <c r="L8761" s="12"/>
    </row>
    <row r="8762" spans="11:12" ht="12.75">
      <c r="K8762" s="12"/>
      <c r="L8762" s="12"/>
    </row>
    <row r="8763" spans="11:12" ht="12.75">
      <c r="K8763" s="12"/>
      <c r="L8763" s="12"/>
    </row>
    <row r="8764" spans="11:12" ht="12.75">
      <c r="K8764" s="12"/>
      <c r="L8764" s="12"/>
    </row>
    <row r="8765" spans="11:12" ht="12.75">
      <c r="K8765" s="12"/>
      <c r="L8765" s="12"/>
    </row>
    <row r="8766" spans="11:12" ht="12.75">
      <c r="K8766" s="12"/>
      <c r="L8766" s="12"/>
    </row>
    <row r="8767" spans="11:12" ht="12.75">
      <c r="K8767" s="12"/>
      <c r="L8767" s="12"/>
    </row>
    <row r="8768" spans="11:12" ht="12.75">
      <c r="K8768" s="12"/>
      <c r="L8768" s="12"/>
    </row>
    <row r="8769" spans="11:12" ht="12.75">
      <c r="K8769" s="12"/>
      <c r="L8769" s="12"/>
    </row>
    <row r="8770" spans="11:12" ht="12.75">
      <c r="K8770" s="12"/>
      <c r="L8770" s="12"/>
    </row>
    <row r="8771" spans="11:12" ht="12.75">
      <c r="K8771" s="12"/>
      <c r="L8771" s="12"/>
    </row>
    <row r="8772" spans="11:12" ht="12.75">
      <c r="K8772" s="12"/>
      <c r="L8772" s="12"/>
    </row>
    <row r="8773" spans="11:12" ht="12.75">
      <c r="K8773" s="12"/>
      <c r="L8773" s="12"/>
    </row>
    <row r="8774" spans="11:12" ht="12.75">
      <c r="K8774" s="12"/>
      <c r="L8774" s="12"/>
    </row>
    <row r="8775" spans="11:12" ht="12.75">
      <c r="K8775" s="12"/>
      <c r="L8775" s="12"/>
    </row>
    <row r="8776" spans="11:12" ht="12.75">
      <c r="K8776" s="12"/>
      <c r="L8776" s="12"/>
    </row>
    <row r="8777" spans="11:12" ht="12.75">
      <c r="K8777" s="12"/>
      <c r="L8777" s="12"/>
    </row>
    <row r="8778" spans="11:12" ht="12.75">
      <c r="K8778" s="12"/>
      <c r="L8778" s="12"/>
    </row>
    <row r="8779" spans="11:12" ht="12.75">
      <c r="K8779" s="12"/>
      <c r="L8779" s="12"/>
    </row>
    <row r="8780" spans="11:12" ht="12.75">
      <c r="K8780" s="12"/>
      <c r="L8780" s="12"/>
    </row>
    <row r="8781" spans="11:12" ht="12.75">
      <c r="K8781" s="12"/>
      <c r="L8781" s="12"/>
    </row>
    <row r="8782" spans="11:12" ht="12.75">
      <c r="K8782" s="12"/>
      <c r="L8782" s="12"/>
    </row>
    <row r="8783" spans="11:12" ht="12.75">
      <c r="K8783" s="12"/>
      <c r="L8783" s="12"/>
    </row>
    <row r="8784" spans="11:12" ht="12.75">
      <c r="K8784" s="12"/>
      <c r="L8784" s="12"/>
    </row>
    <row r="8785" spans="11:12" ht="12.75">
      <c r="K8785" s="12"/>
      <c r="L8785" s="12"/>
    </row>
    <row r="8786" spans="11:12" ht="12.75">
      <c r="K8786" s="12"/>
      <c r="L8786" s="12"/>
    </row>
    <row r="8787" spans="11:12" ht="12.75">
      <c r="K8787" s="12"/>
      <c r="L8787" s="12"/>
    </row>
    <row r="8788" spans="11:12" ht="12.75">
      <c r="K8788" s="12"/>
      <c r="L8788" s="12"/>
    </row>
    <row r="8789" spans="11:12" ht="12.75">
      <c r="K8789" s="12"/>
      <c r="L8789" s="12"/>
    </row>
    <row r="8790" spans="11:12" ht="12.75">
      <c r="K8790" s="12"/>
      <c r="L8790" s="12"/>
    </row>
    <row r="8791" spans="11:12" ht="12.75">
      <c r="K8791" s="12"/>
      <c r="L8791" s="12"/>
    </row>
    <row r="8792" spans="11:12" ht="12.75">
      <c r="K8792" s="12"/>
      <c r="L8792" s="12"/>
    </row>
    <row r="8793" spans="11:12" ht="12.75">
      <c r="K8793" s="12"/>
      <c r="L8793" s="12"/>
    </row>
    <row r="8794" spans="11:12" ht="12.75">
      <c r="K8794" s="12"/>
      <c r="L8794" s="12"/>
    </row>
    <row r="8795" spans="11:12" ht="12.75">
      <c r="K8795" s="12"/>
      <c r="L8795" s="12"/>
    </row>
    <row r="8796" spans="11:12" ht="12.75">
      <c r="K8796" s="12"/>
      <c r="L8796" s="12"/>
    </row>
    <row r="8797" spans="11:12" ht="12.75">
      <c r="K8797" s="12"/>
      <c r="L8797" s="12"/>
    </row>
    <row r="8798" spans="11:12" ht="12.75">
      <c r="K8798" s="12"/>
      <c r="L8798" s="12"/>
    </row>
    <row r="8799" spans="11:12" ht="12.75">
      <c r="K8799" s="12"/>
      <c r="L8799" s="12"/>
    </row>
    <row r="8800" spans="11:12" ht="12.75">
      <c r="K8800" s="12"/>
      <c r="L8800" s="12"/>
    </row>
    <row r="8801" spans="11:12" ht="12.75">
      <c r="K8801" s="12"/>
      <c r="L8801" s="12"/>
    </row>
    <row r="8802" spans="11:12" ht="12.75">
      <c r="K8802" s="12"/>
      <c r="L8802" s="12"/>
    </row>
    <row r="8803" spans="11:12" ht="12.75">
      <c r="K8803" s="12"/>
      <c r="L8803" s="12"/>
    </row>
    <row r="8804" spans="11:12" ht="12.75">
      <c r="K8804" s="12"/>
      <c r="L8804" s="12"/>
    </row>
    <row r="8805" spans="11:12" ht="12.75">
      <c r="K8805" s="12"/>
      <c r="L8805" s="12"/>
    </row>
    <row r="8806" spans="11:12" ht="12.75">
      <c r="K8806" s="12"/>
      <c r="L8806" s="12"/>
    </row>
    <row r="8807" spans="11:12" ht="12.75">
      <c r="K8807" s="12"/>
      <c r="L8807" s="12"/>
    </row>
    <row r="8808" spans="11:12" ht="12.75">
      <c r="K8808" s="12"/>
      <c r="L8808" s="12"/>
    </row>
    <row r="8809" spans="11:12" ht="12.75">
      <c r="K8809" s="12"/>
      <c r="L8809" s="12"/>
    </row>
    <row r="8810" spans="11:12" ht="12.75">
      <c r="K8810" s="12"/>
      <c r="L8810" s="12"/>
    </row>
    <row r="8811" spans="11:12" ht="12.75">
      <c r="K8811" s="12"/>
      <c r="L8811" s="12"/>
    </row>
    <row r="8812" spans="11:12" ht="12.75">
      <c r="K8812" s="12"/>
      <c r="L8812" s="12"/>
    </row>
    <row r="8813" spans="11:12" ht="12.75">
      <c r="K8813" s="12"/>
      <c r="L8813" s="12"/>
    </row>
    <row r="8814" spans="11:12" ht="12.75">
      <c r="K8814" s="12"/>
      <c r="L8814" s="12"/>
    </row>
    <row r="8815" spans="11:12" ht="12.75">
      <c r="K8815" s="12"/>
      <c r="L8815" s="12"/>
    </row>
    <row r="8816" spans="11:12" ht="12.75">
      <c r="K8816" s="12"/>
      <c r="L8816" s="12"/>
    </row>
    <row r="8817" spans="11:12" ht="12.75">
      <c r="K8817" s="12"/>
      <c r="L8817" s="12"/>
    </row>
    <row r="8818" spans="11:12" ht="12.75">
      <c r="K8818" s="12"/>
      <c r="L8818" s="12"/>
    </row>
    <row r="8819" spans="11:12" ht="12.75">
      <c r="K8819" s="12"/>
      <c r="L8819" s="12"/>
    </row>
    <row r="8820" spans="11:12" ht="12.75">
      <c r="K8820" s="12"/>
      <c r="L8820" s="12"/>
    </row>
    <row r="8821" spans="11:12" ht="12.75">
      <c r="K8821" s="12"/>
      <c r="L8821" s="12"/>
    </row>
    <row r="8822" spans="11:12" ht="12.75">
      <c r="K8822" s="12"/>
      <c r="L8822" s="12"/>
    </row>
    <row r="8823" spans="11:12" ht="12.75">
      <c r="K8823" s="12"/>
      <c r="L8823" s="12"/>
    </row>
    <row r="8824" spans="11:12" ht="12.75">
      <c r="K8824" s="12"/>
      <c r="L8824" s="12"/>
    </row>
    <row r="8825" spans="11:12" ht="12.75">
      <c r="K8825" s="12"/>
      <c r="L8825" s="12"/>
    </row>
    <row r="8826" spans="11:12" ht="12.75">
      <c r="K8826" s="12"/>
      <c r="L8826" s="12"/>
    </row>
    <row r="8827" spans="11:12" ht="12.75">
      <c r="K8827" s="12"/>
      <c r="L8827" s="12"/>
    </row>
    <row r="8828" spans="11:12" ht="12.75">
      <c r="K8828" s="12"/>
      <c r="L8828" s="12"/>
    </row>
    <row r="8829" spans="11:12" ht="12.75">
      <c r="K8829" s="12"/>
      <c r="L8829" s="12"/>
    </row>
    <row r="8830" spans="11:12" ht="12.75">
      <c r="K8830" s="12"/>
      <c r="L8830" s="12"/>
    </row>
    <row r="8831" spans="11:12" ht="12.75">
      <c r="K8831" s="12"/>
      <c r="L8831" s="12"/>
    </row>
    <row r="8832" spans="11:12" ht="12.75">
      <c r="K8832" s="12"/>
      <c r="L8832" s="12"/>
    </row>
    <row r="8833" spans="11:12" ht="12.75">
      <c r="K8833" s="12"/>
      <c r="L8833" s="12"/>
    </row>
    <row r="8834" spans="11:12" ht="12.75">
      <c r="K8834" s="12"/>
      <c r="L8834" s="12"/>
    </row>
    <row r="8835" spans="11:12" ht="12.75">
      <c r="K8835" s="12"/>
      <c r="L8835" s="12"/>
    </row>
    <row r="8836" spans="11:12" ht="12.75">
      <c r="K8836" s="12"/>
      <c r="L8836" s="12"/>
    </row>
    <row r="8837" spans="11:12" ht="12.75">
      <c r="K8837" s="12"/>
      <c r="L8837" s="12"/>
    </row>
    <row r="8838" spans="11:12" ht="12.75">
      <c r="K8838" s="12"/>
      <c r="L8838" s="12"/>
    </row>
    <row r="8839" spans="11:12" ht="12.75">
      <c r="K8839" s="12"/>
      <c r="L8839" s="12"/>
    </row>
    <row r="8840" spans="11:12" ht="12.75">
      <c r="K8840" s="12"/>
      <c r="L8840" s="12"/>
    </row>
    <row r="8841" spans="11:12" ht="12.75">
      <c r="K8841" s="12"/>
      <c r="L8841" s="12"/>
    </row>
    <row r="8842" spans="11:12" ht="12.75">
      <c r="K8842" s="12"/>
      <c r="L8842" s="12"/>
    </row>
    <row r="8843" spans="11:12" ht="12.75">
      <c r="K8843" s="12"/>
      <c r="L8843" s="12"/>
    </row>
    <row r="8844" spans="11:12" ht="12.75">
      <c r="K8844" s="12"/>
      <c r="L8844" s="12"/>
    </row>
    <row r="8845" spans="11:12" ht="12.75">
      <c r="K8845" s="12"/>
      <c r="L8845" s="12"/>
    </row>
    <row r="8846" spans="11:12" ht="12.75">
      <c r="K8846" s="12"/>
      <c r="L8846" s="12"/>
    </row>
    <row r="8847" spans="11:12" ht="12.75">
      <c r="K8847" s="12"/>
      <c r="L8847" s="12"/>
    </row>
    <row r="8848" spans="11:12" ht="12.75">
      <c r="K8848" s="12"/>
      <c r="L8848" s="12"/>
    </row>
    <row r="8849" spans="11:12" ht="12.75">
      <c r="K8849" s="12"/>
      <c r="L8849" s="12"/>
    </row>
    <row r="8850" spans="11:12" ht="12.75">
      <c r="K8850" s="12"/>
      <c r="L8850" s="12"/>
    </row>
    <row r="8851" spans="11:12" ht="12.75">
      <c r="K8851" s="12"/>
      <c r="L8851" s="12"/>
    </row>
    <row r="8852" spans="11:12" ht="12.75">
      <c r="K8852" s="12"/>
      <c r="L8852" s="12"/>
    </row>
    <row r="8853" spans="11:12" ht="12.75">
      <c r="K8853" s="12"/>
      <c r="L8853" s="12"/>
    </row>
    <row r="8854" spans="11:12" ht="12.75">
      <c r="K8854" s="12"/>
      <c r="L8854" s="12"/>
    </row>
    <row r="8855" spans="11:12" ht="12.75">
      <c r="K8855" s="12"/>
      <c r="L8855" s="12"/>
    </row>
    <row r="8856" spans="11:12" ht="12.75">
      <c r="K8856" s="12"/>
      <c r="L8856" s="12"/>
    </row>
    <row r="8857" spans="11:12" ht="12.75">
      <c r="K8857" s="12"/>
      <c r="L8857" s="12"/>
    </row>
    <row r="8858" spans="11:12" ht="12.75">
      <c r="K8858" s="12"/>
      <c r="L8858" s="12"/>
    </row>
    <row r="8859" spans="11:12" ht="12.75">
      <c r="K8859" s="12"/>
      <c r="L8859" s="12"/>
    </row>
    <row r="8860" spans="11:12" ht="12.75">
      <c r="K8860" s="12"/>
      <c r="L8860" s="12"/>
    </row>
    <row r="8861" spans="11:12" ht="12.75">
      <c r="K8861" s="12"/>
      <c r="L8861" s="12"/>
    </row>
    <row r="8862" spans="11:12" ht="12.75">
      <c r="K8862" s="12"/>
      <c r="L8862" s="12"/>
    </row>
    <row r="8863" spans="11:12" ht="12.75">
      <c r="K8863" s="12"/>
      <c r="L8863" s="12"/>
    </row>
    <row r="8864" spans="11:12" ht="12.75">
      <c r="K8864" s="12"/>
      <c r="L8864" s="12"/>
    </row>
    <row r="8865" spans="11:12" ht="12.75">
      <c r="K8865" s="12"/>
      <c r="L8865" s="12"/>
    </row>
    <row r="8866" spans="11:12" ht="12.75">
      <c r="K8866" s="12"/>
      <c r="L8866" s="12"/>
    </row>
    <row r="8867" spans="11:12" ht="12.75">
      <c r="K8867" s="12"/>
      <c r="L8867" s="12"/>
    </row>
    <row r="8868" spans="11:12" ht="12.75">
      <c r="K8868" s="12"/>
      <c r="L8868" s="12"/>
    </row>
    <row r="8869" spans="11:12" ht="12.75">
      <c r="K8869" s="12"/>
      <c r="L8869" s="12"/>
    </row>
    <row r="8870" spans="11:12" ht="12.75">
      <c r="K8870" s="12"/>
      <c r="L8870" s="12"/>
    </row>
    <row r="8871" spans="11:12" ht="12.75">
      <c r="K8871" s="12"/>
      <c r="L8871" s="12"/>
    </row>
    <row r="8872" spans="11:12" ht="12.75">
      <c r="K8872" s="12"/>
      <c r="L8872" s="12"/>
    </row>
    <row r="8873" spans="11:12" ht="12.75">
      <c r="K8873" s="12"/>
      <c r="L8873" s="12"/>
    </row>
    <row r="8874" spans="11:12" ht="12.75">
      <c r="K8874" s="12"/>
      <c r="L8874" s="12"/>
    </row>
    <row r="8875" spans="11:12" ht="12.75">
      <c r="K8875" s="12"/>
      <c r="L8875" s="12"/>
    </row>
    <row r="8876" spans="11:12" ht="12.75">
      <c r="K8876" s="12"/>
      <c r="L8876" s="12"/>
    </row>
    <row r="8877" spans="11:12" ht="12.75">
      <c r="K8877" s="12"/>
      <c r="L8877" s="12"/>
    </row>
    <row r="8878" spans="11:12" ht="12.75">
      <c r="K8878" s="12"/>
      <c r="L8878" s="12"/>
    </row>
    <row r="8879" spans="11:12" ht="12.75">
      <c r="K8879" s="12"/>
      <c r="L8879" s="12"/>
    </row>
    <row r="8880" spans="11:12" ht="12.75">
      <c r="K8880" s="12"/>
      <c r="L8880" s="12"/>
    </row>
    <row r="8881" spans="11:12" ht="12.75">
      <c r="K8881" s="12"/>
      <c r="L8881" s="12"/>
    </row>
    <row r="8882" spans="11:12" ht="12.75">
      <c r="K8882" s="12"/>
      <c r="L8882" s="12"/>
    </row>
    <row r="8883" spans="11:12" ht="12.75">
      <c r="K8883" s="12"/>
      <c r="L8883" s="12"/>
    </row>
    <row r="8884" spans="11:12" ht="12.75">
      <c r="K8884" s="12"/>
      <c r="L8884" s="12"/>
    </row>
    <row r="8885" spans="11:12" ht="12.75">
      <c r="K8885" s="12"/>
      <c r="L8885" s="12"/>
    </row>
    <row r="8886" spans="11:12" ht="12.75">
      <c r="K8886" s="12"/>
      <c r="L8886" s="12"/>
    </row>
    <row r="8887" spans="11:12" ht="12.75">
      <c r="K8887" s="12"/>
      <c r="L8887" s="12"/>
    </row>
    <row r="8888" spans="11:12" ht="12.75">
      <c r="K8888" s="12"/>
      <c r="L8888" s="12"/>
    </row>
    <row r="8889" spans="11:12" ht="12.75">
      <c r="K8889" s="12"/>
      <c r="L8889" s="12"/>
    </row>
    <row r="8890" spans="11:12" ht="12.75">
      <c r="K8890" s="12"/>
      <c r="L8890" s="12"/>
    </row>
    <row r="8891" spans="11:12" ht="12.75">
      <c r="K8891" s="12"/>
      <c r="L8891" s="12"/>
    </row>
    <row r="8892" spans="11:12" ht="12.75">
      <c r="K8892" s="12"/>
      <c r="L8892" s="12"/>
    </row>
    <row r="8893" spans="11:12" ht="12.75">
      <c r="K8893" s="12"/>
      <c r="L8893" s="12"/>
    </row>
    <row r="8894" spans="11:12" ht="12.75">
      <c r="K8894" s="12"/>
      <c r="L8894" s="12"/>
    </row>
    <row r="8895" spans="11:12" ht="12.75">
      <c r="K8895" s="12"/>
      <c r="L8895" s="12"/>
    </row>
    <row r="8896" spans="11:12" ht="12.75">
      <c r="K8896" s="12"/>
      <c r="L8896" s="12"/>
    </row>
    <row r="8897" spans="11:12" ht="12.75">
      <c r="K8897" s="12"/>
      <c r="L8897" s="12"/>
    </row>
    <row r="8898" spans="11:12" ht="12.75">
      <c r="K8898" s="12"/>
      <c r="L8898" s="12"/>
    </row>
    <row r="8899" spans="11:12" ht="12.75">
      <c r="K8899" s="12"/>
      <c r="L8899" s="12"/>
    </row>
    <row r="8900" spans="11:12" ht="12.75">
      <c r="K8900" s="12"/>
      <c r="L8900" s="12"/>
    </row>
    <row r="8901" spans="11:12" ht="12.75">
      <c r="K8901" s="12"/>
      <c r="L8901" s="12"/>
    </row>
    <row r="8902" spans="11:12" ht="12.75">
      <c r="K8902" s="12"/>
      <c r="L8902" s="12"/>
    </row>
    <row r="8903" spans="11:12" ht="12.75">
      <c r="K8903" s="12"/>
      <c r="L8903" s="12"/>
    </row>
    <row r="8904" spans="11:12" ht="12.75">
      <c r="K8904" s="12"/>
      <c r="L8904" s="12"/>
    </row>
    <row r="8905" spans="11:12" ht="12.75">
      <c r="K8905" s="12"/>
      <c r="L8905" s="12"/>
    </row>
    <row r="8906" spans="11:12" ht="12.75">
      <c r="K8906" s="12"/>
      <c r="L8906" s="12"/>
    </row>
    <row r="8907" spans="11:12" ht="12.75">
      <c r="K8907" s="12"/>
      <c r="L8907" s="12"/>
    </row>
    <row r="8908" spans="11:12" ht="12.75">
      <c r="K8908" s="12"/>
      <c r="L8908" s="12"/>
    </row>
    <row r="8909" spans="11:12" ht="12.75">
      <c r="K8909" s="12"/>
      <c r="L8909" s="12"/>
    </row>
    <row r="8910" spans="11:12" ht="12.75">
      <c r="K8910" s="12"/>
      <c r="L8910" s="12"/>
    </row>
    <row r="8911" spans="11:12" ht="12.75">
      <c r="K8911" s="12"/>
      <c r="L8911" s="12"/>
    </row>
    <row r="8912" spans="11:12" ht="12.75">
      <c r="K8912" s="12"/>
      <c r="L8912" s="12"/>
    </row>
    <row r="8913" spans="11:12" ht="12.75">
      <c r="K8913" s="12"/>
      <c r="L8913" s="12"/>
    </row>
    <row r="8914" spans="11:12" ht="12.75">
      <c r="K8914" s="12"/>
      <c r="L8914" s="12"/>
    </row>
    <row r="8915" spans="11:12" ht="12.75">
      <c r="K8915" s="12"/>
      <c r="L8915" s="12"/>
    </row>
    <row r="8916" spans="11:12" ht="12.75">
      <c r="K8916" s="12"/>
      <c r="L8916" s="12"/>
    </row>
    <row r="8917" spans="11:12" ht="12.75">
      <c r="K8917" s="12"/>
      <c r="L8917" s="12"/>
    </row>
    <row r="8918" spans="11:12" ht="12.75">
      <c r="K8918" s="12"/>
      <c r="L8918" s="12"/>
    </row>
    <row r="8919" spans="11:12" ht="12.75">
      <c r="K8919" s="12"/>
      <c r="L8919" s="12"/>
    </row>
    <row r="8920" spans="11:12" ht="12.75">
      <c r="K8920" s="12"/>
      <c r="L8920" s="12"/>
    </row>
    <row r="8921" spans="11:12" ht="12.75">
      <c r="K8921" s="12"/>
      <c r="L8921" s="12"/>
    </row>
    <row r="8922" spans="11:12" ht="12.75">
      <c r="K8922" s="12"/>
      <c r="L8922" s="12"/>
    </row>
    <row r="8923" spans="11:12" ht="12.75">
      <c r="K8923" s="12"/>
      <c r="L8923" s="12"/>
    </row>
    <row r="8924" spans="11:12" ht="12.75">
      <c r="K8924" s="12"/>
      <c r="L8924" s="12"/>
    </row>
    <row r="8925" spans="11:12" ht="12.75">
      <c r="K8925" s="12"/>
      <c r="L8925" s="12"/>
    </row>
    <row r="8926" spans="11:12" ht="12.75">
      <c r="K8926" s="12"/>
      <c r="L8926" s="12"/>
    </row>
    <row r="8927" spans="11:12" ht="12.75">
      <c r="K8927" s="12"/>
      <c r="L8927" s="12"/>
    </row>
    <row r="8928" spans="11:12" ht="12.75">
      <c r="K8928" s="12"/>
      <c r="L8928" s="12"/>
    </row>
    <row r="8929" spans="11:12" ht="12.75">
      <c r="K8929" s="12"/>
      <c r="L8929" s="12"/>
    </row>
    <row r="8930" spans="11:12" ht="12.75">
      <c r="K8930" s="12"/>
      <c r="L8930" s="12"/>
    </row>
    <row r="8931" spans="11:12" ht="12.75">
      <c r="K8931" s="12"/>
      <c r="L8931" s="12"/>
    </row>
    <row r="8932" spans="11:12" ht="12.75">
      <c r="K8932" s="12"/>
      <c r="L8932" s="12"/>
    </row>
    <row r="8933" spans="11:12" ht="12.75">
      <c r="K8933" s="12"/>
      <c r="L8933" s="12"/>
    </row>
    <row r="8934" spans="11:12" ht="12.75">
      <c r="K8934" s="12"/>
      <c r="L8934" s="12"/>
    </row>
    <row r="8935" spans="11:12" ht="12.75">
      <c r="K8935" s="12"/>
      <c r="L8935" s="12"/>
    </row>
    <row r="8936" spans="11:12" ht="12.75">
      <c r="K8936" s="12"/>
      <c r="L8936" s="12"/>
    </row>
    <row r="8937" spans="11:12" ht="12.75">
      <c r="K8937" s="12"/>
      <c r="L8937" s="12"/>
    </row>
    <row r="8938" spans="11:12" ht="12.75">
      <c r="K8938" s="12"/>
      <c r="L8938" s="12"/>
    </row>
    <row r="8939" spans="11:12" ht="12.75">
      <c r="K8939" s="12"/>
      <c r="L8939" s="12"/>
    </row>
    <row r="8940" spans="11:12" ht="12.75">
      <c r="K8940" s="12"/>
      <c r="L8940" s="12"/>
    </row>
    <row r="8941" spans="11:12" ht="12.75">
      <c r="K8941" s="12"/>
      <c r="L8941" s="12"/>
    </row>
    <row r="8942" spans="11:12" ht="12.75">
      <c r="K8942" s="12"/>
      <c r="L8942" s="12"/>
    </row>
    <row r="8943" spans="11:12" ht="12.75">
      <c r="K8943" s="12"/>
      <c r="L8943" s="12"/>
    </row>
    <row r="8944" spans="11:12" ht="12.75">
      <c r="K8944" s="12"/>
      <c r="L8944" s="12"/>
    </row>
    <row r="8945" spans="11:12" ht="12.75">
      <c r="K8945" s="12"/>
      <c r="L8945" s="12"/>
    </row>
    <row r="8946" spans="11:12" ht="12.75">
      <c r="K8946" s="12"/>
      <c r="L8946" s="12"/>
    </row>
    <row r="8947" spans="11:12" ht="12.75">
      <c r="K8947" s="12"/>
      <c r="L8947" s="12"/>
    </row>
    <row r="8948" spans="11:12" ht="12.75">
      <c r="K8948" s="12"/>
      <c r="L8948" s="12"/>
    </row>
    <row r="8949" spans="11:12" ht="12.75">
      <c r="K8949" s="12"/>
      <c r="L8949" s="12"/>
    </row>
    <row r="8950" spans="11:12" ht="12.75">
      <c r="K8950" s="12"/>
      <c r="L8950" s="12"/>
    </row>
    <row r="8951" spans="11:12" ht="12.75">
      <c r="K8951" s="12"/>
      <c r="L8951" s="12"/>
    </row>
    <row r="8952" spans="11:12" ht="12.75">
      <c r="K8952" s="12"/>
      <c r="L8952" s="12"/>
    </row>
    <row r="8953" spans="11:12" ht="12.75">
      <c r="K8953" s="12"/>
      <c r="L8953" s="12"/>
    </row>
    <row r="8954" spans="11:12" ht="12.75">
      <c r="K8954" s="12"/>
      <c r="L8954" s="12"/>
    </row>
    <row r="8955" spans="11:12" ht="12.75">
      <c r="K8955" s="12"/>
      <c r="L8955" s="12"/>
    </row>
    <row r="8956" spans="11:12" ht="12.75">
      <c r="K8956" s="12"/>
      <c r="L8956" s="12"/>
    </row>
    <row r="8957" spans="11:12" ht="12.75">
      <c r="K8957" s="12"/>
      <c r="L8957" s="12"/>
    </row>
    <row r="8958" spans="11:12" ht="12.75">
      <c r="K8958" s="12"/>
      <c r="L8958" s="12"/>
    </row>
    <row r="8959" spans="11:12" ht="12.75">
      <c r="K8959" s="12"/>
      <c r="L8959" s="12"/>
    </row>
    <row r="8960" spans="11:12" ht="12.75">
      <c r="K8960" s="12"/>
      <c r="L8960" s="12"/>
    </row>
    <row r="8961" spans="11:12" ht="12.75">
      <c r="K8961" s="12"/>
      <c r="L8961" s="12"/>
    </row>
    <row r="8962" spans="11:12" ht="12.75">
      <c r="K8962" s="12"/>
      <c r="L8962" s="12"/>
    </row>
    <row r="8963" spans="11:12" ht="12.75">
      <c r="K8963" s="12"/>
      <c r="L8963" s="12"/>
    </row>
    <row r="8964" spans="11:12" ht="12.75">
      <c r="K8964" s="12"/>
      <c r="L8964" s="12"/>
    </row>
    <row r="8965" spans="11:12" ht="12.75">
      <c r="K8965" s="12"/>
      <c r="L8965" s="12"/>
    </row>
    <row r="8966" spans="11:12" ht="12.75">
      <c r="K8966" s="12"/>
      <c r="L8966" s="12"/>
    </row>
    <row r="8967" spans="11:12" ht="12.75">
      <c r="K8967" s="12"/>
      <c r="L8967" s="12"/>
    </row>
    <row r="8968" spans="11:12" ht="12.75">
      <c r="K8968" s="12"/>
      <c r="L8968" s="12"/>
    </row>
    <row r="8969" spans="11:12" ht="12.75">
      <c r="K8969" s="12"/>
      <c r="L8969" s="12"/>
    </row>
    <row r="8970" spans="11:12" ht="12.75">
      <c r="K8970" s="12"/>
      <c r="L8970" s="12"/>
    </row>
    <row r="8971" spans="11:12" ht="12.75">
      <c r="K8971" s="12"/>
      <c r="L8971" s="12"/>
    </row>
    <row r="8972" spans="11:12" ht="12.75">
      <c r="K8972" s="12"/>
      <c r="L8972" s="12"/>
    </row>
    <row r="8973" spans="11:12" ht="12.75">
      <c r="K8973" s="12"/>
      <c r="L8973" s="12"/>
    </row>
    <row r="8974" spans="11:12" ht="12.75">
      <c r="K8974" s="12"/>
      <c r="L8974" s="12"/>
    </row>
    <row r="8975" spans="11:12" ht="12.75">
      <c r="K8975" s="12"/>
      <c r="L8975" s="12"/>
    </row>
    <row r="8976" spans="11:12" ht="12.75">
      <c r="K8976" s="12"/>
      <c r="L8976" s="12"/>
    </row>
    <row r="8977" spans="11:12" ht="12.75">
      <c r="K8977" s="12"/>
      <c r="L8977" s="12"/>
    </row>
    <row r="8978" spans="11:12" ht="12.75">
      <c r="K8978" s="12"/>
      <c r="L8978" s="12"/>
    </row>
    <row r="8979" spans="11:12" ht="12.75">
      <c r="K8979" s="12"/>
      <c r="L8979" s="12"/>
    </row>
    <row r="8980" spans="11:12" ht="12.75">
      <c r="K8980" s="12"/>
      <c r="L8980" s="12"/>
    </row>
    <row r="8981" spans="11:12" ht="12.75">
      <c r="K8981" s="12"/>
      <c r="L8981" s="12"/>
    </row>
    <row r="8982" spans="11:12" ht="12.75">
      <c r="K8982" s="12"/>
      <c r="L8982" s="12"/>
    </row>
    <row r="8983" spans="11:12" ht="12.75">
      <c r="K8983" s="12"/>
      <c r="L8983" s="12"/>
    </row>
    <row r="8984" spans="11:12" ht="12.75">
      <c r="K8984" s="12"/>
      <c r="L8984" s="12"/>
    </row>
    <row r="8985" spans="11:12" ht="12.75">
      <c r="K8985" s="12"/>
      <c r="L8985" s="12"/>
    </row>
    <row r="8986" spans="11:12" ht="12.75">
      <c r="K8986" s="12"/>
      <c r="L8986" s="12"/>
    </row>
    <row r="8987" spans="11:12" ht="12.75">
      <c r="K8987" s="12"/>
      <c r="L8987" s="12"/>
    </row>
    <row r="8988" spans="11:12" ht="12.75">
      <c r="K8988" s="12"/>
      <c r="L8988" s="12"/>
    </row>
    <row r="8989" spans="11:12" ht="12.75">
      <c r="K8989" s="12"/>
      <c r="L8989" s="12"/>
    </row>
    <row r="8990" spans="11:12" ht="12.75">
      <c r="K8990" s="12"/>
      <c r="L8990" s="12"/>
    </row>
    <row r="8991" spans="11:12" ht="12.75">
      <c r="K8991" s="12"/>
      <c r="L8991" s="12"/>
    </row>
    <row r="8992" spans="11:12" ht="12.75">
      <c r="K8992" s="12"/>
      <c r="L8992" s="12"/>
    </row>
    <row r="8993" spans="11:12" ht="12.75">
      <c r="K8993" s="12"/>
      <c r="L8993" s="12"/>
    </row>
    <row r="8994" spans="11:12" ht="12.75">
      <c r="K8994" s="12"/>
      <c r="L8994" s="12"/>
    </row>
    <row r="8995" spans="11:12" ht="12.75">
      <c r="K8995" s="12"/>
      <c r="L8995" s="12"/>
    </row>
    <row r="8996" spans="11:12" ht="12.75">
      <c r="K8996" s="12"/>
      <c r="L8996" s="12"/>
    </row>
    <row r="8997" spans="11:12" ht="12.75">
      <c r="K8997" s="12"/>
      <c r="L8997" s="12"/>
    </row>
    <row r="8998" spans="11:12" ht="12.75">
      <c r="K8998" s="12"/>
      <c r="L8998" s="12"/>
    </row>
    <row r="8999" spans="11:12" ht="12.75">
      <c r="K8999" s="12"/>
      <c r="L8999" s="12"/>
    </row>
    <row r="9000" spans="11:12" ht="12.75">
      <c r="K9000" s="12"/>
      <c r="L9000" s="12"/>
    </row>
    <row r="9001" spans="11:12" ht="12.75">
      <c r="K9001" s="12"/>
      <c r="L9001" s="12"/>
    </row>
    <row r="9002" spans="11:12" ht="12.75">
      <c r="K9002" s="12"/>
      <c r="L9002" s="12"/>
    </row>
    <row r="9003" spans="11:12" ht="12.75">
      <c r="K9003" s="12"/>
      <c r="L9003" s="12"/>
    </row>
    <row r="9004" spans="11:12" ht="12.75">
      <c r="K9004" s="12"/>
      <c r="L9004" s="12"/>
    </row>
    <row r="9005" spans="11:12" ht="12.75">
      <c r="K9005" s="12"/>
      <c r="L9005" s="12"/>
    </row>
    <row r="9006" spans="11:12" ht="12.75">
      <c r="K9006" s="12"/>
      <c r="L9006" s="12"/>
    </row>
    <row r="9007" spans="11:12" ht="12.75">
      <c r="K9007" s="12"/>
      <c r="L9007" s="12"/>
    </row>
    <row r="9008" spans="11:12" ht="12.75">
      <c r="K9008" s="12"/>
      <c r="L9008" s="12"/>
    </row>
    <row r="9009" spans="11:12" ht="12.75">
      <c r="K9009" s="12"/>
      <c r="L9009" s="12"/>
    </row>
    <row r="9010" spans="11:12" ht="12.75">
      <c r="K9010" s="12"/>
      <c r="L9010" s="12"/>
    </row>
    <row r="9011" spans="11:12" ht="12.75">
      <c r="K9011" s="12"/>
      <c r="L9011" s="12"/>
    </row>
    <row r="9012" spans="11:12" ht="12.75">
      <c r="K9012" s="12"/>
      <c r="L9012" s="12"/>
    </row>
    <row r="9013" spans="11:12" ht="12.75">
      <c r="K9013" s="12"/>
      <c r="L9013" s="12"/>
    </row>
    <row r="9014" spans="11:12" ht="12.75">
      <c r="K9014" s="12"/>
      <c r="L9014" s="12"/>
    </row>
    <row r="9015" spans="11:12" ht="12.75">
      <c r="K9015" s="12"/>
      <c r="L9015" s="12"/>
    </row>
    <row r="9016" spans="11:12" ht="12.75">
      <c r="K9016" s="12"/>
      <c r="L9016" s="12"/>
    </row>
    <row r="9017" spans="11:12" ht="12.75">
      <c r="K9017" s="12"/>
      <c r="L9017" s="12"/>
    </row>
    <row r="9018" spans="11:12" ht="12.75">
      <c r="K9018" s="12"/>
      <c r="L9018" s="12"/>
    </row>
    <row r="9019" spans="11:12" ht="12.75">
      <c r="K9019" s="12"/>
      <c r="L9019" s="12"/>
    </row>
    <row r="9020" spans="11:12" ht="12.75">
      <c r="K9020" s="12"/>
      <c r="L9020" s="12"/>
    </row>
    <row r="9021" spans="11:12" ht="12.75">
      <c r="K9021" s="12"/>
      <c r="L9021" s="12"/>
    </row>
    <row r="9022" spans="11:12" ht="12.75">
      <c r="K9022" s="12"/>
      <c r="L9022" s="12"/>
    </row>
    <row r="9023" spans="11:12" ht="12.75">
      <c r="K9023" s="12"/>
      <c r="L9023" s="12"/>
    </row>
    <row r="9024" spans="11:12" ht="12.75">
      <c r="K9024" s="12"/>
      <c r="L9024" s="12"/>
    </row>
    <row r="9025" spans="11:12" ht="12.75">
      <c r="K9025" s="12"/>
      <c r="L9025" s="12"/>
    </row>
    <row r="9026" spans="11:12" ht="12.75">
      <c r="K9026" s="12"/>
      <c r="L9026" s="12"/>
    </row>
    <row r="9027" spans="11:12" ht="12.75">
      <c r="K9027" s="12"/>
      <c r="L9027" s="12"/>
    </row>
    <row r="9028" spans="11:12" ht="12.75">
      <c r="K9028" s="12"/>
      <c r="L9028" s="12"/>
    </row>
    <row r="9029" spans="11:12" ht="12.75">
      <c r="K9029" s="12"/>
      <c r="L9029" s="12"/>
    </row>
    <row r="9030" spans="11:12" ht="12.75">
      <c r="K9030" s="12"/>
      <c r="L9030" s="12"/>
    </row>
    <row r="9031" spans="11:12" ht="12.75">
      <c r="K9031" s="12"/>
      <c r="L9031" s="12"/>
    </row>
    <row r="9032" spans="11:12" ht="12.75">
      <c r="K9032" s="12"/>
      <c r="L9032" s="12"/>
    </row>
    <row r="9033" spans="11:12" ht="12.75">
      <c r="K9033" s="12"/>
      <c r="L9033" s="12"/>
    </row>
    <row r="9034" spans="11:12" ht="12.75">
      <c r="K9034" s="12"/>
      <c r="L9034" s="12"/>
    </row>
    <row r="9035" spans="11:12" ht="12.75">
      <c r="K9035" s="12"/>
      <c r="L9035" s="12"/>
    </row>
    <row r="9036" spans="11:12" ht="12.75">
      <c r="K9036" s="12"/>
      <c r="L9036" s="12"/>
    </row>
    <row r="9037" spans="11:12" ht="12.75">
      <c r="K9037" s="12"/>
      <c r="L9037" s="12"/>
    </row>
    <row r="9038" spans="11:12" ht="12.75">
      <c r="K9038" s="12"/>
      <c r="L9038" s="12"/>
    </row>
    <row r="9039" spans="11:12" ht="12.75">
      <c r="K9039" s="12"/>
      <c r="L9039" s="12"/>
    </row>
    <row r="9040" spans="11:12" ht="12.75">
      <c r="K9040" s="12"/>
      <c r="L9040" s="12"/>
    </row>
    <row r="9041" spans="11:12" ht="12.75">
      <c r="K9041" s="12"/>
      <c r="L9041" s="12"/>
    </row>
    <row r="9042" spans="11:12" ht="12.75">
      <c r="K9042" s="12"/>
      <c r="L9042" s="12"/>
    </row>
    <row r="9043" spans="11:12" ht="12.75">
      <c r="K9043" s="12"/>
      <c r="L9043" s="12"/>
    </row>
    <row r="9044" spans="11:12" ht="12.75">
      <c r="K9044" s="12"/>
      <c r="L9044" s="12"/>
    </row>
    <row r="9045" spans="11:12" ht="12.75">
      <c r="K9045" s="12"/>
      <c r="L9045" s="12"/>
    </row>
    <row r="9046" spans="11:12" ht="12.75">
      <c r="K9046" s="12"/>
      <c r="L9046" s="12"/>
    </row>
    <row r="9047" spans="11:12" ht="12.75">
      <c r="K9047" s="12"/>
      <c r="L9047" s="12"/>
    </row>
    <row r="9048" spans="11:12" ht="12.75">
      <c r="K9048" s="12"/>
      <c r="L9048" s="12"/>
    </row>
    <row r="9049" spans="11:12" ht="12.75">
      <c r="K9049" s="12"/>
      <c r="L9049" s="12"/>
    </row>
    <row r="9050" spans="11:12" ht="12.75">
      <c r="K9050" s="12"/>
      <c r="L9050" s="12"/>
    </row>
    <row r="9051" spans="11:12" ht="12.75">
      <c r="K9051" s="12"/>
      <c r="L9051" s="12"/>
    </row>
    <row r="9052" spans="11:12" ht="12.75">
      <c r="K9052" s="12"/>
      <c r="L9052" s="12"/>
    </row>
    <row r="9053" spans="11:12" ht="12.75">
      <c r="K9053" s="12"/>
      <c r="L9053" s="12"/>
    </row>
    <row r="9054" spans="11:12" ht="12.75">
      <c r="K9054" s="12"/>
      <c r="L9054" s="12"/>
    </row>
    <row r="9055" spans="11:12" ht="12.75">
      <c r="K9055" s="12"/>
      <c r="L9055" s="12"/>
    </row>
    <row r="9056" spans="11:12" ht="12.75">
      <c r="K9056" s="12"/>
      <c r="L9056" s="12"/>
    </row>
    <row r="9057" spans="11:12" ht="12.75">
      <c r="K9057" s="12"/>
      <c r="L9057" s="12"/>
    </row>
    <row r="9058" spans="11:12" ht="12.75">
      <c r="K9058" s="12"/>
      <c r="L9058" s="12"/>
    </row>
    <row r="9059" spans="11:12" ht="12.75">
      <c r="K9059" s="12"/>
      <c r="L9059" s="12"/>
    </row>
    <row r="9060" spans="11:12" ht="12.75">
      <c r="K9060" s="12"/>
      <c r="L9060" s="12"/>
    </row>
    <row r="9061" spans="11:12" ht="12.75">
      <c r="K9061" s="12"/>
      <c r="L9061" s="12"/>
    </row>
    <row r="9062" spans="11:12" ht="12.75">
      <c r="K9062" s="12"/>
      <c r="L9062" s="12"/>
    </row>
    <row r="9063" spans="11:12" ht="12.75">
      <c r="K9063" s="12"/>
      <c r="L9063" s="12"/>
    </row>
    <row r="9064" spans="11:12" ht="12.75">
      <c r="K9064" s="12"/>
      <c r="L9064" s="12"/>
    </row>
    <row r="9065" spans="11:12" ht="12.75">
      <c r="K9065" s="12"/>
      <c r="L9065" s="12"/>
    </row>
    <row r="9066" spans="11:12" ht="12.75">
      <c r="K9066" s="12"/>
      <c r="L9066" s="12"/>
    </row>
    <row r="9067" spans="11:12" ht="12.75">
      <c r="K9067" s="12"/>
      <c r="L9067" s="12"/>
    </row>
    <row r="9068" spans="11:12" ht="12.75">
      <c r="K9068" s="12"/>
      <c r="L9068" s="12"/>
    </row>
    <row r="9069" spans="11:12" ht="12.75">
      <c r="K9069" s="12"/>
      <c r="L9069" s="12"/>
    </row>
    <row r="9070" spans="11:12" ht="12.75">
      <c r="K9070" s="12"/>
      <c r="L9070" s="12"/>
    </row>
    <row r="9071" spans="11:12" ht="12.75">
      <c r="K9071" s="12"/>
      <c r="L9071" s="12"/>
    </row>
    <row r="9072" spans="11:12" ht="12.75">
      <c r="K9072" s="12"/>
      <c r="L9072" s="12"/>
    </row>
    <row r="9073" spans="11:12" ht="12.75">
      <c r="K9073" s="12"/>
      <c r="L9073" s="12"/>
    </row>
    <row r="9074" spans="11:12" ht="12.75">
      <c r="K9074" s="12"/>
      <c r="L9074" s="12"/>
    </row>
    <row r="9075" spans="11:12" ht="12.75">
      <c r="K9075" s="12"/>
      <c r="L9075" s="12"/>
    </row>
    <row r="9076" spans="11:12" ht="12.75">
      <c r="K9076" s="12"/>
      <c r="L9076" s="12"/>
    </row>
    <row r="9077" spans="11:12" ht="12.75">
      <c r="K9077" s="12"/>
      <c r="L9077" s="12"/>
    </row>
    <row r="9078" spans="11:12" ht="12.75">
      <c r="K9078" s="12"/>
      <c r="L9078" s="12"/>
    </row>
    <row r="9079" spans="11:12" ht="12.75">
      <c r="K9079" s="12"/>
      <c r="L9079" s="12"/>
    </row>
    <row r="9080" spans="11:12" ht="12.75">
      <c r="K9080" s="12"/>
      <c r="L9080" s="12"/>
    </row>
    <row r="9081" spans="11:12" ht="12.75">
      <c r="K9081" s="12"/>
      <c r="L9081" s="12"/>
    </row>
    <row r="9082" spans="11:12" ht="12.75">
      <c r="K9082" s="12"/>
      <c r="L9082" s="12"/>
    </row>
    <row r="9083" spans="11:12" ht="12.75">
      <c r="K9083" s="12"/>
      <c r="L9083" s="12"/>
    </row>
    <row r="9084" spans="11:12" ht="12.75">
      <c r="K9084" s="12"/>
      <c r="L9084" s="12"/>
    </row>
    <row r="9085" spans="11:12" ht="12.75">
      <c r="K9085" s="12"/>
      <c r="L9085" s="12"/>
    </row>
    <row r="9086" spans="11:12" ht="12.75">
      <c r="K9086" s="12"/>
      <c r="L9086" s="12"/>
    </row>
    <row r="9087" spans="11:12" ht="12.75">
      <c r="K9087" s="12"/>
      <c r="L9087" s="12"/>
    </row>
    <row r="9088" spans="11:12" ht="12.75">
      <c r="K9088" s="12"/>
      <c r="L9088" s="12"/>
    </row>
    <row r="9089" spans="11:12" ht="12.75">
      <c r="K9089" s="12"/>
      <c r="L9089" s="12"/>
    </row>
    <row r="9090" spans="11:12" ht="12.75">
      <c r="K9090" s="12"/>
      <c r="L9090" s="12"/>
    </row>
    <row r="9091" spans="11:12" ht="12.75">
      <c r="K9091" s="12"/>
      <c r="L9091" s="12"/>
    </row>
    <row r="9092" spans="11:12" ht="12.75">
      <c r="K9092" s="12"/>
      <c r="L9092" s="12"/>
    </row>
    <row r="9093" spans="11:12" ht="12.75">
      <c r="K9093" s="12"/>
      <c r="L9093" s="12"/>
    </row>
    <row r="9094" spans="11:12" ht="12.75">
      <c r="K9094" s="12"/>
      <c r="L9094" s="12"/>
    </row>
    <row r="9095" spans="11:12" ht="12.75">
      <c r="K9095" s="12"/>
      <c r="L9095" s="12"/>
    </row>
    <row r="9096" spans="11:12" ht="12.75">
      <c r="K9096" s="12"/>
      <c r="L9096" s="12"/>
    </row>
    <row r="9097" spans="11:12" ht="12.75">
      <c r="K9097" s="12"/>
      <c r="L9097" s="12"/>
    </row>
    <row r="9098" spans="11:12" ht="12.75">
      <c r="K9098" s="12"/>
      <c r="L9098" s="12"/>
    </row>
    <row r="9099" spans="11:12" ht="12.75">
      <c r="K9099" s="12"/>
      <c r="L9099" s="12"/>
    </row>
    <row r="9100" spans="11:12" ht="12.75">
      <c r="K9100" s="12"/>
      <c r="L9100" s="12"/>
    </row>
    <row r="9101" spans="11:12" ht="12.75">
      <c r="K9101" s="12"/>
      <c r="L9101" s="12"/>
    </row>
    <row r="9102" spans="11:12" ht="12.75">
      <c r="K9102" s="12"/>
      <c r="L9102" s="12"/>
    </row>
    <row r="9103" spans="11:12" ht="12.75">
      <c r="K9103" s="12"/>
      <c r="L9103" s="12"/>
    </row>
    <row r="9104" spans="11:12" ht="12.75">
      <c r="K9104" s="12"/>
      <c r="L9104" s="12"/>
    </row>
    <row r="9105" spans="11:12" ht="12.75">
      <c r="K9105" s="12"/>
      <c r="L9105" s="12"/>
    </row>
    <row r="9106" spans="11:12" ht="12.75">
      <c r="K9106" s="12"/>
      <c r="L9106" s="12"/>
    </row>
    <row r="9107" spans="11:12" ht="12.75">
      <c r="K9107" s="12"/>
      <c r="L9107" s="12"/>
    </row>
    <row r="9108" spans="11:12" ht="12.75">
      <c r="K9108" s="12"/>
      <c r="L9108" s="12"/>
    </row>
    <row r="9109" spans="11:12" ht="12.75">
      <c r="K9109" s="12"/>
      <c r="L9109" s="12"/>
    </row>
    <row r="9110" spans="11:12" ht="12.75">
      <c r="K9110" s="12"/>
      <c r="L9110" s="12"/>
    </row>
    <row r="9111" spans="11:12" ht="12.75">
      <c r="K9111" s="12"/>
      <c r="L9111" s="12"/>
    </row>
    <row r="9112" spans="11:12" ht="12.75">
      <c r="K9112" s="12"/>
      <c r="L9112" s="12"/>
    </row>
    <row r="9113" spans="11:12" ht="12.75">
      <c r="K9113" s="12"/>
      <c r="L9113" s="12"/>
    </row>
    <row r="9114" spans="11:12" ht="12.75">
      <c r="K9114" s="12"/>
      <c r="L9114" s="12"/>
    </row>
    <row r="9115" spans="11:12" ht="12.75">
      <c r="K9115" s="12"/>
      <c r="L9115" s="12"/>
    </row>
    <row r="9116" spans="11:12" ht="12.75">
      <c r="K9116" s="12"/>
      <c r="L9116" s="12"/>
    </row>
    <row r="9117" spans="11:12" ht="12.75">
      <c r="K9117" s="12"/>
      <c r="L9117" s="12"/>
    </row>
    <row r="9118" spans="11:12" ht="12.75">
      <c r="K9118" s="12"/>
      <c r="L9118" s="12"/>
    </row>
    <row r="9119" spans="11:12" ht="12.75">
      <c r="K9119" s="12"/>
      <c r="L9119" s="12"/>
    </row>
    <row r="9120" spans="11:12" ht="12.75">
      <c r="K9120" s="12"/>
      <c r="L9120" s="12"/>
    </row>
    <row r="9121" spans="11:12" ht="12.75">
      <c r="K9121" s="12"/>
      <c r="L9121" s="12"/>
    </row>
    <row r="9122" spans="11:12" ht="12.75">
      <c r="K9122" s="12"/>
      <c r="L9122" s="12"/>
    </row>
    <row r="9123" spans="11:12" ht="12.75">
      <c r="K9123" s="12"/>
      <c r="L9123" s="12"/>
    </row>
    <row r="9124" spans="11:12" ht="12.75">
      <c r="K9124" s="12"/>
      <c r="L9124" s="12"/>
    </row>
    <row r="9125" spans="11:12" ht="12.75">
      <c r="K9125" s="12"/>
      <c r="L9125" s="12"/>
    </row>
    <row r="9126" spans="11:12" ht="12.75">
      <c r="K9126" s="12"/>
      <c r="L9126" s="12"/>
    </row>
    <row r="9127" spans="11:12" ht="12.75">
      <c r="K9127" s="12"/>
      <c r="L9127" s="12"/>
    </row>
    <row r="9128" spans="11:12" ht="12.75">
      <c r="K9128" s="12"/>
      <c r="L9128" s="12"/>
    </row>
    <row r="9129" spans="11:12" ht="12.75">
      <c r="K9129" s="12"/>
      <c r="L9129" s="12"/>
    </row>
    <row r="9130" spans="11:12" ht="12.75">
      <c r="K9130" s="12"/>
      <c r="L9130" s="12"/>
    </row>
    <row r="9131" spans="11:12" ht="12.75">
      <c r="K9131" s="12"/>
      <c r="L9131" s="12"/>
    </row>
    <row r="9132" spans="11:12" ht="12.75">
      <c r="K9132" s="12"/>
      <c r="L9132" s="12"/>
    </row>
    <row r="9133" spans="11:12" ht="12.75">
      <c r="K9133" s="12"/>
      <c r="L9133" s="12"/>
    </row>
    <row r="9134" spans="11:12" ht="12.75">
      <c r="K9134" s="12"/>
      <c r="L9134" s="12"/>
    </row>
    <row r="9135" spans="11:12" ht="12.75">
      <c r="K9135" s="12"/>
      <c r="L9135" s="12"/>
    </row>
    <row r="9136" spans="11:12" ht="12.75">
      <c r="K9136" s="12"/>
      <c r="L9136" s="12"/>
    </row>
    <row r="9137" spans="11:12" ht="12.75">
      <c r="K9137" s="12"/>
      <c r="L9137" s="12"/>
    </row>
    <row r="9138" spans="11:12" ht="12.75">
      <c r="K9138" s="12"/>
      <c r="L9138" s="12"/>
    </row>
    <row r="9139" spans="11:12" ht="12.75">
      <c r="K9139" s="12"/>
      <c r="L9139" s="12"/>
    </row>
    <row r="9140" spans="11:12" ht="12.75">
      <c r="K9140" s="12"/>
      <c r="L9140" s="12"/>
    </row>
    <row r="9141" spans="11:12" ht="12.75">
      <c r="K9141" s="12"/>
      <c r="L9141" s="12"/>
    </row>
    <row r="9142" spans="11:12" ht="12.75">
      <c r="K9142" s="12"/>
      <c r="L9142" s="12"/>
    </row>
    <row r="9143" spans="11:12" ht="12.75">
      <c r="K9143" s="12"/>
      <c r="L9143" s="12"/>
    </row>
    <row r="9144" spans="11:12" ht="12.75">
      <c r="K9144" s="12"/>
      <c r="L9144" s="12"/>
    </row>
    <row r="9145" spans="11:12" ht="12.75">
      <c r="K9145" s="12"/>
      <c r="L9145" s="12"/>
    </row>
    <row r="9146" spans="11:12" ht="12.75">
      <c r="K9146" s="12"/>
      <c r="L9146" s="12"/>
    </row>
    <row r="9147" spans="11:12" ht="12.75">
      <c r="K9147" s="12"/>
      <c r="L9147" s="12"/>
    </row>
    <row r="9148" spans="11:12" ht="12.75">
      <c r="K9148" s="12"/>
      <c r="L9148" s="12"/>
    </row>
    <row r="9149" spans="11:12" ht="12.75">
      <c r="K9149" s="12"/>
      <c r="L9149" s="12"/>
    </row>
    <row r="9150" spans="11:12" ht="12.75">
      <c r="K9150" s="12"/>
      <c r="L9150" s="12"/>
    </row>
    <row r="9151" spans="11:12" ht="12.75">
      <c r="K9151" s="12"/>
      <c r="L9151" s="12"/>
    </row>
    <row r="9152" spans="11:12" ht="12.75">
      <c r="K9152" s="12"/>
      <c r="L9152" s="12"/>
    </row>
    <row r="9153" spans="11:12" ht="12.75">
      <c r="K9153" s="12"/>
      <c r="L9153" s="12"/>
    </row>
    <row r="9154" spans="11:12" ht="12.75">
      <c r="K9154" s="12"/>
      <c r="L9154" s="12"/>
    </row>
    <row r="9155" spans="11:12" ht="12.75">
      <c r="K9155" s="12"/>
      <c r="L9155" s="12"/>
    </row>
    <row r="9156" spans="11:12" ht="12.75">
      <c r="K9156" s="12"/>
      <c r="L9156" s="12"/>
    </row>
    <row r="9157" spans="11:12" ht="12.75">
      <c r="K9157" s="12"/>
      <c r="L9157" s="12"/>
    </row>
    <row r="9158" spans="11:12" ht="12.75">
      <c r="K9158" s="12"/>
      <c r="L9158" s="12"/>
    </row>
    <row r="9159" spans="11:12" ht="12.75">
      <c r="K9159" s="12"/>
      <c r="L9159" s="12"/>
    </row>
    <row r="9160" spans="11:12" ht="12.75">
      <c r="K9160" s="12"/>
      <c r="L9160" s="12"/>
    </row>
    <row r="9161" spans="11:12" ht="12.75">
      <c r="K9161" s="12"/>
      <c r="L9161" s="12"/>
    </row>
    <row r="9162" spans="11:12" ht="12.75">
      <c r="K9162" s="12"/>
      <c r="L9162" s="12"/>
    </row>
    <row r="9163" spans="11:12" ht="12.75">
      <c r="K9163" s="12"/>
      <c r="L9163" s="12"/>
    </row>
    <row r="9164" spans="11:12" ht="12.75">
      <c r="K9164" s="12"/>
      <c r="L9164" s="12"/>
    </row>
    <row r="9165" spans="11:12" ht="12.75">
      <c r="K9165" s="12"/>
      <c r="L9165" s="12"/>
    </row>
    <row r="9166" spans="11:12" ht="12.75">
      <c r="K9166" s="12"/>
      <c r="L9166" s="12"/>
    </row>
    <row r="9167" spans="11:12" ht="12.75">
      <c r="K9167" s="12"/>
      <c r="L9167" s="12"/>
    </row>
    <row r="9168" spans="11:12" ht="12.75">
      <c r="K9168" s="12"/>
      <c r="L9168" s="12"/>
    </row>
    <row r="9169" spans="11:12" ht="12.75">
      <c r="K9169" s="12"/>
      <c r="L9169" s="12"/>
    </row>
    <row r="9170" spans="11:12" ht="12.75">
      <c r="K9170" s="12"/>
      <c r="L9170" s="12"/>
    </row>
    <row r="9171" spans="11:12" ht="12.75">
      <c r="K9171" s="12"/>
      <c r="L9171" s="12"/>
    </row>
    <row r="9172" spans="11:12" ht="12.75">
      <c r="K9172" s="12"/>
      <c r="L9172" s="12"/>
    </row>
    <row r="9173" spans="11:12" ht="12.75">
      <c r="K9173" s="12"/>
      <c r="L9173" s="12"/>
    </row>
    <row r="9174" spans="11:12" ht="12.75">
      <c r="K9174" s="12"/>
      <c r="L9174" s="12"/>
    </row>
    <row r="9175" spans="11:12" ht="12.75">
      <c r="K9175" s="12"/>
      <c r="L9175" s="12"/>
    </row>
    <row r="9176" spans="11:12" ht="12.75">
      <c r="K9176" s="12"/>
      <c r="L9176" s="12"/>
    </row>
    <row r="9177" spans="11:12" ht="12.75">
      <c r="K9177" s="12"/>
      <c r="L9177" s="12"/>
    </row>
    <row r="9178" spans="11:12" ht="12.75">
      <c r="K9178" s="12"/>
      <c r="L9178" s="12"/>
    </row>
    <row r="9179" spans="11:12" ht="12.75">
      <c r="K9179" s="12"/>
      <c r="L9179" s="12"/>
    </row>
    <row r="9180" spans="11:12" ht="12.75">
      <c r="K9180" s="12"/>
      <c r="L9180" s="12"/>
    </row>
    <row r="9181" spans="11:12" ht="12.75">
      <c r="K9181" s="12"/>
      <c r="L9181" s="12"/>
    </row>
    <row r="9182" spans="11:12" ht="12.75">
      <c r="K9182" s="12"/>
      <c r="L9182" s="12"/>
    </row>
    <row r="9183" spans="11:12" ht="12.75">
      <c r="K9183" s="12"/>
      <c r="L9183" s="12"/>
    </row>
    <row r="9184" spans="11:12" ht="12.75">
      <c r="K9184" s="12"/>
      <c r="L9184" s="12"/>
    </row>
    <row r="9185" spans="11:12" ht="12.75">
      <c r="K9185" s="12"/>
      <c r="L9185" s="12"/>
    </row>
    <row r="9186" spans="11:12" ht="12.75">
      <c r="K9186" s="12"/>
      <c r="L9186" s="12"/>
    </row>
    <row r="9187" spans="11:12" ht="12.75">
      <c r="K9187" s="12"/>
      <c r="L9187" s="12"/>
    </row>
    <row r="9188" spans="11:12" ht="12.75">
      <c r="K9188" s="12"/>
      <c r="L9188" s="12"/>
    </row>
    <row r="9189" spans="11:12" ht="12.75">
      <c r="K9189" s="12"/>
      <c r="L9189" s="12"/>
    </row>
    <row r="9190" spans="11:12" ht="12.75">
      <c r="K9190" s="12"/>
      <c r="L9190" s="12"/>
    </row>
    <row r="9191" spans="11:12" ht="12.75">
      <c r="K9191" s="12"/>
      <c r="L9191" s="12"/>
    </row>
    <row r="9192" spans="11:12" ht="12.75">
      <c r="K9192" s="12"/>
      <c r="L9192" s="12"/>
    </row>
    <row r="9193" spans="11:12" ht="12.75">
      <c r="K9193" s="12"/>
      <c r="L9193" s="12"/>
    </row>
    <row r="9194" spans="11:12" ht="12.75">
      <c r="K9194" s="12"/>
      <c r="L9194" s="12"/>
    </row>
    <row r="9195" spans="11:12" ht="12.75">
      <c r="K9195" s="12"/>
      <c r="L9195" s="12"/>
    </row>
    <row r="9196" spans="11:12" ht="12.75">
      <c r="K9196" s="12"/>
      <c r="L9196" s="12"/>
    </row>
    <row r="9197" spans="11:12" ht="12.75">
      <c r="K9197" s="12"/>
      <c r="L9197" s="12"/>
    </row>
    <row r="9198" spans="11:12" ht="12.75">
      <c r="K9198" s="12"/>
      <c r="L9198" s="12"/>
    </row>
    <row r="9199" spans="11:12" ht="12.75">
      <c r="K9199" s="12"/>
      <c r="L9199" s="12"/>
    </row>
    <row r="9200" spans="11:12" ht="12.75">
      <c r="K9200" s="12"/>
      <c r="L9200" s="12"/>
    </row>
    <row r="9201" spans="11:12" ht="12.75">
      <c r="K9201" s="12"/>
      <c r="L9201" s="12"/>
    </row>
    <row r="9202" spans="11:12" ht="12.75">
      <c r="K9202" s="12"/>
      <c r="L9202" s="12"/>
    </row>
    <row r="9203" spans="11:12" ht="12.75">
      <c r="K9203" s="12"/>
      <c r="L9203" s="12"/>
    </row>
    <row r="9204" spans="11:12" ht="12.75">
      <c r="K9204" s="12"/>
      <c r="L9204" s="12"/>
    </row>
    <row r="9205" spans="11:12" ht="12.75">
      <c r="K9205" s="12"/>
      <c r="L9205" s="12"/>
    </row>
    <row r="9206" spans="11:12" ht="12.75">
      <c r="K9206" s="12"/>
      <c r="L9206" s="12"/>
    </row>
    <row r="9207" spans="11:12" ht="12.75">
      <c r="K9207" s="12"/>
      <c r="L9207" s="12"/>
    </row>
    <row r="9208" spans="11:12" ht="12.75">
      <c r="K9208" s="12"/>
      <c r="L9208" s="12"/>
    </row>
    <row r="9209" spans="11:12" ht="12.75">
      <c r="K9209" s="12"/>
      <c r="L9209" s="12"/>
    </row>
    <row r="9210" spans="11:12" ht="12.75">
      <c r="K9210" s="12"/>
      <c r="L9210" s="12"/>
    </row>
    <row r="9211" spans="11:12" ht="12.75">
      <c r="K9211" s="12"/>
      <c r="L9211" s="12"/>
    </row>
    <row r="9212" spans="11:12" ht="12.75">
      <c r="K9212" s="12"/>
      <c r="L9212" s="12"/>
    </row>
    <row r="9213" spans="11:12" ht="12.75">
      <c r="K9213" s="12"/>
      <c r="L9213" s="12"/>
    </row>
    <row r="9214" spans="11:12" ht="12.75">
      <c r="K9214" s="12"/>
      <c r="L9214" s="12"/>
    </row>
    <row r="9215" spans="11:12" ht="12.75">
      <c r="K9215" s="12"/>
      <c r="L9215" s="12"/>
    </row>
    <row r="9216" spans="11:12" ht="12.75">
      <c r="K9216" s="12"/>
      <c r="L9216" s="12"/>
    </row>
    <row r="9217" spans="11:12" ht="12.75">
      <c r="K9217" s="12"/>
      <c r="L9217" s="12"/>
    </row>
    <row r="9218" spans="11:12" ht="12.75">
      <c r="K9218" s="12"/>
      <c r="L9218" s="12"/>
    </row>
    <row r="9219" spans="11:12" ht="12.75">
      <c r="K9219" s="12"/>
      <c r="L9219" s="12"/>
    </row>
    <row r="9220" spans="11:12" ht="12.75">
      <c r="K9220" s="12"/>
      <c r="L9220" s="12"/>
    </row>
    <row r="9221" spans="11:12" ht="12.75">
      <c r="K9221" s="12"/>
      <c r="L9221" s="12"/>
    </row>
    <row r="9222" spans="11:12" ht="12.75">
      <c r="K9222" s="12"/>
      <c r="L9222" s="12"/>
    </row>
    <row r="9223" spans="11:12" ht="12.75">
      <c r="K9223" s="12"/>
      <c r="L9223" s="12"/>
    </row>
    <row r="9224" spans="11:12" ht="12.75">
      <c r="K9224" s="12"/>
      <c r="L9224" s="12"/>
    </row>
    <row r="9225" spans="11:12" ht="12.75">
      <c r="K9225" s="12"/>
      <c r="L9225" s="12"/>
    </row>
    <row r="9226" spans="11:12" ht="12.75">
      <c r="K9226" s="12"/>
      <c r="L9226" s="12"/>
    </row>
    <row r="9227" spans="11:12" ht="12.75">
      <c r="K9227" s="12"/>
      <c r="L9227" s="12"/>
    </row>
    <row r="9228" spans="11:12" ht="12.75">
      <c r="K9228" s="12"/>
      <c r="L9228" s="12"/>
    </row>
    <row r="9229" spans="11:12" ht="12.75">
      <c r="K9229" s="12"/>
      <c r="L9229" s="12"/>
    </row>
    <row r="9230" spans="11:12" ht="12.75">
      <c r="K9230" s="12"/>
      <c r="L9230" s="12"/>
    </row>
    <row r="9231" spans="11:12" ht="12.75">
      <c r="K9231" s="12"/>
      <c r="L9231" s="12"/>
    </row>
    <row r="9232" spans="11:12" ht="12.75">
      <c r="K9232" s="12"/>
      <c r="L9232" s="12"/>
    </row>
    <row r="9233" spans="11:12" ht="12.75">
      <c r="K9233" s="12"/>
      <c r="L9233" s="12"/>
    </row>
    <row r="9234" spans="11:12" ht="12.75">
      <c r="K9234" s="12"/>
      <c r="L9234" s="12"/>
    </row>
    <row r="9235" spans="11:12" ht="12.75">
      <c r="K9235" s="12"/>
      <c r="L9235" s="12"/>
    </row>
    <row r="9236" spans="11:12" ht="12.75">
      <c r="K9236" s="12"/>
      <c r="L9236" s="12"/>
    </row>
    <row r="9237" spans="11:12" ht="12.75">
      <c r="K9237" s="12"/>
      <c r="L9237" s="12"/>
    </row>
    <row r="9238" spans="11:12" ht="12.75">
      <c r="K9238" s="12"/>
      <c r="L9238" s="12"/>
    </row>
    <row r="9239" spans="11:12" ht="12.75">
      <c r="K9239" s="12"/>
      <c r="L9239" s="12"/>
    </row>
    <row r="9240" spans="11:12" ht="12.75">
      <c r="K9240" s="12"/>
      <c r="L9240" s="12"/>
    </row>
    <row r="9241" spans="11:12" ht="12.75">
      <c r="K9241" s="12"/>
      <c r="L9241" s="12"/>
    </row>
    <row r="9242" spans="11:12" ht="12.75">
      <c r="K9242" s="12"/>
      <c r="L9242" s="12"/>
    </row>
    <row r="9243" spans="11:12" ht="12.75">
      <c r="K9243" s="12"/>
      <c r="L9243" s="12"/>
    </row>
    <row r="9244" spans="11:12" ht="12.75">
      <c r="K9244" s="12"/>
      <c r="L9244" s="12"/>
    </row>
    <row r="9245" spans="11:12" ht="12.75">
      <c r="K9245" s="12"/>
      <c r="L9245" s="12"/>
    </row>
    <row r="9246" spans="11:12" ht="12.75">
      <c r="K9246" s="12"/>
      <c r="L9246" s="12"/>
    </row>
    <row r="9247" spans="11:12" ht="12.75">
      <c r="K9247" s="12"/>
      <c r="L9247" s="12"/>
    </row>
    <row r="9248" spans="11:12" ht="12.75">
      <c r="K9248" s="12"/>
      <c r="L9248" s="12"/>
    </row>
    <row r="9249" spans="11:12" ht="12.75">
      <c r="K9249" s="12"/>
      <c r="L9249" s="12"/>
    </row>
    <row r="9250" spans="11:12" ht="12.75">
      <c r="K9250" s="12"/>
      <c r="L9250" s="12"/>
    </row>
    <row r="9251" spans="11:12" ht="12.75">
      <c r="K9251" s="12"/>
      <c r="L9251" s="12"/>
    </row>
    <row r="9252" spans="11:12" ht="12.75">
      <c r="K9252" s="12"/>
      <c r="L9252" s="12"/>
    </row>
    <row r="9253" spans="11:12" ht="12.75">
      <c r="K9253" s="12"/>
      <c r="L9253" s="12"/>
    </row>
    <row r="9254" spans="11:12" ht="12.75">
      <c r="K9254" s="12"/>
      <c r="L9254" s="12"/>
    </row>
    <row r="9255" spans="11:12" ht="12.75">
      <c r="K9255" s="12"/>
      <c r="L9255" s="12"/>
    </row>
    <row r="9256" spans="11:12" ht="12.75">
      <c r="K9256" s="12"/>
      <c r="L9256" s="12"/>
    </row>
    <row r="9257" spans="11:12" ht="12.75">
      <c r="K9257" s="12"/>
      <c r="L9257" s="12"/>
    </row>
    <row r="9258" spans="11:12" ht="12.75">
      <c r="K9258" s="12"/>
      <c r="L9258" s="12"/>
    </row>
    <row r="9259" spans="11:12" ht="12.75">
      <c r="K9259" s="12"/>
      <c r="L9259" s="12"/>
    </row>
    <row r="9260" spans="11:12" ht="12.75">
      <c r="K9260" s="12"/>
      <c r="L9260" s="12"/>
    </row>
    <row r="9261" spans="11:12" ht="12.75">
      <c r="K9261" s="12"/>
      <c r="L9261" s="12"/>
    </row>
    <row r="9262" spans="11:12" ht="12.75">
      <c r="K9262" s="12"/>
      <c r="L9262" s="12"/>
    </row>
    <row r="9263" spans="11:12" ht="12.75">
      <c r="K9263" s="12"/>
      <c r="L9263" s="12"/>
    </row>
    <row r="9264" spans="11:12" ht="12.75">
      <c r="K9264" s="12"/>
      <c r="L9264" s="12"/>
    </row>
    <row r="9265" spans="11:12" ht="12.75">
      <c r="K9265" s="12"/>
      <c r="L9265" s="12"/>
    </row>
    <row r="9266" spans="11:12" ht="12.75">
      <c r="K9266" s="12"/>
      <c r="L9266" s="12"/>
    </row>
    <row r="9267" spans="11:12" ht="12.75">
      <c r="K9267" s="12"/>
      <c r="L9267" s="12"/>
    </row>
    <row r="9268" spans="11:12" ht="12.75">
      <c r="K9268" s="12"/>
      <c r="L9268" s="12"/>
    </row>
    <row r="9269" spans="11:12" ht="12.75">
      <c r="K9269" s="12"/>
      <c r="L9269" s="12"/>
    </row>
    <row r="9270" spans="11:12" ht="12.75">
      <c r="K9270" s="12"/>
      <c r="L9270" s="12"/>
    </row>
    <row r="9271" spans="11:12" ht="12.75">
      <c r="K9271" s="12"/>
      <c r="L9271" s="12"/>
    </row>
    <row r="9272" spans="11:12" ht="12.75">
      <c r="K9272" s="12"/>
      <c r="L9272" s="12"/>
    </row>
    <row r="9273" spans="11:12" ht="12.75">
      <c r="K9273" s="12"/>
      <c r="L9273" s="12"/>
    </row>
    <row r="9274" spans="11:12" ht="12.75">
      <c r="K9274" s="12"/>
      <c r="L9274" s="12"/>
    </row>
    <row r="9275" spans="11:12" ht="12.75">
      <c r="K9275" s="12"/>
      <c r="L9275" s="12"/>
    </row>
    <row r="9276" spans="11:12" ht="12.75">
      <c r="K9276" s="12"/>
      <c r="L9276" s="12"/>
    </row>
    <row r="9277" spans="11:12" ht="12.75">
      <c r="K9277" s="12"/>
      <c r="L9277" s="12"/>
    </row>
    <row r="9278" spans="11:12" ht="12.75">
      <c r="K9278" s="12"/>
      <c r="L9278" s="12"/>
    </row>
    <row r="9279" spans="11:12" ht="12.75">
      <c r="K9279" s="12"/>
      <c r="L9279" s="12"/>
    </row>
    <row r="9280" spans="11:12" ht="12.75">
      <c r="K9280" s="12"/>
      <c r="L9280" s="12"/>
    </row>
    <row r="9281" spans="11:12" ht="12.75">
      <c r="K9281" s="12"/>
      <c r="L9281" s="12"/>
    </row>
    <row r="9282" spans="11:12" ht="12.75">
      <c r="K9282" s="12"/>
      <c r="L9282" s="12"/>
    </row>
    <row r="9283" spans="11:12" ht="12.75">
      <c r="K9283" s="12"/>
      <c r="L9283" s="12"/>
    </row>
    <row r="9284" spans="11:12" ht="12.75">
      <c r="K9284" s="12"/>
      <c r="L9284" s="12"/>
    </row>
    <row r="9285" spans="11:12" ht="12.75">
      <c r="K9285" s="12"/>
      <c r="L9285" s="12"/>
    </row>
    <row r="9286" spans="11:12" ht="12.75">
      <c r="K9286" s="12"/>
      <c r="L9286" s="12"/>
    </row>
    <row r="9287" spans="11:12" ht="12.75">
      <c r="K9287" s="12"/>
      <c r="L9287" s="12"/>
    </row>
    <row r="9288" spans="11:12" ht="12.75">
      <c r="K9288" s="12"/>
      <c r="L9288" s="12"/>
    </row>
    <row r="9289" spans="11:12" ht="12.75">
      <c r="K9289" s="12"/>
      <c r="L9289" s="12"/>
    </row>
    <row r="9290" spans="11:12" ht="12.75">
      <c r="K9290" s="12"/>
      <c r="L9290" s="12"/>
    </row>
    <row r="9291" spans="11:12" ht="12.75">
      <c r="K9291" s="12"/>
      <c r="L9291" s="12"/>
    </row>
    <row r="9292" spans="11:12" ht="12.75">
      <c r="K9292" s="12"/>
      <c r="L9292" s="12"/>
    </row>
    <row r="9293" spans="11:12" ht="12.75">
      <c r="K9293" s="12"/>
      <c r="L9293" s="12"/>
    </row>
    <row r="9294" spans="11:12" ht="12.75">
      <c r="K9294" s="12"/>
      <c r="L9294" s="12"/>
    </row>
    <row r="9295" spans="11:12" ht="12.75">
      <c r="K9295" s="12"/>
      <c r="L9295" s="12"/>
    </row>
    <row r="9296" spans="11:12" ht="12.75">
      <c r="K9296" s="12"/>
      <c r="L9296" s="12"/>
    </row>
    <row r="9297" spans="11:12" ht="12.75">
      <c r="K9297" s="12"/>
      <c r="L9297" s="12"/>
    </row>
    <row r="9298" spans="11:12" ht="12.75">
      <c r="K9298" s="12"/>
      <c r="L9298" s="12"/>
    </row>
    <row r="9299" spans="11:12" ht="12.75">
      <c r="K9299" s="12"/>
      <c r="L9299" s="12"/>
    </row>
    <row r="9300" spans="11:12" ht="12.75">
      <c r="K9300" s="12"/>
      <c r="L9300" s="12"/>
    </row>
    <row r="9301" spans="11:12" ht="12.75">
      <c r="K9301" s="12"/>
      <c r="L9301" s="12"/>
    </row>
    <row r="9302" spans="11:12" ht="12.75">
      <c r="K9302" s="12"/>
      <c r="L9302" s="12"/>
    </row>
    <row r="9303" spans="11:12" ht="12.75">
      <c r="K9303" s="12"/>
      <c r="L9303" s="12"/>
    </row>
    <row r="9304" spans="11:12" ht="12.75">
      <c r="K9304" s="12"/>
      <c r="L9304" s="12"/>
    </row>
    <row r="9305" spans="11:12" ht="12.75">
      <c r="K9305" s="12"/>
      <c r="L9305" s="12"/>
    </row>
    <row r="9306" spans="11:12" ht="12.75">
      <c r="K9306" s="12"/>
      <c r="L9306" s="12"/>
    </row>
    <row r="9307" spans="11:12" ht="12.75">
      <c r="K9307" s="12"/>
      <c r="L9307" s="12"/>
    </row>
    <row r="9308" spans="11:12" ht="12.75">
      <c r="K9308" s="12"/>
      <c r="L9308" s="12"/>
    </row>
    <row r="9309" spans="11:12" ht="12.75">
      <c r="K9309" s="12"/>
      <c r="L9309" s="12"/>
    </row>
    <row r="9310" spans="11:12" ht="12.75">
      <c r="K9310" s="12"/>
      <c r="L9310" s="12"/>
    </row>
    <row r="9311" spans="11:12" ht="12.75">
      <c r="K9311" s="12"/>
      <c r="L9311" s="12"/>
    </row>
    <row r="9312" spans="11:12" ht="12.75">
      <c r="K9312" s="12"/>
      <c r="L9312" s="12"/>
    </row>
    <row r="9313" spans="11:12" ht="12.75">
      <c r="K9313" s="12"/>
      <c r="L9313" s="12"/>
    </row>
    <row r="9314" spans="11:12" ht="12.75">
      <c r="K9314" s="12"/>
      <c r="L9314" s="12"/>
    </row>
    <row r="9315" spans="11:12" ht="12.75">
      <c r="K9315" s="12"/>
      <c r="L9315" s="12"/>
    </row>
    <row r="9316" spans="11:12" ht="12.75">
      <c r="K9316" s="12"/>
      <c r="L9316" s="12"/>
    </row>
    <row r="9317" spans="11:12" ht="12.75">
      <c r="K9317" s="12"/>
      <c r="L9317" s="12"/>
    </row>
    <row r="9318" spans="11:12" ht="12.75">
      <c r="K9318" s="12"/>
      <c r="L9318" s="12"/>
    </row>
    <row r="9319" spans="11:12" ht="12.75">
      <c r="K9319" s="12"/>
      <c r="L9319" s="12"/>
    </row>
    <row r="9320" spans="11:12" ht="12.75">
      <c r="K9320" s="12"/>
      <c r="L9320" s="12"/>
    </row>
    <row r="9321" spans="11:12" ht="12.75">
      <c r="K9321" s="12"/>
      <c r="L9321" s="12"/>
    </row>
    <row r="9322" spans="11:12" ht="12.75">
      <c r="K9322" s="12"/>
      <c r="L9322" s="12"/>
    </row>
    <row r="9323" spans="11:12" ht="12.75">
      <c r="K9323" s="12"/>
      <c r="L9323" s="12"/>
    </row>
    <row r="9324" spans="11:12" ht="12.75">
      <c r="K9324" s="12"/>
      <c r="L9324" s="12"/>
    </row>
    <row r="9325" spans="11:12" ht="12.75">
      <c r="K9325" s="12"/>
      <c r="L9325" s="12"/>
    </row>
    <row r="9326" spans="11:12" ht="12.75">
      <c r="K9326" s="12"/>
      <c r="L9326" s="12"/>
    </row>
    <row r="9327" spans="11:12" ht="12.75">
      <c r="K9327" s="12"/>
      <c r="L9327" s="12"/>
    </row>
    <row r="9328" spans="11:12" ht="12.75">
      <c r="K9328" s="12"/>
      <c r="L9328" s="12"/>
    </row>
    <row r="9329" spans="11:12" ht="12.75">
      <c r="K9329" s="12"/>
      <c r="L9329" s="12"/>
    </row>
    <row r="9330" spans="11:12" ht="12.75">
      <c r="K9330" s="12"/>
      <c r="L9330" s="12"/>
    </row>
    <row r="9331" spans="11:12" ht="12.75">
      <c r="K9331" s="12"/>
      <c r="L9331" s="12"/>
    </row>
    <row r="9332" spans="11:12" ht="12.75">
      <c r="K9332" s="12"/>
      <c r="L9332" s="12"/>
    </row>
    <row r="9333" spans="11:12" ht="12.75">
      <c r="K9333" s="12"/>
      <c r="L9333" s="12"/>
    </row>
    <row r="9334" spans="11:12" ht="12.75">
      <c r="K9334" s="12"/>
      <c r="L9334" s="12"/>
    </row>
    <row r="9335" spans="11:12" ht="12.75">
      <c r="K9335" s="12"/>
      <c r="L9335" s="12"/>
    </row>
    <row r="9336" spans="11:12" ht="12.75">
      <c r="K9336" s="12"/>
      <c r="L9336" s="12"/>
    </row>
    <row r="9337" spans="11:12" ht="12.75">
      <c r="K9337" s="12"/>
      <c r="L9337" s="12"/>
    </row>
    <row r="9338" spans="11:12" ht="12.75">
      <c r="K9338" s="12"/>
      <c r="L9338" s="12"/>
    </row>
    <row r="9339" spans="11:12" ht="12.75">
      <c r="K9339" s="12"/>
      <c r="L9339" s="12"/>
    </row>
    <row r="9340" spans="11:12" ht="12.75">
      <c r="K9340" s="12"/>
      <c r="L9340" s="12"/>
    </row>
    <row r="9341" spans="11:12" ht="12.75">
      <c r="K9341" s="12"/>
      <c r="L9341" s="12"/>
    </row>
    <row r="9342" spans="11:12" ht="12.75">
      <c r="K9342" s="12"/>
      <c r="L9342" s="12"/>
    </row>
    <row r="9343" spans="11:12" ht="12.75">
      <c r="K9343" s="12"/>
      <c r="L9343" s="12"/>
    </row>
    <row r="9344" spans="11:12" ht="12.75">
      <c r="K9344" s="12"/>
      <c r="L9344" s="12"/>
    </row>
    <row r="9345" spans="11:12" ht="12.75">
      <c r="K9345" s="12"/>
      <c r="L9345" s="12"/>
    </row>
    <row r="9346" spans="11:12" ht="12.75">
      <c r="K9346" s="12"/>
      <c r="L9346" s="12"/>
    </row>
    <row r="9347" spans="11:12" ht="12.75">
      <c r="K9347" s="12"/>
      <c r="L9347" s="12"/>
    </row>
    <row r="9348" spans="11:12" ht="12.75">
      <c r="K9348" s="12"/>
      <c r="L9348" s="12"/>
    </row>
    <row r="9349" spans="11:12" ht="12.75">
      <c r="K9349" s="12"/>
      <c r="L9349" s="12"/>
    </row>
    <row r="9350" spans="11:12" ht="12.75">
      <c r="K9350" s="12"/>
      <c r="L9350" s="12"/>
    </row>
    <row r="9351" spans="11:12" ht="12.75">
      <c r="K9351" s="12"/>
      <c r="L9351" s="12"/>
    </row>
    <row r="9352" spans="11:12" ht="12.75">
      <c r="K9352" s="12"/>
      <c r="L9352" s="12"/>
    </row>
    <row r="9353" spans="11:12" ht="12.75">
      <c r="K9353" s="12"/>
      <c r="L9353" s="12"/>
    </row>
    <row r="9354" spans="11:12" ht="12.75">
      <c r="K9354" s="12"/>
      <c r="L9354" s="12"/>
    </row>
    <row r="9355" spans="11:12" ht="12.75">
      <c r="K9355" s="12"/>
      <c r="L9355" s="12"/>
    </row>
    <row r="9356" spans="11:12" ht="12.75">
      <c r="K9356" s="12"/>
      <c r="L9356" s="12"/>
    </row>
    <row r="9357" spans="11:12" ht="12.75">
      <c r="K9357" s="12"/>
      <c r="L9357" s="12"/>
    </row>
    <row r="9358" spans="11:12" ht="12.75">
      <c r="K9358" s="12"/>
      <c r="L9358" s="12"/>
    </row>
    <row r="9359" spans="11:12" ht="12.75">
      <c r="K9359" s="12"/>
      <c r="L9359" s="12"/>
    </row>
    <row r="9360" spans="11:12" ht="12.75">
      <c r="K9360" s="12"/>
      <c r="L9360" s="12"/>
    </row>
    <row r="9361" spans="11:12" ht="12.75">
      <c r="K9361" s="12"/>
      <c r="L9361" s="12"/>
    </row>
    <row r="9362" spans="11:12" ht="12.75">
      <c r="K9362" s="12"/>
      <c r="L9362" s="12"/>
    </row>
    <row r="9363" spans="11:12" ht="12.75">
      <c r="K9363" s="12"/>
      <c r="L9363" s="12"/>
    </row>
    <row r="9364" spans="11:12" ht="12.75">
      <c r="K9364" s="12"/>
      <c r="L9364" s="12"/>
    </row>
    <row r="9365" spans="11:12" ht="12.75">
      <c r="K9365" s="12"/>
      <c r="L9365" s="12"/>
    </row>
    <row r="9366" spans="11:12" ht="12.75">
      <c r="K9366" s="12"/>
      <c r="L9366" s="12"/>
    </row>
    <row r="9367" spans="11:12" ht="12.75">
      <c r="K9367" s="12"/>
      <c r="L9367" s="12"/>
    </row>
    <row r="9368" spans="11:12" ht="12.75">
      <c r="K9368" s="12"/>
      <c r="L9368" s="12"/>
    </row>
    <row r="9369" spans="11:12" ht="12.75">
      <c r="K9369" s="12"/>
      <c r="L9369" s="12"/>
    </row>
    <row r="9370" spans="11:12" ht="12.75">
      <c r="K9370" s="12"/>
      <c r="L9370" s="12"/>
    </row>
    <row r="9371" spans="11:12" ht="12.75">
      <c r="K9371" s="12"/>
      <c r="L9371" s="12"/>
    </row>
    <row r="9372" spans="11:12" ht="12.75">
      <c r="K9372" s="12"/>
      <c r="L9372" s="12"/>
    </row>
    <row r="9373" spans="11:12" ht="12.75">
      <c r="K9373" s="12"/>
      <c r="L9373" s="12"/>
    </row>
    <row r="9374" spans="11:12" ht="12.75">
      <c r="K9374" s="12"/>
      <c r="L9374" s="12"/>
    </row>
    <row r="9375" spans="11:12" ht="12.75">
      <c r="K9375" s="12"/>
      <c r="L9375" s="12"/>
    </row>
    <row r="9376" spans="11:12" ht="12.75">
      <c r="K9376" s="12"/>
      <c r="L9376" s="12"/>
    </row>
    <row r="9377" spans="11:12" ht="12.75">
      <c r="K9377" s="12"/>
      <c r="L9377" s="12"/>
    </row>
    <row r="9378" spans="11:12" ht="12.75">
      <c r="K9378" s="12"/>
      <c r="L9378" s="12"/>
    </row>
    <row r="9379" spans="11:12" ht="12.75">
      <c r="K9379" s="12"/>
      <c r="L9379" s="12"/>
    </row>
    <row r="9380" spans="11:12" ht="12.75">
      <c r="K9380" s="12"/>
      <c r="L9380" s="12"/>
    </row>
    <row r="9381" spans="11:12" ht="12.75">
      <c r="K9381" s="12"/>
      <c r="L9381" s="12"/>
    </row>
    <row r="9382" spans="11:12" ht="12.75">
      <c r="K9382" s="12"/>
      <c r="L9382" s="12"/>
    </row>
    <row r="9383" spans="11:12" ht="12.75">
      <c r="K9383" s="12"/>
      <c r="L9383" s="12"/>
    </row>
    <row r="9384" spans="11:12" ht="12.75">
      <c r="K9384" s="12"/>
      <c r="L9384" s="12"/>
    </row>
    <row r="9385" spans="11:12" ht="12.75">
      <c r="K9385" s="12"/>
      <c r="L9385" s="12"/>
    </row>
    <row r="9386" spans="11:12" ht="12.75">
      <c r="K9386" s="12"/>
      <c r="L9386" s="12"/>
    </row>
    <row r="9387" spans="11:12" ht="12.75">
      <c r="K9387" s="12"/>
      <c r="L9387" s="12"/>
    </row>
    <row r="9388" spans="11:12" ht="12.75">
      <c r="K9388" s="12"/>
      <c r="L9388" s="12"/>
    </row>
    <row r="9389" spans="11:12" ht="12.75">
      <c r="K9389" s="12"/>
      <c r="L9389" s="12"/>
    </row>
    <row r="9390" spans="11:12" ht="12.75">
      <c r="K9390" s="12"/>
      <c r="L9390" s="12"/>
    </row>
    <row r="9391" spans="11:12" ht="12.75">
      <c r="K9391" s="12"/>
      <c r="L9391" s="12"/>
    </row>
    <row r="9392" spans="11:12" ht="12.75">
      <c r="K9392" s="12"/>
      <c r="L9392" s="12"/>
    </row>
    <row r="9393" spans="11:12" ht="12.75">
      <c r="K9393" s="12"/>
      <c r="L9393" s="12"/>
    </row>
    <row r="9394" spans="11:12" ht="12.75">
      <c r="K9394" s="12"/>
      <c r="L9394" s="12"/>
    </row>
    <row r="9395" spans="11:12" ht="12.75">
      <c r="K9395" s="12"/>
      <c r="L9395" s="12"/>
    </row>
    <row r="9396" spans="11:12" ht="12.75">
      <c r="K9396" s="12"/>
      <c r="L9396" s="12"/>
    </row>
    <row r="9397" spans="11:12" ht="12.75">
      <c r="K9397" s="12"/>
      <c r="L9397" s="12"/>
    </row>
    <row r="9398" spans="11:12" ht="12.75">
      <c r="K9398" s="12"/>
      <c r="L9398" s="12"/>
    </row>
    <row r="9399" spans="11:12" ht="12.75">
      <c r="K9399" s="12"/>
      <c r="L9399" s="12"/>
    </row>
    <row r="9400" spans="11:12" ht="12.75">
      <c r="K9400" s="12"/>
      <c r="L9400" s="12"/>
    </row>
    <row r="9401" spans="11:12" ht="12.75">
      <c r="K9401" s="12"/>
      <c r="L9401" s="12"/>
    </row>
    <row r="9402" spans="11:12" ht="12.75">
      <c r="K9402" s="12"/>
      <c r="L9402" s="12"/>
    </row>
    <row r="9403" spans="11:12" ht="12.75">
      <c r="K9403" s="12"/>
      <c r="L9403" s="12"/>
    </row>
    <row r="9404" spans="11:12" ht="12.75">
      <c r="K9404" s="12"/>
      <c r="L9404" s="12"/>
    </row>
    <row r="9405" spans="11:12" ht="12.75">
      <c r="K9405" s="12"/>
      <c r="L9405" s="12"/>
    </row>
    <row r="9406" spans="11:12" ht="12.75">
      <c r="K9406" s="12"/>
      <c r="L9406" s="12"/>
    </row>
    <row r="9407" spans="11:12" ht="12.75">
      <c r="K9407" s="12"/>
      <c r="L9407" s="12"/>
    </row>
    <row r="9408" spans="11:12" ht="12.75">
      <c r="K9408" s="12"/>
      <c r="L9408" s="12"/>
    </row>
    <row r="9409" spans="11:12" ht="12.75">
      <c r="K9409" s="12"/>
      <c r="L9409" s="12"/>
    </row>
    <row r="9410" spans="11:12" ht="12.75">
      <c r="K9410" s="12"/>
      <c r="L9410" s="12"/>
    </row>
    <row r="9411" spans="11:12" ht="12.75">
      <c r="K9411" s="12"/>
      <c r="L9411" s="12"/>
    </row>
    <row r="9412" spans="11:12" ht="12.75">
      <c r="K9412" s="12"/>
      <c r="L9412" s="12"/>
    </row>
    <row r="9413" spans="11:12" ht="12.75">
      <c r="K9413" s="12"/>
      <c r="L9413" s="12"/>
    </row>
    <row r="9414" spans="11:12" ht="12.75">
      <c r="K9414" s="12"/>
      <c r="L9414" s="12"/>
    </row>
    <row r="9415" spans="11:12" ht="12.75">
      <c r="K9415" s="12"/>
      <c r="L9415" s="12"/>
    </row>
    <row r="9416" spans="11:12" ht="12.75">
      <c r="K9416" s="12"/>
      <c r="L9416" s="12"/>
    </row>
    <row r="9417" spans="11:12" ht="12.75">
      <c r="K9417" s="12"/>
      <c r="L9417" s="12"/>
    </row>
    <row r="9418" spans="11:12" ht="12.75">
      <c r="K9418" s="12"/>
      <c r="L9418" s="12"/>
    </row>
    <row r="9419" spans="11:12" ht="12.75">
      <c r="K9419" s="12"/>
      <c r="L9419" s="12"/>
    </row>
    <row r="9420" spans="11:12" ht="12.75">
      <c r="K9420" s="12"/>
      <c r="L9420" s="12"/>
    </row>
    <row r="9421" spans="11:12" ht="12.75">
      <c r="K9421" s="12"/>
      <c r="L9421" s="12"/>
    </row>
    <row r="9422" spans="11:12" ht="12.75">
      <c r="K9422" s="12"/>
      <c r="L9422" s="12"/>
    </row>
    <row r="9423" spans="11:12" ht="12.75">
      <c r="K9423" s="12"/>
      <c r="L9423" s="12"/>
    </row>
    <row r="9424" spans="11:12" ht="12.75">
      <c r="K9424" s="12"/>
      <c r="L9424" s="12"/>
    </row>
    <row r="9425" spans="11:12" ht="12.75">
      <c r="K9425" s="12"/>
      <c r="L9425" s="12"/>
    </row>
    <row r="9426" spans="11:12" ht="12.75">
      <c r="K9426" s="12"/>
      <c r="L9426" s="12"/>
    </row>
    <row r="9427" spans="11:12" ht="12.75">
      <c r="K9427" s="12"/>
      <c r="L9427" s="12"/>
    </row>
    <row r="9428" spans="11:12" ht="12.75">
      <c r="K9428" s="12"/>
      <c r="L9428" s="12"/>
    </row>
    <row r="9429" spans="11:12" ht="12.75">
      <c r="K9429" s="12"/>
      <c r="L9429" s="12"/>
    </row>
    <row r="9430" spans="11:12" ht="12.75">
      <c r="K9430" s="12"/>
      <c r="L9430" s="12"/>
    </row>
    <row r="9431" spans="11:12" ht="12.75">
      <c r="K9431" s="12"/>
      <c r="L9431" s="12"/>
    </row>
    <row r="9432" spans="11:12" ht="12.75">
      <c r="K9432" s="12"/>
      <c r="L9432" s="12"/>
    </row>
    <row r="9433" spans="11:12" ht="12.75">
      <c r="K9433" s="12"/>
      <c r="L9433" s="12"/>
    </row>
    <row r="9434" spans="11:12" ht="12.75">
      <c r="K9434" s="12"/>
      <c r="L9434" s="12"/>
    </row>
    <row r="9435" spans="11:12" ht="12.75">
      <c r="K9435" s="12"/>
      <c r="L9435" s="12"/>
    </row>
    <row r="9436" spans="11:12" ht="12.75">
      <c r="K9436" s="12"/>
      <c r="L9436" s="12"/>
    </row>
    <row r="9437" spans="11:12" ht="12.75">
      <c r="K9437" s="12"/>
      <c r="L9437" s="12"/>
    </row>
    <row r="9438" spans="11:12" ht="12.75">
      <c r="K9438" s="12"/>
      <c r="L9438" s="12"/>
    </row>
    <row r="9439" spans="11:12" ht="12.75">
      <c r="K9439" s="12"/>
      <c r="L9439" s="12"/>
    </row>
    <row r="9440" spans="11:12" ht="12.75">
      <c r="K9440" s="12"/>
      <c r="L9440" s="12"/>
    </row>
    <row r="9441" spans="11:12" ht="12.75">
      <c r="K9441" s="12"/>
      <c r="L9441" s="12"/>
    </row>
    <row r="9442" spans="11:12" ht="12.75">
      <c r="K9442" s="12"/>
      <c r="L9442" s="12"/>
    </row>
    <row r="9443" spans="11:12" ht="12.75">
      <c r="K9443" s="12"/>
      <c r="L9443" s="12"/>
    </row>
    <row r="9444" spans="11:12" ht="12.75">
      <c r="K9444" s="12"/>
      <c r="L9444" s="12"/>
    </row>
    <row r="9445" spans="11:12" ht="12.75">
      <c r="K9445" s="12"/>
      <c r="L9445" s="12"/>
    </row>
    <row r="9446" spans="11:12" ht="12.75">
      <c r="K9446" s="12"/>
      <c r="L9446" s="12"/>
    </row>
    <row r="9447" spans="11:12" ht="12.75">
      <c r="K9447" s="12"/>
      <c r="L9447" s="12"/>
    </row>
    <row r="9448" spans="11:12" ht="12.75">
      <c r="K9448" s="12"/>
      <c r="L9448" s="12"/>
    </row>
    <row r="9449" spans="11:12" ht="12.75">
      <c r="K9449" s="12"/>
      <c r="L9449" s="12"/>
    </row>
    <row r="9450" spans="11:12" ht="12.75">
      <c r="K9450" s="12"/>
      <c r="L9450" s="12"/>
    </row>
    <row r="9451" spans="11:12" ht="12.75">
      <c r="K9451" s="12"/>
      <c r="L9451" s="12"/>
    </row>
    <row r="9452" spans="11:12" ht="12.75">
      <c r="K9452" s="12"/>
      <c r="L9452" s="12"/>
    </row>
    <row r="9453" spans="11:12" ht="12.75">
      <c r="K9453" s="12"/>
      <c r="L9453" s="12"/>
    </row>
    <row r="9454" spans="11:12" ht="12.75">
      <c r="K9454" s="12"/>
      <c r="L9454" s="12"/>
    </row>
    <row r="9455" spans="11:12" ht="12.75">
      <c r="K9455" s="12"/>
      <c r="L9455" s="12"/>
    </row>
    <row r="9456" spans="11:12" ht="12.75">
      <c r="K9456" s="12"/>
      <c r="L9456" s="12"/>
    </row>
    <row r="9457" spans="11:12" ht="12.75">
      <c r="K9457" s="12"/>
      <c r="L9457" s="12"/>
    </row>
    <row r="9458" spans="11:12" ht="12.75">
      <c r="K9458" s="12"/>
      <c r="L9458" s="12"/>
    </row>
    <row r="9459" spans="11:12" ht="12.75">
      <c r="K9459" s="12"/>
      <c r="L9459" s="12"/>
    </row>
    <row r="9460" spans="11:12" ht="12.75">
      <c r="K9460" s="12"/>
      <c r="L9460" s="12"/>
    </row>
    <row r="9461" spans="11:12" ht="12.75">
      <c r="K9461" s="12"/>
      <c r="L9461" s="12"/>
    </row>
    <row r="9462" spans="11:12" ht="12.75">
      <c r="K9462" s="12"/>
      <c r="L9462" s="12"/>
    </row>
    <row r="9463" spans="11:12" ht="12.75">
      <c r="K9463" s="12"/>
      <c r="L9463" s="12"/>
    </row>
    <row r="9464" spans="11:12" ht="12.75">
      <c r="K9464" s="12"/>
      <c r="L9464" s="12"/>
    </row>
    <row r="9465" spans="11:12" ht="12.75">
      <c r="K9465" s="12"/>
      <c r="L9465" s="12"/>
    </row>
    <row r="9466" spans="11:12" ht="12.75">
      <c r="K9466" s="12"/>
      <c r="L9466" s="12"/>
    </row>
    <row r="9467" spans="11:12" ht="12.75">
      <c r="K9467" s="12"/>
      <c r="L9467" s="12"/>
    </row>
    <row r="9468" spans="11:12" ht="12.75">
      <c r="K9468" s="12"/>
      <c r="L9468" s="12"/>
    </row>
    <row r="9469" spans="11:12" ht="12.75">
      <c r="K9469" s="12"/>
      <c r="L9469" s="12"/>
    </row>
    <row r="9470" spans="11:12" ht="12.75">
      <c r="K9470" s="12"/>
      <c r="L9470" s="12"/>
    </row>
    <row r="9471" spans="11:12" ht="12.75">
      <c r="K9471" s="12"/>
      <c r="L9471" s="12"/>
    </row>
    <row r="9472" spans="11:12" ht="12.75">
      <c r="K9472" s="12"/>
      <c r="L9472" s="12"/>
    </row>
    <row r="9473" spans="11:12" ht="12.75">
      <c r="K9473" s="12"/>
      <c r="L9473" s="12"/>
    </row>
    <row r="9474" spans="11:12" ht="12.75">
      <c r="K9474" s="12"/>
      <c r="L9474" s="12"/>
    </row>
    <row r="9475" spans="11:12" ht="12.75">
      <c r="K9475" s="12"/>
      <c r="L9475" s="12"/>
    </row>
    <row r="9476" spans="11:12" ht="12.75">
      <c r="K9476" s="12"/>
      <c r="L9476" s="12"/>
    </row>
    <row r="9477" spans="11:12" ht="12.75">
      <c r="K9477" s="12"/>
      <c r="L9477" s="12"/>
    </row>
    <row r="9478" spans="11:12" ht="12.75">
      <c r="K9478" s="12"/>
      <c r="L9478" s="12"/>
    </row>
    <row r="9479" spans="11:12" ht="12.75">
      <c r="K9479" s="12"/>
      <c r="L9479" s="12"/>
    </row>
    <row r="9480" spans="11:12" ht="12.75">
      <c r="K9480" s="12"/>
      <c r="L9480" s="12"/>
    </row>
    <row r="9481" spans="11:12" ht="12.75">
      <c r="K9481" s="12"/>
      <c r="L9481" s="12"/>
    </row>
    <row r="9482" spans="11:12" ht="12.75">
      <c r="K9482" s="12"/>
      <c r="L9482" s="12"/>
    </row>
    <row r="9483" spans="11:12" ht="12.75">
      <c r="K9483" s="12"/>
      <c r="L9483" s="12"/>
    </row>
    <row r="9484" spans="11:12" ht="12.75">
      <c r="K9484" s="12"/>
      <c r="L9484" s="12"/>
    </row>
    <row r="9485" spans="11:12" ht="12.75">
      <c r="K9485" s="12"/>
      <c r="L9485" s="12"/>
    </row>
    <row r="9486" spans="11:12" ht="12.75">
      <c r="K9486" s="12"/>
      <c r="L9486" s="12"/>
    </row>
    <row r="9487" spans="11:12" ht="12.75">
      <c r="K9487" s="12"/>
      <c r="L9487" s="12"/>
    </row>
    <row r="9488" spans="11:12" ht="12.75">
      <c r="K9488" s="12"/>
      <c r="L9488" s="12"/>
    </row>
    <row r="9489" spans="11:12" ht="12.75">
      <c r="K9489" s="12"/>
      <c r="L9489" s="12"/>
    </row>
    <row r="9490" spans="11:12" ht="12.75">
      <c r="K9490" s="12"/>
      <c r="L9490" s="12"/>
    </row>
    <row r="9491" spans="11:12" ht="12.75">
      <c r="K9491" s="12"/>
      <c r="L9491" s="12"/>
    </row>
    <row r="9492" spans="11:12" ht="12.75">
      <c r="K9492" s="12"/>
      <c r="L9492" s="12"/>
    </row>
    <row r="9493" spans="11:12" ht="12.75">
      <c r="K9493" s="12"/>
      <c r="L9493" s="12"/>
    </row>
    <row r="9494" spans="11:12" ht="12.75">
      <c r="K9494" s="12"/>
      <c r="L9494" s="12"/>
    </row>
    <row r="9495" spans="11:12" ht="12.75">
      <c r="K9495" s="12"/>
      <c r="L9495" s="12"/>
    </row>
    <row r="9496" spans="11:12" ht="12.75">
      <c r="K9496" s="12"/>
      <c r="L9496" s="12"/>
    </row>
    <row r="9497" spans="11:12" ht="12.75">
      <c r="K9497" s="12"/>
      <c r="L9497" s="12"/>
    </row>
    <row r="9498" spans="11:12" ht="12.75">
      <c r="K9498" s="12"/>
      <c r="L9498" s="12"/>
    </row>
    <row r="9499" spans="11:12" ht="12.75">
      <c r="K9499" s="12"/>
      <c r="L9499" s="12"/>
    </row>
    <row r="9500" spans="11:12" ht="12.75">
      <c r="K9500" s="12"/>
      <c r="L9500" s="12"/>
    </row>
    <row r="9501" spans="11:12" ht="12.75">
      <c r="K9501" s="12"/>
      <c r="L9501" s="12"/>
    </row>
    <row r="9502" spans="11:12" ht="12.75">
      <c r="K9502" s="12"/>
      <c r="L9502" s="12"/>
    </row>
    <row r="9503" spans="11:12" ht="12.75">
      <c r="K9503" s="12"/>
      <c r="L9503" s="12"/>
    </row>
    <row r="9504" spans="11:12" ht="12.75">
      <c r="K9504" s="12"/>
      <c r="L9504" s="12"/>
    </row>
    <row r="9505" spans="11:12" ht="12.75">
      <c r="K9505" s="12"/>
      <c r="L9505" s="12"/>
    </row>
    <row r="9506" spans="11:12" ht="12.75">
      <c r="K9506" s="12"/>
      <c r="L9506" s="12"/>
    </row>
    <row r="9507" spans="11:12" ht="12.75">
      <c r="K9507" s="12"/>
      <c r="L9507" s="12"/>
    </row>
    <row r="9508" spans="11:12" ht="12.75">
      <c r="K9508" s="12"/>
      <c r="L9508" s="12"/>
    </row>
    <row r="9509" spans="11:12" ht="12.75">
      <c r="K9509" s="12"/>
      <c r="L9509" s="12"/>
    </row>
    <row r="9510" spans="11:12" ht="12.75">
      <c r="K9510" s="12"/>
      <c r="L9510" s="12"/>
    </row>
    <row r="9511" spans="11:12" ht="12.75">
      <c r="K9511" s="12"/>
      <c r="L9511" s="12"/>
    </row>
    <row r="9512" spans="11:12" ht="12.75">
      <c r="K9512" s="12"/>
      <c r="L9512" s="12"/>
    </row>
    <row r="9513" spans="11:12" ht="12.75">
      <c r="K9513" s="12"/>
      <c r="L9513" s="12"/>
    </row>
    <row r="9514" spans="11:12" ht="12.75">
      <c r="K9514" s="12"/>
      <c r="L9514" s="12"/>
    </row>
    <row r="9515" spans="11:12" ht="12.75">
      <c r="K9515" s="12"/>
      <c r="L9515" s="12"/>
    </row>
    <row r="9516" spans="11:12" ht="12.75">
      <c r="K9516" s="12"/>
      <c r="L9516" s="12"/>
    </row>
    <row r="9517" spans="11:12" ht="12.75">
      <c r="K9517" s="12"/>
      <c r="L9517" s="12"/>
    </row>
    <row r="9518" spans="11:12" ht="12.75">
      <c r="K9518" s="12"/>
      <c r="L9518" s="12"/>
    </row>
    <row r="9519" spans="11:12" ht="12.75">
      <c r="K9519" s="12"/>
      <c r="L9519" s="12"/>
    </row>
    <row r="9520" spans="11:12" ht="12.75">
      <c r="K9520" s="12"/>
      <c r="L9520" s="12"/>
    </row>
    <row r="9521" spans="11:12" ht="12.75">
      <c r="K9521" s="12"/>
      <c r="L9521" s="12"/>
    </row>
    <row r="9522" spans="11:12" ht="12.75">
      <c r="K9522" s="12"/>
      <c r="L9522" s="12"/>
    </row>
    <row r="9523" spans="11:12" ht="12.75">
      <c r="K9523" s="12"/>
      <c r="L9523" s="12"/>
    </row>
    <row r="9524" spans="11:12" ht="12.75">
      <c r="K9524" s="12"/>
      <c r="L9524" s="12"/>
    </row>
    <row r="9525" spans="11:12" ht="12.75">
      <c r="K9525" s="12"/>
      <c r="L9525" s="12"/>
    </row>
    <row r="9526" spans="11:12" ht="12.75">
      <c r="K9526" s="12"/>
      <c r="L9526" s="12"/>
    </row>
    <row r="9527" spans="11:12" ht="12.75">
      <c r="K9527" s="12"/>
      <c r="L9527" s="12"/>
    </row>
    <row r="9528" spans="11:12" ht="12.75">
      <c r="K9528" s="12"/>
      <c r="L9528" s="12"/>
    </row>
    <row r="9529" spans="11:12" ht="12.75">
      <c r="K9529" s="12"/>
      <c r="L9529" s="12"/>
    </row>
    <row r="9530" spans="11:12" ht="12.75">
      <c r="K9530" s="12"/>
      <c r="L9530" s="12"/>
    </row>
    <row r="9531" spans="11:12" ht="12.75">
      <c r="K9531" s="12"/>
      <c r="L9531" s="12"/>
    </row>
    <row r="9532" spans="11:12" ht="12.75">
      <c r="K9532" s="12"/>
      <c r="L9532" s="12"/>
    </row>
    <row r="9533" spans="11:12" ht="12.75">
      <c r="K9533" s="12"/>
      <c r="L9533" s="12"/>
    </row>
    <row r="9534" spans="11:12" ht="12.75">
      <c r="K9534" s="12"/>
      <c r="L9534" s="12"/>
    </row>
    <row r="9535" spans="11:12" ht="12.75">
      <c r="K9535" s="12"/>
      <c r="L9535" s="12"/>
    </row>
    <row r="9536" spans="11:12" ht="12.75">
      <c r="K9536" s="12"/>
      <c r="L9536" s="12"/>
    </row>
    <row r="9537" spans="11:12" ht="12.75">
      <c r="K9537" s="12"/>
      <c r="L9537" s="12"/>
    </row>
    <row r="9538" spans="11:12" ht="12.75">
      <c r="K9538" s="12"/>
      <c r="L9538" s="12"/>
    </row>
    <row r="9539" spans="11:12" ht="12.75">
      <c r="K9539" s="12"/>
      <c r="L9539" s="12"/>
    </row>
    <row r="9540" spans="11:12" ht="12.75">
      <c r="K9540" s="12"/>
      <c r="L9540" s="12"/>
    </row>
    <row r="9541" spans="11:12" ht="12.75">
      <c r="K9541" s="12"/>
      <c r="L9541" s="12"/>
    </row>
    <row r="9542" spans="11:12" ht="12.75">
      <c r="K9542" s="12"/>
      <c r="L9542" s="12"/>
    </row>
    <row r="9543" spans="11:12" ht="12.75">
      <c r="K9543" s="12"/>
      <c r="L9543" s="12"/>
    </row>
    <row r="9544" spans="11:12" ht="12.75">
      <c r="K9544" s="12"/>
      <c r="L9544" s="12"/>
    </row>
    <row r="9545" spans="11:12" ht="12.75">
      <c r="K9545" s="12"/>
      <c r="L9545" s="12"/>
    </row>
    <row r="9546" spans="11:12" ht="12.75">
      <c r="K9546" s="12"/>
      <c r="L9546" s="12"/>
    </row>
    <row r="9547" spans="11:12" ht="12.75">
      <c r="K9547" s="12"/>
      <c r="L9547" s="12"/>
    </row>
    <row r="9548" spans="11:12" ht="12.75">
      <c r="K9548" s="12"/>
      <c r="L9548" s="12"/>
    </row>
    <row r="9549" spans="11:12" ht="12.75">
      <c r="K9549" s="12"/>
      <c r="L9549" s="12"/>
    </row>
    <row r="9550" spans="11:12" ht="12.75">
      <c r="K9550" s="12"/>
      <c r="L9550" s="12"/>
    </row>
    <row r="9551" spans="11:12" ht="12.75">
      <c r="K9551" s="12"/>
      <c r="L9551" s="12"/>
    </row>
    <row r="9552" spans="11:12" ht="12.75">
      <c r="K9552" s="12"/>
      <c r="L9552" s="12"/>
    </row>
    <row r="9553" spans="11:12" ht="12.75">
      <c r="K9553" s="12"/>
      <c r="L9553" s="12"/>
    </row>
    <row r="9554" spans="11:12" ht="12.75">
      <c r="K9554" s="12"/>
      <c r="L9554" s="12"/>
    </row>
    <row r="9555" spans="11:12" ht="12.75">
      <c r="K9555" s="12"/>
      <c r="L9555" s="12"/>
    </row>
    <row r="9556" spans="11:12" ht="12.75">
      <c r="K9556" s="12"/>
      <c r="L9556" s="12"/>
    </row>
    <row r="9557" spans="11:12" ht="12.75">
      <c r="K9557" s="12"/>
      <c r="L9557" s="12"/>
    </row>
    <row r="9558" spans="11:12" ht="12.75">
      <c r="K9558" s="12"/>
      <c r="L9558" s="12"/>
    </row>
    <row r="9559" spans="11:12" ht="12.75">
      <c r="K9559" s="12"/>
      <c r="L9559" s="12"/>
    </row>
    <row r="9560" spans="11:12" ht="12.75">
      <c r="K9560" s="12"/>
      <c r="L9560" s="12"/>
    </row>
    <row r="9561" spans="11:12" ht="12.75">
      <c r="K9561" s="12"/>
      <c r="L9561" s="12"/>
    </row>
    <row r="9562" spans="11:12" ht="12.75">
      <c r="K9562" s="12"/>
      <c r="L9562" s="12"/>
    </row>
    <row r="9563" spans="11:12" ht="12.75">
      <c r="K9563" s="12"/>
      <c r="L9563" s="12"/>
    </row>
    <row r="9564" spans="11:12" ht="12.75">
      <c r="K9564" s="12"/>
      <c r="L9564" s="12"/>
    </row>
    <row r="9565" spans="11:12" ht="12.75">
      <c r="K9565" s="12"/>
      <c r="L9565" s="12"/>
    </row>
    <row r="9566" spans="11:12" ht="12.75">
      <c r="K9566" s="12"/>
      <c r="L9566" s="12"/>
    </row>
    <row r="9567" spans="11:12" ht="12.75">
      <c r="K9567" s="12"/>
      <c r="L9567" s="12"/>
    </row>
    <row r="9568" spans="11:12" ht="12.75">
      <c r="K9568" s="12"/>
      <c r="L9568" s="12"/>
    </row>
    <row r="9569" spans="11:12" ht="12.75">
      <c r="K9569" s="12"/>
      <c r="L9569" s="12"/>
    </row>
    <row r="9570" spans="11:12" ht="12.75">
      <c r="K9570" s="12"/>
      <c r="L9570" s="12"/>
    </row>
    <row r="9571" spans="11:12" ht="12.75">
      <c r="K9571" s="12"/>
      <c r="L9571" s="12"/>
    </row>
    <row r="9572" spans="11:12" ht="12.75">
      <c r="K9572" s="12"/>
      <c r="L9572" s="12"/>
    </row>
    <row r="9573" spans="11:12" ht="12.75">
      <c r="K9573" s="12"/>
      <c r="L9573" s="12"/>
    </row>
    <row r="9574" spans="11:12" ht="12.75">
      <c r="K9574" s="12"/>
      <c r="L9574" s="12"/>
    </row>
    <row r="9575" spans="11:12" ht="12.75">
      <c r="K9575" s="12"/>
      <c r="L9575" s="12"/>
    </row>
    <row r="9576" spans="11:12" ht="12.75">
      <c r="K9576" s="12"/>
      <c r="L9576" s="12"/>
    </row>
    <row r="9577" spans="11:12" ht="12.75">
      <c r="K9577" s="12"/>
      <c r="L9577" s="12"/>
    </row>
    <row r="9578" spans="11:12" ht="12.75">
      <c r="K9578" s="12"/>
      <c r="L9578" s="12"/>
    </row>
    <row r="9579" spans="11:12" ht="12.75">
      <c r="K9579" s="12"/>
      <c r="L9579" s="12"/>
    </row>
    <row r="9580" spans="11:12" ht="12.75">
      <c r="K9580" s="12"/>
      <c r="L9580" s="12"/>
    </row>
    <row r="9581" spans="11:12" ht="12.75">
      <c r="K9581" s="12"/>
      <c r="L9581" s="12"/>
    </row>
    <row r="9582" spans="11:12" ht="12.75">
      <c r="K9582" s="12"/>
      <c r="L9582" s="12"/>
    </row>
    <row r="9583" spans="11:12" ht="12.75">
      <c r="K9583" s="12"/>
      <c r="L9583" s="12"/>
    </row>
    <row r="9584" spans="11:12" ht="12.75">
      <c r="K9584" s="12"/>
      <c r="L9584" s="12"/>
    </row>
    <row r="9585" spans="11:12" ht="12.75">
      <c r="K9585" s="12"/>
      <c r="L9585" s="12"/>
    </row>
    <row r="9586" spans="11:12" ht="12.75">
      <c r="K9586" s="12"/>
      <c r="L9586" s="12"/>
    </row>
    <row r="9587" spans="11:12" ht="12.75">
      <c r="K9587" s="12"/>
      <c r="L9587" s="12"/>
    </row>
    <row r="9588" spans="11:12" ht="12.75">
      <c r="K9588" s="12"/>
      <c r="L9588" s="12"/>
    </row>
    <row r="9589" spans="11:12" ht="12.75">
      <c r="K9589" s="12"/>
      <c r="L9589" s="12"/>
    </row>
    <row r="9590" spans="11:12" ht="12.75">
      <c r="K9590" s="12"/>
      <c r="L9590" s="12"/>
    </row>
    <row r="9591" spans="11:12" ht="12.75">
      <c r="K9591" s="12"/>
      <c r="L9591" s="12"/>
    </row>
    <row r="9592" spans="11:12" ht="12.75">
      <c r="K9592" s="12"/>
      <c r="L9592" s="12"/>
    </row>
    <row r="9593" spans="11:12" ht="12.75">
      <c r="K9593" s="12"/>
      <c r="L9593" s="12"/>
    </row>
    <row r="9594" spans="11:12" ht="12.75">
      <c r="K9594" s="12"/>
      <c r="L9594" s="12"/>
    </row>
    <row r="9595" spans="11:12" ht="12.75">
      <c r="K9595" s="12"/>
      <c r="L9595" s="12"/>
    </row>
    <row r="9596" spans="11:12" ht="12.75">
      <c r="K9596" s="12"/>
      <c r="L9596" s="12"/>
    </row>
    <row r="9597" spans="11:12" ht="12.75">
      <c r="K9597" s="12"/>
      <c r="L9597" s="12"/>
    </row>
    <row r="9598" spans="11:12" ht="12.75">
      <c r="K9598" s="12"/>
      <c r="L9598" s="12"/>
    </row>
    <row r="9599" spans="11:12" ht="12.75">
      <c r="K9599" s="12"/>
      <c r="L9599" s="12"/>
    </row>
    <row r="9600" spans="11:12" ht="12.75">
      <c r="K9600" s="12"/>
      <c r="L9600" s="12"/>
    </row>
    <row r="9601" spans="11:12" ht="12.75">
      <c r="K9601" s="12"/>
      <c r="L9601" s="12"/>
    </row>
    <row r="9602" spans="11:12" ht="12.75">
      <c r="K9602" s="12"/>
      <c r="L9602" s="12"/>
    </row>
    <row r="9603" spans="11:12" ht="12.75">
      <c r="K9603" s="12"/>
      <c r="L9603" s="12"/>
    </row>
    <row r="9604" spans="11:12" ht="12.75">
      <c r="K9604" s="12"/>
      <c r="L9604" s="12"/>
    </row>
    <row r="9605" spans="11:12" ht="12.75">
      <c r="K9605" s="12"/>
      <c r="L9605" s="12"/>
    </row>
    <row r="9606" spans="11:12" ht="12.75">
      <c r="K9606" s="12"/>
      <c r="L9606" s="12"/>
    </row>
    <row r="9607" spans="11:12" ht="12.75">
      <c r="K9607" s="12"/>
      <c r="L9607" s="12"/>
    </row>
    <row r="9608" spans="11:12" ht="12.75">
      <c r="K9608" s="12"/>
      <c r="L9608" s="12"/>
    </row>
    <row r="9609" spans="11:12" ht="12.75">
      <c r="K9609" s="12"/>
      <c r="L9609" s="12"/>
    </row>
    <row r="9610" spans="11:12" ht="12.75">
      <c r="K9610" s="12"/>
      <c r="L9610" s="12"/>
    </row>
    <row r="9611" spans="11:12" ht="12.75">
      <c r="K9611" s="12"/>
      <c r="L9611" s="12"/>
    </row>
    <row r="9612" spans="11:12" ht="12.75">
      <c r="K9612" s="12"/>
      <c r="L9612" s="12"/>
    </row>
    <row r="9613" spans="11:12" ht="12.75">
      <c r="K9613" s="12"/>
      <c r="L9613" s="12"/>
    </row>
    <row r="9614" spans="11:12" ht="12.75">
      <c r="K9614" s="12"/>
      <c r="L9614" s="12"/>
    </row>
    <row r="9615" spans="11:12" ht="12.75">
      <c r="K9615" s="12"/>
      <c r="L9615" s="12"/>
    </row>
    <row r="9616" spans="11:12" ht="12.75">
      <c r="K9616" s="12"/>
      <c r="L9616" s="12"/>
    </row>
    <row r="9617" spans="11:12" ht="12.75">
      <c r="K9617" s="12"/>
      <c r="L9617" s="12"/>
    </row>
    <row r="9618" spans="11:12" ht="12.75">
      <c r="K9618" s="12"/>
      <c r="L9618" s="12"/>
    </row>
    <row r="9619" spans="11:12" ht="12.75">
      <c r="K9619" s="12"/>
      <c r="L9619" s="12"/>
    </row>
    <row r="9620" spans="11:12" ht="12.75">
      <c r="K9620" s="12"/>
      <c r="L9620" s="12"/>
    </row>
    <row r="9621" spans="11:12" ht="12.75">
      <c r="K9621" s="12"/>
      <c r="L9621" s="12"/>
    </row>
    <row r="9622" spans="11:12" ht="12.75">
      <c r="K9622" s="12"/>
      <c r="L9622" s="12"/>
    </row>
    <row r="9623" spans="11:12" ht="12.75">
      <c r="K9623" s="12"/>
      <c r="L9623" s="12"/>
    </row>
    <row r="9624" spans="11:12" ht="12.75">
      <c r="K9624" s="12"/>
      <c r="L9624" s="12"/>
    </row>
    <row r="9625" spans="11:12" ht="12.75">
      <c r="K9625" s="12"/>
      <c r="L9625" s="12"/>
    </row>
    <row r="9626" spans="11:12" ht="12.75">
      <c r="K9626" s="12"/>
      <c r="L9626" s="12"/>
    </row>
    <row r="9627" spans="11:12" ht="12.75">
      <c r="K9627" s="12"/>
      <c r="L9627" s="12"/>
    </row>
    <row r="9628" spans="11:12" ht="12.75">
      <c r="K9628" s="12"/>
      <c r="L9628" s="12"/>
    </row>
    <row r="9629" spans="11:12" ht="12.75">
      <c r="K9629" s="12"/>
      <c r="L9629" s="12"/>
    </row>
    <row r="9630" spans="11:12" ht="12.75">
      <c r="K9630" s="12"/>
      <c r="L9630" s="12"/>
    </row>
    <row r="9631" spans="11:12" ht="12.75">
      <c r="K9631" s="12"/>
      <c r="L9631" s="12"/>
    </row>
    <row r="9632" spans="11:12" ht="12.75">
      <c r="K9632" s="12"/>
      <c r="L9632" s="12"/>
    </row>
    <row r="9633" spans="11:12" ht="12.75">
      <c r="K9633" s="12"/>
      <c r="L9633" s="12"/>
    </row>
    <row r="9634" spans="11:12" ht="12.75">
      <c r="K9634" s="12"/>
      <c r="L9634" s="12"/>
    </row>
    <row r="9635" spans="11:12" ht="12.75">
      <c r="K9635" s="12"/>
      <c r="L9635" s="12"/>
    </row>
    <row r="9636" spans="11:12" ht="12.75">
      <c r="K9636" s="12"/>
      <c r="L9636" s="12"/>
    </row>
    <row r="9637" spans="11:12" ht="12.75">
      <c r="K9637" s="12"/>
      <c r="L9637" s="12"/>
    </row>
    <row r="9638" spans="11:12" ht="12.75">
      <c r="K9638" s="12"/>
      <c r="L9638" s="12"/>
    </row>
    <row r="9639" spans="11:12" ht="12.75">
      <c r="K9639" s="12"/>
      <c r="L9639" s="12"/>
    </row>
    <row r="9640" spans="11:12" ht="12.75">
      <c r="K9640" s="12"/>
      <c r="L9640" s="12"/>
    </row>
    <row r="9641" spans="11:12" ht="12.75">
      <c r="K9641" s="12"/>
      <c r="L9641" s="12"/>
    </row>
    <row r="9642" spans="11:12" ht="12.75">
      <c r="K9642" s="12"/>
      <c r="L9642" s="12"/>
    </row>
    <row r="9643" spans="11:12" ht="12.75">
      <c r="K9643" s="12"/>
      <c r="L9643" s="12"/>
    </row>
    <row r="9644" spans="11:12" ht="12.75">
      <c r="K9644" s="12"/>
      <c r="L9644" s="12"/>
    </row>
    <row r="9645" spans="11:12" ht="12.75">
      <c r="K9645" s="12"/>
      <c r="L9645" s="12"/>
    </row>
    <row r="9646" spans="11:12" ht="12.75">
      <c r="K9646" s="12"/>
      <c r="L9646" s="12"/>
    </row>
    <row r="9647" spans="11:12" ht="12.75">
      <c r="K9647" s="12"/>
      <c r="L9647" s="12"/>
    </row>
    <row r="9648" spans="11:12" ht="12.75">
      <c r="K9648" s="12"/>
      <c r="L9648" s="12"/>
    </row>
    <row r="9649" spans="11:12" ht="12.75">
      <c r="K9649" s="12"/>
      <c r="L9649" s="12"/>
    </row>
    <row r="9650" spans="11:12" ht="12.75">
      <c r="K9650" s="12"/>
      <c r="L9650" s="12"/>
    </row>
    <row r="9651" spans="11:12" ht="12.75">
      <c r="K9651" s="12"/>
      <c r="L9651" s="12"/>
    </row>
    <row r="9652" spans="11:12" ht="12.75">
      <c r="K9652" s="12"/>
      <c r="L9652" s="12"/>
    </row>
    <row r="9653" spans="11:12" ht="12.75">
      <c r="K9653" s="12"/>
      <c r="L9653" s="12"/>
    </row>
    <row r="9654" spans="11:12" ht="12.75">
      <c r="K9654" s="12"/>
      <c r="L9654" s="12"/>
    </row>
    <row r="9655" spans="11:12" ht="12.75">
      <c r="K9655" s="12"/>
      <c r="L9655" s="12"/>
    </row>
    <row r="9656" spans="11:12" ht="12.75">
      <c r="K9656" s="12"/>
      <c r="L9656" s="12"/>
    </row>
    <row r="9657" spans="11:12" ht="12.75">
      <c r="K9657" s="12"/>
      <c r="L9657" s="12"/>
    </row>
    <row r="9658" spans="11:12" ht="12.75">
      <c r="K9658" s="12"/>
      <c r="L9658" s="12"/>
    </row>
    <row r="9659" spans="11:12" ht="12.75">
      <c r="K9659" s="12"/>
      <c r="L9659" s="12"/>
    </row>
    <row r="9660" spans="11:12" ht="12.75">
      <c r="K9660" s="12"/>
      <c r="L9660" s="12"/>
    </row>
    <row r="9661" spans="11:12" ht="12.75">
      <c r="K9661" s="12"/>
      <c r="L9661" s="12"/>
    </row>
    <row r="9662" spans="11:12" ht="12.75">
      <c r="K9662" s="12"/>
      <c r="L9662" s="12"/>
    </row>
    <row r="9663" spans="11:12" ht="12.75">
      <c r="K9663" s="12"/>
      <c r="L9663" s="12"/>
    </row>
    <row r="9664" spans="11:12" ht="12.75">
      <c r="K9664" s="12"/>
      <c r="L9664" s="12"/>
    </row>
    <row r="9665" spans="11:12" ht="12.75">
      <c r="K9665" s="12"/>
      <c r="L9665" s="12"/>
    </row>
    <row r="9666" spans="11:12" ht="12.75">
      <c r="K9666" s="12"/>
      <c r="L9666" s="12"/>
    </row>
    <row r="9667" spans="11:12" ht="12.75">
      <c r="K9667" s="12"/>
      <c r="L9667" s="12"/>
    </row>
    <row r="9668" spans="11:12" ht="12.75">
      <c r="K9668" s="12"/>
      <c r="L9668" s="12"/>
    </row>
    <row r="9669" spans="11:12" ht="12.75">
      <c r="K9669" s="12"/>
      <c r="L9669" s="12"/>
    </row>
    <row r="9670" spans="11:12" ht="12.75">
      <c r="K9670" s="12"/>
      <c r="L9670" s="12"/>
    </row>
    <row r="9671" spans="11:12" ht="12.75">
      <c r="K9671" s="12"/>
      <c r="L9671" s="12"/>
    </row>
    <row r="9672" spans="11:12" ht="12.75">
      <c r="K9672" s="12"/>
      <c r="L9672" s="12"/>
    </row>
    <row r="9673" spans="11:12" ht="12.75">
      <c r="K9673" s="12"/>
      <c r="L9673" s="12"/>
    </row>
    <row r="9674" spans="11:12" ht="12.75">
      <c r="K9674" s="12"/>
      <c r="L9674" s="12"/>
    </row>
    <row r="9675" spans="11:12" ht="12.75">
      <c r="K9675" s="12"/>
      <c r="L9675" s="12"/>
    </row>
    <row r="9676" spans="11:12" ht="12.75">
      <c r="K9676" s="12"/>
      <c r="L9676" s="12"/>
    </row>
    <row r="9677" spans="11:12" ht="12.75">
      <c r="K9677" s="12"/>
      <c r="L9677" s="12"/>
    </row>
    <row r="9678" spans="11:12" ht="12.75">
      <c r="K9678" s="12"/>
      <c r="L9678" s="12"/>
    </row>
    <row r="9679" spans="11:12" ht="12.75">
      <c r="K9679" s="12"/>
      <c r="L9679" s="12"/>
    </row>
    <row r="9680" spans="11:12" ht="12.75">
      <c r="K9680" s="12"/>
      <c r="L9680" s="12"/>
    </row>
    <row r="9681" spans="11:12" ht="12.75">
      <c r="K9681" s="12"/>
      <c r="L9681" s="12"/>
    </row>
    <row r="9682" spans="11:12" ht="12.75">
      <c r="K9682" s="12"/>
      <c r="L9682" s="12"/>
    </row>
    <row r="9683" spans="11:12" ht="12.75">
      <c r="K9683" s="12"/>
      <c r="L9683" s="12"/>
    </row>
    <row r="9684" spans="11:12" ht="12.75">
      <c r="K9684" s="12"/>
      <c r="L9684" s="12"/>
    </row>
    <row r="9685" spans="11:12" ht="12.75">
      <c r="K9685" s="12"/>
      <c r="L9685" s="12"/>
    </row>
    <row r="9686" spans="11:12" ht="12.75">
      <c r="K9686" s="12"/>
      <c r="L9686" s="12"/>
    </row>
    <row r="9687" spans="11:12" ht="12.75">
      <c r="K9687" s="12"/>
      <c r="L9687" s="12"/>
    </row>
    <row r="9688" spans="11:12" ht="12.75">
      <c r="K9688" s="12"/>
      <c r="L9688" s="12"/>
    </row>
    <row r="9689" spans="11:12" ht="12.75">
      <c r="K9689" s="12"/>
      <c r="L9689" s="12"/>
    </row>
    <row r="9690" spans="11:12" ht="12.75">
      <c r="K9690" s="12"/>
      <c r="L9690" s="12"/>
    </row>
    <row r="9691" spans="11:12" ht="12.75">
      <c r="K9691" s="12"/>
      <c r="L9691" s="12"/>
    </row>
    <row r="9692" spans="11:12" ht="12.75">
      <c r="K9692" s="12"/>
      <c r="L9692" s="12"/>
    </row>
    <row r="9693" spans="11:12" ht="12.75">
      <c r="K9693" s="12"/>
      <c r="L9693" s="12"/>
    </row>
    <row r="9694" spans="11:12" ht="12.75">
      <c r="K9694" s="12"/>
      <c r="L9694" s="12"/>
    </row>
    <row r="9695" spans="11:12" ht="12.75">
      <c r="K9695" s="12"/>
      <c r="L9695" s="12"/>
    </row>
    <row r="9696" spans="11:12" ht="12.75">
      <c r="K9696" s="12"/>
      <c r="L9696" s="12"/>
    </row>
    <row r="9697" spans="11:12" ht="12.75">
      <c r="K9697" s="12"/>
      <c r="L9697" s="12"/>
    </row>
    <row r="9698" spans="11:12" ht="12.75">
      <c r="K9698" s="12"/>
      <c r="L9698" s="12"/>
    </row>
    <row r="9699" spans="11:12" ht="12.75">
      <c r="K9699" s="12"/>
      <c r="L9699" s="12"/>
    </row>
    <row r="9700" spans="11:12" ht="12.75">
      <c r="K9700" s="12"/>
      <c r="L9700" s="12"/>
    </row>
    <row r="9701" spans="11:12" ht="12.75">
      <c r="K9701" s="12"/>
      <c r="L9701" s="12"/>
    </row>
    <row r="9702" spans="11:12" ht="12.75">
      <c r="K9702" s="12"/>
      <c r="L9702" s="12"/>
    </row>
    <row r="9703" spans="11:12" ht="12.75">
      <c r="K9703" s="12"/>
      <c r="L9703" s="12"/>
    </row>
    <row r="9704" spans="11:12" ht="12.75">
      <c r="K9704" s="12"/>
      <c r="L9704" s="12"/>
    </row>
    <row r="9705" spans="11:12" ht="12.75">
      <c r="K9705" s="12"/>
      <c r="L9705" s="12"/>
    </row>
    <row r="9706" spans="11:12" ht="12.75">
      <c r="K9706" s="12"/>
      <c r="L9706" s="12"/>
    </row>
    <row r="9707" spans="11:12" ht="12.75">
      <c r="K9707" s="12"/>
      <c r="L9707" s="12"/>
    </row>
    <row r="9708" spans="11:12" ht="12.75">
      <c r="K9708" s="12"/>
      <c r="L9708" s="12"/>
    </row>
    <row r="9709" spans="11:12" ht="12.75">
      <c r="K9709" s="12"/>
      <c r="L9709" s="12"/>
    </row>
    <row r="9710" spans="11:12" ht="12.75">
      <c r="K9710" s="12"/>
      <c r="L9710" s="12"/>
    </row>
    <row r="9711" spans="11:12" ht="12.75">
      <c r="K9711" s="12"/>
      <c r="L9711" s="12"/>
    </row>
    <row r="9712" spans="11:12" ht="12.75">
      <c r="K9712" s="12"/>
      <c r="L9712" s="12"/>
    </row>
    <row r="9713" spans="11:12" ht="12.75">
      <c r="K9713" s="12"/>
      <c r="L9713" s="12"/>
    </row>
    <row r="9714" spans="11:12" ht="12.75">
      <c r="K9714" s="12"/>
      <c r="L9714" s="12"/>
    </row>
    <row r="9715" spans="11:12" ht="12.75">
      <c r="K9715" s="12"/>
      <c r="L9715" s="12"/>
    </row>
    <row r="9716" spans="11:12" ht="12.75">
      <c r="K9716" s="12"/>
      <c r="L9716" s="12"/>
    </row>
    <row r="9717" spans="11:12" ht="12.75">
      <c r="K9717" s="12"/>
      <c r="L9717" s="12"/>
    </row>
    <row r="9718" spans="11:12" ht="12.75">
      <c r="K9718" s="12"/>
      <c r="L9718" s="12"/>
    </row>
    <row r="9719" spans="11:12" ht="12.75">
      <c r="K9719" s="12"/>
      <c r="L9719" s="12"/>
    </row>
    <row r="9720" spans="11:12" ht="12.75">
      <c r="K9720" s="12"/>
      <c r="L9720" s="12"/>
    </row>
    <row r="9721" spans="11:12" ht="12.75">
      <c r="K9721" s="12"/>
      <c r="L9721" s="12"/>
    </row>
    <row r="9722" spans="11:12" ht="12.75">
      <c r="K9722" s="12"/>
      <c r="L9722" s="12"/>
    </row>
    <row r="9723" spans="11:12" ht="12.75">
      <c r="K9723" s="12"/>
      <c r="L9723" s="12"/>
    </row>
    <row r="9724" spans="11:12" ht="12.75">
      <c r="K9724" s="12"/>
      <c r="L9724" s="12"/>
    </row>
    <row r="9725" spans="11:12" ht="12.75">
      <c r="K9725" s="12"/>
      <c r="L9725" s="12"/>
    </row>
    <row r="9726" spans="11:12" ht="12.75">
      <c r="K9726" s="12"/>
      <c r="L9726" s="12"/>
    </row>
    <row r="9727" spans="11:12" ht="12.75">
      <c r="K9727" s="12"/>
      <c r="L9727" s="12"/>
    </row>
    <row r="9728" spans="11:12" ht="12.75">
      <c r="K9728" s="12"/>
      <c r="L9728" s="12"/>
    </row>
    <row r="9729" spans="11:12" ht="12.75">
      <c r="K9729" s="12"/>
      <c r="L9729" s="12"/>
    </row>
    <row r="9730" spans="11:12" ht="12.75">
      <c r="K9730" s="12"/>
      <c r="L9730" s="12"/>
    </row>
    <row r="9731" spans="11:12" ht="12.75">
      <c r="K9731" s="12"/>
      <c r="L9731" s="12"/>
    </row>
    <row r="9732" spans="11:12" ht="12.75">
      <c r="K9732" s="12"/>
      <c r="L9732" s="12"/>
    </row>
    <row r="9733" spans="11:12" ht="12.75">
      <c r="K9733" s="12"/>
      <c r="L9733" s="12"/>
    </row>
    <row r="9734" spans="11:12" ht="12.75">
      <c r="K9734" s="12"/>
      <c r="L9734" s="12"/>
    </row>
    <row r="9735" spans="11:12" ht="12.75">
      <c r="K9735" s="12"/>
      <c r="L9735" s="12"/>
    </row>
    <row r="9736" spans="11:12" ht="12.75">
      <c r="K9736" s="12"/>
      <c r="L9736" s="12"/>
    </row>
    <row r="9737" spans="11:12" ht="12.75">
      <c r="K9737" s="12"/>
      <c r="L9737" s="12"/>
    </row>
    <row r="9738" spans="11:12" ht="12.75">
      <c r="K9738" s="12"/>
      <c r="L9738" s="12"/>
    </row>
    <row r="9739" spans="11:12" ht="12.75">
      <c r="K9739" s="12"/>
      <c r="L9739" s="12"/>
    </row>
    <row r="9740" spans="11:12" ht="12.75">
      <c r="K9740" s="12"/>
      <c r="L9740" s="12"/>
    </row>
    <row r="9741" spans="11:12" ht="12.75">
      <c r="K9741" s="12"/>
      <c r="L9741" s="12"/>
    </row>
    <row r="9742" spans="11:12" ht="12.75">
      <c r="K9742" s="12"/>
      <c r="L9742" s="12"/>
    </row>
    <row r="9743" spans="11:12" ht="12.75">
      <c r="K9743" s="12"/>
      <c r="L9743" s="12"/>
    </row>
    <row r="9744" spans="11:12" ht="12.75">
      <c r="K9744" s="12"/>
      <c r="L9744" s="12"/>
    </row>
    <row r="9745" spans="11:12" ht="12.75">
      <c r="K9745" s="12"/>
      <c r="L9745" s="12"/>
    </row>
    <row r="9746" spans="11:12" ht="12.75">
      <c r="K9746" s="12"/>
      <c r="L9746" s="12"/>
    </row>
    <row r="9747" spans="11:12" ht="12.75">
      <c r="K9747" s="12"/>
      <c r="L9747" s="12"/>
    </row>
    <row r="9748" spans="11:12" ht="12.75">
      <c r="K9748" s="12"/>
      <c r="L9748" s="12"/>
    </row>
    <row r="9749" spans="11:12" ht="12.75">
      <c r="K9749" s="12"/>
      <c r="L9749" s="12"/>
    </row>
    <row r="9750" spans="11:12" ht="12.75">
      <c r="K9750" s="12"/>
      <c r="L9750" s="12"/>
    </row>
    <row r="9751" spans="11:12" ht="12.75">
      <c r="K9751" s="12"/>
      <c r="L9751" s="12"/>
    </row>
    <row r="9752" spans="11:12" ht="12.75">
      <c r="K9752" s="12"/>
      <c r="L9752" s="12"/>
    </row>
    <row r="9753" spans="11:12" ht="12.75">
      <c r="K9753" s="12"/>
      <c r="L9753" s="12"/>
    </row>
    <row r="9754" spans="11:12" ht="12.75">
      <c r="K9754" s="12"/>
      <c r="L9754" s="12"/>
    </row>
    <row r="9755" spans="11:12" ht="12.75">
      <c r="K9755" s="12"/>
      <c r="L9755" s="12"/>
    </row>
    <row r="9756" spans="11:12" ht="12.75">
      <c r="K9756" s="12"/>
      <c r="L9756" s="12"/>
    </row>
    <row r="9757" spans="11:12" ht="12.75">
      <c r="K9757" s="12"/>
      <c r="L9757" s="12"/>
    </row>
    <row r="9758" spans="11:12" ht="12.75">
      <c r="K9758" s="12"/>
      <c r="L9758" s="12"/>
    </row>
    <row r="9759" spans="11:12" ht="12.75">
      <c r="K9759" s="12"/>
      <c r="L9759" s="12"/>
    </row>
    <row r="9760" spans="11:12" ht="12.75">
      <c r="K9760" s="12"/>
      <c r="L9760" s="12"/>
    </row>
    <row r="9761" spans="11:12" ht="12.75">
      <c r="K9761" s="12"/>
      <c r="L9761" s="12"/>
    </row>
    <row r="9762" spans="11:12" ht="12.75">
      <c r="K9762" s="12"/>
      <c r="L9762" s="12"/>
    </row>
    <row r="9763" spans="11:12" ht="12.75">
      <c r="K9763" s="12"/>
      <c r="L9763" s="12"/>
    </row>
    <row r="9764" spans="11:12" ht="12.75">
      <c r="K9764" s="12"/>
      <c r="L9764" s="12"/>
    </row>
    <row r="9765" spans="11:12" ht="12.75">
      <c r="K9765" s="12"/>
      <c r="L9765" s="12"/>
    </row>
    <row r="9766" spans="11:12" ht="12.75">
      <c r="K9766" s="12"/>
      <c r="L9766" s="12"/>
    </row>
    <row r="9767" spans="11:12" ht="12.75">
      <c r="K9767" s="12"/>
      <c r="L9767" s="12"/>
    </row>
    <row r="9768" spans="11:12" ht="12.75">
      <c r="K9768" s="12"/>
      <c r="L9768" s="12"/>
    </row>
    <row r="9769" spans="11:12" ht="12.75">
      <c r="K9769" s="12"/>
      <c r="L9769" s="12"/>
    </row>
    <row r="9770" spans="11:12" ht="12.75">
      <c r="K9770" s="12"/>
      <c r="L9770" s="12"/>
    </row>
    <row r="9771" spans="11:12" ht="12.75">
      <c r="K9771" s="12"/>
      <c r="L9771" s="12"/>
    </row>
    <row r="9772" spans="11:12" ht="12.75">
      <c r="K9772" s="12"/>
      <c r="L9772" s="12"/>
    </row>
    <row r="9773" spans="11:12" ht="12.75">
      <c r="K9773" s="12"/>
      <c r="L9773" s="12"/>
    </row>
    <row r="9774" spans="11:12" ht="12.75">
      <c r="K9774" s="12"/>
      <c r="L9774" s="12"/>
    </row>
    <row r="9775" spans="11:12" ht="12.75">
      <c r="K9775" s="12"/>
      <c r="L9775" s="12"/>
    </row>
    <row r="9776" spans="11:12" ht="12.75">
      <c r="K9776" s="12"/>
      <c r="L9776" s="12"/>
    </row>
    <row r="9777" spans="11:12" ht="12.75">
      <c r="K9777" s="12"/>
      <c r="L9777" s="12"/>
    </row>
    <row r="9778" spans="11:12" ht="12.75">
      <c r="K9778" s="12"/>
      <c r="L9778" s="12"/>
    </row>
    <row r="9779" spans="11:12" ht="12.75">
      <c r="K9779" s="12"/>
      <c r="L9779" s="12"/>
    </row>
    <row r="9780" spans="11:12" ht="12.75">
      <c r="K9780" s="12"/>
      <c r="L9780" s="12"/>
    </row>
    <row r="9781" spans="11:12" ht="12.75">
      <c r="K9781" s="12"/>
      <c r="L9781" s="12"/>
    </row>
    <row r="9782" spans="11:12" ht="12.75">
      <c r="K9782" s="12"/>
      <c r="L9782" s="12"/>
    </row>
    <row r="9783" spans="11:12" ht="12.75">
      <c r="K9783" s="12"/>
      <c r="L9783" s="12"/>
    </row>
    <row r="9784" spans="11:12" ht="12.75">
      <c r="K9784" s="12"/>
      <c r="L9784" s="12"/>
    </row>
    <row r="9785" spans="11:12" ht="12.75">
      <c r="K9785" s="12"/>
      <c r="L9785" s="12"/>
    </row>
    <row r="9786" spans="11:12" ht="12.75">
      <c r="K9786" s="12"/>
      <c r="L9786" s="12"/>
    </row>
    <row r="9787" spans="11:12" ht="12.75">
      <c r="K9787" s="12"/>
      <c r="L9787" s="12"/>
    </row>
    <row r="9788" spans="11:12" ht="12.75">
      <c r="K9788" s="12"/>
      <c r="L9788" s="12"/>
    </row>
    <row r="9789" spans="11:12" ht="12.75">
      <c r="K9789" s="12"/>
      <c r="L9789" s="12"/>
    </row>
    <row r="9790" spans="11:12" ht="12.75">
      <c r="K9790" s="12"/>
      <c r="L9790" s="12"/>
    </row>
    <row r="9791" spans="11:12" ht="12.75">
      <c r="K9791" s="12"/>
      <c r="L9791" s="12"/>
    </row>
    <row r="9792" spans="11:12" ht="12.75">
      <c r="K9792" s="12"/>
      <c r="L9792" s="12"/>
    </row>
    <row r="9793" spans="11:12" ht="12.75">
      <c r="K9793" s="12"/>
      <c r="L9793" s="12"/>
    </row>
    <row r="9794" spans="11:12" ht="12.75">
      <c r="K9794" s="12"/>
      <c r="L9794" s="12"/>
    </row>
    <row r="9795" spans="11:12" ht="12.75">
      <c r="K9795" s="12"/>
      <c r="L9795" s="12"/>
    </row>
    <row r="9796" spans="11:12" ht="12.75">
      <c r="K9796" s="12"/>
      <c r="L9796" s="12"/>
    </row>
    <row r="9797" spans="11:12" ht="12.75">
      <c r="K9797" s="12"/>
      <c r="L9797" s="12"/>
    </row>
    <row r="9798" spans="11:12" ht="12.75">
      <c r="K9798" s="12"/>
      <c r="L9798" s="12"/>
    </row>
    <row r="9799" spans="11:12" ht="12.75">
      <c r="K9799" s="12"/>
      <c r="L9799" s="12"/>
    </row>
    <row r="9800" spans="11:12" ht="12.75">
      <c r="K9800" s="12"/>
      <c r="L9800" s="12"/>
    </row>
    <row r="9801" spans="11:12" ht="12.75">
      <c r="K9801" s="12"/>
      <c r="L9801" s="12"/>
    </row>
    <row r="9802" spans="11:12" ht="12.75">
      <c r="K9802" s="12"/>
      <c r="L9802" s="12"/>
    </row>
    <row r="9803" spans="11:12" ht="12.75">
      <c r="K9803" s="12"/>
      <c r="L9803" s="12"/>
    </row>
    <row r="9804" spans="11:12" ht="12.75">
      <c r="K9804" s="12"/>
      <c r="L9804" s="12"/>
    </row>
    <row r="9805" spans="11:12" ht="12.75">
      <c r="K9805" s="12"/>
      <c r="L9805" s="12"/>
    </row>
    <row r="9806" spans="11:12" ht="12.75">
      <c r="K9806" s="12"/>
      <c r="L9806" s="12"/>
    </row>
    <row r="9807" spans="11:12" ht="12.75">
      <c r="K9807" s="12"/>
      <c r="L9807" s="12"/>
    </row>
    <row r="9808" spans="11:12" ht="12.75">
      <c r="K9808" s="12"/>
      <c r="L9808" s="12"/>
    </row>
    <row r="9809" spans="11:12" ht="12.75">
      <c r="K9809" s="12"/>
      <c r="L9809" s="12"/>
    </row>
    <row r="9810" spans="11:12" ht="12.75">
      <c r="K9810" s="12"/>
      <c r="L9810" s="12"/>
    </row>
    <row r="9811" spans="11:12" ht="12.75">
      <c r="K9811" s="12"/>
      <c r="L9811" s="12"/>
    </row>
    <row r="9812" spans="11:12" ht="12.75">
      <c r="K9812" s="12"/>
      <c r="L9812" s="12"/>
    </row>
    <row r="9813" spans="11:12" ht="12.75">
      <c r="K9813" s="12"/>
      <c r="L9813" s="12"/>
    </row>
    <row r="9814" spans="11:12" ht="12.75">
      <c r="K9814" s="12"/>
      <c r="L9814" s="12"/>
    </row>
    <row r="9815" spans="11:12" ht="12.75">
      <c r="K9815" s="12"/>
      <c r="L9815" s="12"/>
    </row>
    <row r="9816" spans="11:12" ht="12.75">
      <c r="K9816" s="12"/>
      <c r="L9816" s="12"/>
    </row>
    <row r="9817" spans="11:12" ht="12.75">
      <c r="K9817" s="12"/>
      <c r="L9817" s="12"/>
    </row>
    <row r="9818" spans="11:12" ht="12.75">
      <c r="K9818" s="12"/>
      <c r="L9818" s="12"/>
    </row>
    <row r="9819" spans="11:12" ht="12.75">
      <c r="K9819" s="12"/>
      <c r="L9819" s="12"/>
    </row>
    <row r="9820" spans="11:12" ht="12.75">
      <c r="K9820" s="12"/>
      <c r="L9820" s="12"/>
    </row>
    <row r="9821" spans="11:12" ht="12.75">
      <c r="K9821" s="12"/>
      <c r="L9821" s="12"/>
    </row>
    <row r="9822" spans="11:12" ht="12.75">
      <c r="K9822" s="12"/>
      <c r="L9822" s="12"/>
    </row>
    <row r="9823" spans="11:12" ht="12.75">
      <c r="K9823" s="12"/>
      <c r="L9823" s="12"/>
    </row>
    <row r="9824" spans="11:12" ht="12.75">
      <c r="K9824" s="12"/>
      <c r="L9824" s="12"/>
    </row>
    <row r="9825" spans="11:12" ht="12.75">
      <c r="K9825" s="12"/>
      <c r="L9825" s="12"/>
    </row>
    <row r="9826" spans="11:12" ht="12.75">
      <c r="K9826" s="12"/>
      <c r="L9826" s="12"/>
    </row>
    <row r="9827" spans="11:12" ht="12.75">
      <c r="K9827" s="12"/>
      <c r="L9827" s="12"/>
    </row>
    <row r="9828" spans="11:12" ht="12.75">
      <c r="K9828" s="12"/>
      <c r="L9828" s="12"/>
    </row>
    <row r="9829" spans="11:12" ht="12.75">
      <c r="K9829" s="12"/>
      <c r="L9829" s="12"/>
    </row>
    <row r="9830" spans="11:12" ht="12.75">
      <c r="K9830" s="12"/>
      <c r="L9830" s="12"/>
    </row>
    <row r="9831" spans="11:12" ht="12.75">
      <c r="K9831" s="12"/>
      <c r="L9831" s="12"/>
    </row>
    <row r="9832" spans="11:12" ht="12.75">
      <c r="K9832" s="12"/>
      <c r="L9832" s="12"/>
    </row>
    <row r="9833" spans="11:12" ht="12.75">
      <c r="K9833" s="12"/>
      <c r="L9833" s="12"/>
    </row>
    <row r="9834" spans="11:12" ht="12.75">
      <c r="K9834" s="12"/>
      <c r="L9834" s="12"/>
    </row>
    <row r="9835" spans="11:12" ht="12.75">
      <c r="K9835" s="12"/>
      <c r="L9835" s="12"/>
    </row>
    <row r="9836" spans="11:12" ht="12.75">
      <c r="K9836" s="12"/>
      <c r="L9836" s="12"/>
    </row>
    <row r="9837" spans="11:12" ht="12.75">
      <c r="K9837" s="12"/>
      <c r="L9837" s="12"/>
    </row>
    <row r="9838" spans="11:12" ht="12.75">
      <c r="K9838" s="12"/>
      <c r="L9838" s="12"/>
    </row>
    <row r="9839" spans="11:12" ht="12.75">
      <c r="K9839" s="12"/>
      <c r="L9839" s="12"/>
    </row>
    <row r="9840" spans="11:12" ht="12.75">
      <c r="K9840" s="12"/>
      <c r="L9840" s="12"/>
    </row>
    <row r="9841" spans="11:12" ht="12.75">
      <c r="K9841" s="12"/>
      <c r="L9841" s="12"/>
    </row>
    <row r="9842" spans="11:12" ht="12.75">
      <c r="K9842" s="12"/>
      <c r="L9842" s="12"/>
    </row>
    <row r="9843" spans="11:12" ht="12.75">
      <c r="K9843" s="12"/>
      <c r="L9843" s="12"/>
    </row>
    <row r="9844" spans="11:12" ht="12.75">
      <c r="K9844" s="12"/>
      <c r="L9844" s="12"/>
    </row>
    <row r="9845" spans="11:12" ht="12.75">
      <c r="K9845" s="12"/>
      <c r="L9845" s="12"/>
    </row>
    <row r="9846" spans="11:12" ht="12.75">
      <c r="K9846" s="12"/>
      <c r="L9846" s="12"/>
    </row>
    <row r="9847" spans="11:12" ht="12.75">
      <c r="K9847" s="12"/>
      <c r="L9847" s="12"/>
    </row>
    <row r="9848" spans="11:12" ht="12.75">
      <c r="K9848" s="12"/>
      <c r="L9848" s="12"/>
    </row>
    <row r="9849" spans="11:12" ht="12.75">
      <c r="K9849" s="12"/>
      <c r="L9849" s="12"/>
    </row>
    <row r="9850" spans="11:12" ht="12.75">
      <c r="K9850" s="12"/>
      <c r="L9850" s="12"/>
    </row>
    <row r="9851" spans="11:12" ht="12.75">
      <c r="K9851" s="12"/>
      <c r="L9851" s="12"/>
    </row>
    <row r="9852" spans="11:12" ht="12.75">
      <c r="K9852" s="12"/>
      <c r="L9852" s="12"/>
    </row>
    <row r="9853" spans="11:12" ht="12.75">
      <c r="K9853" s="12"/>
      <c r="L9853" s="12"/>
    </row>
    <row r="9854" spans="11:12" ht="12.75">
      <c r="K9854" s="12"/>
      <c r="L9854" s="12"/>
    </row>
    <row r="9855" spans="11:12" ht="12.75">
      <c r="K9855" s="12"/>
      <c r="L9855" s="12"/>
    </row>
    <row r="9856" spans="11:12" ht="12.75">
      <c r="K9856" s="12"/>
      <c r="L9856" s="12"/>
    </row>
    <row r="9857" spans="11:12" ht="12.75">
      <c r="K9857" s="12"/>
      <c r="L9857" s="12"/>
    </row>
    <row r="9858" spans="11:12" ht="12.75">
      <c r="K9858" s="12"/>
      <c r="L9858" s="12"/>
    </row>
    <row r="9859" spans="11:12" ht="12.75">
      <c r="K9859" s="12"/>
      <c r="L9859" s="12"/>
    </row>
    <row r="9860" spans="11:12" ht="12.75">
      <c r="K9860" s="12"/>
      <c r="L9860" s="12"/>
    </row>
    <row r="9861" spans="11:12" ht="12.75">
      <c r="K9861" s="12"/>
      <c r="L9861" s="12"/>
    </row>
    <row r="9862" spans="11:12" ht="12.75">
      <c r="K9862" s="12"/>
      <c r="L9862" s="12"/>
    </row>
    <row r="9863" spans="11:12" ht="12.75">
      <c r="K9863" s="12"/>
      <c r="L9863" s="12"/>
    </row>
    <row r="9864" spans="11:12" ht="12.75">
      <c r="K9864" s="12"/>
      <c r="L9864" s="12"/>
    </row>
    <row r="9865" spans="11:12" ht="12.75">
      <c r="K9865" s="12"/>
      <c r="L9865" s="12"/>
    </row>
    <row r="9866" spans="11:12" ht="12.75">
      <c r="K9866" s="12"/>
      <c r="L9866" s="12"/>
    </row>
    <row r="9867" spans="11:12" ht="12.75">
      <c r="K9867" s="12"/>
      <c r="L9867" s="12"/>
    </row>
    <row r="9868" spans="11:12" ht="12.75">
      <c r="K9868" s="12"/>
      <c r="L9868" s="12"/>
    </row>
    <row r="9869" spans="11:12" ht="12.75">
      <c r="K9869" s="12"/>
      <c r="L9869" s="12"/>
    </row>
    <row r="9870" spans="11:12" ht="12.75">
      <c r="K9870" s="12"/>
      <c r="L9870" s="12"/>
    </row>
    <row r="9871" spans="11:12" ht="12.75">
      <c r="K9871" s="12"/>
      <c r="L9871" s="12"/>
    </row>
    <row r="9872" spans="11:12" ht="12.75">
      <c r="K9872" s="12"/>
      <c r="L9872" s="12"/>
    </row>
    <row r="9873" spans="11:12" ht="12.75">
      <c r="K9873" s="12"/>
      <c r="L9873" s="12"/>
    </row>
    <row r="9874" spans="11:12" ht="12.75">
      <c r="K9874" s="12"/>
      <c r="L9874" s="12"/>
    </row>
    <row r="9875" spans="11:12" ht="12.75">
      <c r="K9875" s="12"/>
      <c r="L9875" s="12"/>
    </row>
    <row r="9876" spans="11:12" ht="12.75">
      <c r="K9876" s="12"/>
      <c r="L9876" s="12"/>
    </row>
    <row r="9877" spans="11:12" ht="12.75">
      <c r="K9877" s="12"/>
      <c r="L9877" s="12"/>
    </row>
    <row r="9878" spans="11:12" ht="12.75">
      <c r="K9878" s="12"/>
      <c r="L9878" s="12"/>
    </row>
    <row r="9879" spans="11:12" ht="12.75">
      <c r="K9879" s="12"/>
      <c r="L9879" s="12"/>
    </row>
    <row r="9880" spans="11:12" ht="12.75">
      <c r="K9880" s="12"/>
      <c r="L9880" s="12"/>
    </row>
    <row r="9881" spans="11:12" ht="12.75">
      <c r="K9881" s="12"/>
      <c r="L9881" s="12"/>
    </row>
    <row r="9882" spans="11:12" ht="12.75">
      <c r="K9882" s="12"/>
      <c r="L9882" s="12"/>
    </row>
    <row r="9883" spans="11:12" ht="12.75">
      <c r="K9883" s="12"/>
      <c r="L9883" s="12"/>
    </row>
    <row r="9884" spans="11:12" ht="12.75">
      <c r="K9884" s="12"/>
      <c r="L9884" s="12"/>
    </row>
    <row r="9885" spans="11:12" ht="12.75">
      <c r="K9885" s="12"/>
      <c r="L9885" s="12"/>
    </row>
    <row r="9886" spans="11:12" ht="12.75">
      <c r="K9886" s="12"/>
      <c r="L9886" s="12"/>
    </row>
    <row r="9887" spans="11:12" ht="12.75">
      <c r="K9887" s="12"/>
      <c r="L9887" s="12"/>
    </row>
    <row r="9888" spans="11:12" ht="12.75">
      <c r="K9888" s="12"/>
      <c r="L9888" s="12"/>
    </row>
    <row r="9889" spans="11:12" ht="12.75">
      <c r="K9889" s="12"/>
      <c r="L9889" s="12"/>
    </row>
    <row r="9890" spans="11:12" ht="12.75">
      <c r="K9890" s="12"/>
      <c r="L9890" s="12"/>
    </row>
    <row r="9891" spans="11:12" ht="12.75">
      <c r="K9891" s="12"/>
      <c r="L9891" s="12"/>
    </row>
    <row r="9892" spans="11:12" ht="12.75">
      <c r="K9892" s="12"/>
      <c r="L9892" s="12"/>
    </row>
    <row r="9893" spans="11:12" ht="12.75">
      <c r="K9893" s="12"/>
      <c r="L9893" s="12"/>
    </row>
    <row r="9894" spans="11:12" ht="12.75">
      <c r="K9894" s="12"/>
      <c r="L9894" s="12"/>
    </row>
    <row r="9895" spans="11:12" ht="12.75">
      <c r="K9895" s="12"/>
      <c r="L9895" s="12"/>
    </row>
    <row r="9896" spans="11:12" ht="12.75">
      <c r="K9896" s="12"/>
      <c r="L9896" s="12"/>
    </row>
    <row r="9897" spans="11:12" ht="12.75">
      <c r="K9897" s="12"/>
      <c r="L9897" s="12"/>
    </row>
    <row r="9898" spans="11:12" ht="12.75">
      <c r="K9898" s="12"/>
      <c r="L9898" s="12"/>
    </row>
    <row r="9899" spans="11:12" ht="12.75">
      <c r="K9899" s="12"/>
      <c r="L9899" s="12"/>
    </row>
    <row r="9900" spans="11:12" ht="12.75">
      <c r="K9900" s="12"/>
      <c r="L9900" s="12"/>
    </row>
    <row r="9901" spans="11:12" ht="12.75">
      <c r="K9901" s="12"/>
      <c r="L9901" s="12"/>
    </row>
    <row r="9902" spans="11:12" ht="12.75">
      <c r="K9902" s="12"/>
      <c r="L9902" s="12"/>
    </row>
    <row r="9903" spans="11:12" ht="12.75">
      <c r="K9903" s="12"/>
      <c r="L9903" s="12"/>
    </row>
    <row r="9904" spans="11:12" ht="12.75">
      <c r="K9904" s="12"/>
      <c r="L9904" s="12"/>
    </row>
    <row r="9905" spans="11:12" ht="12.75">
      <c r="K9905" s="12"/>
      <c r="L9905" s="12"/>
    </row>
    <row r="9906" spans="11:12" ht="12.75">
      <c r="K9906" s="12"/>
      <c r="L9906" s="12"/>
    </row>
    <row r="9907" spans="11:12" ht="12.75">
      <c r="K9907" s="12"/>
      <c r="L9907" s="12"/>
    </row>
    <row r="9908" spans="11:12" ht="12.75">
      <c r="K9908" s="12"/>
      <c r="L9908" s="12"/>
    </row>
    <row r="9909" spans="11:12" ht="12.75">
      <c r="K9909" s="12"/>
      <c r="L9909" s="12"/>
    </row>
    <row r="9910" spans="11:12" ht="12.75">
      <c r="K9910" s="12"/>
      <c r="L9910" s="12"/>
    </row>
    <row r="9911" spans="11:12" ht="12.75">
      <c r="K9911" s="12"/>
      <c r="L9911" s="12"/>
    </row>
    <row r="9912" spans="11:12" ht="12.75">
      <c r="K9912" s="12"/>
      <c r="L9912" s="12"/>
    </row>
    <row r="9913" spans="11:12" ht="12.75">
      <c r="K9913" s="12"/>
      <c r="L9913" s="12"/>
    </row>
    <row r="9914" spans="11:12" ht="12.75">
      <c r="K9914" s="12"/>
      <c r="L9914" s="12"/>
    </row>
    <row r="9915" spans="11:12" ht="12.75">
      <c r="K9915" s="12"/>
      <c r="L9915" s="12"/>
    </row>
    <row r="9916" spans="11:12" ht="12.75">
      <c r="K9916" s="12"/>
      <c r="L9916" s="12"/>
    </row>
    <row r="9917" spans="11:12" ht="12.75">
      <c r="K9917" s="12"/>
      <c r="L9917" s="12"/>
    </row>
    <row r="9918" spans="11:12" ht="12.75">
      <c r="K9918" s="12"/>
      <c r="L9918" s="12"/>
    </row>
    <row r="9919" spans="11:12" ht="12.75">
      <c r="K9919" s="12"/>
      <c r="L9919" s="12"/>
    </row>
    <row r="9920" spans="11:12" ht="12.75">
      <c r="K9920" s="12"/>
      <c r="L9920" s="12"/>
    </row>
    <row r="9921" spans="11:12" ht="12.75">
      <c r="K9921" s="12"/>
      <c r="L9921" s="12"/>
    </row>
    <row r="9922" spans="11:12" ht="12.75">
      <c r="K9922" s="12"/>
      <c r="L9922" s="12"/>
    </row>
    <row r="9923" spans="11:12" ht="12.75">
      <c r="K9923" s="12"/>
      <c r="L9923" s="12"/>
    </row>
    <row r="9924" spans="11:12" ht="12.75">
      <c r="K9924" s="12"/>
      <c r="L9924" s="12"/>
    </row>
    <row r="9925" spans="11:12" ht="12.75">
      <c r="K9925" s="12"/>
      <c r="L9925" s="12"/>
    </row>
    <row r="9926" spans="11:12" ht="12.75">
      <c r="K9926" s="12"/>
      <c r="L9926" s="12"/>
    </row>
    <row r="9927" spans="11:12" ht="12.75">
      <c r="K9927" s="12"/>
      <c r="L9927" s="12"/>
    </row>
    <row r="9928" spans="11:12" ht="12.75">
      <c r="K9928" s="12"/>
      <c r="L9928" s="12"/>
    </row>
    <row r="9929" spans="11:12" ht="12.75">
      <c r="K9929" s="12"/>
      <c r="L9929" s="12"/>
    </row>
    <row r="9930" spans="11:12" ht="12.75">
      <c r="K9930" s="12"/>
      <c r="L9930" s="12"/>
    </row>
    <row r="9931" spans="11:12" ht="12.75">
      <c r="K9931" s="12"/>
      <c r="L9931" s="12"/>
    </row>
    <row r="9932" spans="11:12" ht="12.75">
      <c r="K9932" s="12"/>
      <c r="L9932" s="12"/>
    </row>
    <row r="9933" spans="11:12" ht="12.75">
      <c r="K9933" s="12"/>
      <c r="L9933" s="12"/>
    </row>
    <row r="9934" spans="11:12" ht="12.75">
      <c r="K9934" s="12"/>
      <c r="L9934" s="12"/>
    </row>
    <row r="9935" spans="11:12" ht="12.75">
      <c r="K9935" s="12"/>
      <c r="L9935" s="12"/>
    </row>
    <row r="9936" spans="11:12" ht="12.75">
      <c r="K9936" s="12"/>
      <c r="L9936" s="12"/>
    </row>
    <row r="9937" spans="11:12" ht="12.75">
      <c r="K9937" s="12"/>
      <c r="L9937" s="12"/>
    </row>
    <row r="9938" spans="11:12" ht="12.75">
      <c r="K9938" s="12"/>
      <c r="L9938" s="12"/>
    </row>
    <row r="9939" spans="11:12" ht="12.75">
      <c r="K9939" s="12"/>
      <c r="L9939" s="12"/>
    </row>
    <row r="9940" spans="11:12" ht="12.75">
      <c r="K9940" s="12"/>
      <c r="L9940" s="12"/>
    </row>
    <row r="9941" spans="11:12" ht="12.75">
      <c r="K9941" s="12"/>
      <c r="L9941" s="12"/>
    </row>
    <row r="9942" spans="11:12" ht="12.75">
      <c r="K9942" s="12"/>
      <c r="L9942" s="12"/>
    </row>
    <row r="9943" spans="11:12" ht="12.75">
      <c r="K9943" s="12"/>
      <c r="L9943" s="12"/>
    </row>
    <row r="9944" spans="11:12" ht="12.75">
      <c r="K9944" s="12"/>
      <c r="L9944" s="12"/>
    </row>
    <row r="9945" spans="11:12" ht="12.75">
      <c r="K9945" s="12"/>
      <c r="L9945" s="12"/>
    </row>
    <row r="9946" spans="11:12" ht="12.75">
      <c r="K9946" s="12"/>
      <c r="L9946" s="12"/>
    </row>
    <row r="9947" spans="11:12" ht="12.75">
      <c r="K9947" s="12"/>
      <c r="L9947" s="12"/>
    </row>
    <row r="9948" spans="11:12" ht="12.75">
      <c r="K9948" s="12"/>
      <c r="L9948" s="12"/>
    </row>
    <row r="9949" spans="11:12" ht="12.75">
      <c r="K9949" s="12"/>
      <c r="L9949" s="12"/>
    </row>
    <row r="9950" spans="11:12" ht="12.75">
      <c r="K9950" s="12"/>
      <c r="L9950" s="12"/>
    </row>
    <row r="9951" spans="11:12" ht="12.75">
      <c r="K9951" s="12"/>
      <c r="L9951" s="12"/>
    </row>
    <row r="9952" spans="11:12" ht="12.75">
      <c r="K9952" s="12"/>
      <c r="L9952" s="12"/>
    </row>
    <row r="9953" spans="11:12" ht="12.75">
      <c r="K9953" s="12"/>
      <c r="L9953" s="12"/>
    </row>
    <row r="9954" spans="11:12" ht="12.75">
      <c r="K9954" s="12"/>
      <c r="L9954" s="12"/>
    </row>
    <row r="9955" spans="11:12" ht="12.75">
      <c r="K9955" s="12"/>
      <c r="L9955" s="12"/>
    </row>
    <row r="9956" spans="11:12" ht="12.75">
      <c r="K9956" s="12"/>
      <c r="L9956" s="12"/>
    </row>
    <row r="9957" spans="11:12" ht="12.75">
      <c r="K9957" s="12"/>
      <c r="L9957" s="12"/>
    </row>
    <row r="9958" spans="11:12" ht="12.75">
      <c r="K9958" s="12"/>
      <c r="L9958" s="12"/>
    </row>
    <row r="9959" spans="11:12" ht="12.75">
      <c r="K9959" s="12"/>
      <c r="L9959" s="12"/>
    </row>
    <row r="9960" spans="11:12" ht="12.75">
      <c r="K9960" s="12"/>
      <c r="L9960" s="12"/>
    </row>
    <row r="9961" spans="11:12" ht="12.75">
      <c r="K9961" s="12"/>
      <c r="L9961" s="12"/>
    </row>
    <row r="9962" spans="11:12" ht="12.75">
      <c r="K9962" s="12"/>
      <c r="L9962" s="12"/>
    </row>
    <row r="9963" spans="11:12" ht="12.75">
      <c r="K9963" s="12"/>
      <c r="L9963" s="12"/>
    </row>
    <row r="9964" spans="11:12" ht="12.75">
      <c r="K9964" s="12"/>
      <c r="L9964" s="12"/>
    </row>
    <row r="9965" spans="11:12" ht="12.75">
      <c r="K9965" s="12"/>
      <c r="L9965" s="12"/>
    </row>
    <row r="9966" spans="11:12" ht="12.75">
      <c r="K9966" s="12"/>
      <c r="L9966" s="12"/>
    </row>
    <row r="9967" spans="11:12" ht="12.75">
      <c r="K9967" s="12"/>
      <c r="L9967" s="12"/>
    </row>
    <row r="9968" spans="11:12" ht="12.75">
      <c r="K9968" s="12"/>
      <c r="L9968" s="12"/>
    </row>
    <row r="9969" spans="11:12" ht="12.75">
      <c r="K9969" s="12"/>
      <c r="L9969" s="12"/>
    </row>
    <row r="9970" spans="11:12" ht="12.75">
      <c r="K9970" s="12"/>
      <c r="L9970" s="12"/>
    </row>
    <row r="9971" spans="11:12" ht="12.75">
      <c r="K9971" s="12"/>
      <c r="L9971" s="12"/>
    </row>
    <row r="9972" spans="11:12" ht="12.75">
      <c r="K9972" s="12"/>
      <c r="L9972" s="12"/>
    </row>
    <row r="9973" spans="11:12" ht="12.75">
      <c r="K9973" s="12"/>
      <c r="L9973" s="12"/>
    </row>
    <row r="9974" spans="11:12" ht="12.75">
      <c r="K9974" s="12"/>
      <c r="L9974" s="12"/>
    </row>
    <row r="9975" spans="11:12" ht="12.75">
      <c r="K9975" s="12"/>
      <c r="L9975" s="12"/>
    </row>
    <row r="9976" spans="11:12" ht="12.75">
      <c r="K9976" s="12"/>
      <c r="L9976" s="12"/>
    </row>
    <row r="9977" spans="11:12" ht="12.75">
      <c r="K9977" s="12"/>
      <c r="L9977" s="12"/>
    </row>
    <row r="9978" spans="11:12" ht="12.75">
      <c r="K9978" s="12"/>
      <c r="L9978" s="12"/>
    </row>
    <row r="9979" spans="11:12" ht="12.75">
      <c r="K9979" s="12"/>
      <c r="L9979" s="12"/>
    </row>
    <row r="9980" spans="11:12" ht="12.75">
      <c r="K9980" s="12"/>
      <c r="L9980" s="12"/>
    </row>
    <row r="9981" spans="11:12" ht="12.75">
      <c r="K9981" s="12"/>
      <c r="L9981" s="12"/>
    </row>
    <row r="9982" spans="11:12" ht="12.75">
      <c r="K9982" s="12"/>
      <c r="L9982" s="12"/>
    </row>
    <row r="9983" spans="11:12" ht="12.75">
      <c r="K9983" s="12"/>
      <c r="L9983" s="12"/>
    </row>
    <row r="9984" spans="11:12" ht="12.75">
      <c r="K9984" s="12"/>
      <c r="L9984" s="12"/>
    </row>
    <row r="9985" spans="11:12" ht="12.75">
      <c r="K9985" s="12"/>
      <c r="L9985" s="12"/>
    </row>
    <row r="9986" spans="11:12" ht="12.75">
      <c r="K9986" s="12"/>
      <c r="L9986" s="12"/>
    </row>
    <row r="9987" spans="11:12" ht="12.75">
      <c r="K9987" s="12"/>
      <c r="L9987" s="12"/>
    </row>
    <row r="9988" spans="11:12" ht="12.75">
      <c r="K9988" s="12"/>
      <c r="L9988" s="12"/>
    </row>
    <row r="9989" spans="11:12" ht="12.75">
      <c r="K9989" s="12"/>
      <c r="L9989" s="12"/>
    </row>
    <row r="9990" spans="11:12" ht="12.75">
      <c r="K9990" s="12"/>
      <c r="L9990" s="12"/>
    </row>
    <row r="9991" spans="11:12" ht="12.75">
      <c r="K9991" s="12"/>
      <c r="L9991" s="12"/>
    </row>
    <row r="9992" spans="11:12" ht="12.75">
      <c r="K9992" s="12"/>
      <c r="L9992" s="12"/>
    </row>
    <row r="9993" spans="11:12" ht="12.75">
      <c r="K9993" s="12"/>
      <c r="L9993" s="12"/>
    </row>
    <row r="9994" spans="11:12" ht="12.75">
      <c r="K9994" s="12"/>
      <c r="L9994" s="12"/>
    </row>
    <row r="9995" spans="11:12" ht="12.75">
      <c r="K9995" s="12"/>
      <c r="L9995" s="12"/>
    </row>
    <row r="9996" spans="11:12" ht="12.75">
      <c r="K9996" s="12"/>
      <c r="L9996" s="12"/>
    </row>
    <row r="9997" spans="11:12" ht="12.75">
      <c r="K9997" s="12"/>
      <c r="L9997" s="12"/>
    </row>
    <row r="9998" spans="11:12" ht="12.75">
      <c r="K9998" s="12"/>
      <c r="L9998" s="12"/>
    </row>
    <row r="9999" spans="11:12" ht="12.75">
      <c r="K9999" s="12"/>
      <c r="L9999" s="12"/>
    </row>
    <row r="10000" spans="11:12" ht="12.75">
      <c r="K10000" s="12"/>
      <c r="L10000" s="12"/>
    </row>
    <row r="10001" spans="11:12" ht="12.75">
      <c r="K10001" s="12"/>
      <c r="L10001" s="12"/>
    </row>
    <row r="10002" spans="11:12" ht="12.75">
      <c r="K10002" s="12"/>
      <c r="L10002" s="12"/>
    </row>
    <row r="10003" spans="11:12" ht="12.75">
      <c r="K10003" s="12"/>
      <c r="L10003" s="12"/>
    </row>
    <row r="10004" spans="11:12" ht="12.75">
      <c r="K10004" s="12"/>
      <c r="L10004" s="12"/>
    </row>
    <row r="10005" spans="11:12" ht="12.75">
      <c r="K10005" s="12"/>
      <c r="L10005" s="12"/>
    </row>
    <row r="10006" spans="11:12" ht="12.75">
      <c r="K10006" s="12"/>
      <c r="L10006" s="12"/>
    </row>
    <row r="10007" spans="11:12" ht="12.75">
      <c r="K10007" s="12"/>
      <c r="L10007" s="12"/>
    </row>
    <row r="10008" spans="11:12" ht="12.75">
      <c r="K10008" s="12"/>
      <c r="L10008" s="12"/>
    </row>
    <row r="10009" spans="11:12" ht="12.75">
      <c r="K10009" s="12"/>
      <c r="L10009" s="12"/>
    </row>
    <row r="10010" spans="11:12" ht="12.75">
      <c r="K10010" s="12"/>
      <c r="L10010" s="12"/>
    </row>
    <row r="10011" spans="11:12" ht="12.75">
      <c r="K10011" s="12"/>
      <c r="L10011" s="12"/>
    </row>
    <row r="10012" spans="11:12" ht="12.75">
      <c r="K10012" s="12"/>
      <c r="L10012" s="12"/>
    </row>
    <row r="10013" spans="11:12" ht="12.75">
      <c r="K10013" s="12"/>
      <c r="L10013" s="12"/>
    </row>
    <row r="10014" spans="11:12" ht="12.75">
      <c r="K10014" s="12"/>
      <c r="L10014" s="12"/>
    </row>
    <row r="10015" spans="11:12" ht="12.75">
      <c r="K10015" s="12"/>
      <c r="L10015" s="12"/>
    </row>
    <row r="10016" spans="11:12" ht="12.75">
      <c r="K10016" s="12"/>
      <c r="L10016" s="12"/>
    </row>
    <row r="10017" spans="11:12" ht="12.75">
      <c r="K10017" s="12"/>
      <c r="L10017" s="12"/>
    </row>
    <row r="10018" spans="11:12" ht="12.75">
      <c r="K10018" s="12"/>
      <c r="L10018" s="12"/>
    </row>
    <row r="10019" spans="11:12" ht="12.75">
      <c r="K10019" s="12"/>
      <c r="L10019" s="12"/>
    </row>
    <row r="10020" spans="11:12" ht="12.75">
      <c r="K10020" s="12"/>
      <c r="L10020" s="12"/>
    </row>
    <row r="10021" spans="11:12" ht="12.75">
      <c r="K10021" s="12"/>
      <c r="L10021" s="12"/>
    </row>
    <row r="10022" spans="11:12" ht="12.75">
      <c r="K10022" s="12"/>
      <c r="L10022" s="12"/>
    </row>
    <row r="10023" spans="11:12" ht="12.75">
      <c r="K10023" s="12"/>
      <c r="L10023" s="12"/>
    </row>
    <row r="10024" spans="11:12" ht="12.75">
      <c r="K10024" s="12"/>
      <c r="L10024" s="12"/>
    </row>
    <row r="10025" spans="11:12" ht="12.75">
      <c r="K10025" s="12"/>
      <c r="L10025" s="12"/>
    </row>
    <row r="10026" spans="11:12" ht="12.75">
      <c r="K10026" s="12"/>
      <c r="L10026" s="12"/>
    </row>
    <row r="10027" spans="11:12" ht="12.75">
      <c r="K10027" s="12"/>
      <c r="L10027" s="12"/>
    </row>
    <row r="10028" spans="11:12" ht="12.75">
      <c r="K10028" s="12"/>
      <c r="L10028" s="12"/>
    </row>
    <row r="10029" spans="11:12" ht="12.75">
      <c r="K10029" s="12"/>
      <c r="L10029" s="12"/>
    </row>
    <row r="10030" spans="11:12" ht="12.75">
      <c r="K10030" s="12"/>
      <c r="L10030" s="12"/>
    </row>
    <row r="10031" spans="11:12" ht="12.75">
      <c r="K10031" s="12"/>
      <c r="L10031" s="12"/>
    </row>
    <row r="10032" spans="11:12" ht="12.75">
      <c r="K10032" s="12"/>
      <c r="L10032" s="12"/>
    </row>
    <row r="10033" spans="11:12" ht="12.75">
      <c r="K10033" s="12"/>
      <c r="L10033" s="12"/>
    </row>
    <row r="10034" spans="11:12" ht="12.75">
      <c r="K10034" s="12"/>
      <c r="L10034" s="12"/>
    </row>
    <row r="10035" spans="11:12" ht="12.75">
      <c r="K10035" s="12"/>
      <c r="L10035" s="12"/>
    </row>
    <row r="10036" spans="11:12" ht="12.75">
      <c r="K10036" s="12"/>
      <c r="L10036" s="12"/>
    </row>
    <row r="10037" spans="11:12" ht="12.75">
      <c r="K10037" s="12"/>
      <c r="L10037" s="12"/>
    </row>
    <row r="10038" spans="11:12" ht="12.75">
      <c r="K10038" s="12"/>
      <c r="L10038" s="12"/>
    </row>
    <row r="10039" spans="11:12" ht="12.75">
      <c r="K10039" s="12"/>
      <c r="L10039" s="12"/>
    </row>
    <row r="10040" spans="11:12" ht="12.75">
      <c r="K10040" s="12"/>
      <c r="L10040" s="12"/>
    </row>
    <row r="10041" spans="11:12" ht="12.75">
      <c r="K10041" s="12"/>
      <c r="L10041" s="12"/>
    </row>
    <row r="10042" spans="11:12" ht="12.75">
      <c r="K10042" s="12"/>
      <c r="L10042" s="12"/>
    </row>
    <row r="10043" spans="11:12" ht="12.75">
      <c r="K10043" s="12"/>
      <c r="L10043" s="12"/>
    </row>
    <row r="10044" spans="11:12" ht="12.75">
      <c r="K10044" s="12"/>
      <c r="L10044" s="12"/>
    </row>
    <row r="10045" spans="11:12" ht="12.75">
      <c r="K10045" s="12"/>
      <c r="L10045" s="12"/>
    </row>
    <row r="10046" spans="11:12" ht="12.75">
      <c r="K10046" s="12"/>
      <c r="L10046" s="12"/>
    </row>
    <row r="10047" spans="11:12" ht="12.75">
      <c r="K10047" s="12"/>
      <c r="L10047" s="12"/>
    </row>
    <row r="10048" spans="11:12" ht="12.75">
      <c r="K10048" s="12"/>
      <c r="L10048" s="12"/>
    </row>
    <row r="10049" spans="11:12" ht="12.75">
      <c r="K10049" s="12"/>
      <c r="L10049" s="12"/>
    </row>
    <row r="10050" spans="11:12" ht="12.75">
      <c r="K10050" s="12"/>
      <c r="L10050" s="12"/>
    </row>
    <row r="10051" spans="11:12" ht="12.75">
      <c r="K10051" s="12"/>
      <c r="L10051" s="12"/>
    </row>
    <row r="10052" spans="11:12" ht="12.75">
      <c r="K10052" s="12"/>
      <c r="L10052" s="12"/>
    </row>
    <row r="10053" spans="11:12" ht="12.75">
      <c r="K10053" s="12"/>
      <c r="L10053" s="12"/>
    </row>
    <row r="10054" spans="11:12" ht="12.75">
      <c r="K10054" s="12"/>
      <c r="L10054" s="12"/>
    </row>
    <row r="10055" spans="11:12" ht="12.75">
      <c r="K10055" s="12"/>
      <c r="L10055" s="12"/>
    </row>
    <row r="10056" spans="11:12" ht="12.75">
      <c r="K10056" s="12"/>
      <c r="L10056" s="12"/>
    </row>
    <row r="10057" spans="11:12" ht="12.75">
      <c r="K10057" s="12"/>
      <c r="L10057" s="12"/>
    </row>
    <row r="10058" spans="11:12" ht="12.75">
      <c r="K10058" s="12"/>
      <c r="L10058" s="12"/>
    </row>
    <row r="10059" spans="11:12" ht="12.75">
      <c r="K10059" s="12"/>
      <c r="L10059" s="12"/>
    </row>
    <row r="10060" spans="11:12" ht="12.75">
      <c r="K10060" s="12"/>
      <c r="L10060" s="12"/>
    </row>
    <row r="10061" spans="11:12" ht="12.75">
      <c r="K10061" s="12"/>
      <c r="L10061" s="12"/>
    </row>
    <row r="10062" spans="11:12" ht="12.75">
      <c r="K10062" s="12"/>
      <c r="L10062" s="12"/>
    </row>
    <row r="10063" spans="11:12" ht="12.75">
      <c r="K10063" s="12"/>
      <c r="L10063" s="12"/>
    </row>
    <row r="10064" spans="11:12" ht="12.75">
      <c r="K10064" s="12"/>
      <c r="L10064" s="12"/>
    </row>
    <row r="10065" spans="11:12" ht="12.75">
      <c r="K10065" s="12"/>
      <c r="L10065" s="12"/>
    </row>
    <row r="10066" spans="11:12" ht="12.75">
      <c r="K10066" s="12"/>
      <c r="L10066" s="12"/>
    </row>
    <row r="10067" spans="11:12" ht="12.75">
      <c r="K10067" s="12"/>
      <c r="L10067" s="12"/>
    </row>
    <row r="10068" spans="11:12" ht="12.75">
      <c r="K10068" s="12"/>
      <c r="L10068" s="12"/>
    </row>
    <row r="10069" spans="11:12" ht="12.75">
      <c r="K10069" s="12"/>
      <c r="L10069" s="12"/>
    </row>
    <row r="10070" spans="11:12" ht="12.75">
      <c r="K10070" s="12"/>
      <c r="L10070" s="12"/>
    </row>
    <row r="10071" spans="11:12" ht="12.75">
      <c r="K10071" s="12"/>
      <c r="L10071" s="12"/>
    </row>
    <row r="10072" spans="11:12" ht="12.75">
      <c r="K10072" s="12"/>
      <c r="L10072" s="12"/>
    </row>
    <row r="10073" spans="11:12" ht="12.75">
      <c r="K10073" s="12"/>
      <c r="L10073" s="12"/>
    </row>
    <row r="10074" spans="11:12" ht="12.75">
      <c r="K10074" s="12"/>
      <c r="L10074" s="12"/>
    </row>
    <row r="10075" spans="11:12" ht="12.75">
      <c r="K10075" s="12"/>
      <c r="L10075" s="12"/>
    </row>
    <row r="10076" spans="11:12" ht="12.75">
      <c r="K10076" s="12"/>
      <c r="L10076" s="12"/>
    </row>
    <row r="10077" spans="11:12" ht="12.75">
      <c r="K10077" s="12"/>
      <c r="L10077" s="12"/>
    </row>
    <row r="10078" spans="11:12" ht="12.75">
      <c r="K10078" s="12"/>
      <c r="L10078" s="12"/>
    </row>
    <row r="10079" spans="11:12" ht="12.75">
      <c r="K10079" s="12"/>
      <c r="L10079" s="12"/>
    </row>
    <row r="10080" spans="11:12" ht="12.75">
      <c r="K10080" s="12"/>
      <c r="L10080" s="12"/>
    </row>
    <row r="10081" spans="11:12" ht="12.75">
      <c r="K10081" s="12"/>
      <c r="L10081" s="12"/>
    </row>
    <row r="10082" spans="11:12" ht="12.75">
      <c r="K10082" s="12"/>
      <c r="L10082" s="12"/>
    </row>
    <row r="10083" spans="11:12" ht="12.75">
      <c r="K10083" s="12"/>
      <c r="L10083" s="12"/>
    </row>
    <row r="10084" spans="11:12" ht="12.75">
      <c r="K10084" s="12"/>
      <c r="L10084" s="12"/>
    </row>
    <row r="10085" spans="11:12" ht="12.75">
      <c r="K10085" s="12"/>
      <c r="L10085" s="12"/>
    </row>
    <row r="10086" spans="11:12" ht="12.75">
      <c r="K10086" s="12"/>
      <c r="L10086" s="12"/>
    </row>
    <row r="10087" spans="11:12" ht="12.75">
      <c r="K10087" s="12"/>
      <c r="L10087" s="12"/>
    </row>
    <row r="10088" spans="11:12" ht="12.75">
      <c r="K10088" s="12"/>
      <c r="L10088" s="12"/>
    </row>
    <row r="10089" spans="11:12" ht="12.75">
      <c r="K10089" s="12"/>
      <c r="L10089" s="12"/>
    </row>
    <row r="10090" spans="11:12" ht="12.75">
      <c r="K10090" s="12"/>
      <c r="L10090" s="12"/>
    </row>
    <row r="10091" spans="11:12" ht="12.75">
      <c r="K10091" s="12"/>
      <c r="L10091" s="12"/>
    </row>
    <row r="10092" spans="11:12" ht="12.75">
      <c r="K10092" s="12"/>
      <c r="L10092" s="12"/>
    </row>
    <row r="10093" spans="11:12" ht="12.75">
      <c r="K10093" s="12"/>
      <c r="L10093" s="12"/>
    </row>
    <row r="10094" spans="11:12" ht="12.75">
      <c r="K10094" s="12"/>
      <c r="L10094" s="12"/>
    </row>
    <row r="10095" spans="11:12" ht="12.75">
      <c r="K10095" s="12"/>
      <c r="L10095" s="12"/>
    </row>
    <row r="10096" spans="11:12" ht="12.75">
      <c r="K10096" s="12"/>
      <c r="L10096" s="12"/>
    </row>
    <row r="10097" spans="11:12" ht="12.75">
      <c r="K10097" s="12"/>
      <c r="L10097" s="12"/>
    </row>
    <row r="10098" spans="11:12" ht="12.75">
      <c r="K10098" s="12"/>
      <c r="L10098" s="12"/>
    </row>
    <row r="10099" spans="11:12" ht="12.75">
      <c r="K10099" s="12"/>
      <c r="L10099" s="12"/>
    </row>
    <row r="10100" spans="11:12" ht="12.75">
      <c r="K10100" s="12"/>
      <c r="L10100" s="12"/>
    </row>
    <row r="10101" spans="11:12" ht="12.75">
      <c r="K10101" s="12"/>
      <c r="L10101" s="12"/>
    </row>
    <row r="10102" spans="11:12" ht="12.75">
      <c r="K10102" s="12"/>
      <c r="L10102" s="12"/>
    </row>
    <row r="10103" spans="11:12" ht="12.75">
      <c r="K10103" s="12"/>
      <c r="L10103" s="12"/>
    </row>
    <row r="10104" spans="11:12" ht="12.75">
      <c r="K10104" s="12"/>
      <c r="L10104" s="12"/>
    </row>
    <row r="10105" spans="11:12" ht="12.75">
      <c r="K10105" s="12"/>
      <c r="L10105" s="12"/>
    </row>
    <row r="10106" spans="11:12" ht="12.75">
      <c r="K10106" s="12"/>
      <c r="L10106" s="12"/>
    </row>
    <row r="10107" spans="11:12" ht="12.75">
      <c r="K10107" s="12"/>
      <c r="L10107" s="12"/>
    </row>
    <row r="10108" spans="11:12" ht="12.75">
      <c r="K10108" s="12"/>
      <c r="L10108" s="12"/>
    </row>
    <row r="10109" spans="11:12" ht="12.75">
      <c r="K10109" s="12"/>
      <c r="L10109" s="12"/>
    </row>
    <row r="10110" spans="11:12" ht="12.75">
      <c r="K10110" s="12"/>
      <c r="L10110" s="12"/>
    </row>
    <row r="10111" spans="11:12" ht="12.75">
      <c r="K10111" s="12"/>
      <c r="L10111" s="12"/>
    </row>
    <row r="10112" spans="11:12" ht="12.75">
      <c r="K10112" s="12"/>
      <c r="L10112" s="12"/>
    </row>
    <row r="10113" spans="11:12" ht="12.75">
      <c r="K10113" s="12"/>
      <c r="L10113" s="12"/>
    </row>
    <row r="10114" spans="11:12" ht="12.75">
      <c r="K10114" s="12"/>
      <c r="L10114" s="12"/>
    </row>
    <row r="10115" spans="11:12" ht="12.75">
      <c r="K10115" s="12"/>
      <c r="L10115" s="12"/>
    </row>
    <row r="10116" spans="11:12" ht="12.75">
      <c r="K10116" s="12"/>
      <c r="L10116" s="12"/>
    </row>
    <row r="10117" spans="11:12" ht="12.75">
      <c r="K10117" s="12"/>
      <c r="L10117" s="12"/>
    </row>
    <row r="10118" spans="11:12" ht="12.75">
      <c r="K10118" s="12"/>
      <c r="L10118" s="12"/>
    </row>
    <row r="10119" spans="11:12" ht="12.75">
      <c r="K10119" s="12"/>
      <c r="L10119" s="12"/>
    </row>
    <row r="10120" spans="11:12" ht="12.75">
      <c r="K10120" s="12"/>
      <c r="L10120" s="12"/>
    </row>
    <row r="10121" spans="11:12" ht="12.75">
      <c r="K10121" s="12"/>
      <c r="L10121" s="12"/>
    </row>
    <row r="10122" spans="11:12" ht="12.75">
      <c r="K10122" s="12"/>
      <c r="L10122" s="12"/>
    </row>
    <row r="10123" spans="11:12" ht="12.75">
      <c r="K10123" s="12"/>
      <c r="L10123" s="12"/>
    </row>
    <row r="10124" spans="11:12" ht="12.75">
      <c r="K10124" s="12"/>
      <c r="L10124" s="12"/>
    </row>
    <row r="10125" spans="11:12" ht="12.75">
      <c r="K10125" s="12"/>
      <c r="L10125" s="12"/>
    </row>
    <row r="10126" spans="11:12" ht="12.75">
      <c r="K10126" s="12"/>
      <c r="L10126" s="12"/>
    </row>
    <row r="10127" spans="11:12" ht="12.75">
      <c r="K10127" s="12"/>
      <c r="L10127" s="12"/>
    </row>
    <row r="10128" spans="11:12" ht="12.75">
      <c r="K10128" s="12"/>
      <c r="L10128" s="12"/>
    </row>
    <row r="10129" spans="11:12" ht="12.75">
      <c r="K10129" s="12"/>
      <c r="L10129" s="12"/>
    </row>
    <row r="10130" spans="11:12" ht="12.75">
      <c r="K10130" s="12"/>
      <c r="L10130" s="12"/>
    </row>
    <row r="10131" spans="11:12" ht="12.75">
      <c r="K10131" s="12"/>
      <c r="L10131" s="12"/>
    </row>
    <row r="10132" spans="11:12" ht="12.75">
      <c r="K10132" s="12"/>
      <c r="L10132" s="12"/>
    </row>
    <row r="10133" spans="11:12" ht="12.75">
      <c r="K10133" s="12"/>
      <c r="L10133" s="12"/>
    </row>
    <row r="10134" spans="11:12" ht="12.75">
      <c r="K10134" s="12"/>
      <c r="L10134" s="12"/>
    </row>
    <row r="10135" spans="11:12" ht="12.75">
      <c r="K10135" s="12"/>
      <c r="L10135" s="12"/>
    </row>
    <row r="10136" spans="11:12" ht="12.75">
      <c r="K10136" s="12"/>
      <c r="L10136" s="12"/>
    </row>
    <row r="10137" spans="11:12" ht="12.75">
      <c r="K10137" s="12"/>
      <c r="L10137" s="12"/>
    </row>
    <row r="10138" spans="11:12" ht="12.75">
      <c r="K10138" s="12"/>
      <c r="L10138" s="12"/>
    </row>
    <row r="10139" spans="11:12" ht="12.75">
      <c r="K10139" s="12"/>
      <c r="L10139" s="12"/>
    </row>
    <row r="10140" spans="11:12" ht="12.75">
      <c r="K10140" s="12"/>
      <c r="L10140" s="12"/>
    </row>
    <row r="10141" spans="11:12" ht="12.75">
      <c r="K10141" s="12"/>
      <c r="L10141" s="12"/>
    </row>
    <row r="10142" spans="11:12" ht="12.75">
      <c r="K10142" s="12"/>
      <c r="L10142" s="12"/>
    </row>
    <row r="10143" spans="11:12" ht="12.75">
      <c r="K10143" s="12"/>
      <c r="L10143" s="12"/>
    </row>
    <row r="10144" spans="11:12" ht="12.75">
      <c r="K10144" s="12"/>
      <c r="L10144" s="12"/>
    </row>
    <row r="10145" spans="11:12" ht="12.75">
      <c r="K10145" s="12"/>
      <c r="L10145" s="12"/>
    </row>
    <row r="10146" spans="11:12" ht="12.75">
      <c r="K10146" s="12"/>
      <c r="L10146" s="12"/>
    </row>
    <row r="10147" spans="11:12" ht="12.75">
      <c r="K10147" s="12"/>
      <c r="L10147" s="12"/>
    </row>
    <row r="10148" spans="11:12" ht="12.75">
      <c r="K10148" s="12"/>
      <c r="L10148" s="12"/>
    </row>
    <row r="10149" spans="11:12" ht="12.75">
      <c r="K10149" s="12"/>
      <c r="L10149" s="12"/>
    </row>
    <row r="10150" spans="11:12" ht="12.75">
      <c r="K10150" s="12"/>
      <c r="L10150" s="12"/>
    </row>
    <row r="10151" spans="11:12" ht="12.75">
      <c r="K10151" s="12"/>
      <c r="L10151" s="12"/>
    </row>
    <row r="10152" spans="11:12" ht="12.75">
      <c r="K10152" s="12"/>
      <c r="L10152" s="12"/>
    </row>
    <row r="10153" spans="11:12" ht="12.75">
      <c r="K10153" s="12"/>
      <c r="L10153" s="12"/>
    </row>
    <row r="10154" spans="11:12" ht="12.75">
      <c r="K10154" s="12"/>
      <c r="L10154" s="12"/>
    </row>
    <row r="10155" spans="11:12" ht="12.75">
      <c r="K10155" s="12"/>
      <c r="L10155" s="12"/>
    </row>
    <row r="10156" spans="11:12" ht="12.75">
      <c r="K10156" s="12"/>
      <c r="L10156" s="12"/>
    </row>
    <row r="10157" spans="11:12" ht="12.75">
      <c r="K10157" s="12"/>
      <c r="L10157" s="12"/>
    </row>
    <row r="10158" spans="11:12" ht="12.75">
      <c r="K10158" s="12"/>
      <c r="L10158" s="12"/>
    </row>
    <row r="10159" spans="11:12" ht="12.75">
      <c r="K10159" s="12"/>
      <c r="L10159" s="12"/>
    </row>
    <row r="10160" spans="11:12" ht="12.75">
      <c r="K10160" s="12"/>
      <c r="L10160" s="12"/>
    </row>
    <row r="10161" spans="11:12" ht="12.75">
      <c r="K10161" s="12"/>
      <c r="L10161" s="12"/>
    </row>
    <row r="10162" spans="11:12" ht="12.75">
      <c r="K10162" s="12"/>
      <c r="L10162" s="12"/>
    </row>
    <row r="10163" spans="11:12" ht="12.75">
      <c r="K10163" s="12"/>
      <c r="L10163" s="12"/>
    </row>
    <row r="10164" spans="11:12" ht="12.75">
      <c r="K10164" s="12"/>
      <c r="L10164" s="12"/>
    </row>
    <row r="10165" spans="11:12" ht="12.75">
      <c r="K10165" s="12"/>
      <c r="L10165" s="12"/>
    </row>
    <row r="10166" spans="11:12" ht="12.75">
      <c r="K10166" s="12"/>
      <c r="L10166" s="12"/>
    </row>
    <row r="10167" spans="11:12" ht="12.75">
      <c r="K10167" s="12"/>
      <c r="L10167" s="12"/>
    </row>
    <row r="10168" spans="11:12" ht="12.75">
      <c r="K10168" s="12"/>
      <c r="L10168" s="12"/>
    </row>
    <row r="10169" spans="11:12" ht="12.75">
      <c r="K10169" s="12"/>
      <c r="L10169" s="12"/>
    </row>
    <row r="10170" spans="11:12" ht="12.75">
      <c r="K10170" s="12"/>
      <c r="L10170" s="12"/>
    </row>
    <row r="10171" spans="11:12" ht="12.75">
      <c r="K10171" s="12"/>
      <c r="L10171" s="12"/>
    </row>
    <row r="10172" spans="11:12" ht="12.75">
      <c r="K10172" s="12"/>
      <c r="L10172" s="12"/>
    </row>
    <row r="10173" spans="11:12" ht="12.75">
      <c r="K10173" s="12"/>
      <c r="L10173" s="12"/>
    </row>
    <row r="10174" spans="11:12" ht="12.75">
      <c r="K10174" s="12"/>
      <c r="L10174" s="12"/>
    </row>
    <row r="10175" spans="11:12" ht="12.75">
      <c r="K10175" s="12"/>
      <c r="L10175" s="12"/>
    </row>
    <row r="10176" spans="11:12" ht="12.75">
      <c r="K10176" s="12"/>
      <c r="L10176" s="12"/>
    </row>
    <row r="10177" spans="11:12" ht="12.75">
      <c r="K10177" s="12"/>
      <c r="L10177" s="12"/>
    </row>
    <row r="10178" spans="11:12" ht="12.75">
      <c r="K10178" s="12"/>
      <c r="L10178" s="12"/>
    </row>
    <row r="10179" spans="11:12" ht="12.75">
      <c r="K10179" s="12"/>
      <c r="L10179" s="12"/>
    </row>
    <row r="10180" spans="11:12" ht="12.75">
      <c r="K10180" s="12"/>
      <c r="L10180" s="12"/>
    </row>
    <row r="10181" spans="11:12" ht="12.75">
      <c r="K10181" s="12"/>
      <c r="L10181" s="12"/>
    </row>
    <row r="10182" spans="11:12" ht="12.75">
      <c r="K10182" s="12"/>
      <c r="L10182" s="12"/>
    </row>
    <row r="10183" spans="11:12" ht="12.75">
      <c r="K10183" s="12"/>
      <c r="L10183" s="12"/>
    </row>
    <row r="10184" spans="11:12" ht="12.75">
      <c r="K10184" s="12"/>
      <c r="L10184" s="12"/>
    </row>
    <row r="10185" spans="11:12" ht="12.75">
      <c r="K10185" s="12"/>
      <c r="L10185" s="12"/>
    </row>
    <row r="10186" spans="11:12" ht="12.75">
      <c r="K10186" s="12"/>
      <c r="L10186" s="12"/>
    </row>
    <row r="10187" spans="11:12" ht="12.75">
      <c r="K10187" s="12"/>
      <c r="L10187" s="12"/>
    </row>
    <row r="10188" spans="11:12" ht="12.75">
      <c r="K10188" s="12"/>
      <c r="L10188" s="12"/>
    </row>
    <row r="10189" spans="11:12" ht="12.75">
      <c r="K10189" s="12"/>
      <c r="L10189" s="12"/>
    </row>
    <row r="10190" spans="11:12" ht="12.75">
      <c r="K10190" s="12"/>
      <c r="L10190" s="12"/>
    </row>
    <row r="10191" spans="11:12" ht="12.75">
      <c r="K10191" s="12"/>
      <c r="L10191" s="12"/>
    </row>
    <row r="10192" spans="11:12" ht="12.75">
      <c r="K10192" s="12"/>
      <c r="L10192" s="12"/>
    </row>
    <row r="10193" spans="11:12" ht="12.75">
      <c r="K10193" s="12"/>
      <c r="L10193" s="12"/>
    </row>
    <row r="10194" spans="11:12" ht="12.75">
      <c r="K10194" s="12"/>
      <c r="L10194" s="12"/>
    </row>
    <row r="10195" spans="11:12" ht="12.75">
      <c r="K10195" s="12"/>
      <c r="L10195" s="12"/>
    </row>
    <row r="10196" spans="11:12" ht="12.75">
      <c r="K10196" s="12"/>
      <c r="L10196" s="12"/>
    </row>
    <row r="10197" spans="11:12" ht="12.75">
      <c r="K10197" s="12"/>
      <c r="L10197" s="12"/>
    </row>
    <row r="10198" spans="11:12" ht="12.75">
      <c r="K10198" s="12"/>
      <c r="L10198" s="12"/>
    </row>
    <row r="10199" spans="11:12" ht="12.75">
      <c r="K10199" s="12"/>
      <c r="L10199" s="12"/>
    </row>
    <row r="10200" spans="11:12" ht="12.75">
      <c r="K10200" s="12"/>
      <c r="L10200" s="12"/>
    </row>
    <row r="10201" spans="11:12" ht="12.75">
      <c r="K10201" s="12"/>
      <c r="L10201" s="12"/>
    </row>
    <row r="10202" spans="11:12" ht="12.75">
      <c r="K10202" s="12"/>
      <c r="L10202" s="12"/>
    </row>
    <row r="10203" spans="11:12" ht="12.75">
      <c r="K10203" s="12"/>
      <c r="L10203" s="12"/>
    </row>
    <row r="10204" spans="11:12" ht="12.75">
      <c r="K10204" s="12"/>
      <c r="L10204" s="12"/>
    </row>
    <row r="10205" spans="11:12" ht="12.75">
      <c r="K10205" s="12"/>
      <c r="L10205" s="12"/>
    </row>
    <row r="10206" spans="11:12" ht="12.75">
      <c r="K10206" s="12"/>
      <c r="L10206" s="12"/>
    </row>
    <row r="10207" spans="11:12" ht="12.75">
      <c r="K10207" s="12"/>
      <c r="L10207" s="12"/>
    </row>
    <row r="10208" spans="11:12" ht="12.75">
      <c r="K10208" s="12"/>
      <c r="L10208" s="12"/>
    </row>
    <row r="10209" spans="11:12" ht="12.75">
      <c r="K10209" s="12"/>
      <c r="L10209" s="12"/>
    </row>
    <row r="10210" spans="11:12" ht="12.75">
      <c r="K10210" s="12"/>
      <c r="L10210" s="12"/>
    </row>
    <row r="10211" spans="11:12" ht="12.75">
      <c r="K10211" s="12"/>
      <c r="L10211" s="12"/>
    </row>
    <row r="10212" spans="11:12" ht="12.75">
      <c r="K10212" s="12"/>
      <c r="L10212" s="12"/>
    </row>
    <row r="10213" spans="11:12" ht="12.75">
      <c r="K10213" s="12"/>
      <c r="L10213" s="12"/>
    </row>
    <row r="10214" spans="11:12" ht="12.75">
      <c r="K10214" s="12"/>
      <c r="L10214" s="12"/>
    </row>
    <row r="10215" spans="11:12" ht="12.75">
      <c r="K10215" s="12"/>
      <c r="L10215" s="12"/>
    </row>
    <row r="10216" spans="11:12" ht="12.75">
      <c r="K10216" s="12"/>
      <c r="L10216" s="12"/>
    </row>
    <row r="10217" spans="11:12" ht="12.75">
      <c r="K10217" s="12"/>
      <c r="L10217" s="12"/>
    </row>
    <row r="10218" spans="11:12" ht="12.75">
      <c r="K10218" s="12"/>
      <c r="L10218" s="12"/>
    </row>
    <row r="10219" spans="11:12" ht="12.75">
      <c r="K10219" s="12"/>
      <c r="L10219" s="12"/>
    </row>
    <row r="10220" spans="11:12" ht="12.75">
      <c r="K10220" s="12"/>
      <c r="L10220" s="12"/>
    </row>
    <row r="10221" spans="11:12" ht="12.75">
      <c r="K10221" s="12"/>
      <c r="L10221" s="12"/>
    </row>
    <row r="10222" spans="11:12" ht="12.75">
      <c r="K10222" s="12"/>
      <c r="L10222" s="12"/>
    </row>
    <row r="10223" spans="11:12" ht="12.75">
      <c r="K10223" s="12"/>
      <c r="L10223" s="12"/>
    </row>
    <row r="10224" spans="11:12" ht="12.75">
      <c r="K10224" s="12"/>
      <c r="L10224" s="12"/>
    </row>
    <row r="10225" spans="11:12" ht="12.75">
      <c r="K10225" s="12"/>
      <c r="L10225" s="12"/>
    </row>
    <row r="10226" spans="11:12" ht="12.75">
      <c r="K10226" s="12"/>
      <c r="L10226" s="12"/>
    </row>
    <row r="10227" spans="11:12" ht="12.75">
      <c r="K10227" s="12"/>
      <c r="L10227" s="12"/>
    </row>
    <row r="10228" spans="11:12" ht="12.75">
      <c r="K10228" s="12"/>
      <c r="L10228" s="12"/>
    </row>
    <row r="10229" spans="11:12" ht="12.75">
      <c r="K10229" s="12"/>
      <c r="L10229" s="12"/>
    </row>
    <row r="10230" spans="11:12" ht="12.75">
      <c r="K10230" s="12"/>
      <c r="L10230" s="12"/>
    </row>
    <row r="10231" spans="11:12" ht="12.75">
      <c r="K10231" s="12"/>
      <c r="L10231" s="12"/>
    </row>
    <row r="10232" spans="11:12" ht="12.75">
      <c r="K10232" s="12"/>
      <c r="L10232" s="12"/>
    </row>
    <row r="10233" spans="11:12" ht="12.75">
      <c r="K10233" s="12"/>
      <c r="L10233" s="12"/>
    </row>
    <row r="10234" spans="11:12" ht="12.75">
      <c r="K10234" s="12"/>
      <c r="L10234" s="12"/>
    </row>
    <row r="10235" spans="11:12" ht="12.75">
      <c r="K10235" s="12"/>
      <c r="L10235" s="12"/>
    </row>
    <row r="10236" spans="11:12" ht="12.75">
      <c r="K10236" s="12"/>
      <c r="L10236" s="12"/>
    </row>
    <row r="10237" spans="11:12" ht="12.75">
      <c r="K10237" s="12"/>
      <c r="L10237" s="12"/>
    </row>
    <row r="10238" spans="11:12" ht="12.75">
      <c r="K10238" s="12"/>
      <c r="L10238" s="12"/>
    </row>
    <row r="10239" spans="11:12" ht="12.75">
      <c r="K10239" s="12"/>
      <c r="L10239" s="12"/>
    </row>
    <row r="10240" spans="11:12" ht="12.75">
      <c r="K10240" s="12"/>
      <c r="L10240" s="12"/>
    </row>
    <row r="10241" spans="11:12" ht="12.75">
      <c r="K10241" s="12"/>
      <c r="L10241" s="12"/>
    </row>
    <row r="10242" spans="11:12" ht="12.75">
      <c r="K10242" s="12"/>
      <c r="L10242" s="12"/>
    </row>
    <row r="10243" spans="11:12" ht="12.75">
      <c r="K10243" s="12"/>
      <c r="L10243" s="12"/>
    </row>
    <row r="10244" spans="11:12" ht="12.75">
      <c r="K10244" s="12"/>
      <c r="L10244" s="12"/>
    </row>
    <row r="10245" spans="11:12" ht="12.75">
      <c r="K10245" s="12"/>
      <c r="L10245" s="12"/>
    </row>
    <row r="10246" spans="11:12" ht="12.75">
      <c r="K10246" s="12"/>
      <c r="L10246" s="12"/>
    </row>
    <row r="10247" spans="11:12" ht="12.75">
      <c r="K10247" s="12"/>
      <c r="L10247" s="12"/>
    </row>
    <row r="10248" spans="11:12" ht="12.75">
      <c r="K10248" s="12"/>
      <c r="L10248" s="12"/>
    </row>
    <row r="10249" spans="11:12" ht="12.75">
      <c r="K10249" s="12"/>
      <c r="L10249" s="12"/>
    </row>
    <row r="10250" spans="11:12" ht="12.75">
      <c r="K10250" s="12"/>
      <c r="L10250" s="12"/>
    </row>
    <row r="10251" spans="11:12" ht="12.75">
      <c r="K10251" s="12"/>
      <c r="L10251" s="12"/>
    </row>
    <row r="10252" spans="11:12" ht="12.75">
      <c r="K10252" s="12"/>
      <c r="L10252" s="12"/>
    </row>
    <row r="10253" spans="11:12" ht="12.75">
      <c r="K10253" s="12"/>
      <c r="L10253" s="12"/>
    </row>
    <row r="10254" spans="11:12" ht="12.75">
      <c r="K10254" s="12"/>
      <c r="L10254" s="12"/>
    </row>
    <row r="10255" spans="11:12" ht="12.75">
      <c r="K10255" s="12"/>
      <c r="L10255" s="12"/>
    </row>
    <row r="10256" spans="11:12" ht="12.75">
      <c r="K10256" s="12"/>
      <c r="L10256" s="12"/>
    </row>
    <row r="10257" spans="11:12" ht="12.75">
      <c r="K10257" s="12"/>
      <c r="L10257" s="12"/>
    </row>
    <row r="10258" spans="11:12" ht="12.75">
      <c r="K10258" s="12"/>
      <c r="L10258" s="12"/>
    </row>
    <row r="10259" spans="11:12" ht="12.75">
      <c r="K10259" s="12"/>
      <c r="L10259" s="12"/>
    </row>
    <row r="10260" spans="11:12" ht="12.75">
      <c r="K10260" s="12"/>
      <c r="L10260" s="12"/>
    </row>
    <row r="10261" spans="11:12" ht="12.75">
      <c r="K10261" s="12"/>
      <c r="L10261" s="12"/>
    </row>
    <row r="10262" spans="11:12" ht="12.75">
      <c r="K10262" s="12"/>
      <c r="L10262" s="12"/>
    </row>
    <row r="10263" spans="11:12" ht="12.75">
      <c r="K10263" s="12"/>
      <c r="L10263" s="12"/>
    </row>
    <row r="10264" spans="11:12" ht="12.75">
      <c r="K10264" s="12"/>
      <c r="L10264" s="12"/>
    </row>
    <row r="10265" spans="11:12" ht="12.75">
      <c r="K10265" s="12"/>
      <c r="L10265" s="12"/>
    </row>
    <row r="10266" spans="11:12" ht="12.75">
      <c r="K10266" s="12"/>
      <c r="L10266" s="12"/>
    </row>
    <row r="10267" spans="11:12" ht="12.75">
      <c r="K10267" s="12"/>
      <c r="L10267" s="12"/>
    </row>
    <row r="10268" spans="11:12" ht="12.75">
      <c r="K10268" s="12"/>
      <c r="L10268" s="12"/>
    </row>
    <row r="10269" spans="11:12" ht="12.75">
      <c r="K10269" s="12"/>
      <c r="L10269" s="12"/>
    </row>
    <row r="10270" spans="11:12" ht="12.75">
      <c r="K10270" s="12"/>
      <c r="L10270" s="12"/>
    </row>
    <row r="10271" spans="11:12" ht="12.75">
      <c r="K10271" s="12"/>
      <c r="L10271" s="12"/>
    </row>
    <row r="10272" spans="11:12" ht="12.75">
      <c r="K10272" s="12"/>
      <c r="L10272" s="12"/>
    </row>
    <row r="10273" spans="11:12" ht="12.75">
      <c r="K10273" s="12"/>
      <c r="L10273" s="12"/>
    </row>
    <row r="10274" spans="11:12" ht="12.75">
      <c r="K10274" s="12"/>
      <c r="L10274" s="12"/>
    </row>
    <row r="10275" spans="11:12" ht="12.75">
      <c r="K10275" s="12"/>
      <c r="L10275" s="12"/>
    </row>
    <row r="10276" spans="11:12" ht="12.75">
      <c r="K10276" s="12"/>
      <c r="L10276" s="12"/>
    </row>
    <row r="10277" spans="11:12" ht="12.75">
      <c r="K10277" s="12"/>
      <c r="L10277" s="12"/>
    </row>
    <row r="10278" spans="11:12" ht="12.75">
      <c r="K10278" s="12"/>
      <c r="L10278" s="12"/>
    </row>
    <row r="10279" spans="11:12" ht="12.75">
      <c r="K10279" s="12"/>
      <c r="L10279" s="12"/>
    </row>
    <row r="10280" spans="11:12" ht="12.75">
      <c r="K10280" s="12"/>
      <c r="L10280" s="12"/>
    </row>
    <row r="10281" spans="11:12" ht="12.75">
      <c r="K10281" s="12"/>
      <c r="L10281" s="12"/>
    </row>
    <row r="10282" spans="11:12" ht="12.75">
      <c r="K10282" s="12"/>
      <c r="L10282" s="12"/>
    </row>
    <row r="10283" spans="11:12" ht="12.75">
      <c r="K10283" s="12"/>
      <c r="L10283" s="12"/>
    </row>
    <row r="10284" spans="11:12" ht="12.75">
      <c r="K10284" s="12"/>
      <c r="L10284" s="12"/>
    </row>
    <row r="10285" spans="11:12" ht="12.75">
      <c r="K10285" s="12"/>
      <c r="L10285" s="12"/>
    </row>
    <row r="10286" spans="11:12" ht="12.75">
      <c r="K10286" s="12"/>
      <c r="L10286" s="12"/>
    </row>
    <row r="10287" spans="11:12" ht="12.75">
      <c r="K10287" s="12"/>
      <c r="L10287" s="12"/>
    </row>
    <row r="10288" spans="11:12" ht="12.75">
      <c r="K10288" s="12"/>
      <c r="L10288" s="12"/>
    </row>
    <row r="10289" spans="11:12" ht="12.75">
      <c r="K10289" s="12"/>
      <c r="L10289" s="12"/>
    </row>
    <row r="10290" spans="11:12" ht="12.75">
      <c r="K10290" s="12"/>
      <c r="L10290" s="12"/>
    </row>
    <row r="10291" spans="11:12" ht="12.75">
      <c r="K10291" s="12"/>
      <c r="L10291" s="12"/>
    </row>
    <row r="10292" spans="11:12" ht="12.75">
      <c r="K10292" s="12"/>
      <c r="L10292" s="12"/>
    </row>
    <row r="10293" spans="11:12" ht="12.75">
      <c r="K10293" s="12"/>
      <c r="L10293" s="12"/>
    </row>
    <row r="10294" spans="11:12" ht="12.75">
      <c r="K10294" s="12"/>
      <c r="L10294" s="12"/>
    </row>
    <row r="10295" spans="11:12" ht="12.75">
      <c r="K10295" s="12"/>
      <c r="L10295" s="12"/>
    </row>
    <row r="10296" spans="11:12" ht="12.75">
      <c r="K10296" s="12"/>
      <c r="L10296" s="12"/>
    </row>
    <row r="10297" spans="11:12" ht="12.75">
      <c r="K10297" s="12"/>
      <c r="L10297" s="12"/>
    </row>
    <row r="10298" spans="11:12" ht="12.75">
      <c r="K10298" s="12"/>
      <c r="L10298" s="12"/>
    </row>
    <row r="10299" spans="11:12" ht="12.75">
      <c r="K10299" s="12"/>
      <c r="L10299" s="12"/>
    </row>
    <row r="10300" spans="11:12" ht="12.75">
      <c r="K10300" s="12"/>
      <c r="L10300" s="12"/>
    </row>
    <row r="10301" spans="11:12" ht="12.75">
      <c r="K10301" s="12"/>
      <c r="L10301" s="12"/>
    </row>
    <row r="10302" spans="11:12" ht="12.75">
      <c r="K10302" s="12"/>
      <c r="L10302" s="12"/>
    </row>
    <row r="10303" spans="11:12" ht="12.75">
      <c r="K10303" s="12"/>
      <c r="L10303" s="12"/>
    </row>
    <row r="10304" spans="11:12" ht="12.75">
      <c r="K10304" s="12"/>
      <c r="L10304" s="12"/>
    </row>
    <row r="10305" spans="11:12" ht="12.75">
      <c r="K10305" s="12"/>
      <c r="L10305" s="12"/>
    </row>
    <row r="10306" spans="11:12" ht="12.75">
      <c r="K10306" s="12"/>
      <c r="L10306" s="12"/>
    </row>
    <row r="10307" spans="11:12" ht="12.75">
      <c r="K10307" s="12"/>
      <c r="L10307" s="12"/>
    </row>
    <row r="10308" spans="11:12" ht="12.75">
      <c r="K10308" s="12"/>
      <c r="L10308" s="12"/>
    </row>
    <row r="10309" spans="11:12" ht="12.75">
      <c r="K10309" s="12"/>
      <c r="L10309" s="12"/>
    </row>
    <row r="10310" spans="11:12" ht="12.75">
      <c r="K10310" s="12"/>
      <c r="L10310" s="12"/>
    </row>
    <row r="10311" spans="11:12" ht="12.75">
      <c r="K10311" s="12"/>
      <c r="L10311" s="12"/>
    </row>
    <row r="10312" spans="11:12" ht="12.75">
      <c r="K10312" s="12"/>
      <c r="L10312" s="12"/>
    </row>
    <row r="10313" spans="11:12" ht="12.75">
      <c r="K10313" s="12"/>
      <c r="L10313" s="12"/>
    </row>
    <row r="10314" spans="11:12" ht="12.75">
      <c r="K10314" s="12"/>
      <c r="L10314" s="12"/>
    </row>
    <row r="10315" spans="11:12" ht="12.75">
      <c r="K10315" s="12"/>
      <c r="L10315" s="12"/>
    </row>
    <row r="10316" spans="11:12" ht="12.75">
      <c r="K10316" s="12"/>
      <c r="L10316" s="12"/>
    </row>
    <row r="10317" spans="11:12" ht="12.75">
      <c r="K10317" s="12"/>
      <c r="L10317" s="12"/>
    </row>
    <row r="10318" spans="11:12" ht="12.75">
      <c r="K10318" s="12"/>
      <c r="L10318" s="12"/>
    </row>
    <row r="10319" spans="11:12" ht="12.75">
      <c r="K10319" s="12"/>
      <c r="L10319" s="12"/>
    </row>
    <row r="10320" spans="11:12" ht="12.75">
      <c r="K10320" s="12"/>
      <c r="L10320" s="12"/>
    </row>
    <row r="10321" spans="11:12" ht="12.75">
      <c r="K10321" s="12"/>
      <c r="L10321" s="12"/>
    </row>
    <row r="10322" spans="11:12" ht="12.75">
      <c r="K10322" s="12"/>
      <c r="L10322" s="12"/>
    </row>
    <row r="10323" spans="11:12" ht="12.75">
      <c r="K10323" s="12"/>
      <c r="L10323" s="12"/>
    </row>
    <row r="10324" spans="11:12" ht="12.75">
      <c r="K10324" s="12"/>
      <c r="L10324" s="12"/>
    </row>
    <row r="10325" spans="11:12" ht="12.75">
      <c r="K10325" s="12"/>
      <c r="L10325" s="12"/>
    </row>
    <row r="10326" spans="11:12" ht="12.75">
      <c r="K10326" s="12"/>
      <c r="L10326" s="12"/>
    </row>
    <row r="10327" spans="11:12" ht="12.75">
      <c r="K10327" s="12"/>
      <c r="L10327" s="12"/>
    </row>
    <row r="10328" spans="11:12" ht="12.75">
      <c r="K10328" s="12"/>
      <c r="L10328" s="12"/>
    </row>
    <row r="10329" spans="11:12" ht="12.75">
      <c r="K10329" s="12"/>
      <c r="L10329" s="12"/>
    </row>
    <row r="10330" spans="11:12" ht="12.75">
      <c r="K10330" s="12"/>
      <c r="L10330" s="12"/>
    </row>
    <row r="10331" spans="11:12" ht="12.75">
      <c r="K10331" s="12"/>
      <c r="L10331" s="12"/>
    </row>
    <row r="10332" spans="11:12" ht="12.75">
      <c r="K10332" s="12"/>
      <c r="L10332" s="12"/>
    </row>
    <row r="10333" spans="11:12" ht="12.75">
      <c r="K10333" s="12"/>
      <c r="L10333" s="12"/>
    </row>
    <row r="10334" spans="11:12" ht="12.75">
      <c r="K10334" s="12"/>
      <c r="L10334" s="12"/>
    </row>
    <row r="10335" spans="11:12" ht="12.75">
      <c r="K10335" s="12"/>
      <c r="L10335" s="12"/>
    </row>
    <row r="10336" spans="11:12" ht="12.75">
      <c r="K10336" s="12"/>
      <c r="L10336" s="12"/>
    </row>
    <row r="10337" spans="11:12" ht="12.75">
      <c r="K10337" s="12"/>
      <c r="L10337" s="12"/>
    </row>
    <row r="10338" spans="11:12" ht="12.75">
      <c r="K10338" s="12"/>
      <c r="L10338" s="12"/>
    </row>
    <row r="10339" spans="11:12" ht="12.75">
      <c r="K10339" s="12"/>
      <c r="L10339" s="12"/>
    </row>
    <row r="10340" spans="11:12" ht="12.75">
      <c r="K10340" s="12"/>
      <c r="L10340" s="12"/>
    </row>
    <row r="10341" spans="11:12" ht="12.75">
      <c r="K10341" s="12"/>
      <c r="L10341" s="12"/>
    </row>
    <row r="10342" spans="11:12" ht="12.75">
      <c r="K10342" s="12"/>
      <c r="L10342" s="12"/>
    </row>
    <row r="10343" spans="11:12" ht="12.75">
      <c r="K10343" s="12"/>
      <c r="L10343" s="12"/>
    </row>
    <row r="10344" spans="11:12" ht="12.75">
      <c r="K10344" s="12"/>
      <c r="L10344" s="12"/>
    </row>
    <row r="10345" spans="11:12" ht="12.75">
      <c r="K10345" s="12"/>
      <c r="L10345" s="12"/>
    </row>
    <row r="10346" spans="11:12" ht="12.75">
      <c r="K10346" s="12"/>
      <c r="L10346" s="12"/>
    </row>
    <row r="10347" spans="11:12" ht="12.75">
      <c r="K10347" s="12"/>
      <c r="L10347" s="12"/>
    </row>
    <row r="10348" spans="11:12" ht="12.75">
      <c r="K10348" s="12"/>
      <c r="L10348" s="12"/>
    </row>
    <row r="10349" spans="11:12" ht="12.75">
      <c r="K10349" s="12"/>
      <c r="L10349" s="12"/>
    </row>
    <row r="10350" spans="11:12" ht="12.75">
      <c r="K10350" s="12"/>
      <c r="L10350" s="12"/>
    </row>
    <row r="10351" spans="11:12" ht="12.75">
      <c r="K10351" s="12"/>
      <c r="L10351" s="12"/>
    </row>
    <row r="10352" spans="11:12" ht="12.75">
      <c r="K10352" s="12"/>
      <c r="L10352" s="12"/>
    </row>
    <row r="10353" spans="11:12" ht="12.75">
      <c r="K10353" s="12"/>
      <c r="L10353" s="12"/>
    </row>
    <row r="10354" spans="11:12" ht="12.75">
      <c r="K10354" s="12"/>
      <c r="L10354" s="12"/>
    </row>
    <row r="10355" spans="11:12" ht="12.75">
      <c r="K10355" s="12"/>
      <c r="L10355" s="12"/>
    </row>
    <row r="10356" spans="11:12" ht="12.75">
      <c r="K10356" s="12"/>
      <c r="L10356" s="12"/>
    </row>
    <row r="10357" spans="11:12" ht="12.75">
      <c r="K10357" s="12"/>
      <c r="L10357" s="12"/>
    </row>
    <row r="10358" spans="11:12" ht="12.75">
      <c r="K10358" s="12"/>
      <c r="L10358" s="12"/>
    </row>
    <row r="10359" spans="11:12" ht="12.75">
      <c r="K10359" s="12"/>
      <c r="L10359" s="12"/>
    </row>
    <row r="10360" spans="11:12" ht="12.75">
      <c r="K10360" s="12"/>
      <c r="L10360" s="12"/>
    </row>
    <row r="10361" spans="11:12" ht="12.75">
      <c r="K10361" s="12"/>
      <c r="L10361" s="12"/>
    </row>
    <row r="10362" spans="11:12" ht="12.75">
      <c r="K10362" s="12"/>
      <c r="L10362" s="12"/>
    </row>
    <row r="10363" spans="11:12" ht="12.75">
      <c r="K10363" s="12"/>
      <c r="L10363" s="12"/>
    </row>
    <row r="10364" spans="11:12" ht="12.75">
      <c r="K10364" s="12"/>
      <c r="L10364" s="12"/>
    </row>
    <row r="10365" spans="11:12" ht="12.75">
      <c r="K10365" s="12"/>
      <c r="L10365" s="12"/>
    </row>
    <row r="10366" spans="11:12" ht="12.75">
      <c r="K10366" s="12"/>
      <c r="L10366" s="12"/>
    </row>
    <row r="10367" spans="11:12" ht="12.75">
      <c r="K10367" s="12"/>
      <c r="L10367" s="12"/>
    </row>
    <row r="10368" spans="11:12" ht="12.75">
      <c r="K10368" s="12"/>
      <c r="L10368" s="12"/>
    </row>
    <row r="10369" spans="11:12" ht="12.75">
      <c r="K10369" s="12"/>
      <c r="L10369" s="12"/>
    </row>
    <row r="10370" spans="11:12" ht="12.75">
      <c r="K10370" s="12"/>
      <c r="L10370" s="12"/>
    </row>
    <row r="10371" spans="11:12" ht="12.75">
      <c r="K10371" s="12"/>
      <c r="L10371" s="12"/>
    </row>
    <row r="10372" spans="11:12" ht="12.75">
      <c r="K10372" s="12"/>
      <c r="L10372" s="12"/>
    </row>
    <row r="10373" spans="11:12" ht="12.75">
      <c r="K10373" s="12"/>
      <c r="L10373" s="12"/>
    </row>
    <row r="10374" spans="11:12" ht="12.75">
      <c r="K10374" s="12"/>
      <c r="L10374" s="12"/>
    </row>
    <row r="10375" spans="11:12" ht="12.75">
      <c r="K10375" s="12"/>
      <c r="L10375" s="12"/>
    </row>
    <row r="10376" spans="11:12" ht="12.75">
      <c r="K10376" s="12"/>
      <c r="L10376" s="12"/>
    </row>
    <row r="10377" spans="11:12" ht="12.75">
      <c r="K10377" s="12"/>
      <c r="L10377" s="12"/>
    </row>
    <row r="10378" spans="11:12" ht="12.75">
      <c r="K10378" s="12"/>
      <c r="L10378" s="12"/>
    </row>
    <row r="10379" spans="11:12" ht="12.75">
      <c r="K10379" s="12"/>
      <c r="L10379" s="12"/>
    </row>
    <row r="10380" spans="11:12" ht="12.75">
      <c r="K10380" s="12"/>
      <c r="L10380" s="12"/>
    </row>
    <row r="10381" spans="11:12" ht="12.75">
      <c r="K10381" s="12"/>
      <c r="L10381" s="12"/>
    </row>
    <row r="10382" spans="11:12" ht="12.75">
      <c r="K10382" s="12"/>
      <c r="L10382" s="12"/>
    </row>
    <row r="10383" spans="11:12" ht="12.75">
      <c r="K10383" s="12"/>
      <c r="L10383" s="12"/>
    </row>
    <row r="10384" spans="11:12" ht="12.75">
      <c r="K10384" s="12"/>
      <c r="L10384" s="12"/>
    </row>
    <row r="10385" spans="11:12" ht="12.75">
      <c r="K10385" s="12"/>
      <c r="L10385" s="12"/>
    </row>
    <row r="10386" spans="11:12" ht="12.75">
      <c r="K10386" s="12"/>
      <c r="L10386" s="12"/>
    </row>
    <row r="10387" spans="11:12" ht="12.75">
      <c r="K10387" s="12"/>
      <c r="L10387" s="12"/>
    </row>
    <row r="10388" spans="11:12" ht="12.75">
      <c r="K10388" s="12"/>
      <c r="L10388" s="12"/>
    </row>
    <row r="10389" spans="11:12" ht="12.75">
      <c r="K10389" s="12"/>
      <c r="L10389" s="12"/>
    </row>
    <row r="10390" spans="11:12" ht="12.75">
      <c r="K10390" s="12"/>
      <c r="L10390" s="12"/>
    </row>
    <row r="10391" spans="11:12" ht="12.75">
      <c r="K10391" s="12"/>
      <c r="L10391" s="12"/>
    </row>
    <row r="10392" spans="11:12" ht="12.75">
      <c r="K10392" s="12"/>
      <c r="L10392" s="12"/>
    </row>
    <row r="10393" spans="11:12" ht="12.75">
      <c r="K10393" s="12"/>
      <c r="L10393" s="12"/>
    </row>
    <row r="10394" spans="11:12" ht="12.75">
      <c r="K10394" s="12"/>
      <c r="L10394" s="12"/>
    </row>
    <row r="10395" spans="11:12" ht="12.75">
      <c r="K10395" s="12"/>
      <c r="L10395" s="12"/>
    </row>
    <row r="10396" spans="11:12" ht="12.75">
      <c r="K10396" s="12"/>
      <c r="L10396" s="12"/>
    </row>
    <row r="10397" spans="11:12" ht="12.75">
      <c r="K10397" s="12"/>
      <c r="L10397" s="12"/>
    </row>
    <row r="10398" spans="11:12" ht="12.75">
      <c r="K10398" s="12"/>
      <c r="L10398" s="12"/>
    </row>
    <row r="10399" spans="11:12" ht="12.75">
      <c r="K10399" s="12"/>
      <c r="L10399" s="12"/>
    </row>
    <row r="10400" spans="11:12" ht="12.75">
      <c r="K10400" s="12"/>
      <c r="L10400" s="12"/>
    </row>
    <row r="10401" spans="11:12" ht="12.75">
      <c r="K10401" s="12"/>
      <c r="L10401" s="12"/>
    </row>
    <row r="10402" spans="11:12" ht="12.75">
      <c r="K10402" s="12"/>
      <c r="L10402" s="12"/>
    </row>
    <row r="10403" spans="11:12" ht="12.75">
      <c r="K10403" s="12"/>
      <c r="L10403" s="12"/>
    </row>
    <row r="10404" spans="11:12" ht="12.75">
      <c r="K10404" s="12"/>
      <c r="L10404" s="12"/>
    </row>
    <row r="10405" spans="11:12" ht="12.75">
      <c r="K10405" s="12"/>
      <c r="L10405" s="12"/>
    </row>
    <row r="10406" spans="11:12" ht="12.75">
      <c r="K10406" s="12"/>
      <c r="L10406" s="12"/>
    </row>
    <row r="10407" spans="11:12" ht="12.75">
      <c r="K10407" s="12"/>
      <c r="L10407" s="12"/>
    </row>
    <row r="10408" spans="11:12" ht="12.75">
      <c r="K10408" s="12"/>
      <c r="L10408" s="12"/>
    </row>
    <row r="10409" spans="11:12" ht="12.75">
      <c r="K10409" s="12"/>
      <c r="L10409" s="12"/>
    </row>
    <row r="10410" spans="11:12" ht="12.75">
      <c r="K10410" s="12"/>
      <c r="L10410" s="12"/>
    </row>
    <row r="10411" spans="11:12" ht="12.75">
      <c r="K10411" s="12"/>
      <c r="L10411" s="12"/>
    </row>
    <row r="10412" spans="11:12" ht="12.75">
      <c r="K10412" s="12"/>
      <c r="L10412" s="12"/>
    </row>
    <row r="10413" spans="11:12" ht="12.75">
      <c r="K10413" s="12"/>
      <c r="L10413" s="12"/>
    </row>
    <row r="10414" spans="11:12" ht="12.75">
      <c r="K10414" s="12"/>
      <c r="L10414" s="12"/>
    </row>
    <row r="10415" spans="11:12" ht="12.75">
      <c r="K10415" s="12"/>
      <c r="L10415" s="12"/>
    </row>
    <row r="10416" spans="11:12" ht="12.75">
      <c r="K10416" s="12"/>
      <c r="L10416" s="12"/>
    </row>
    <row r="10417" spans="11:12" ht="12.75">
      <c r="K10417" s="12"/>
      <c r="L10417" s="12"/>
    </row>
    <row r="10418" spans="11:12" ht="12.75">
      <c r="K10418" s="12"/>
      <c r="L10418" s="12"/>
    </row>
    <row r="10419" spans="11:12" ht="12.75">
      <c r="K10419" s="12"/>
      <c r="L10419" s="12"/>
    </row>
    <row r="10420" spans="11:12" ht="12.75">
      <c r="K10420" s="12"/>
      <c r="L10420" s="12"/>
    </row>
    <row r="10421" spans="11:12" ht="12.75">
      <c r="K10421" s="12"/>
      <c r="L10421" s="12"/>
    </row>
    <row r="10422" spans="11:12" ht="12.75">
      <c r="K10422" s="12"/>
      <c r="L10422" s="12"/>
    </row>
    <row r="10423" spans="11:12" ht="12.75">
      <c r="K10423" s="12"/>
      <c r="L10423" s="12"/>
    </row>
    <row r="10424" spans="11:12" ht="12.75">
      <c r="K10424" s="12"/>
      <c r="L10424" s="12"/>
    </row>
    <row r="10425" spans="11:12" ht="12.75">
      <c r="K10425" s="12"/>
      <c r="L10425" s="12"/>
    </row>
    <row r="10426" spans="11:12" ht="12.75">
      <c r="K10426" s="12"/>
      <c r="L10426" s="12"/>
    </row>
    <row r="10427" spans="11:12" ht="12.75">
      <c r="K10427" s="12"/>
      <c r="L10427" s="12"/>
    </row>
    <row r="10428" spans="11:12" ht="12.75">
      <c r="K10428" s="12"/>
      <c r="L10428" s="12"/>
    </row>
    <row r="10429" spans="11:12" ht="12.75">
      <c r="K10429" s="12"/>
      <c r="L10429" s="12"/>
    </row>
    <row r="10430" spans="11:12" ht="12.75">
      <c r="K10430" s="12"/>
      <c r="L10430" s="12"/>
    </row>
    <row r="10431" spans="11:12" ht="12.75">
      <c r="K10431" s="12"/>
      <c r="L10431" s="12"/>
    </row>
    <row r="10432" spans="11:12" ht="12.75">
      <c r="K10432" s="12"/>
      <c r="L10432" s="12"/>
    </row>
    <row r="10433" spans="11:12" ht="12.75">
      <c r="K10433" s="12"/>
      <c r="L10433" s="12"/>
    </row>
    <row r="10434" spans="11:12" ht="12.75">
      <c r="K10434" s="12"/>
      <c r="L10434" s="12"/>
    </row>
    <row r="10435" spans="11:12" ht="12.75">
      <c r="K10435" s="12"/>
      <c r="L10435" s="12"/>
    </row>
    <row r="10436" spans="11:12" ht="12.75">
      <c r="K10436" s="12"/>
      <c r="L10436" s="12"/>
    </row>
    <row r="10437" spans="11:12" ht="12.75">
      <c r="K10437" s="12"/>
      <c r="L10437" s="12"/>
    </row>
    <row r="10438" spans="11:12" ht="12.75">
      <c r="K10438" s="12"/>
      <c r="L10438" s="12"/>
    </row>
    <row r="10439" spans="11:12" ht="12.75">
      <c r="K10439" s="12"/>
      <c r="L10439" s="12"/>
    </row>
    <row r="10440" spans="11:12" ht="12.75">
      <c r="K10440" s="12"/>
      <c r="L10440" s="12"/>
    </row>
    <row r="10441" spans="11:12" ht="12.75">
      <c r="K10441" s="12"/>
      <c r="L10441" s="12"/>
    </row>
    <row r="10442" spans="11:12" ht="12.75">
      <c r="K10442" s="12"/>
      <c r="L10442" s="12"/>
    </row>
    <row r="10443" spans="11:12" ht="12.75">
      <c r="K10443" s="12"/>
      <c r="L10443" s="12"/>
    </row>
    <row r="10444" spans="11:12" ht="12.75">
      <c r="K10444" s="12"/>
      <c r="L10444" s="12"/>
    </row>
    <row r="10445" spans="11:12" ht="12.75">
      <c r="K10445" s="12"/>
      <c r="L10445" s="12"/>
    </row>
    <row r="10446" spans="11:12" ht="12.75">
      <c r="K10446" s="12"/>
      <c r="L10446" s="12"/>
    </row>
    <row r="10447" spans="11:12" ht="12.75">
      <c r="K10447" s="12"/>
      <c r="L10447" s="12"/>
    </row>
    <row r="10448" spans="11:12" ht="12.75">
      <c r="K10448" s="12"/>
      <c r="L10448" s="12"/>
    </row>
    <row r="10449" spans="11:12" ht="12.75">
      <c r="K10449" s="12"/>
      <c r="L10449" s="12"/>
    </row>
    <row r="10450" spans="11:12" ht="12.75">
      <c r="K10450" s="12"/>
      <c r="L10450" s="12"/>
    </row>
    <row r="10451" spans="11:12" ht="12.75">
      <c r="K10451" s="12"/>
      <c r="L10451" s="12"/>
    </row>
    <row r="10452" spans="11:12" ht="12.75">
      <c r="K10452" s="12"/>
      <c r="L10452" s="12"/>
    </row>
    <row r="10453" spans="11:12" ht="12.75">
      <c r="K10453" s="12"/>
      <c r="L10453" s="12"/>
    </row>
    <row r="10454" spans="11:12" ht="12.75">
      <c r="K10454" s="12"/>
      <c r="L10454" s="12"/>
    </row>
    <row r="10455" spans="11:12" ht="12.75">
      <c r="K10455" s="12"/>
      <c r="L10455" s="12"/>
    </row>
    <row r="10456" spans="11:12" ht="12.75">
      <c r="K10456" s="12"/>
      <c r="L10456" s="12"/>
    </row>
    <row r="10457" spans="11:12" ht="12.75">
      <c r="K10457" s="12"/>
      <c r="L10457" s="12"/>
    </row>
    <row r="10458" spans="11:12" ht="12.75">
      <c r="K10458" s="12"/>
      <c r="L10458" s="12"/>
    </row>
    <row r="10459" spans="11:12" ht="12.75">
      <c r="K10459" s="12"/>
      <c r="L10459" s="12"/>
    </row>
    <row r="10460" spans="11:12" ht="12.75">
      <c r="K10460" s="12"/>
      <c r="L10460" s="12"/>
    </row>
    <row r="10461" spans="11:12" ht="12.75">
      <c r="K10461" s="12"/>
      <c r="L10461" s="12"/>
    </row>
    <row r="10462" spans="11:12" ht="12.75">
      <c r="K10462" s="12"/>
      <c r="L10462" s="12"/>
    </row>
    <row r="10463" spans="11:12" ht="12.75">
      <c r="K10463" s="12"/>
      <c r="L10463" s="12"/>
    </row>
    <row r="10464" spans="11:12" ht="12.75">
      <c r="K10464" s="12"/>
      <c r="L10464" s="12"/>
    </row>
    <row r="10465" spans="11:12" ht="12.75">
      <c r="K10465" s="12"/>
      <c r="L10465" s="12"/>
    </row>
    <row r="10466" spans="11:12" ht="12.75">
      <c r="K10466" s="12"/>
      <c r="L10466" s="12"/>
    </row>
    <row r="10467" spans="11:12" ht="12.75">
      <c r="K10467" s="12"/>
      <c r="L10467" s="12"/>
    </row>
    <row r="10468" spans="11:12" ht="12.75">
      <c r="K10468" s="12"/>
      <c r="L10468" s="12"/>
    </row>
    <row r="10469" spans="11:12" ht="12.75">
      <c r="K10469" s="12"/>
      <c r="L10469" s="12"/>
    </row>
    <row r="10470" spans="11:12" ht="12.75">
      <c r="K10470" s="12"/>
      <c r="L10470" s="12"/>
    </row>
    <row r="10471" spans="11:12" ht="12.75">
      <c r="K10471" s="12"/>
      <c r="L10471" s="12"/>
    </row>
    <row r="10472" spans="11:12" ht="12.75">
      <c r="K10472" s="12"/>
      <c r="L10472" s="12"/>
    </row>
    <row r="10473" spans="11:12" ht="12.75">
      <c r="K10473" s="12"/>
      <c r="L10473" s="12"/>
    </row>
    <row r="10474" spans="11:12" ht="12.75">
      <c r="K10474" s="12"/>
      <c r="L10474" s="12"/>
    </row>
    <row r="10475" spans="11:12" ht="12.75">
      <c r="K10475" s="12"/>
      <c r="L10475" s="12"/>
    </row>
    <row r="10476" spans="11:12" ht="12.75">
      <c r="K10476" s="12"/>
      <c r="L10476" s="12"/>
    </row>
    <row r="10477" spans="11:12" ht="12.75">
      <c r="K10477" s="12"/>
      <c r="L10477" s="12"/>
    </row>
    <row r="10478" spans="11:12" ht="12.75">
      <c r="K10478" s="12"/>
      <c r="L10478" s="12"/>
    </row>
    <row r="10479" spans="11:12" ht="12.75">
      <c r="K10479" s="12"/>
      <c r="L10479" s="12"/>
    </row>
    <row r="10480" spans="11:12" ht="12.75">
      <c r="K10480" s="12"/>
      <c r="L10480" s="12"/>
    </row>
    <row r="10481" spans="11:12" ht="12.75">
      <c r="K10481" s="12"/>
      <c r="L10481" s="12"/>
    </row>
    <row r="10482" spans="11:12" ht="12.75">
      <c r="K10482" s="12"/>
      <c r="L10482" s="12"/>
    </row>
    <row r="10483" spans="11:12" ht="12.75">
      <c r="K10483" s="12"/>
      <c r="L10483" s="12"/>
    </row>
    <row r="10484" spans="11:12" ht="12.75">
      <c r="K10484" s="12"/>
      <c r="L10484" s="12"/>
    </row>
    <row r="10485" spans="11:12" ht="12.75">
      <c r="K10485" s="12"/>
      <c r="L10485" s="12"/>
    </row>
    <row r="10486" spans="11:12" ht="12.75">
      <c r="K10486" s="12"/>
      <c r="L10486" s="12"/>
    </row>
    <row r="10487" spans="11:12" ht="12.75">
      <c r="K10487" s="12"/>
      <c r="L10487" s="12"/>
    </row>
    <row r="10488" spans="11:12" ht="12.75">
      <c r="K10488" s="12"/>
      <c r="L10488" s="12"/>
    </row>
    <row r="10489" spans="11:12" ht="12.75">
      <c r="K10489" s="12"/>
      <c r="L10489" s="12"/>
    </row>
    <row r="10490" spans="11:12" ht="12.75">
      <c r="K10490" s="12"/>
      <c r="L10490" s="12"/>
    </row>
    <row r="10491" spans="11:12" ht="12.75">
      <c r="K10491" s="12"/>
      <c r="L10491" s="12"/>
    </row>
    <row r="10492" spans="11:12" ht="12.75">
      <c r="K10492" s="12"/>
      <c r="L10492" s="12"/>
    </row>
    <row r="10493" spans="11:12" ht="12.75">
      <c r="K10493" s="12"/>
      <c r="L10493" s="12"/>
    </row>
    <row r="10494" spans="11:12" ht="12.75">
      <c r="K10494" s="12"/>
      <c r="L10494" s="12"/>
    </row>
    <row r="10495" spans="11:12" ht="12.75">
      <c r="K10495" s="12"/>
      <c r="L10495" s="12"/>
    </row>
    <row r="10496" spans="11:12" ht="12.75">
      <c r="K10496" s="12"/>
      <c r="L10496" s="12"/>
    </row>
    <row r="10497" spans="11:12" ht="12.75">
      <c r="K10497" s="12"/>
      <c r="L10497" s="12"/>
    </row>
    <row r="10498" spans="11:12" ht="12.75">
      <c r="K10498" s="12"/>
      <c r="L10498" s="12"/>
    </row>
    <row r="10499" spans="11:12" ht="12.75">
      <c r="K10499" s="12"/>
      <c r="L10499" s="12"/>
    </row>
    <row r="10500" spans="11:12" ht="12.75">
      <c r="K10500" s="12"/>
      <c r="L10500" s="12"/>
    </row>
    <row r="10501" spans="11:12" ht="12.75">
      <c r="K10501" s="12"/>
      <c r="L10501" s="12"/>
    </row>
    <row r="10502" spans="11:12" ht="12.75">
      <c r="K10502" s="12"/>
      <c r="L10502" s="12"/>
    </row>
    <row r="10503" spans="11:12" ht="12.75">
      <c r="K10503" s="12"/>
      <c r="L10503" s="12"/>
    </row>
    <row r="10504" spans="11:12" ht="12.75">
      <c r="K10504" s="12"/>
      <c r="L10504" s="12"/>
    </row>
    <row r="10505" spans="11:12" ht="12.75">
      <c r="K10505" s="12"/>
      <c r="L10505" s="12"/>
    </row>
    <row r="10506" spans="11:12" ht="12.75">
      <c r="K10506" s="12"/>
      <c r="L10506" s="12"/>
    </row>
    <row r="10507" spans="11:12" ht="12.75">
      <c r="K10507" s="12"/>
      <c r="L10507" s="12"/>
    </row>
    <row r="10508" spans="11:12" ht="12.75">
      <c r="K10508" s="12"/>
      <c r="L10508" s="12"/>
    </row>
    <row r="10509" spans="11:12" ht="12.75">
      <c r="K10509" s="12"/>
      <c r="L10509" s="12"/>
    </row>
    <row r="10510" spans="11:12" ht="12.75">
      <c r="K10510" s="12"/>
      <c r="L10510" s="12"/>
    </row>
    <row r="10511" spans="11:12" ht="12.75">
      <c r="K10511" s="12"/>
      <c r="L10511" s="12"/>
    </row>
    <row r="10512" spans="11:12" ht="12.75">
      <c r="K10512" s="12"/>
      <c r="L10512" s="12"/>
    </row>
    <row r="10513" spans="11:12" ht="12.75">
      <c r="K10513" s="12"/>
      <c r="L10513" s="12"/>
    </row>
    <row r="10514" spans="11:12" ht="12.75">
      <c r="K10514" s="12"/>
      <c r="L10514" s="12"/>
    </row>
    <row r="10515" spans="11:12" ht="12.75">
      <c r="K10515" s="12"/>
      <c r="L10515" s="12"/>
    </row>
    <row r="10516" spans="11:12" ht="12.75">
      <c r="K10516" s="12"/>
      <c r="L10516" s="12"/>
    </row>
    <row r="10517" spans="11:12" ht="12.75">
      <c r="K10517" s="12"/>
      <c r="L10517" s="12"/>
    </row>
    <row r="10518" spans="11:12" ht="12.75">
      <c r="K10518" s="12"/>
      <c r="L10518" s="12"/>
    </row>
    <row r="10519" spans="11:12" ht="12.75">
      <c r="K10519" s="12"/>
      <c r="L10519" s="12"/>
    </row>
    <row r="10520" spans="11:12" ht="12.75">
      <c r="K10520" s="12"/>
      <c r="L10520" s="12"/>
    </row>
    <row r="10521" spans="11:12" ht="12.75">
      <c r="K10521" s="12"/>
      <c r="L10521" s="12"/>
    </row>
    <row r="10522" spans="11:12" ht="12.75">
      <c r="K10522" s="12"/>
      <c r="L10522" s="12"/>
    </row>
    <row r="10523" spans="11:12" ht="12.75">
      <c r="K10523" s="12"/>
      <c r="L10523" s="12"/>
    </row>
    <row r="10524" spans="11:12" ht="12.75">
      <c r="K10524" s="12"/>
      <c r="L10524" s="12"/>
    </row>
    <row r="10525" spans="11:12" ht="12.75">
      <c r="K10525" s="12"/>
      <c r="L10525" s="12"/>
    </row>
    <row r="10526" spans="11:12" ht="12.75">
      <c r="K10526" s="12"/>
      <c r="L10526" s="12"/>
    </row>
    <row r="10527" spans="11:12" ht="12.75">
      <c r="K10527" s="12"/>
      <c r="L10527" s="12"/>
    </row>
    <row r="10528" spans="11:12" ht="12.75">
      <c r="K10528" s="12"/>
      <c r="L10528" s="12"/>
    </row>
    <row r="10529" spans="11:12" ht="12.75">
      <c r="K10529" s="12"/>
      <c r="L10529" s="12"/>
    </row>
    <row r="10530" spans="11:12" ht="12.75">
      <c r="K10530" s="12"/>
      <c r="L10530" s="12"/>
    </row>
    <row r="10531" spans="11:12" ht="12.75">
      <c r="K10531" s="12"/>
      <c r="L10531" s="12"/>
    </row>
    <row r="10532" spans="11:12" ht="12.75">
      <c r="K10532" s="12"/>
      <c r="L10532" s="12"/>
    </row>
    <row r="10533" spans="11:12" ht="12.75">
      <c r="K10533" s="12"/>
      <c r="L10533" s="12"/>
    </row>
    <row r="10534" spans="11:12" ht="12.75">
      <c r="K10534" s="12"/>
      <c r="L10534" s="12"/>
    </row>
    <row r="10535" spans="11:12" ht="12.75">
      <c r="K10535" s="12"/>
      <c r="L10535" s="12"/>
    </row>
    <row r="10536" spans="11:12" ht="12.75">
      <c r="K10536" s="12"/>
      <c r="L10536" s="12"/>
    </row>
    <row r="10537" spans="11:12" ht="12.75">
      <c r="K10537" s="12"/>
      <c r="L10537" s="12"/>
    </row>
    <row r="10538" spans="11:12" ht="12.75">
      <c r="K10538" s="12"/>
      <c r="L10538" s="12"/>
    </row>
    <row r="10539" spans="11:12" ht="12.75">
      <c r="K10539" s="12"/>
      <c r="L10539" s="12"/>
    </row>
    <row r="10540" spans="11:12" ht="12.75">
      <c r="K10540" s="12"/>
      <c r="L10540" s="12"/>
    </row>
    <row r="10541" spans="11:12" ht="12.75">
      <c r="K10541" s="12"/>
      <c r="L10541" s="12"/>
    </row>
    <row r="10542" spans="11:12" ht="12.75">
      <c r="K10542" s="12"/>
      <c r="L10542" s="12"/>
    </row>
    <row r="10543" spans="11:12" ht="12.75">
      <c r="K10543" s="12"/>
      <c r="L10543" s="12"/>
    </row>
    <row r="10544" spans="11:12" ht="12.75">
      <c r="K10544" s="12"/>
      <c r="L10544" s="12"/>
    </row>
    <row r="10545" spans="11:12" ht="12.75">
      <c r="K10545" s="12"/>
      <c r="L10545" s="12"/>
    </row>
    <row r="10546" spans="11:12" ht="12.75">
      <c r="K10546" s="12"/>
      <c r="L10546" s="12"/>
    </row>
    <row r="10547" spans="11:12" ht="12.75">
      <c r="K10547" s="12"/>
      <c r="L10547" s="12"/>
    </row>
    <row r="10548" spans="11:12" ht="12.75">
      <c r="K10548" s="12"/>
      <c r="L10548" s="12"/>
    </row>
    <row r="10549" spans="11:12" ht="12.75">
      <c r="K10549" s="12"/>
      <c r="L10549" s="12"/>
    </row>
    <row r="10550" spans="11:12" ht="12.75">
      <c r="K10550" s="12"/>
      <c r="L10550" s="12"/>
    </row>
    <row r="10551" spans="11:12" ht="12.75">
      <c r="K10551" s="12"/>
      <c r="L10551" s="12"/>
    </row>
    <row r="10552" spans="11:12" ht="12.75">
      <c r="K10552" s="12"/>
      <c r="L10552" s="12"/>
    </row>
    <row r="10553" spans="11:12" ht="12.75">
      <c r="K10553" s="12"/>
      <c r="L10553" s="12"/>
    </row>
    <row r="10554" spans="11:12" ht="12.75">
      <c r="K10554" s="12"/>
      <c r="L10554" s="12"/>
    </row>
    <row r="10555" spans="11:12" ht="12.75">
      <c r="K10555" s="12"/>
      <c r="L10555" s="12"/>
    </row>
    <row r="10556" spans="11:12" ht="12.75">
      <c r="K10556" s="12"/>
      <c r="L10556" s="12"/>
    </row>
    <row r="10557" spans="11:12" ht="12.75">
      <c r="K10557" s="12"/>
      <c r="L10557" s="12"/>
    </row>
    <row r="10558" spans="11:12" ht="12.75">
      <c r="K10558" s="12"/>
      <c r="L10558" s="12"/>
    </row>
    <row r="10559" spans="11:12" ht="12.75">
      <c r="K10559" s="12"/>
      <c r="L10559" s="12"/>
    </row>
    <row r="10560" spans="11:12" ht="12.75">
      <c r="K10560" s="12"/>
      <c r="L10560" s="12"/>
    </row>
    <row r="10561" spans="11:12" ht="12.75">
      <c r="K10561" s="12"/>
      <c r="L10561" s="12"/>
    </row>
    <row r="10562" spans="11:12" ht="12.75">
      <c r="K10562" s="12"/>
      <c r="L10562" s="12"/>
    </row>
    <row r="10563" spans="11:12" ht="12.75">
      <c r="K10563" s="12"/>
      <c r="L10563" s="12"/>
    </row>
    <row r="10564" spans="11:12" ht="12.75">
      <c r="K10564" s="12"/>
      <c r="L10564" s="12"/>
    </row>
    <row r="10565" spans="11:12" ht="12.75">
      <c r="K10565" s="12"/>
      <c r="L10565" s="12"/>
    </row>
    <row r="10566" spans="11:12" ht="12.75">
      <c r="K10566" s="12"/>
      <c r="L10566" s="12"/>
    </row>
    <row r="10567" spans="11:12" ht="12.75">
      <c r="K10567" s="12"/>
      <c r="L10567" s="12"/>
    </row>
    <row r="10568" spans="11:12" ht="12.75">
      <c r="K10568" s="12"/>
      <c r="L10568" s="12"/>
    </row>
    <row r="10569" spans="11:12" ht="12.75">
      <c r="K10569" s="12"/>
      <c r="L10569" s="12"/>
    </row>
    <row r="10570" spans="11:12" ht="12.75">
      <c r="K10570" s="12"/>
      <c r="L10570" s="12"/>
    </row>
    <row r="10571" spans="11:12" ht="12.75">
      <c r="K10571" s="12"/>
      <c r="L10571" s="12"/>
    </row>
    <row r="10572" spans="11:12" ht="12.75">
      <c r="K10572" s="12"/>
      <c r="L10572" s="12"/>
    </row>
    <row r="10573" spans="11:12" ht="12.75">
      <c r="K10573" s="12"/>
      <c r="L10573" s="12"/>
    </row>
    <row r="10574" spans="11:12" ht="12.75">
      <c r="K10574" s="12"/>
      <c r="L10574" s="12"/>
    </row>
    <row r="10575" spans="11:12" ht="12.75">
      <c r="K10575" s="12"/>
      <c r="L10575" s="12"/>
    </row>
    <row r="10576" spans="11:12" ht="12.75">
      <c r="K10576" s="12"/>
      <c r="L10576" s="12"/>
    </row>
    <row r="10577" spans="11:12" ht="12.75">
      <c r="K10577" s="12"/>
      <c r="L10577" s="12"/>
    </row>
    <row r="10578" spans="11:12" ht="12.75">
      <c r="K10578" s="12"/>
      <c r="L10578" s="12"/>
    </row>
    <row r="10579" spans="11:12" ht="12.75">
      <c r="K10579" s="12"/>
      <c r="L10579" s="12"/>
    </row>
    <row r="10580" spans="11:12" ht="12.75">
      <c r="K10580" s="12"/>
      <c r="L10580" s="12"/>
    </row>
    <row r="10581" spans="11:12" ht="12.75">
      <c r="K10581" s="12"/>
      <c r="L10581" s="12"/>
    </row>
    <row r="10582" spans="11:12" ht="12.75">
      <c r="K10582" s="12"/>
      <c r="L10582" s="12"/>
    </row>
    <row r="10583" spans="11:12" ht="12.75">
      <c r="K10583" s="12"/>
      <c r="L10583" s="12"/>
    </row>
    <row r="10584" spans="11:12" ht="12.75">
      <c r="K10584" s="12"/>
      <c r="L10584" s="12"/>
    </row>
    <row r="10585" spans="11:12" ht="12.75">
      <c r="K10585" s="12"/>
      <c r="L10585" s="12"/>
    </row>
    <row r="10586" spans="11:12" ht="12.75">
      <c r="K10586" s="12"/>
      <c r="L10586" s="12"/>
    </row>
    <row r="10587" spans="11:12" ht="12.75">
      <c r="K10587" s="12"/>
      <c r="L10587" s="12"/>
    </row>
    <row r="10588" spans="11:12" ht="12.75">
      <c r="K10588" s="12"/>
      <c r="L10588" s="12"/>
    </row>
    <row r="10589" spans="11:12" ht="12.75">
      <c r="K10589" s="12"/>
      <c r="L10589" s="12"/>
    </row>
    <row r="10590" spans="11:12" ht="12.75">
      <c r="K10590" s="12"/>
      <c r="L10590" s="12"/>
    </row>
    <row r="10591" spans="11:12" ht="12.75">
      <c r="K10591" s="12"/>
      <c r="L10591" s="12"/>
    </row>
    <row r="10592" spans="11:12" ht="12.75">
      <c r="K10592" s="12"/>
      <c r="L10592" s="12"/>
    </row>
    <row r="10593" spans="11:12" ht="12.75">
      <c r="K10593" s="12"/>
      <c r="L10593" s="12"/>
    </row>
    <row r="10594" spans="11:12" ht="12.75">
      <c r="K10594" s="12"/>
      <c r="L10594" s="12"/>
    </row>
    <row r="10595" spans="11:12" ht="12.75">
      <c r="K10595" s="12"/>
      <c r="L10595" s="12"/>
    </row>
    <row r="10596" spans="11:12" ht="12.75">
      <c r="K10596" s="12"/>
      <c r="L10596" s="12"/>
    </row>
    <row r="10597" spans="11:12" ht="12.75">
      <c r="K10597" s="12"/>
      <c r="L10597" s="12"/>
    </row>
    <row r="10598" spans="11:12" ht="12.75">
      <c r="K10598" s="12"/>
      <c r="L10598" s="12"/>
    </row>
    <row r="10599" spans="11:12" ht="12.75">
      <c r="K10599" s="12"/>
      <c r="L10599" s="12"/>
    </row>
    <row r="10600" spans="11:12" ht="12.75">
      <c r="K10600" s="12"/>
      <c r="L10600" s="12"/>
    </row>
    <row r="10601" spans="11:12" ht="12.75">
      <c r="K10601" s="12"/>
      <c r="L10601" s="12"/>
    </row>
    <row r="10602" spans="11:12" ht="12.75">
      <c r="K10602" s="12"/>
      <c r="L10602" s="12"/>
    </row>
    <row r="10603" spans="11:12" ht="12.75">
      <c r="K10603" s="12"/>
      <c r="L10603" s="12"/>
    </row>
    <row r="10604" spans="11:12" ht="12.75">
      <c r="K10604" s="12"/>
      <c r="L10604" s="12"/>
    </row>
    <row r="10605" spans="11:12" ht="12.75">
      <c r="K10605" s="12"/>
      <c r="L10605" s="12"/>
    </row>
    <row r="10606" spans="11:12" ht="12.75">
      <c r="K10606" s="12"/>
      <c r="L10606" s="12"/>
    </row>
    <row r="10607" spans="11:12" ht="12.75">
      <c r="K10607" s="12"/>
      <c r="L10607" s="12"/>
    </row>
    <row r="10608" spans="11:12" ht="12.75">
      <c r="K10608" s="12"/>
      <c r="L10608" s="12"/>
    </row>
    <row r="10609" spans="11:12" ht="12.75">
      <c r="K10609" s="12"/>
      <c r="L10609" s="12"/>
    </row>
  </sheetData>
  <pageMargins left="0.7" right="0.7" top="0.75" bottom="0.75" header="0.3" footer="0.3"/>
  <pageSetup scale="2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83"/>
  <sheetViews>
    <sheetView workbookViewId="0">
      <selection activeCell="C7" sqref="C7"/>
    </sheetView>
  </sheetViews>
  <sheetFormatPr defaultRowHeight="15"/>
  <cols>
    <col min="1" max="1" width="22" customWidth="1"/>
    <col min="2" max="2" width="23.7109375" customWidth="1"/>
    <col min="3" max="3" width="71" customWidth="1"/>
    <col min="4" max="4" width="55.42578125" hidden="1" customWidth="1"/>
    <col min="5" max="5" width="34.5703125" hidden="1" customWidth="1"/>
    <col min="6" max="6" width="30.5703125" style="312" customWidth="1"/>
  </cols>
  <sheetData>
    <row r="1" spans="1:6" ht="33.75" customHeight="1" thickBot="1">
      <c r="A1" s="189" t="s">
        <v>275</v>
      </c>
      <c r="B1" s="190"/>
      <c r="C1" s="190"/>
      <c r="D1" s="190"/>
      <c r="E1" s="190"/>
      <c r="F1" s="191"/>
    </row>
    <row r="2" spans="1:6" ht="33" customHeight="1" thickBot="1">
      <c r="A2" s="192" t="s">
        <v>276</v>
      </c>
      <c r="B2" s="193" t="s">
        <v>277</v>
      </c>
      <c r="C2" s="194" t="s">
        <v>278</v>
      </c>
      <c r="D2" s="194" t="s">
        <v>279</v>
      </c>
      <c r="E2" s="195" t="s">
        <v>280</v>
      </c>
      <c r="F2" s="196" t="s">
        <v>281</v>
      </c>
    </row>
    <row r="3" spans="1:6" s="203" customFormat="1" ht="15.75" thickBot="1">
      <c r="A3" s="197" t="s">
        <v>282</v>
      </c>
      <c r="B3" s="198"/>
      <c r="C3" s="199"/>
      <c r="D3" s="200"/>
      <c r="E3" s="201"/>
      <c r="F3" s="202"/>
    </row>
    <row r="4" spans="1:6" ht="27.75" customHeight="1" thickBot="1">
      <c r="A4" s="204" t="s">
        <v>283</v>
      </c>
      <c r="B4" s="205" t="s">
        <v>211</v>
      </c>
      <c r="C4" s="206" t="s">
        <v>284</v>
      </c>
      <c r="D4" s="207" t="s">
        <v>285</v>
      </c>
      <c r="E4" s="208" t="s">
        <v>286</v>
      </c>
      <c r="F4" s="196">
        <v>-3</v>
      </c>
    </row>
    <row r="5" spans="1:6" ht="39" customHeight="1" thickBot="1">
      <c r="A5" s="209"/>
      <c r="B5" s="205" t="s">
        <v>222</v>
      </c>
      <c r="C5" s="210" t="s">
        <v>287</v>
      </c>
      <c r="D5" s="211" t="s">
        <v>288</v>
      </c>
      <c r="E5" s="212" t="s">
        <v>286</v>
      </c>
      <c r="F5" s="196">
        <v>-3</v>
      </c>
    </row>
    <row r="6" spans="1:6" ht="27.75" customHeight="1" thickBot="1">
      <c r="A6" s="213"/>
      <c r="B6" s="205" t="s">
        <v>161</v>
      </c>
      <c r="C6" s="214" t="s">
        <v>289</v>
      </c>
      <c r="D6" s="215" t="s">
        <v>290</v>
      </c>
      <c r="E6" s="216" t="s">
        <v>286</v>
      </c>
      <c r="F6" s="196">
        <v>-3</v>
      </c>
    </row>
    <row r="7" spans="1:6" s="220" customFormat="1" ht="28.5" customHeight="1" thickBot="1">
      <c r="A7" s="204" t="s">
        <v>291</v>
      </c>
      <c r="B7" s="217" t="s">
        <v>292</v>
      </c>
      <c r="C7" s="218" t="s">
        <v>293</v>
      </c>
      <c r="D7" s="206" t="s">
        <v>294</v>
      </c>
      <c r="E7" s="219" t="s">
        <v>295</v>
      </c>
      <c r="F7" s="196">
        <v>-3</v>
      </c>
    </row>
    <row r="8" spans="1:6" s="220" customFormat="1" ht="28.5" customHeight="1">
      <c r="A8" s="209"/>
      <c r="B8" s="221" t="s">
        <v>296</v>
      </c>
      <c r="C8" s="218" t="s">
        <v>293</v>
      </c>
      <c r="D8" s="222"/>
      <c r="E8" s="223"/>
      <c r="F8" s="196">
        <v>-3</v>
      </c>
    </row>
    <row r="9" spans="1:6" s="220" customFormat="1" ht="21" customHeight="1">
      <c r="A9" s="209"/>
      <c r="B9" s="224" t="s">
        <v>176</v>
      </c>
      <c r="C9" s="225" t="s">
        <v>297</v>
      </c>
      <c r="D9" s="226"/>
      <c r="E9" s="227" t="s">
        <v>295</v>
      </c>
      <c r="F9" s="196">
        <v>-4</v>
      </c>
    </row>
    <row r="10" spans="1:6" s="220" customFormat="1" ht="21" customHeight="1">
      <c r="A10" s="209"/>
      <c r="B10" s="224" t="s">
        <v>224</v>
      </c>
      <c r="C10" s="225" t="s">
        <v>298</v>
      </c>
      <c r="D10" s="228"/>
      <c r="E10" s="227" t="s">
        <v>295</v>
      </c>
      <c r="F10" s="196">
        <v>-4</v>
      </c>
    </row>
    <row r="11" spans="1:6" s="220" customFormat="1" ht="21" customHeight="1">
      <c r="A11" s="209"/>
      <c r="B11" s="224" t="s">
        <v>163</v>
      </c>
      <c r="C11" s="225" t="s">
        <v>299</v>
      </c>
      <c r="D11" s="228"/>
      <c r="E11" s="229" t="s">
        <v>295</v>
      </c>
      <c r="F11" s="196">
        <v>-4</v>
      </c>
    </row>
    <row r="12" spans="1:6" s="220" customFormat="1" ht="21" customHeight="1">
      <c r="A12" s="209"/>
      <c r="B12" s="224" t="s">
        <v>300</v>
      </c>
      <c r="C12" s="225" t="s">
        <v>301</v>
      </c>
      <c r="D12" s="228"/>
      <c r="E12" s="229" t="s">
        <v>295</v>
      </c>
      <c r="F12" s="196">
        <v>-4</v>
      </c>
    </row>
    <row r="13" spans="1:6" s="220" customFormat="1" ht="21" customHeight="1">
      <c r="A13" s="209"/>
      <c r="B13" s="224" t="s">
        <v>162</v>
      </c>
      <c r="C13" s="230" t="s">
        <v>302</v>
      </c>
      <c r="D13" s="228" t="s">
        <v>303</v>
      </c>
      <c r="E13" s="231" t="s">
        <v>286</v>
      </c>
      <c r="F13" s="196">
        <v>-4</v>
      </c>
    </row>
    <row r="14" spans="1:6" s="220" customFormat="1" ht="26.25" customHeight="1" thickBot="1">
      <c r="A14" s="209"/>
      <c r="B14" s="232" t="s">
        <v>304</v>
      </c>
      <c r="C14" s="230" t="s">
        <v>305</v>
      </c>
      <c r="D14" s="233"/>
      <c r="E14" s="231" t="s">
        <v>286</v>
      </c>
      <c r="F14" s="196">
        <v>-3</v>
      </c>
    </row>
    <row r="15" spans="1:6" s="220" customFormat="1" ht="28.5" customHeight="1" thickBot="1">
      <c r="A15" s="213"/>
      <c r="B15" s="234" t="s">
        <v>225</v>
      </c>
      <c r="C15" s="214" t="s">
        <v>306</v>
      </c>
      <c r="D15" s="206"/>
      <c r="E15" s="235" t="s">
        <v>286</v>
      </c>
      <c r="F15" s="196">
        <v>-3</v>
      </c>
    </row>
    <row r="16" spans="1:6" s="220" customFormat="1" ht="30">
      <c r="A16" s="236" t="s">
        <v>307</v>
      </c>
      <c r="B16" s="237" t="s">
        <v>207</v>
      </c>
      <c r="C16" s="238" t="s">
        <v>308</v>
      </c>
      <c r="D16" s="239"/>
      <c r="E16" s="240" t="s">
        <v>286</v>
      </c>
      <c r="F16" s="196">
        <v>-3</v>
      </c>
    </row>
    <row r="17" spans="1:6" s="220" customFormat="1" ht="15.75" customHeight="1" thickBot="1">
      <c r="A17" s="241"/>
      <c r="B17" s="242" t="s">
        <v>168</v>
      </c>
      <c r="C17" s="225" t="s">
        <v>309</v>
      </c>
      <c r="D17" s="243" t="s">
        <v>310</v>
      </c>
      <c r="E17" s="244" t="s">
        <v>295</v>
      </c>
      <c r="F17" s="196">
        <v>-3</v>
      </c>
    </row>
    <row r="18" spans="1:6" s="220" customFormat="1" ht="15.75" customHeight="1" thickBot="1">
      <c r="A18" s="245"/>
      <c r="B18" s="246" t="s">
        <v>153</v>
      </c>
      <c r="C18" s="247" t="s">
        <v>311</v>
      </c>
      <c r="D18" s="248"/>
      <c r="E18" s="249" t="s">
        <v>286</v>
      </c>
      <c r="F18" s="196">
        <v>-3</v>
      </c>
    </row>
    <row r="19" spans="1:6" s="220" customFormat="1" ht="15" customHeight="1" thickBot="1">
      <c r="A19" s="250" t="s">
        <v>283</v>
      </c>
      <c r="B19" s="251" t="s">
        <v>312</v>
      </c>
      <c r="C19" s="252" t="s">
        <v>313</v>
      </c>
      <c r="D19" s="253"/>
      <c r="E19" s="254" t="s">
        <v>286</v>
      </c>
      <c r="F19" s="255">
        <v>2</v>
      </c>
    </row>
    <row r="20" spans="1:6" s="220" customFormat="1">
      <c r="A20" s="256"/>
      <c r="B20" s="257" t="s">
        <v>226</v>
      </c>
      <c r="C20" s="258" t="s">
        <v>314</v>
      </c>
      <c r="D20" s="253"/>
      <c r="E20" s="254" t="s">
        <v>286</v>
      </c>
      <c r="F20" s="255">
        <v>2</v>
      </c>
    </row>
    <row r="21" spans="1:6" s="220" customFormat="1">
      <c r="A21" s="256"/>
      <c r="B21" s="259" t="s">
        <v>177</v>
      </c>
      <c r="C21" s="260" t="s">
        <v>315</v>
      </c>
      <c r="D21" s="225"/>
      <c r="E21" s="254" t="s">
        <v>286</v>
      </c>
      <c r="F21" s="255">
        <v>2</v>
      </c>
    </row>
    <row r="22" spans="1:6" s="220" customFormat="1">
      <c r="A22" s="256"/>
      <c r="B22" s="259" t="s">
        <v>227</v>
      </c>
      <c r="C22" s="260" t="s">
        <v>316</v>
      </c>
      <c r="D22" s="225"/>
      <c r="E22" s="254" t="s">
        <v>286</v>
      </c>
      <c r="F22" s="255">
        <v>2</v>
      </c>
    </row>
    <row r="23" spans="1:6" s="220" customFormat="1" ht="15" customHeight="1">
      <c r="A23" s="256"/>
      <c r="B23" s="261" t="s">
        <v>167</v>
      </c>
      <c r="C23" s="230" t="s">
        <v>317</v>
      </c>
      <c r="D23" s="225"/>
      <c r="E23" s="254" t="s">
        <v>286</v>
      </c>
      <c r="F23" s="255">
        <v>2</v>
      </c>
    </row>
    <row r="24" spans="1:6" s="220" customFormat="1">
      <c r="A24" s="256"/>
      <c r="B24" s="261" t="s">
        <v>159</v>
      </c>
      <c r="C24" s="230" t="s">
        <v>318</v>
      </c>
      <c r="D24" s="225"/>
      <c r="E24" s="254" t="s">
        <v>286</v>
      </c>
      <c r="F24" s="255">
        <v>2</v>
      </c>
    </row>
    <row r="25" spans="1:6" s="220" customFormat="1">
      <c r="A25" s="256"/>
      <c r="B25" s="261" t="s">
        <v>169</v>
      </c>
      <c r="C25" s="230" t="s">
        <v>319</v>
      </c>
      <c r="D25" s="225"/>
      <c r="E25" s="254" t="s">
        <v>286</v>
      </c>
      <c r="F25" s="255">
        <v>2</v>
      </c>
    </row>
    <row r="26" spans="1:6" s="220" customFormat="1">
      <c r="A26" s="256"/>
      <c r="B26" s="261" t="s">
        <v>165</v>
      </c>
      <c r="C26" s="230" t="s">
        <v>320</v>
      </c>
      <c r="D26" s="230"/>
      <c r="E26" s="262" t="s">
        <v>286</v>
      </c>
      <c r="F26" s="255">
        <v>4</v>
      </c>
    </row>
    <row r="27" spans="1:6" s="220" customFormat="1" ht="15" customHeight="1">
      <c r="A27" s="256"/>
      <c r="B27" s="261" t="s">
        <v>228</v>
      </c>
      <c r="C27" s="225" t="s">
        <v>321</v>
      </c>
      <c r="D27" s="230" t="s">
        <v>322</v>
      </c>
      <c r="E27" s="262" t="s">
        <v>286</v>
      </c>
      <c r="F27" s="255">
        <v>4</v>
      </c>
    </row>
    <row r="28" spans="1:6" s="220" customFormat="1" ht="15.75" thickBot="1">
      <c r="A28" s="256"/>
      <c r="B28" s="261" t="s">
        <v>210</v>
      </c>
      <c r="C28" s="225" t="s">
        <v>323</v>
      </c>
      <c r="D28" s="214"/>
      <c r="E28" s="262" t="s">
        <v>286</v>
      </c>
      <c r="F28" s="255">
        <v>2</v>
      </c>
    </row>
    <row r="29" spans="1:6" s="220" customFormat="1">
      <c r="A29" s="256"/>
      <c r="B29" s="261" t="s">
        <v>204</v>
      </c>
      <c r="C29" s="225" t="s">
        <v>324</v>
      </c>
      <c r="D29" s="218"/>
      <c r="E29" s="229" t="s">
        <v>295</v>
      </c>
      <c r="F29" s="255">
        <v>2</v>
      </c>
    </row>
    <row r="30" spans="1:6" s="220" customFormat="1" ht="15.75" customHeight="1" thickBot="1">
      <c r="A30" s="256"/>
      <c r="B30" s="263" t="s">
        <v>175</v>
      </c>
      <c r="C30" s="210" t="s">
        <v>325</v>
      </c>
      <c r="D30" s="264"/>
      <c r="E30" s="229" t="s">
        <v>295</v>
      </c>
      <c r="F30" s="255">
        <v>4</v>
      </c>
    </row>
    <row r="31" spans="1:6" s="220" customFormat="1" ht="27.75" customHeight="1" thickBot="1">
      <c r="A31" s="265"/>
      <c r="B31" s="266" t="s">
        <v>229</v>
      </c>
      <c r="C31" s="267" t="s">
        <v>326</v>
      </c>
      <c r="D31" s="268" t="s">
        <v>327</v>
      </c>
      <c r="E31" s="269" t="s">
        <v>286</v>
      </c>
      <c r="F31" s="255">
        <v>2</v>
      </c>
    </row>
    <row r="32" spans="1:6" ht="15" customHeight="1">
      <c r="A32" s="250" t="s">
        <v>328</v>
      </c>
      <c r="B32" s="270" t="s">
        <v>152</v>
      </c>
      <c r="C32" s="218" t="s">
        <v>329</v>
      </c>
      <c r="D32" s="206" t="s">
        <v>330</v>
      </c>
      <c r="E32" s="271" t="s">
        <v>295</v>
      </c>
      <c r="F32" s="255">
        <v>2</v>
      </c>
    </row>
    <row r="33" spans="1:6" ht="15" customHeight="1" thickBot="1">
      <c r="A33" s="265"/>
      <c r="B33" s="272" t="s">
        <v>158</v>
      </c>
      <c r="C33" s="264" t="s">
        <v>331</v>
      </c>
      <c r="D33" s="228" t="s">
        <v>332</v>
      </c>
      <c r="E33" s="273" t="s">
        <v>295</v>
      </c>
      <c r="F33" s="255">
        <v>2</v>
      </c>
    </row>
    <row r="34" spans="1:6" ht="24.75" thickBot="1">
      <c r="A34" s="274" t="s">
        <v>333</v>
      </c>
      <c r="B34" s="275" t="s">
        <v>209</v>
      </c>
      <c r="C34" s="268" t="s">
        <v>334</v>
      </c>
      <c r="D34" s="233"/>
      <c r="E34" s="269" t="s">
        <v>286</v>
      </c>
      <c r="F34" s="255">
        <v>2</v>
      </c>
    </row>
    <row r="35" spans="1:6" ht="15" customHeight="1">
      <c r="A35" s="412" t="s">
        <v>335</v>
      </c>
      <c r="B35" s="276" t="s">
        <v>336</v>
      </c>
      <c r="C35" s="218" t="s">
        <v>337</v>
      </c>
      <c r="D35" s="277"/>
      <c r="E35" s="278"/>
      <c r="F35" s="255">
        <v>1</v>
      </c>
    </row>
    <row r="36" spans="1:6">
      <c r="A36" s="413"/>
      <c r="B36" s="263" t="s">
        <v>338</v>
      </c>
      <c r="C36" s="210" t="s">
        <v>339</v>
      </c>
      <c r="D36" s="277"/>
      <c r="E36" s="278"/>
      <c r="F36" s="255">
        <v>1</v>
      </c>
    </row>
    <row r="37" spans="1:6" ht="15.75" thickBot="1">
      <c r="A37" s="414"/>
      <c r="B37" s="272" t="s">
        <v>340</v>
      </c>
      <c r="C37" s="279" t="s">
        <v>341</v>
      </c>
      <c r="D37" s="277"/>
      <c r="E37" s="278"/>
      <c r="F37" s="255">
        <v>1</v>
      </c>
    </row>
    <row r="38" spans="1:6" s="203" customFormat="1">
      <c r="A38" s="197" t="s">
        <v>342</v>
      </c>
      <c r="B38" s="198"/>
      <c r="C38" s="199"/>
      <c r="D38" s="200"/>
      <c r="E38" s="201"/>
      <c r="F38" s="280"/>
    </row>
    <row r="39" spans="1:6" ht="15" customHeight="1">
      <c r="A39" s="281"/>
      <c r="B39" s="282" t="s">
        <v>173</v>
      </c>
      <c r="C39" s="230" t="s">
        <v>343</v>
      </c>
      <c r="D39" s="225"/>
      <c r="F39" s="283">
        <v>2</v>
      </c>
    </row>
    <row r="40" spans="1:6" ht="15" customHeight="1">
      <c r="A40" s="281"/>
      <c r="B40" s="284" t="s">
        <v>160</v>
      </c>
      <c r="C40" s="230" t="s">
        <v>344</v>
      </c>
      <c r="D40" s="225"/>
      <c r="F40" s="283">
        <v>-3</v>
      </c>
    </row>
    <row r="41" spans="1:6">
      <c r="A41" s="281"/>
      <c r="B41" s="284" t="s">
        <v>150</v>
      </c>
      <c r="C41" s="225" t="s">
        <v>345</v>
      </c>
      <c r="D41" s="225"/>
      <c r="F41" s="283">
        <v>-3</v>
      </c>
    </row>
    <row r="42" spans="1:6">
      <c r="A42" s="281"/>
      <c r="B42" s="285" t="s">
        <v>172</v>
      </c>
      <c r="C42" s="225" t="s">
        <v>346</v>
      </c>
      <c r="D42" s="225"/>
      <c r="F42" s="283">
        <v>2</v>
      </c>
    </row>
    <row r="43" spans="1:6">
      <c r="A43" s="281"/>
      <c r="B43" s="285" t="s">
        <v>210</v>
      </c>
      <c r="C43" s="225" t="s">
        <v>323</v>
      </c>
      <c r="D43" s="225"/>
      <c r="F43" s="283">
        <v>2</v>
      </c>
    </row>
    <row r="44" spans="1:6">
      <c r="A44" s="281"/>
      <c r="B44" s="286" t="s">
        <v>166</v>
      </c>
      <c r="C44" s="287" t="s">
        <v>347</v>
      </c>
      <c r="D44" s="225"/>
      <c r="F44" s="283">
        <v>2</v>
      </c>
    </row>
    <row r="45" spans="1:6" ht="15" customHeight="1">
      <c r="A45" s="281"/>
      <c r="B45" s="285" t="s">
        <v>170</v>
      </c>
      <c r="C45" s="230" t="s">
        <v>348</v>
      </c>
      <c r="D45" s="225"/>
      <c r="F45" s="283">
        <v>1</v>
      </c>
    </row>
    <row r="46" spans="1:6">
      <c r="A46" s="281"/>
      <c r="B46" s="288" t="s">
        <v>349</v>
      </c>
      <c r="C46" s="225" t="s">
        <v>350</v>
      </c>
      <c r="D46" s="289" t="s">
        <v>351</v>
      </c>
      <c r="F46" s="283">
        <v>2</v>
      </c>
    </row>
    <row r="47" spans="1:6">
      <c r="A47" s="290" t="s">
        <v>352</v>
      </c>
      <c r="B47" s="284" t="s">
        <v>171</v>
      </c>
      <c r="C47" s="225" t="s">
        <v>353</v>
      </c>
      <c r="D47" s="225"/>
      <c r="F47" s="283">
        <v>-1</v>
      </c>
    </row>
    <row r="48" spans="1:6">
      <c r="A48" s="291"/>
      <c r="B48" s="284" t="s">
        <v>176</v>
      </c>
      <c r="C48" s="225" t="s">
        <v>354</v>
      </c>
      <c r="D48" s="225"/>
      <c r="F48" s="283">
        <v>-3</v>
      </c>
    </row>
    <row r="49" spans="1:6">
      <c r="A49" s="291"/>
      <c r="B49" s="284" t="s">
        <v>179</v>
      </c>
      <c r="C49" s="225" t="s">
        <v>355</v>
      </c>
      <c r="D49" s="225"/>
      <c r="F49" s="283">
        <v>-1</v>
      </c>
    </row>
    <row r="50" spans="1:6">
      <c r="A50" s="291"/>
      <c r="B50" s="284" t="s">
        <v>356</v>
      </c>
      <c r="C50" s="225" t="s">
        <v>357</v>
      </c>
      <c r="D50" s="225"/>
      <c r="F50" s="283">
        <v>-1</v>
      </c>
    </row>
    <row r="51" spans="1:6">
      <c r="A51" s="291"/>
      <c r="B51" s="284" t="s">
        <v>224</v>
      </c>
      <c r="C51" s="225" t="s">
        <v>358</v>
      </c>
      <c r="D51" s="225"/>
      <c r="F51" s="283">
        <v>-3</v>
      </c>
    </row>
    <row r="52" spans="1:6">
      <c r="A52" s="291"/>
      <c r="B52" s="284" t="s">
        <v>215</v>
      </c>
      <c r="C52" s="225" t="s">
        <v>359</v>
      </c>
      <c r="D52" s="225"/>
      <c r="F52" s="283">
        <v>-1</v>
      </c>
    </row>
    <row r="53" spans="1:6">
      <c r="A53" s="291"/>
      <c r="B53" s="284" t="s">
        <v>208</v>
      </c>
      <c r="C53" s="225" t="s">
        <v>360</v>
      </c>
      <c r="D53" s="225"/>
      <c r="F53" s="283">
        <v>-1</v>
      </c>
    </row>
    <row r="54" spans="1:6">
      <c r="A54" s="291"/>
      <c r="B54" s="284" t="s">
        <v>163</v>
      </c>
      <c r="C54" s="225" t="s">
        <v>361</v>
      </c>
      <c r="D54" s="225"/>
      <c r="F54" s="283">
        <v>-3</v>
      </c>
    </row>
    <row r="55" spans="1:6">
      <c r="A55" s="291"/>
      <c r="B55" s="284" t="s">
        <v>174</v>
      </c>
      <c r="C55" s="225" t="s">
        <v>362</v>
      </c>
      <c r="D55" s="225"/>
      <c r="F55" s="283">
        <v>-1</v>
      </c>
    </row>
    <row r="56" spans="1:6">
      <c r="A56" s="291"/>
      <c r="B56" s="284" t="s">
        <v>363</v>
      </c>
      <c r="C56" s="225" t="s">
        <v>301</v>
      </c>
      <c r="D56" s="225"/>
      <c r="F56" s="283">
        <v>-3</v>
      </c>
    </row>
    <row r="57" spans="1:6" ht="27" customHeight="1">
      <c r="A57" s="291"/>
      <c r="B57" s="284" t="s">
        <v>223</v>
      </c>
      <c r="C57" s="225" t="s">
        <v>364</v>
      </c>
      <c r="D57" s="292" t="s">
        <v>365</v>
      </c>
      <c r="F57" s="283">
        <v>-3</v>
      </c>
    </row>
    <row r="58" spans="1:6" ht="15" customHeight="1">
      <c r="A58" s="293" t="s">
        <v>366</v>
      </c>
      <c r="B58" s="284" t="s">
        <v>367</v>
      </c>
      <c r="C58" s="225" t="s">
        <v>368</v>
      </c>
      <c r="D58" s="225"/>
      <c r="F58" s="283">
        <v>-3</v>
      </c>
    </row>
    <row r="59" spans="1:6" ht="15" customHeight="1">
      <c r="A59" s="294"/>
      <c r="B59" s="288" t="s">
        <v>164</v>
      </c>
      <c r="C59" s="230" t="s">
        <v>369</v>
      </c>
      <c r="D59" s="295" t="s">
        <v>370</v>
      </c>
      <c r="F59" s="283">
        <v>-3</v>
      </c>
    </row>
    <row r="60" spans="1:6">
      <c r="A60" s="294"/>
      <c r="B60" s="284" t="s">
        <v>168</v>
      </c>
      <c r="C60" s="225" t="s">
        <v>371</v>
      </c>
      <c r="D60" s="225"/>
      <c r="F60" s="283">
        <v>-3</v>
      </c>
    </row>
    <row r="61" spans="1:6" ht="15" customHeight="1">
      <c r="A61" s="294"/>
      <c r="B61" s="284" t="s">
        <v>180</v>
      </c>
      <c r="C61" s="230" t="s">
        <v>372</v>
      </c>
      <c r="D61" s="225"/>
      <c r="F61" s="283">
        <v>-3</v>
      </c>
    </row>
    <row r="62" spans="1:6">
      <c r="A62" s="294"/>
      <c r="B62" s="282" t="s">
        <v>373</v>
      </c>
      <c r="C62" s="225" t="s">
        <v>374</v>
      </c>
      <c r="D62" s="225"/>
      <c r="F62" s="283">
        <v>1</v>
      </c>
    </row>
    <row r="63" spans="1:6">
      <c r="A63" s="296"/>
      <c r="B63" s="284" t="s">
        <v>375</v>
      </c>
      <c r="C63" s="225" t="s">
        <v>376</v>
      </c>
      <c r="D63" s="225"/>
      <c r="F63" s="283">
        <v>-3</v>
      </c>
    </row>
    <row r="64" spans="1:6" ht="15" customHeight="1">
      <c r="A64" s="290" t="s">
        <v>377</v>
      </c>
      <c r="B64" s="284" t="s">
        <v>378</v>
      </c>
      <c r="C64" s="230" t="s">
        <v>379</v>
      </c>
      <c r="D64" s="225"/>
      <c r="F64" s="283">
        <v>-3</v>
      </c>
    </row>
    <row r="65" spans="1:6">
      <c r="A65" s="291"/>
      <c r="B65" s="284" t="s">
        <v>178</v>
      </c>
      <c r="C65" s="225" t="s">
        <v>380</v>
      </c>
      <c r="D65" s="225"/>
      <c r="F65" s="283">
        <v>-3</v>
      </c>
    </row>
    <row r="66" spans="1:6">
      <c r="A66" s="291"/>
      <c r="B66" s="285" t="s">
        <v>154</v>
      </c>
      <c r="C66" s="225" t="s">
        <v>381</v>
      </c>
      <c r="D66" s="225"/>
      <c r="F66" s="283">
        <v>1</v>
      </c>
    </row>
    <row r="67" spans="1:6" ht="15" customHeight="1">
      <c r="A67" s="291"/>
      <c r="B67" s="284" t="s">
        <v>181</v>
      </c>
      <c r="C67" s="225" t="s">
        <v>337</v>
      </c>
      <c r="D67" s="297" t="s">
        <v>330</v>
      </c>
      <c r="F67" s="283">
        <v>1</v>
      </c>
    </row>
    <row r="68" spans="1:6" ht="15" customHeight="1">
      <c r="A68" s="298"/>
      <c r="B68" s="288" t="s">
        <v>230</v>
      </c>
      <c r="C68" s="225" t="s">
        <v>339</v>
      </c>
      <c r="D68" s="295" t="s">
        <v>332</v>
      </c>
      <c r="F68" s="283">
        <v>-3</v>
      </c>
    </row>
    <row r="69" spans="1:6" ht="15" customHeight="1">
      <c r="A69" s="293" t="s">
        <v>382</v>
      </c>
      <c r="B69" s="284" t="s">
        <v>162</v>
      </c>
      <c r="C69" s="230" t="s">
        <v>383</v>
      </c>
      <c r="D69" s="230" t="s">
        <v>303</v>
      </c>
      <c r="F69" s="283">
        <v>-3</v>
      </c>
    </row>
    <row r="70" spans="1:6">
      <c r="A70" s="299"/>
      <c r="B70" s="284" t="s">
        <v>384</v>
      </c>
      <c r="C70" s="225" t="s">
        <v>385</v>
      </c>
      <c r="D70" s="225" t="s">
        <v>386</v>
      </c>
      <c r="F70" s="283">
        <v>-3</v>
      </c>
    </row>
    <row r="71" spans="1:6">
      <c r="A71" s="299"/>
      <c r="B71" s="284" t="s">
        <v>387</v>
      </c>
      <c r="C71" s="225" t="s">
        <v>388</v>
      </c>
      <c r="D71" s="225"/>
      <c r="F71" s="283">
        <v>-3</v>
      </c>
    </row>
    <row r="72" spans="1:6" ht="15" customHeight="1">
      <c r="A72" s="299"/>
      <c r="B72" s="284" t="s">
        <v>389</v>
      </c>
      <c r="C72" s="230" t="s">
        <v>390</v>
      </c>
      <c r="D72" s="225"/>
      <c r="F72" s="283">
        <v>-3</v>
      </c>
    </row>
    <row r="73" spans="1:6">
      <c r="A73" s="299"/>
      <c r="B73" s="300" t="s">
        <v>391</v>
      </c>
      <c r="C73" s="301" t="s">
        <v>341</v>
      </c>
      <c r="D73" s="301" t="s">
        <v>392</v>
      </c>
      <c r="F73" s="283">
        <v>-3</v>
      </c>
    </row>
    <row r="74" spans="1:6">
      <c r="A74" s="302" t="s">
        <v>328</v>
      </c>
      <c r="B74" s="285" t="s">
        <v>152</v>
      </c>
      <c r="C74" s="225" t="s">
        <v>393</v>
      </c>
      <c r="D74" s="225"/>
      <c r="F74" s="283">
        <v>1</v>
      </c>
    </row>
    <row r="75" spans="1:6" ht="15" customHeight="1">
      <c r="A75" s="293" t="s">
        <v>335</v>
      </c>
      <c r="B75" s="285" t="s">
        <v>394</v>
      </c>
      <c r="C75" s="225" t="s">
        <v>395</v>
      </c>
      <c r="D75" s="225" t="s">
        <v>396</v>
      </c>
      <c r="F75" s="283">
        <v>1</v>
      </c>
    </row>
    <row r="76" spans="1:6">
      <c r="A76" s="294"/>
      <c r="B76" s="303" t="s">
        <v>397</v>
      </c>
      <c r="C76" s="304" t="s">
        <v>398</v>
      </c>
      <c r="D76" s="304" t="s">
        <v>399</v>
      </c>
      <c r="F76" s="283">
        <v>1</v>
      </c>
    </row>
    <row r="77" spans="1:6" ht="15" customHeight="1">
      <c r="A77" s="305"/>
      <c r="B77" s="210" t="s">
        <v>155</v>
      </c>
      <c r="C77" s="228" t="s">
        <v>400</v>
      </c>
      <c r="D77" s="210" t="s">
        <v>401</v>
      </c>
      <c r="E77" s="306"/>
      <c r="F77" s="283">
        <v>1</v>
      </c>
    </row>
    <row r="78" spans="1:6">
      <c r="A78" s="307"/>
      <c r="B78" s="308" t="s">
        <v>157</v>
      </c>
      <c r="C78" s="309" t="s">
        <v>402</v>
      </c>
      <c r="D78" s="308" t="s">
        <v>403</v>
      </c>
      <c r="E78" s="310"/>
      <c r="F78" s="283">
        <v>1</v>
      </c>
    </row>
    <row r="79" spans="1:6">
      <c r="A79" s="307"/>
      <c r="B79" s="308" t="s">
        <v>404</v>
      </c>
      <c r="C79" s="309" t="s">
        <v>405</v>
      </c>
      <c r="D79" s="308" t="s">
        <v>403</v>
      </c>
      <c r="E79" s="310"/>
      <c r="F79" s="283">
        <v>1</v>
      </c>
    </row>
    <row r="80" spans="1:6">
      <c r="A80" s="307"/>
      <c r="B80" s="210" t="s">
        <v>406</v>
      </c>
      <c r="C80" s="210" t="s">
        <v>407</v>
      </c>
      <c r="D80" s="210" t="s">
        <v>401</v>
      </c>
      <c r="E80" s="306"/>
      <c r="F80" s="283">
        <v>1</v>
      </c>
    </row>
    <row r="81" spans="1:6">
      <c r="A81" s="307"/>
      <c r="B81" s="210" t="s">
        <v>408</v>
      </c>
      <c r="C81" s="210" t="s">
        <v>409</v>
      </c>
      <c r="D81" s="210" t="s">
        <v>403</v>
      </c>
      <c r="E81" s="306"/>
      <c r="F81" s="283">
        <v>1</v>
      </c>
    </row>
    <row r="82" spans="1:6">
      <c r="A82" s="307"/>
      <c r="B82" s="210" t="s">
        <v>156</v>
      </c>
      <c r="C82" s="210" t="s">
        <v>410</v>
      </c>
      <c r="D82" s="210" t="s">
        <v>401</v>
      </c>
      <c r="E82" s="306"/>
      <c r="F82" s="283">
        <v>1</v>
      </c>
    </row>
    <row r="83" spans="1:6" ht="15" customHeight="1">
      <c r="A83" s="311"/>
      <c r="B83" s="308" t="s">
        <v>151</v>
      </c>
      <c r="C83" s="309" t="s">
        <v>411</v>
      </c>
      <c r="D83" s="308" t="s">
        <v>403</v>
      </c>
      <c r="E83" s="310"/>
      <c r="F83" s="283">
        <v>1</v>
      </c>
    </row>
  </sheetData>
  <mergeCells count="1">
    <mergeCell ref="A35:A37"/>
  </mergeCells>
  <dataValidations count="1">
    <dataValidation type="list" allowBlank="1" showInputMessage="1" showErrorMessage="1" sqref="D77:E83">
      <formula1>"ITEM LEVEL, SCHEDULE LEVEL,BOTH LEVELS"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I22" sqref="I22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KPI Graph</vt:lpstr>
      <vt:lpstr>KPI Graph Pivot Table</vt:lpstr>
      <vt:lpstr>Comment Codes New and Old</vt:lpstr>
      <vt:lpstr>Db</vt:lpstr>
      <vt:lpstr>commentcode</vt:lpstr>
      <vt:lpstr>'KPI Graph Pivot Table'!Print_Titles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ptong</dc:creator>
  <cp:lastModifiedBy>dlie</cp:lastModifiedBy>
  <cp:lastPrinted>2011-09-27T09:31:45Z</cp:lastPrinted>
  <dcterms:created xsi:type="dcterms:W3CDTF">2011-04-16T13:58:27Z</dcterms:created>
  <dcterms:modified xsi:type="dcterms:W3CDTF">2012-12-20T06:37:38Z</dcterms:modified>
</cp:coreProperties>
</file>